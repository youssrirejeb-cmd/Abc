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shboard" sheetId="1" state="visible" r:id="rId1"/>
    <sheet name="01_Next_Meeting" sheetId="2" state="visible" r:id="rId2"/>
    <sheet name="02_Topic_Register" sheetId="3" state="visible" r:id="rId3"/>
    <sheet name="03_Action_Register" sheetId="4" state="visible" r:id="rId4"/>
    <sheet name="04_Update_History" sheetId="5" state="visible" r:id="rId5"/>
    <sheet name="05_PQCP_Follow_Up" sheetId="6" state="visible" r:id="rId6"/>
    <sheet name="06_Document_Evidence" sheetId="7" state="visible" r:id="rId7"/>
    <sheet name="07_Meeting_Summary" sheetId="8" state="visible" r:id="rId8"/>
    <sheet name="08_Lists_Config" sheetId="9" state="visible" r:id="rId9"/>
  </sheets>
  <definedNames>
    <definedName name="LIST_CATEGORY">'08_Lists_Config'!$B$6:$B$14</definedName>
    <definedName name="LIST_SUBCATEGORY">'08_Lists_Config'!$C$6:$C$67</definedName>
    <definedName name="LIST_DISCIPLINE">'08_Lists_Config'!$D$6:$D$14</definedName>
    <definedName name="LIST_STAGE">'08_Lists_Config'!$E$6:$E$15</definedName>
    <definedName name="LIST_ATP">'08_Lists_Config'!$F$6:$F$11</definedName>
    <definedName name="LIST_TOPIC_STATUS">'08_Lists_Config'!$G$6:$G$11</definedName>
    <definedName name="LIST_ACTION_STATUS">'08_Lists_Config'!$H$6:$H$14</definedName>
    <definedName name="LIST_PRIORITY">'08_Lists_Config'!$I$6:$I$9</definedName>
    <definedName name="LIST_YESNO">'08_Lists_Config'!$J$6:$J$7</definedName>
    <definedName name="LIST_YESNO_TBC">'08_Lists_Config'!$K$6:$K$8</definedName>
    <definedName name="LIST_READINESS">'08_Lists_Config'!$L$6:$L$9</definedName>
    <definedName name="LIST_EVIDENCE_AVAIL">'08_Lists_Config'!$M$6:$M$9</definedName>
    <definedName name="LIST_EVIDENCE_STATUS">'08_Lists_Config'!$N$6:$N$11</definedName>
    <definedName name="LIST_DOC_TYPE">'08_Lists_Config'!$O$6:$O$22</definedName>
    <definedName name="LIST_BLOCKER_CAT">'08_Lists_Config'!$P$6:$P$19</definedName>
    <definedName name="LIST_ORG">'08_Lists_Config'!$Q$6:$Q$9</definedName>
    <definedName name="LIST_APPROVED">'08_Lists_Config'!$R$6:$R$9</definedName>
    <definedName name="LIST_MILESTONE_STATUS">'08_Lists_Config'!$S$6:$S$10</definedName>
    <definedName name="NAME_TOPIC_IDS">Topic_Register[Topic ID]</definedName>
    <definedName name="NAME_ACTION_IDS">Action_Register[Action ID]</definedName>
    <definedName name="NAME_PQCP_STEPS">PQCP_Follow_Up[PQCP Step]</definedName>
    <definedName name="NAME_EVIDENCE_IDS">Document_Evidence[Evidence ID]</definedName>
    <definedName name="DUE_SOON_DAYS">'08_Lists_Config'!$C$72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25">
    <font>
      <name val="Calibri"/>
      <family val="2"/>
      <color theme="1"/>
      <sz val="11"/>
      <scheme val="minor"/>
    </font>
    <font>
      <name val="Arial"/>
      <color rgb="00BFD3F2"/>
      <sz val="9"/>
      <u val="single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F3864"/>
      <sz val="12"/>
    </font>
    <font>
      <name val="Arial"/>
      <color rgb="001155CC"/>
      <sz val="10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A1A1A"/>
      <sz val="10"/>
    </font>
    <font>
      <name val="Arial"/>
      <i val="1"/>
      <color rgb="00808080"/>
      <sz val="9"/>
    </font>
    <font>
      <name val="Arial"/>
      <i val="1"/>
      <color rgb="00B00020"/>
      <sz val="9"/>
    </font>
    <font>
      <name val="Arial"/>
      <b val="1"/>
      <color rgb="0044546A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color rgb="0044546A"/>
      <sz val="9"/>
    </font>
    <font>
      <name val="Arial"/>
      <b val="1"/>
      <color rgb="00595959"/>
      <sz val="9"/>
    </font>
    <font>
      <name val="Arial"/>
      <b val="1"/>
      <color rgb="001F3864"/>
      <sz val="20"/>
    </font>
    <font>
      <name val="Arial"/>
      <b val="1"/>
      <color rgb="00B00020"/>
      <sz val="20"/>
    </font>
    <font>
      <name val="Arial"/>
      <b val="1"/>
      <color rgb="009C6500"/>
      <sz val="20"/>
    </font>
    <font>
      <name val="Arial"/>
      <b val="1"/>
      <color rgb="001E7B34"/>
      <sz val="20"/>
    </font>
    <font>
      <name val="Arial"/>
      <b val="1"/>
      <color rgb="001F3864"/>
      <sz val="13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2CC"/>
      </patternFill>
    </fill>
    <fill>
      <patternFill patternType="solid">
        <fgColor rgb="003B6EC4"/>
      </patternFill>
    </fill>
    <fill>
      <patternFill patternType="solid">
        <fgColor rgb="0044546A"/>
      </patternFill>
    </fill>
    <fill>
      <patternFill patternType="solid">
        <fgColor rgb="005B7FB5"/>
      </patternFill>
    </fill>
    <fill>
      <patternFill patternType="solid">
        <fgColor rgb="00808080"/>
      </patternFill>
    </fill>
    <fill>
      <patternFill patternType="solid">
        <fgColor rgb="00EDEDED"/>
      </patternFill>
    </fill>
    <fill>
      <patternFill patternType="solid">
        <fgColor rgb="00B00020"/>
      </patternFill>
    </fill>
    <fill>
      <patternFill patternType="solid">
        <fgColor rgb="007A3B3B"/>
      </patternFill>
    </fill>
    <fill>
      <patternFill patternType="solid">
        <fgColor rgb="00EAF1FE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8" fillId="0" borderId="0" applyAlignment="1" pivotButton="0" quotePrefix="0" xfId="0">
      <alignment horizontal="right"/>
    </xf>
    <xf numFmtId="165" fontId="15" fillId="0" borderId="0" pivotButton="0" quotePrefix="0" xfId="0"/>
    <xf numFmtId="0" fontId="3" fillId="0" borderId="0" pivotButton="0" quotePrefix="0" xfId="0"/>
    <xf numFmtId="1" fontId="19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20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1" fontId="21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0" fontId="2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2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165" fontId="5" fillId="1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165" fontId="5" fillId="1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165" fontId="7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13" fillId="0" borderId="0" pivotButton="0" quotePrefix="0" xfId="0"/>
    <xf numFmtId="165" fontId="7" fillId="4" borderId="1" pivotButton="0" quotePrefix="0" xfId="0"/>
    <xf numFmtId="0" fontId="14" fillId="0" borderId="0" pivotButton="0" quotePrefix="0" xfId="0"/>
    <xf numFmtId="0" fontId="4" fillId="6" borderId="0" pivotButton="0" quotePrefix="0" xfId="0"/>
    <xf numFmtId="0" fontId="0" fillId="6" borderId="0" pivotButton="0" quotePrefix="0" xfId="0"/>
    <xf numFmtId="0" fontId="4" fillId="11" borderId="0" pivotButton="0" quotePrefix="0" xfId="0"/>
    <xf numFmtId="0" fontId="0" fillId="11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165" fontId="5" fillId="3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1" fillId="9" borderId="0" pivotButton="0" quotePrefix="0" xfId="0"/>
    <xf numFmtId="0" fontId="12" fillId="0" borderId="0" pivotButton="0" quotePrefix="0" xfId="0"/>
    <xf numFmtId="9" fontId="5" fillId="0" borderId="1" applyAlignment="1" pivotButton="0" quotePrefix="0" xfId="0">
      <alignment horizontal="left" vertical="top" wrapText="1"/>
    </xf>
    <xf numFmtId="0" fontId="7" fillId="12" borderId="1" pivotButton="0" quotePrefix="0" xfId="0"/>
    <xf numFmtId="0" fontId="15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16" fillId="6" borderId="1" pivotButton="0" quotePrefix="0" xfId="0"/>
    <xf numFmtId="0" fontId="1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1" pivotButton="0" quotePrefix="0" xfId="0"/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b val="1"/>
        <color rgb="00B00020"/>
      </font>
      <fill>
        <patternFill patternType="solid">
          <fgColor rgb="00FBE4E4"/>
        </patternFill>
      </fill>
    </dxf>
    <dxf>
      <font>
        <b val="1"/>
        <color rgb="009C6500"/>
      </font>
      <fill>
        <patternFill patternType="solid">
          <fgColor rgb="00FFF3CD"/>
        </patternFill>
      </fill>
    </dxf>
    <dxf>
      <font>
        <b val="1"/>
        <color rgb="001E7B34"/>
      </font>
      <fill>
        <patternFill patternType="solid">
          <fgColor rgb="00E2F0E4"/>
        </patternFill>
      </fill>
    </dxf>
    <dxf>
      <font>
        <i val="1"/>
        <color rgb="006E6E6E"/>
      </font>
      <fill>
        <patternFill patternType="solid">
          <fgColor rgb="00E8E8E8"/>
        </patternFill>
      </fill>
    </dxf>
    <dxf>
      <font>
        <color rgb="00B00020"/>
      </font>
      <fill>
        <patternFill patternType="solid">
          <fgColor rgb="00FBE4E4"/>
        </patternFill>
      </fill>
    </dxf>
    <dxf>
      <font>
        <color rgb="006E6E6E"/>
      </font>
      <fill>
        <patternFill patternType="solid">
          <fgColor rgb="00E8E8E8"/>
        </patternFill>
      </fill>
    </dxf>
    <dxf>
      <fill>
        <patternFill patternType="solid">
          <fgColor rgb="00FFF3CD"/>
        </patternFill>
      </fill>
    </dxf>
    <dxf>
      <font>
        <color rgb="009C6500"/>
      </font>
      <fill>
        <patternFill patternType="solid">
          <fgColor rgb="00FFF3CD"/>
        </patternFill>
      </fill>
    </dxf>
    <dxf>
      <font>
        <i val="1"/>
        <color rgb="007A7A7A"/>
      </font>
      <fill>
        <patternFill patternType="solid">
          <fgColor rgb="00EFEFEF"/>
        </patternFill>
      </fill>
    </dxf>
    <dxf>
      <fill>
        <patternFill patternType="solid">
          <fgColor rgb="00E2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ilestones" displayName="Milestones" ref="B52:F53" headerRowCount="1">
  <autoFilter ref="B52:F53"/>
  <tableColumns count="5">
    <tableColumn id="2" name="Milestone"/>
    <tableColumn id="3" name="Category"/>
    <tableColumn id="4" name="Target Date"/>
    <tableColumn id="5" name="Status"/>
    <tableColumn id="6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pic_Register" displayName="Topic_Register" ref="B7:AG9" headerRowCount="1">
  <autoFilter ref="B7:AG9"/>
  <tableColumns count="32">
    <tableColumn id="2" name="Topic ID"/>
    <tableColumn id="3" name="Category"/>
    <tableColumn id="4" name="Sub-category"/>
    <tableColumn id="5" name="Discipline"/>
    <tableColumn id="6" name="System / Scope"/>
    <tableColumn id="7" name="Commissioning Stage"/>
    <tableColumn id="8" name="ATP / Gateway"/>
    <tableColumn id="9" name="Topic"/>
    <tableColumn id="10" name="Current Position"/>
    <tableColumn id="11" name="Change Since Last Review"/>
    <tableColumn id="12" name="Outstanding Point / Gap"/>
    <tableColumn id="13" name="Question / Decision Required"/>
    <tableColumn id="14" name="Last Review Date"/>
    <tableColumn id="15" name="Latest Update"/>
    <tableColumn id="16" name="Status"/>
    <tableColumn id="17" name="Priority"/>
    <tableColumn id="18" name="Owner / Lead"/>
    <tableColumn id="19" name="Next Step"/>
    <tableColumn id="20" name="Discuss at Next Meeting?"/>
    <tableColumn id="21" name="Commissioning Blocker?"/>
    <tableColumn id="22" name="Blocker Category"/>
    <tableColumn id="23" name="Impact"/>
    <tableColumn id="24" name="Required By"/>
    <tableColumn id="25" name="Escalation Required?"/>
    <tableColumn id="26" name="Related Action ID(s)"/>
    <tableColumn id="27" name="Related PQCP Step(s)"/>
    <tableColumn id="28" name="PQCP Relevance"/>
    <tableColumn id="29" name="PQCP Follow-Up Required?"/>
    <tableColumn id="30" name="PQCP Comment / Impact"/>
    <tableColumn id="31" name="Related Evidence ID(s)"/>
    <tableColumn id="32" name="Meeting Flag"/>
    <tableColumn id="33" name="Meeting 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_Register" displayName="Action_Register" ref="B7:Y9" headerRowCount="1">
  <autoFilter ref="B7:Y9"/>
  <tableColumns count="24">
    <tableColumn id="2" name="Action ID"/>
    <tableColumn id="3" name="Topic ID"/>
    <tableColumn id="4" name="Action Description"/>
    <tableColumn id="5" name="Owner"/>
    <tableColumn id="6" name="Organisation / Party"/>
    <tableColumn id="7" name="Date Raised"/>
    <tableColumn id="8" name="Due Date"/>
    <tableColumn id="9" name="Status"/>
    <tableColumn id="10" name="Priority"/>
    <tableColumn id="11" name="Days Open"/>
    <tableColumn id="12" name="Days to Due Date"/>
    <tableColumn id="13" name="Overdue?"/>
    <tableColumn id="14" name="Latest Update"/>
    <tableColumn id="15" name="Next Step"/>
    <tableColumn id="16" name="Commissioning Blocker?"/>
    <tableColumn id="17" name="Escalation Required?"/>
    <tableColumn id="18" name="Related PQCP Step"/>
    <tableColumn id="19" name="Related Evidence ID"/>
    <tableColumn id="20" name="Source Meeting Date"/>
    <tableColumn id="21" name="Closure Date"/>
    <tableColumn id="22" name="Closure Evidence / Reference"/>
    <tableColumn id="23" name="Closure Comment"/>
    <tableColumn id="24" name="Attention Flag"/>
    <tableColumn id="25" name="Attention 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pdate_History" displayName="Update_History" ref="B7:M9" headerRowCount="1">
  <autoFilter ref="B7:M9"/>
  <tableColumns count="12">
    <tableColumn id="2" name="Update ID"/>
    <tableColumn id="3" name="Meeting Date"/>
    <tableColumn id="4" name="Topic ID"/>
    <tableColumn id="5" name="Action ID"/>
    <tableColumn id="6" name="Update / Discussion"/>
    <tableColumn id="7" name="Decision"/>
    <tableColumn id="8" name="Previous Topic Status"/>
    <tableColumn id="9" name="New Topic Status"/>
    <tableColumn id="10" name="Previous Action Status"/>
    <tableColumn id="11" name="New Action Status"/>
    <tableColumn id="12" name="Updated By"/>
    <tableColumn id="13" name="Source / 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QCP_Follow_Up" displayName="PQCP_Follow_Up" ref="B7:S9" headerRowCount="1">
  <autoFilter ref="B7:S9"/>
  <tableColumns count="18">
    <tableColumn id="2" name="PQCP Step"/>
    <tableColumn id="3" name="Short Subject"/>
    <tableColumn id="4" name="Category"/>
    <tableColumn id="5" name="Current Position"/>
    <tableColumn id="6" name="Gap / Information Required"/>
    <tableColumn id="7" name="Evidence Required"/>
    <tableColumn id="8" name="Evidence Available?"/>
    <tableColumn id="9" name="Evidence Reference"/>
    <tableColumn id="10" name="Related Topic ID"/>
    <tableColumn id="11" name="Related Action ID"/>
    <tableColumn id="12" name="Owner"/>
    <tableColumn id="13" name="Target Date"/>
    <tableColumn id="14" name="Last Discussed"/>
    <tableColumn id="15" name="Next Step"/>
    <tableColumn id="16" name="Discuss at Next Meeting?"/>
    <tableColumn id="17" name="Readiness Assessment"/>
    <tableColumn id="18" name="Readiness Indicator"/>
    <tableColumn id="19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ocument_Evidence" displayName="Document_Evidence" ref="B7:P9" headerRowCount="1">
  <autoFilter ref="B7:P9"/>
  <tableColumns count="15">
    <tableColumn id="2" name="Evidence ID"/>
    <tableColumn id="3" name="Document Type"/>
    <tableColumn id="4" name="Short Description"/>
    <tableColumn id="5" name="Document Reference"/>
    <tableColumn id="6" name="Revision"/>
    <tableColumn id="7" name="Status"/>
    <tableColumn id="8" name="Available?"/>
    <tableColumn id="9" name="Approved / Accepted?"/>
    <tableColumn id="10" name="Responsible Party"/>
    <tableColumn id="11" name="Related Topic ID"/>
    <tableColumn id="12" name="Related Action ID"/>
    <tableColumn id="13" name="Related PQCP Step"/>
    <tableColumn id="14" name="Required By"/>
    <tableColumn id="15" name="Latest Status / Comment"/>
    <tableColumn id="16" name="Last Chec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Relationship Type="http://schemas.openxmlformats.org/officeDocument/2006/relationships/table" Target="/xl/tables/table1.xml" Id="rId9" /></Relationships>
</file>

<file path=xl/worksheets/_rels/sheet2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Relationship Type="http://schemas.openxmlformats.org/officeDocument/2006/relationships/table" Target="/xl/tables/table2.xm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Relationship Type="http://schemas.openxmlformats.org/officeDocument/2006/relationships/table" Target="/xl/tables/table3.xml" Id="rId9" /></Relationships>
</file>

<file path=xl/worksheets/_rels/sheet5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Relationship Type="http://schemas.openxmlformats.org/officeDocument/2006/relationships/table" Target="/xl/tables/table4.xml" Id="rId9" /></Relationships>
</file>

<file path=xl/worksheets/_rels/sheet6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Relationship Type="http://schemas.openxmlformats.org/officeDocument/2006/relationships/table" Target="/xl/tables/table5.xml" Id="rId9" /></Relationships>
</file>

<file path=xl/worksheets/_rels/sheet7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Relationship Type="http://schemas.openxmlformats.org/officeDocument/2006/relationships/table" Target="/xl/tables/table6.xm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#'00_Dashboard'!A1" TargetMode="External" Id="rId1" /><Relationship Type="http://schemas.openxmlformats.org/officeDocument/2006/relationships/hyperlink" Target="#'01_Next_Meeting'!A1" TargetMode="External" Id="rId2" /><Relationship Type="http://schemas.openxmlformats.org/officeDocument/2006/relationships/hyperlink" Target="#'02_Topic_Register'!A1" TargetMode="External" Id="rId3" /><Relationship Type="http://schemas.openxmlformats.org/officeDocument/2006/relationships/hyperlink" Target="#'03_Action_Register'!A1" TargetMode="External" Id="rId4" /><Relationship Type="http://schemas.openxmlformats.org/officeDocument/2006/relationships/hyperlink" Target="#'04_Update_History'!A1" TargetMode="External" Id="rId5" /><Relationship Type="http://schemas.openxmlformats.org/officeDocument/2006/relationships/hyperlink" Target="#'05_PQCP_Follow_Up'!A1" TargetMode="External" Id="rId6" /><Relationship Type="http://schemas.openxmlformats.org/officeDocument/2006/relationships/hyperlink" Target="#'06_Document_Evidence'!A1" TargetMode="External" Id="rId7" /><Relationship Type="http://schemas.openxmlformats.org/officeDocument/2006/relationships/hyperlink" Target="#'07_Meeting_Summary'!A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20" customWidth="1" min="3" max="3"/>
    <col width="13" customWidth="1" min="4" max="4"/>
    <col width="14" customWidth="1" min="5" max="5"/>
    <col width="30" customWidth="1" min="6" max="6"/>
    <col width="11" customWidth="1" min="7" max="7"/>
    <col width="13" customWidth="1" min="8" max="8"/>
    <col width="13" customWidth="1" min="9" max="9"/>
    <col width="13" customWidth="1" min="11" max="11"/>
    <col width="13" customWidth="1" min="12" max="12"/>
  </cols>
  <sheetData>
    <row r="1" ht="20" customHeight="1">
      <c r="B1" s="1" t="inlineStr">
        <is>
          <t>Dashboard</t>
        </is>
      </c>
      <c r="C1" s="2" t="inlineStr">
        <is>
          <t>Next Meeting</t>
        </is>
      </c>
      <c r="D1" s="2" t="inlineStr">
        <is>
          <t>Topic Register</t>
        </is>
      </c>
      <c r="E1" s="2" t="inlineStr">
        <is>
          <t>Action Register</t>
        </is>
      </c>
      <c r="F1" s="2" t="inlineStr">
        <is>
          <t>Update History</t>
        </is>
      </c>
      <c r="G1" s="2" t="inlineStr">
        <is>
          <t>PQCP Follow Up</t>
        </is>
      </c>
      <c r="H1" s="2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Commissioning Dashboard</t>
        </is>
      </c>
      <c r="Q2" s="4" t="inlineStr">
        <is>
          <t>As of:</t>
        </is>
      </c>
      <c r="R2" s="5">
        <f>TODAY()</f>
        <v/>
      </c>
    </row>
    <row r="3" ht="16" customHeight="1">
      <c r="B3" s="6" t="inlineStr">
        <is>
          <t>Live counts pulled from the registers. Nothing to fill in on this sheet - readiness indicators show TBC when there is not enough underlying information to judge them.</t>
        </is>
      </c>
    </row>
    <row r="5">
      <c r="B5" s="7">
        <f>COUNTIFS(Topic_Register[Topic ID],"&lt;&gt;")-COUNTIFS(Topic_Register[Status],"Closed")</f>
        <v/>
      </c>
      <c r="C5" s="8" t="n"/>
      <c r="E5" s="7">
        <f>COUNTIFS(Topic_Register[Meeting Flag],1)</f>
        <v/>
      </c>
      <c r="F5" s="8" t="n"/>
      <c r="H5" s="7">
        <f>COUNTIFS(Action_Register[Action ID],"&lt;&gt;")-COUNTIFS(Action_Register[Status],"Closed")-COUNTIFS(Action_Register[Status],"Cancelled")</f>
        <v/>
      </c>
      <c r="I5" s="8" t="n"/>
      <c r="K5" s="9">
        <f>COUNTIFS(Action_Register[Overdue?],"Yes")</f>
        <v/>
      </c>
      <c r="L5" s="8" t="n"/>
    </row>
    <row r="6">
      <c r="B6" s="8" t="n"/>
      <c r="C6" s="8" t="n"/>
      <c r="E6" s="8" t="n"/>
      <c r="F6" s="8" t="n"/>
      <c r="H6" s="8" t="n"/>
      <c r="I6" s="8" t="n"/>
      <c r="K6" s="8" t="n"/>
      <c r="L6" s="8" t="n"/>
    </row>
    <row r="7">
      <c r="B7" s="8" t="n"/>
      <c r="C7" s="8" t="n"/>
      <c r="E7" s="8" t="n"/>
      <c r="F7" s="8" t="n"/>
      <c r="H7" s="8" t="n"/>
      <c r="I7" s="8" t="n"/>
      <c r="K7" s="8" t="n"/>
      <c r="L7" s="8" t="n"/>
    </row>
    <row r="8">
      <c r="B8" s="10" t="inlineStr">
        <is>
          <t>Open Topics</t>
        </is>
      </c>
      <c r="E8" s="10" t="inlineStr">
        <is>
          <t>Topics Requiring Discussion</t>
        </is>
      </c>
      <c r="H8" s="10" t="inlineStr">
        <is>
          <t>Open Actions</t>
        </is>
      </c>
      <c r="K8" s="10" t="inlineStr">
        <is>
          <t>Overdue Actions</t>
        </is>
      </c>
    </row>
    <row r="10">
      <c r="B10" s="11">
        <f>COUNTIFS(Action_Register[Action ID],"&lt;&gt;",Action_Register[Status],"&lt;&gt;Closed",Action_Register[Overdue?],"&lt;&gt;Yes",Action_Register[Due Date],"&gt;="&amp;TODAY(),Action_Register[Due Date],"&lt;="&amp;(TODAY()+DUE_SOON_DAYS))</f>
        <v/>
      </c>
      <c r="C10" s="8" t="n"/>
      <c r="E10" s="12">
        <f>COUNTIFS(Action_Register[Status],"Closed",Action_Register[Closure Date],"&gt;="&amp;(EOMONTH(TODAY(),-1)+1),Action_Register[Closure Date],"&lt;="&amp;EOMONTH(TODAY(),0))</f>
        <v/>
      </c>
      <c r="F10" s="8" t="n"/>
      <c r="H10" s="9">
        <f>COUNTIFS(Topic_Register[Commissioning Blocker?],"Yes")</f>
        <v/>
      </c>
      <c r="I10" s="8" t="n"/>
      <c r="K10" s="9">
        <f>COUNTIFS(Topic_Register[Escalation Required?],"Yes")+COUNTIFS(Action_Register[Escalation Required?],"Yes")</f>
        <v/>
      </c>
      <c r="L10" s="8" t="n"/>
    </row>
    <row r="11">
      <c r="B11" s="8" t="n"/>
      <c r="C11" s="8" t="n"/>
      <c r="E11" s="8" t="n"/>
      <c r="F11" s="8" t="n"/>
      <c r="H11" s="8" t="n"/>
      <c r="I11" s="8" t="n"/>
      <c r="K11" s="8" t="n"/>
      <c r="L11" s="8" t="n"/>
    </row>
    <row r="12">
      <c r="B12" s="8" t="n"/>
      <c r="C12" s="8" t="n"/>
      <c r="E12" s="8" t="n"/>
      <c r="F12" s="8" t="n"/>
      <c r="H12" s="8" t="n"/>
      <c r="I12" s="8" t="n"/>
      <c r="K12" s="8" t="n"/>
      <c r="L12" s="8" t="n"/>
    </row>
    <row r="13">
      <c r="B13" s="10" t="inlineStr">
        <is>
          <t>Actions Due Soon</t>
        </is>
      </c>
      <c r="E13" s="10" t="inlineStr">
        <is>
          <t>Closed Actions (this month)</t>
        </is>
      </c>
      <c r="H13" s="10" t="inlineStr">
        <is>
          <t>Commissioning Blockers</t>
        </is>
      </c>
      <c r="K13" s="10" t="inlineStr">
        <is>
          <t>Escalations Required</t>
        </is>
      </c>
    </row>
    <row r="15">
      <c r="B15" s="7">
        <f>COUNTIFS(PQCP_Follow_Up[PQCP Step],"&lt;&gt;")</f>
        <v/>
      </c>
      <c r="C15" s="8" t="n"/>
      <c r="E15" s="9">
        <f>COUNTIFS(PQCP_Follow_Up[Readiness Assessment],"Not Ready")</f>
        <v/>
      </c>
      <c r="F15" s="8" t="n"/>
      <c r="H15" s="11">
        <f>COUNTIFS(Document_Evidence[Available?],"No")</f>
        <v/>
      </c>
      <c r="I15" s="8" t="n"/>
    </row>
    <row r="16">
      <c r="B16" s="8" t="n"/>
      <c r="C16" s="8" t="n"/>
      <c r="E16" s="8" t="n"/>
      <c r="F16" s="8" t="n"/>
      <c r="H16" s="8" t="n"/>
      <c r="I16" s="8" t="n"/>
    </row>
    <row r="17">
      <c r="B17" s="8" t="n"/>
      <c r="C17" s="8" t="n"/>
      <c r="E17" s="8" t="n"/>
      <c r="F17" s="8" t="n"/>
      <c r="H17" s="8" t="n"/>
      <c r="I17" s="8" t="n"/>
    </row>
    <row r="18">
      <c r="B18" s="10" t="inlineStr">
        <is>
          <t>PQCP Follow-Up Items</t>
        </is>
      </c>
      <c r="E18" s="10" t="inlineStr">
        <is>
          <t>PQCP Items Not Ready</t>
        </is>
      </c>
      <c r="H18" s="10" t="inlineStr">
        <is>
          <t>Evidence Missing / Outstanding</t>
        </is>
      </c>
    </row>
    <row r="21">
      <c r="B21" s="13" t="inlineStr">
        <is>
          <t>Commissioning Readiness View</t>
        </is>
      </c>
    </row>
    <row r="22">
      <c r="B22" s="14" t="inlineStr">
        <is>
          <t>Area</t>
        </is>
      </c>
      <c r="C22" s="14" t="inlineStr">
        <is>
          <t>Topics</t>
        </is>
      </c>
      <c r="D22" s="14" t="inlineStr">
        <is>
          <t>Blockers</t>
        </is>
      </c>
      <c r="E22" s="14" t="inlineStr">
        <is>
          <t>Open</t>
        </is>
      </c>
      <c r="F22" s="14" t="inlineStr">
        <is>
          <t>Readiness</t>
        </is>
      </c>
    </row>
    <row r="23">
      <c r="B23" s="15" t="inlineStr">
        <is>
          <t>Documentation</t>
        </is>
      </c>
      <c r="C23" s="15">
        <f>COUNTIFS(Topic_Register[Category],"Commissioning Documentation")</f>
        <v/>
      </c>
      <c r="D23" s="15">
        <f>COUNTIFS(Topic_Register[Category],"Commissioning Documentation",Topic_Register[Commissioning Blocker?],"Yes")</f>
        <v/>
      </c>
      <c r="E23" s="15">
        <f>COUNTIFS(Topic_Register[Category],"Commissioning Documentation")-COUNTIFS(Topic_Register[Category],"Commissioning Documentation",Topic_Register[Status],"Closed")</f>
        <v/>
      </c>
      <c r="F23" s="16">
        <f>IF(C23=0,"TBC",IF(D23&gt;0,"Red",IF(E23&gt;0,"Amber","Green")))</f>
        <v/>
      </c>
    </row>
    <row r="24">
      <c r="B24" s="15" t="inlineStr">
        <is>
          <t>Surveillance</t>
        </is>
      </c>
      <c r="C24" s="15">
        <f>COUNTIFS(Topic_Register[Category],"Reviews &amp; Surveillance")</f>
        <v/>
      </c>
      <c r="D24" s="15">
        <f>COUNTIFS(Topic_Register[Category],"Reviews &amp; Surveillance",Topic_Register[Commissioning Blocker?],"Yes")</f>
        <v/>
      </c>
      <c r="E24" s="15">
        <f>COUNTIFS(Topic_Register[Category],"Reviews &amp; Surveillance")-COUNTIFS(Topic_Register[Category],"Reviews &amp; Surveillance",Topic_Register[Status],"Closed")</f>
        <v/>
      </c>
      <c r="F24" s="16">
        <f>IF(C24=0,"TBC",IF(D24&gt;0,"Red",IF(E24&gt;0,"Amber","Green")))</f>
        <v/>
      </c>
    </row>
    <row r="25">
      <c r="B25" s="15" t="inlineStr">
        <is>
          <t>Handover / Completion</t>
        </is>
      </c>
      <c r="C25" s="15">
        <f>COUNTIFS(Topic_Register[Category],"Handover / Completion")</f>
        <v/>
      </c>
      <c r="D25" s="15">
        <f>COUNTIFS(Topic_Register[Category],"Handover / Completion",Topic_Register[Commissioning Blocker?],"Yes")</f>
        <v/>
      </c>
      <c r="E25" s="15">
        <f>COUNTIFS(Topic_Register[Category],"Handover / Completion")-COUNTIFS(Topic_Register[Category],"Handover / Completion",Topic_Register[Status],"Closed")</f>
        <v/>
      </c>
      <c r="F25" s="16">
        <f>IF(C25=0,"TBC",IF(D25&gt;0,"Red",IF(E25&gt;0,"Amber","Green")))</f>
        <v/>
      </c>
    </row>
    <row r="26">
      <c r="B26" s="15" t="inlineStr">
        <is>
          <t>Configuration</t>
        </is>
      </c>
      <c r="C26" s="15">
        <f>COUNTIFS(Topic_Register[Category],"Configuration")</f>
        <v/>
      </c>
      <c r="D26" s="15">
        <f>COUNTIFS(Topic_Register[Category],"Configuration",Topic_Register[Commissioning Blocker?],"Yes")</f>
        <v/>
      </c>
      <c r="E26" s="15">
        <f>COUNTIFS(Topic_Register[Category],"Configuration")-COUNTIFS(Topic_Register[Category],"Configuration",Topic_Register[Status],"Closed")</f>
        <v/>
      </c>
      <c r="F26" s="16">
        <f>IF(C26=0,"TBC",IF(D26&gt;0,"Red",IF(E26&gt;0,"Amber","Green")))</f>
        <v/>
      </c>
    </row>
    <row r="27">
      <c r="B27" s="15" t="inlineStr">
        <is>
          <t>Schedule / Interfaces</t>
        </is>
      </c>
      <c r="C27" s="15">
        <f>COUNTIFS(Topic_Register[Category],"Schedule &amp; Interfaces")</f>
        <v/>
      </c>
      <c r="D27" s="15">
        <f>COUNTIFS(Topic_Register[Category],"Schedule &amp; Interfaces",Topic_Register[Commissioning Blocker?],"Yes")</f>
        <v/>
      </c>
      <c r="E27" s="15">
        <f>COUNTIFS(Topic_Register[Category],"Schedule &amp; Interfaces")-COUNTIFS(Topic_Register[Category],"Schedule &amp; Interfaces",Topic_Register[Status],"Closed")</f>
        <v/>
      </c>
      <c r="F27" s="16">
        <f>IF(C27=0,"TBC",IF(D27&gt;0,"Red",IF(E27&gt;0,"Amber","Green")))</f>
        <v/>
      </c>
    </row>
    <row r="28">
      <c r="B28" s="15" t="inlineStr">
        <is>
          <t>SSOW / Safety</t>
        </is>
      </c>
      <c r="C28" s="15">
        <f>SUMPRODUCT((Topic_Register[Category]="Safety / Capability")*(((Topic_Register[Sub-category]="Safe System of Work")+(Topic_Register[Sub-category]="Mechanical SSOW")+(Topic_Register[Sub-category]="Electrical SSOW")+(Topic_Register[Sub-category]="RAMS"))))</f>
        <v/>
      </c>
      <c r="D28" s="15">
        <f>SUMPRODUCT((Topic_Register[Category]="Safety / Capability")*(((Topic_Register[Sub-category]="Safe System of Work")+(Topic_Register[Sub-category]="Mechanical SSOW")+(Topic_Register[Sub-category]="Electrical SSOW")+(Topic_Register[Sub-category]="RAMS")))*(Topic_Register[Commissioning Blocker?]="Yes"))</f>
        <v/>
      </c>
      <c r="E28" s="15">
        <f>SUMPRODUCT((Topic_Register[Category]="Safety / Capability")*(((Topic_Register[Sub-category]="Safe System of Work")+(Topic_Register[Sub-category]="Mechanical SSOW")+(Topic_Register[Sub-category]="Electrical SSOW")+(Topic_Register[Sub-category]="RAMS")))*(Topic_Register[Status]&lt;&gt;"Closed"))</f>
        <v/>
      </c>
      <c r="F28" s="16">
        <f>IF(C28=0,"TBC",IF(D28&gt;0,"Red",IF(E28&gt;0,"Amber","Green")))</f>
        <v/>
      </c>
    </row>
    <row r="29">
      <c r="B29" s="15" t="inlineStr">
        <is>
          <t>Contractor / Team Capability</t>
        </is>
      </c>
      <c r="C29" s="15">
        <f>SUMPRODUCT((Topic_Register[Category]="Safety / Capability")*(((Topic_Register[Sub-category]="Training")+(Topic_Register[Sub-category]="Competence")+(Topic_Register[Sub-category]="SQEP")+(Topic_Register[Sub-category]="Commissioning Team Readiness"))))</f>
        <v/>
      </c>
      <c r="D29" s="15">
        <f>SUMPRODUCT((Topic_Register[Category]="Safety / Capability")*(((Topic_Register[Sub-category]="Training")+(Topic_Register[Sub-category]="Competence")+(Topic_Register[Sub-category]="SQEP")+(Topic_Register[Sub-category]="Commissioning Team Readiness")))*(Topic_Register[Commissioning Blocker?]="Yes"))</f>
        <v/>
      </c>
      <c r="E29" s="15">
        <f>SUMPRODUCT((Topic_Register[Category]="Safety / Capability")*(((Topic_Register[Sub-category]="Training")+(Topic_Register[Sub-category]="Competence")+(Topic_Register[Sub-category]="SQEP")+(Topic_Register[Sub-category]="Commissioning Team Readiness")))*(Topic_Register[Status]&lt;&gt;"Closed"))</f>
        <v/>
      </c>
      <c r="F29" s="16">
        <f>IF(C29=0,"TBC",IF(D29&gt;0,"Red",IF(E29&gt;0,"Amber","Green")))</f>
        <v/>
      </c>
    </row>
    <row r="30">
      <c r="B30" s="15" t="inlineStr">
        <is>
          <t>PQCP Follow-Up</t>
        </is>
      </c>
      <c r="C30" s="15">
        <f>COUNTIFS(PQCP_Follow_Up[PQCP Step],"&lt;&gt;")</f>
        <v/>
      </c>
      <c r="D30" s="15">
        <f>COUNTIFS(PQCP_Follow_Up[Readiness Assessment],"Not Ready")</f>
        <v/>
      </c>
      <c r="E30" s="15">
        <f>COUNTIFS(PQCP_Follow_Up[Readiness Assessment],"Partially Ready")</f>
        <v/>
      </c>
      <c r="F30" s="16">
        <f>IF(C30=0,"TBC",IF(D30&gt;0,"Red",IF(E30&gt;0,"Amber","Green")))</f>
        <v/>
      </c>
    </row>
    <row r="33">
      <c r="B33" s="13" t="inlineStr">
        <is>
          <t>Top 5 Commissioning Blockers</t>
        </is>
      </c>
    </row>
    <row r="34">
      <c r="B34" s="14" t="inlineStr">
        <is>
          <t>Topic</t>
        </is>
      </c>
      <c r="C34" s="14" t="inlineStr">
        <is>
          <t>Impact</t>
        </is>
      </c>
      <c r="D34" s="14" t="inlineStr">
        <is>
          <t>Owner</t>
        </is>
      </c>
      <c r="E34" s="14" t="inlineStr">
        <is>
          <t>Required By</t>
        </is>
      </c>
      <c r="F34" s="14" t="inlineStr">
        <is>
          <t>Next Step</t>
        </is>
      </c>
    </row>
    <row r="35" ht="26" customHeight="1">
      <c r="B35" s="17">
        <f t="array" ref="B35">IFERROR(INDEX(Topic_Register[Topic],SMALL(IF(Topic_Register[Commissioning Blocker?]="Yes",ROW(Topic_Register[Commissioning Blocker?])-7),1)),"")</f>
        <v/>
      </c>
      <c r="C35" s="17">
        <f t="array" ref="C35">IFERROR(INDEX(Topic_Register[Impact],SMALL(IF(Topic_Register[Commissioning Blocker?]="Yes",ROW(Topic_Register[Commissioning Blocker?])-7),1)),"")</f>
        <v/>
      </c>
      <c r="D35" s="17">
        <f t="array" ref="D35">IFERROR(INDEX(Topic_Register[Owner / Lead],SMALL(IF(Topic_Register[Commissioning Blocker?]="Yes",ROW(Topic_Register[Commissioning Blocker?])-7),1)),"")</f>
        <v/>
      </c>
      <c r="E35" s="18">
        <f t="array" ref="E35">IFERROR(INDEX(Topic_Register[Required By],SMALL(IF(Topic_Register[Commissioning Blocker?]="Yes",ROW(Topic_Register[Commissioning Blocker?])-7),1)),"")</f>
        <v/>
      </c>
      <c r="F35" s="17">
        <f t="array" ref="F35">IFERROR(INDEX(Topic_Register[Next Step],SMALL(IF(Topic_Register[Commissioning Blocker?]="Yes",ROW(Topic_Register[Commissioning Blocker?])-7),1)),"")</f>
        <v/>
      </c>
    </row>
    <row r="36" ht="26" customHeight="1">
      <c r="B36" s="19">
        <f t="array" ref="B36">IFERROR(INDEX(Topic_Register[Topic],SMALL(IF(Topic_Register[Commissioning Blocker?]="Yes",ROW(Topic_Register[Commissioning Blocker?])-7),2)),"")</f>
        <v/>
      </c>
      <c r="C36" s="19">
        <f t="array" ref="C36">IFERROR(INDEX(Topic_Register[Impact],SMALL(IF(Topic_Register[Commissioning Blocker?]="Yes",ROW(Topic_Register[Commissioning Blocker?])-7),2)),"")</f>
        <v/>
      </c>
      <c r="D36" s="19">
        <f t="array" ref="D36">IFERROR(INDEX(Topic_Register[Owner / Lead],SMALL(IF(Topic_Register[Commissioning Blocker?]="Yes",ROW(Topic_Register[Commissioning Blocker?])-7),2)),"")</f>
        <v/>
      </c>
      <c r="E36" s="20">
        <f t="array" ref="E36">IFERROR(INDEX(Topic_Register[Required By],SMALL(IF(Topic_Register[Commissioning Blocker?]="Yes",ROW(Topic_Register[Commissioning Blocker?])-7),2)),"")</f>
        <v/>
      </c>
      <c r="F36" s="19">
        <f t="array" ref="F36">IFERROR(INDEX(Topic_Register[Next Step],SMALL(IF(Topic_Register[Commissioning Blocker?]="Yes",ROW(Topic_Register[Commissioning Blocker?])-7),2)),"")</f>
        <v/>
      </c>
    </row>
    <row r="37" ht="26" customHeight="1">
      <c r="B37" s="17">
        <f t="array" ref="B37">IFERROR(INDEX(Topic_Register[Topic],SMALL(IF(Topic_Register[Commissioning Blocker?]="Yes",ROW(Topic_Register[Commissioning Blocker?])-7),3)),"")</f>
        <v/>
      </c>
      <c r="C37" s="17">
        <f t="array" ref="C37">IFERROR(INDEX(Topic_Register[Impact],SMALL(IF(Topic_Register[Commissioning Blocker?]="Yes",ROW(Topic_Register[Commissioning Blocker?])-7),3)),"")</f>
        <v/>
      </c>
      <c r="D37" s="17">
        <f t="array" ref="D37">IFERROR(INDEX(Topic_Register[Owner / Lead],SMALL(IF(Topic_Register[Commissioning Blocker?]="Yes",ROW(Topic_Register[Commissioning Blocker?])-7),3)),"")</f>
        <v/>
      </c>
      <c r="E37" s="18">
        <f t="array" ref="E37">IFERROR(INDEX(Topic_Register[Required By],SMALL(IF(Topic_Register[Commissioning Blocker?]="Yes",ROW(Topic_Register[Commissioning Blocker?])-7),3)),"")</f>
        <v/>
      </c>
      <c r="F37" s="17">
        <f t="array" ref="F37">IFERROR(INDEX(Topic_Register[Next Step],SMALL(IF(Topic_Register[Commissioning Blocker?]="Yes",ROW(Topic_Register[Commissioning Blocker?])-7),3)),"")</f>
        <v/>
      </c>
    </row>
    <row r="38" ht="26" customHeight="1">
      <c r="B38" s="19">
        <f t="array" ref="B38">IFERROR(INDEX(Topic_Register[Topic],SMALL(IF(Topic_Register[Commissioning Blocker?]="Yes",ROW(Topic_Register[Commissioning Blocker?])-7),4)),"")</f>
        <v/>
      </c>
      <c r="C38" s="19">
        <f t="array" ref="C38">IFERROR(INDEX(Topic_Register[Impact],SMALL(IF(Topic_Register[Commissioning Blocker?]="Yes",ROW(Topic_Register[Commissioning Blocker?])-7),4)),"")</f>
        <v/>
      </c>
      <c r="D38" s="19">
        <f t="array" ref="D38">IFERROR(INDEX(Topic_Register[Owner / Lead],SMALL(IF(Topic_Register[Commissioning Blocker?]="Yes",ROW(Topic_Register[Commissioning Blocker?])-7),4)),"")</f>
        <v/>
      </c>
      <c r="E38" s="20">
        <f t="array" ref="E38">IFERROR(INDEX(Topic_Register[Required By],SMALL(IF(Topic_Register[Commissioning Blocker?]="Yes",ROW(Topic_Register[Commissioning Blocker?])-7),4)),"")</f>
        <v/>
      </c>
      <c r="F38" s="19">
        <f t="array" ref="F38">IFERROR(INDEX(Topic_Register[Next Step],SMALL(IF(Topic_Register[Commissioning Blocker?]="Yes",ROW(Topic_Register[Commissioning Blocker?])-7),4)),"")</f>
        <v/>
      </c>
    </row>
    <row r="39" ht="26" customHeight="1">
      <c r="B39" s="17">
        <f t="array" ref="B39">IFERROR(INDEX(Topic_Register[Topic],SMALL(IF(Topic_Register[Commissioning Blocker?]="Yes",ROW(Topic_Register[Commissioning Blocker?])-7),5)),"")</f>
        <v/>
      </c>
      <c r="C39" s="17">
        <f t="array" ref="C39">IFERROR(INDEX(Topic_Register[Impact],SMALL(IF(Topic_Register[Commissioning Blocker?]="Yes",ROW(Topic_Register[Commissioning Blocker?])-7),5)),"")</f>
        <v/>
      </c>
      <c r="D39" s="17">
        <f t="array" ref="D39">IFERROR(INDEX(Topic_Register[Owner / Lead],SMALL(IF(Topic_Register[Commissioning Blocker?]="Yes",ROW(Topic_Register[Commissioning Blocker?])-7),5)),"")</f>
        <v/>
      </c>
      <c r="E39" s="18">
        <f t="array" ref="E39">IFERROR(INDEX(Topic_Register[Required By],SMALL(IF(Topic_Register[Commissioning Blocker?]="Yes",ROW(Topic_Register[Commissioning Blocker?])-7),5)),"")</f>
        <v/>
      </c>
      <c r="F39" s="17">
        <f t="array" ref="F39">IFERROR(INDEX(Topic_Register[Next Step],SMALL(IF(Topic_Register[Commissioning Blocker?]="Yes",ROW(Topic_Register[Commissioning Blocker?])-7),5)),"")</f>
        <v/>
      </c>
    </row>
    <row r="42">
      <c r="B42" s="13" t="inlineStr">
        <is>
          <t>Actions Requiring Attention (overdue or critical)</t>
        </is>
      </c>
    </row>
    <row r="43">
      <c r="B43" s="14" t="inlineStr">
        <is>
          <t>Action ID</t>
        </is>
      </c>
      <c r="C43" s="14" t="inlineStr">
        <is>
          <t>Action</t>
        </is>
      </c>
      <c r="D43" s="14" t="inlineStr">
        <is>
          <t>Owner</t>
        </is>
      </c>
      <c r="E43" s="14" t="inlineStr">
        <is>
          <t>Due Date</t>
        </is>
      </c>
      <c r="F43" s="14" t="inlineStr">
        <is>
          <t>Status</t>
        </is>
      </c>
      <c r="G43" s="14" t="inlineStr">
        <is>
          <t>Priority</t>
        </is>
      </c>
    </row>
    <row r="44" ht="22" customHeight="1">
      <c r="B44" s="21">
        <f t="array" ref="B44">IFERROR(INDEX(Action_Register[Action ID],MATCH(1,Action_Register[Attention Rank],0)),"")</f>
        <v/>
      </c>
      <c r="C44" s="21">
        <f t="array" ref="C44">IFERROR(INDEX(Action_Register[Action Description],MATCH(1,Action_Register[Attention Rank],0)),"")</f>
        <v/>
      </c>
      <c r="D44" s="21">
        <f t="array" ref="D44">IFERROR(INDEX(Action_Register[Owner],MATCH(1,Action_Register[Attention Rank],0)),"")</f>
        <v/>
      </c>
      <c r="E44" s="22">
        <f t="array" ref="E44">IFERROR(INDEX(Action_Register[Due Date],MATCH(1,Action_Register[Attention Rank],0)),"")</f>
        <v/>
      </c>
      <c r="F44" s="21">
        <f t="array" ref="F44">IFERROR(INDEX(Action_Register[Status],MATCH(1,Action_Register[Attention Rank],0)),"")</f>
        <v/>
      </c>
      <c r="G44" s="21">
        <f t="array" ref="G44">IFERROR(INDEX(Action_Register[Priority],MATCH(1,Action_Register[Attention Rank],0)),"")</f>
        <v/>
      </c>
    </row>
    <row r="45" ht="22" customHeight="1">
      <c r="B45" s="23">
        <f t="array" ref="B45">IFERROR(INDEX(Action_Register[Action ID],MATCH(2,Action_Register[Attention Rank],0)),"")</f>
        <v/>
      </c>
      <c r="C45" s="23">
        <f t="array" ref="C45">IFERROR(INDEX(Action_Register[Action Description],MATCH(2,Action_Register[Attention Rank],0)),"")</f>
        <v/>
      </c>
      <c r="D45" s="23">
        <f t="array" ref="D45">IFERROR(INDEX(Action_Register[Owner],MATCH(2,Action_Register[Attention Rank],0)),"")</f>
        <v/>
      </c>
      <c r="E45" s="24">
        <f t="array" ref="E45">IFERROR(INDEX(Action_Register[Due Date],MATCH(2,Action_Register[Attention Rank],0)),"")</f>
        <v/>
      </c>
      <c r="F45" s="23">
        <f t="array" ref="F45">IFERROR(INDEX(Action_Register[Status],MATCH(2,Action_Register[Attention Rank],0)),"")</f>
        <v/>
      </c>
      <c r="G45" s="23">
        <f t="array" ref="G45">IFERROR(INDEX(Action_Register[Priority],MATCH(2,Action_Register[Attention Rank],0)),"")</f>
        <v/>
      </c>
    </row>
    <row r="46" ht="22" customHeight="1">
      <c r="B46" s="21">
        <f t="array" ref="B46">IFERROR(INDEX(Action_Register[Action ID],MATCH(3,Action_Register[Attention Rank],0)),"")</f>
        <v/>
      </c>
      <c r="C46" s="21">
        <f t="array" ref="C46">IFERROR(INDEX(Action_Register[Action Description],MATCH(3,Action_Register[Attention Rank],0)),"")</f>
        <v/>
      </c>
      <c r="D46" s="21">
        <f t="array" ref="D46">IFERROR(INDEX(Action_Register[Owner],MATCH(3,Action_Register[Attention Rank],0)),"")</f>
        <v/>
      </c>
      <c r="E46" s="22">
        <f t="array" ref="E46">IFERROR(INDEX(Action_Register[Due Date],MATCH(3,Action_Register[Attention Rank],0)),"")</f>
        <v/>
      </c>
      <c r="F46" s="21">
        <f t="array" ref="F46">IFERROR(INDEX(Action_Register[Status],MATCH(3,Action_Register[Attention Rank],0)),"")</f>
        <v/>
      </c>
      <c r="G46" s="21">
        <f t="array" ref="G46">IFERROR(INDEX(Action_Register[Priority],MATCH(3,Action_Register[Attention Rank],0)),"")</f>
        <v/>
      </c>
    </row>
    <row r="47" ht="22" customHeight="1">
      <c r="B47" s="23">
        <f t="array" ref="B47">IFERROR(INDEX(Action_Register[Action ID],MATCH(4,Action_Register[Attention Rank],0)),"")</f>
        <v/>
      </c>
      <c r="C47" s="23">
        <f t="array" ref="C47">IFERROR(INDEX(Action_Register[Action Description],MATCH(4,Action_Register[Attention Rank],0)),"")</f>
        <v/>
      </c>
      <c r="D47" s="23">
        <f t="array" ref="D47">IFERROR(INDEX(Action_Register[Owner],MATCH(4,Action_Register[Attention Rank],0)),"")</f>
        <v/>
      </c>
      <c r="E47" s="24">
        <f t="array" ref="E47">IFERROR(INDEX(Action_Register[Due Date],MATCH(4,Action_Register[Attention Rank],0)),"")</f>
        <v/>
      </c>
      <c r="F47" s="23">
        <f t="array" ref="F47">IFERROR(INDEX(Action_Register[Status],MATCH(4,Action_Register[Attention Rank],0)),"")</f>
        <v/>
      </c>
      <c r="G47" s="23">
        <f t="array" ref="G47">IFERROR(INDEX(Action_Register[Priority],MATCH(4,Action_Register[Attention Rank],0)),"")</f>
        <v/>
      </c>
    </row>
    <row r="48" ht="22" customHeight="1">
      <c r="B48" s="21">
        <f t="array" ref="B48">IFERROR(INDEX(Action_Register[Action ID],MATCH(5,Action_Register[Attention Rank],0)),"")</f>
        <v/>
      </c>
      <c r="C48" s="21">
        <f t="array" ref="C48">IFERROR(INDEX(Action_Register[Action Description],MATCH(5,Action_Register[Attention Rank],0)),"")</f>
        <v/>
      </c>
      <c r="D48" s="21">
        <f t="array" ref="D48">IFERROR(INDEX(Action_Register[Owner],MATCH(5,Action_Register[Attention Rank],0)),"")</f>
        <v/>
      </c>
      <c r="E48" s="22">
        <f t="array" ref="E48">IFERROR(INDEX(Action_Register[Due Date],MATCH(5,Action_Register[Attention Rank],0)),"")</f>
        <v/>
      </c>
      <c r="F48" s="21">
        <f t="array" ref="F48">IFERROR(INDEX(Action_Register[Status],MATCH(5,Action_Register[Attention Rank],0)),"")</f>
        <v/>
      </c>
      <c r="G48" s="21">
        <f t="array" ref="G48">IFERROR(INDEX(Action_Register[Priority],MATCH(5,Action_Register[Attention Rank],0)),"")</f>
        <v/>
      </c>
    </row>
    <row r="51">
      <c r="B51" s="13" t="inlineStr">
        <is>
          <t>Upcoming Key Dates / Milestones</t>
        </is>
      </c>
    </row>
    <row r="52">
      <c r="B52" s="25" t="inlineStr">
        <is>
          <t>Milestone</t>
        </is>
      </c>
      <c r="C52" s="25" t="inlineStr">
        <is>
          <t>Category</t>
        </is>
      </c>
      <c r="D52" s="25" t="inlineStr">
        <is>
          <t>Target Date</t>
        </is>
      </c>
      <c r="E52" s="25" t="inlineStr">
        <is>
          <t>Status</t>
        </is>
      </c>
      <c r="F52" s="25" t="inlineStr">
        <is>
          <t>Comment</t>
        </is>
      </c>
    </row>
    <row r="53">
      <c r="B53" s="26" t="inlineStr">
        <is>
          <t>Static Completion - Example Ventilation System</t>
        </is>
      </c>
      <c r="C53" s="26" t="inlineStr">
        <is>
          <t>Handover / Completion</t>
        </is>
      </c>
      <c r="D53" s="27" t="n">
        <v>46235</v>
      </c>
      <c r="E53" s="26" t="inlineStr">
        <is>
          <t>On Track</t>
        </is>
      </c>
      <c r="F53" s="26" t="inlineStr">
        <is>
          <t>Fictional example only.</t>
        </is>
      </c>
    </row>
    <row r="55">
      <c r="B55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</sheetData>
  <mergeCells count="22">
    <mergeCell ref="H15:I17"/>
    <mergeCell ref="H5:I7"/>
    <mergeCell ref="B18:C18"/>
    <mergeCell ref="E8:F8"/>
    <mergeCell ref="E5:F7"/>
    <mergeCell ref="K5:L7"/>
    <mergeCell ref="H10:I12"/>
    <mergeCell ref="E13:F13"/>
    <mergeCell ref="B8:C8"/>
    <mergeCell ref="B10:C12"/>
    <mergeCell ref="B13:C13"/>
    <mergeCell ref="E10:F12"/>
    <mergeCell ref="K8:L8"/>
    <mergeCell ref="E15:F17"/>
    <mergeCell ref="H13:I13"/>
    <mergeCell ref="B15:C17"/>
    <mergeCell ref="H18:I18"/>
    <mergeCell ref="B5:C7"/>
    <mergeCell ref="K10:L12"/>
    <mergeCell ref="H8:I8"/>
    <mergeCell ref="K13:L13"/>
    <mergeCell ref="E18:F18"/>
  </mergeCells>
  <conditionalFormatting sqref="F23:F30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  <cfRule type="cellIs" priority="4" operator="equal" dxfId="3">
      <formula>"TBC"</formula>
    </cfRule>
  </conditionalFormatting>
  <conditionalFormatting sqref="G44:G48">
    <cfRule type="cellIs" priority="5" operator="equal" dxfId="0">
      <formula>"Critical"</formula>
    </cfRule>
  </conditionalFormatting>
  <dataValidations count="2">
    <dataValidation sqref="C53" showDropDown="0" showInputMessage="0" showErrorMessage="0" allowBlank="1" type="list">
      <formula1>=LIST_CATEGORY</formula1>
    </dataValidation>
    <dataValidation sqref="E53" showDropDown="0" showInputMessage="0" showErrorMessage="0" allowBlank="1" type="list">
      <formula1>=LIST_MILESTONE_STATUS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B33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8" customWidth="1" min="2" max="2"/>
    <col width="20" customWidth="1" min="3" max="3"/>
    <col width="10" customWidth="1" min="4" max="4"/>
    <col width="24" customWidth="1" min="5" max="5"/>
    <col width="13" customWidth="1" min="6" max="6"/>
    <col width="18" customWidth="1" min="7" max="7"/>
    <col width="26" customWidth="1" min="8" max="8"/>
    <col width="24" customWidth="1" min="9" max="9"/>
    <col width="26" customWidth="1" min="10" max="10"/>
    <col width="22" customWidth="1" min="11" max="11"/>
    <col width="24" customWidth="1" min="12" max="12"/>
    <col width="26" customWidth="1" min="13" max="13"/>
    <col width="16" customWidth="1" min="14" max="14"/>
    <col width="12" customWidth="1" min="15" max="15"/>
    <col width="16" customWidth="1" min="16" max="16"/>
    <col width="24" customWidth="1" min="17" max="17"/>
    <col width="13" customWidth="1" min="18" max="18"/>
    <col width="24" customWidth="1" min="19" max="19"/>
    <col width="22" customWidth="1" min="20" max="20"/>
    <col width="26" customWidth="1" min="21" max="21"/>
    <col width="16" customWidth="1" min="22" max="22"/>
    <col width="13" customWidth="1" min="23" max="23"/>
    <col width="11" customWidth="1" min="24" max="24"/>
    <col width="12" customWidth="1" min="25" max="25"/>
    <col width="14" customWidth="1" min="26" max="26"/>
    <col width="20" customWidth="1" min="27" max="27"/>
    <col width="14" customWidth="1" min="28" max="28"/>
  </cols>
  <sheetData>
    <row r="1" ht="20" customHeight="1">
      <c r="B1" s="2" t="inlineStr">
        <is>
          <t>Dashboard</t>
        </is>
      </c>
      <c r="C1" s="1" t="inlineStr">
        <is>
          <t>Next Meeting</t>
        </is>
      </c>
      <c r="D1" s="2" t="inlineStr">
        <is>
          <t>Topic Register</t>
        </is>
      </c>
      <c r="E1" s="2" t="inlineStr">
        <is>
          <t>Action Register</t>
        </is>
      </c>
      <c r="F1" s="2" t="inlineStr">
        <is>
          <t>Update History</t>
        </is>
      </c>
      <c r="G1" s="2" t="inlineStr">
        <is>
          <t>PQCP Follow Up</t>
        </is>
      </c>
      <c r="H1" s="2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Next Meeting - Chair the Review</t>
        </is>
      </c>
    </row>
    <row r="3" ht="16" customHeight="1">
      <c r="B3" s="6" t="inlineStr">
        <is>
          <t>Every topic below is pulled in automatically because it is flagged 'Discuss at Next Meeting', has an open point, a question, an overdue action, a Commissioning Blocker, an escalation, or a PQCP follow-up requirement. Nothing to maintain here - it reads the registers live.</t>
        </is>
      </c>
    </row>
    <row r="4">
      <c r="B4" s="28" t="inlineStr">
        <is>
          <t>After the meeting: copy 'Today's Update' + 'Decision' into Update History, copy 'New Action' rows into the Action Register, and update the Topic Register's Current Position / Status / Discuss flag for anything that changed.</t>
        </is>
      </c>
    </row>
    <row r="5">
      <c r="B5" s="29" t="inlineStr">
        <is>
          <t>Meeting Date:</t>
        </is>
      </c>
      <c r="C5" s="30" t="n">
        <v>46210</v>
      </c>
      <c r="E5" s="29" t="inlineStr">
        <is>
          <t>Topics on agenda:</t>
        </is>
      </c>
      <c r="G5" s="31">
        <f>COUNTA(D9:D33)</f>
        <v/>
      </c>
    </row>
    <row r="7" ht="18" customHeight="1">
      <c r="B7" s="32" t="inlineStr">
        <is>
          <t>REFERENCE / AUTOMATIC INFORMATION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inlineStr">
        <is>
          <t>MEETING INPUT - complete live, then copy into the registers afterwards</t>
        </is>
      </c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</row>
    <row r="8" ht="34" customHeight="1">
      <c r="B8" s="36" t="inlineStr">
        <is>
          <t>Category</t>
        </is>
      </c>
      <c r="C8" s="36" t="inlineStr">
        <is>
          <t>Sub-category</t>
        </is>
      </c>
      <c r="D8" s="36" t="inlineStr">
        <is>
          <t>Topic ID</t>
        </is>
      </c>
      <c r="E8" s="36" t="inlineStr">
        <is>
          <t>Topic</t>
        </is>
      </c>
      <c r="F8" s="36" t="inlineStr">
        <is>
          <t>Discipline</t>
        </is>
      </c>
      <c r="G8" s="36" t="inlineStr">
        <is>
          <t>System / Scope</t>
        </is>
      </c>
      <c r="H8" s="36" t="inlineStr">
        <is>
          <t>Current Position</t>
        </is>
      </c>
      <c r="I8" s="36" t="inlineStr">
        <is>
          <t>Change Since Last Review</t>
        </is>
      </c>
      <c r="J8" s="36" t="inlineStr">
        <is>
          <t>Latest Update</t>
        </is>
      </c>
      <c r="K8" s="36" t="inlineStr">
        <is>
          <t>Outstanding Point / Gap</t>
        </is>
      </c>
      <c r="L8" s="36" t="inlineStr">
        <is>
          <t>Question to Ask Today</t>
        </is>
      </c>
      <c r="M8" s="36" t="inlineStr">
        <is>
          <t>Existing Action</t>
        </is>
      </c>
      <c r="N8" s="36" t="inlineStr">
        <is>
          <t>Existing Action Owner</t>
        </is>
      </c>
      <c r="O8" s="36" t="inlineStr">
        <is>
          <t>Due Date</t>
        </is>
      </c>
      <c r="P8" s="36" t="inlineStr">
        <is>
          <t>Action Status</t>
        </is>
      </c>
      <c r="Q8" s="36" t="inlineStr">
        <is>
          <t>PQCP Step / Impact</t>
        </is>
      </c>
      <c r="R8" s="36" t="inlineStr">
        <is>
          <t>Commissioning Blocker?</t>
        </is>
      </c>
      <c r="S8" s="37" t="inlineStr">
        <is>
          <t>Today's Update</t>
        </is>
      </c>
      <c r="T8" s="37" t="inlineStr">
        <is>
          <t>Decision</t>
        </is>
      </c>
      <c r="U8" s="37" t="inlineStr">
        <is>
          <t>New Action</t>
        </is>
      </c>
      <c r="V8" s="37" t="inlineStr">
        <is>
          <t>New Action Owner</t>
        </is>
      </c>
      <c r="W8" s="37" t="inlineStr">
        <is>
          <t>New Due Date</t>
        </is>
      </c>
      <c r="X8" s="37" t="inlineStr">
        <is>
          <t>Priority</t>
        </is>
      </c>
      <c r="Y8" s="37" t="inlineStr">
        <is>
          <t>Blocker? Yes/No</t>
        </is>
      </c>
      <c r="Z8" s="37" t="inlineStr">
        <is>
          <t>PQCP Follow-Up Required?</t>
        </is>
      </c>
      <c r="AA8" s="37" t="inlineStr">
        <is>
          <t>Next Step</t>
        </is>
      </c>
      <c r="AB8" s="37" t="inlineStr">
        <is>
          <t>Discuss at Next Meeting?</t>
        </is>
      </c>
    </row>
    <row r="9" ht="30" customHeight="1">
      <c r="B9" s="17">
        <f t="array" ref="B9">IF($D9="","",IFERROR(INDEX(Topic_Register[Category],MATCH(1,Topic_Register[Meeting Rank],0)),""))</f>
        <v/>
      </c>
      <c r="C9" s="17">
        <f t="array" ref="C9">IF($D9="","",IFERROR(INDEX(Topic_Register[Sub-category],MATCH(1,Topic_Register[Meeting Rank],0)),""))</f>
        <v/>
      </c>
      <c r="D9" s="17">
        <f t="array" ref="D9">IFERROR(INDEX(Topic_Register[Topic ID],MATCH(1,Topic_Register[Meeting Rank],0)),"")</f>
        <v/>
      </c>
      <c r="E9" s="17">
        <f t="array" ref="E9">IF($D9="","",IFERROR(INDEX(Topic_Register[Topic],MATCH(1,Topic_Register[Meeting Rank],0)),""))</f>
        <v/>
      </c>
      <c r="F9" s="17">
        <f t="array" ref="F9">IF($D9="","",IFERROR(INDEX(Topic_Register[Discipline],MATCH(1,Topic_Register[Meeting Rank],0)),""))</f>
        <v/>
      </c>
      <c r="G9" s="17">
        <f t="array" ref="G9">IF($D9="","",IFERROR(INDEX(Topic_Register[System / Scope],MATCH(1,Topic_Register[Meeting Rank],0)),""))</f>
        <v/>
      </c>
      <c r="H9" s="17">
        <f t="array" ref="H9">IF($D9="","",IFERROR(INDEX(Topic_Register[Current Position],MATCH(1,Topic_Register[Meeting Rank],0)),""))</f>
        <v/>
      </c>
      <c r="I9" s="17">
        <f t="array" ref="I9">IF($D9="","",IFERROR(INDEX(Topic_Register[Change Since Last Review],MATCH(1,Topic_Register[Meeting Rank],0)),""))</f>
        <v/>
      </c>
      <c r="J9" s="17">
        <f t="array" ref="J9">IF($D9="","",IFERROR(INDEX(Topic_Register[Latest Update],MATCH(1,Topic_Register[Meeting Rank],0)),""))</f>
        <v/>
      </c>
      <c r="K9" s="17">
        <f t="array" ref="K9">IF($D9="","",IFERROR(INDEX(Topic_Register[Outstanding Point / Gap],MATCH(1,Topic_Register[Meeting Rank],0)),""))</f>
        <v/>
      </c>
      <c r="L9" s="17">
        <f t="array" ref="L9">IF($D9="","",IFERROR(INDEX(Topic_Register[Question / Decision Required],MATCH(1,Topic_Register[Meeting Rank],0)),""))</f>
        <v/>
      </c>
      <c r="M9" s="17">
        <f t="array" ref="M9">IF($D9="","",IF(IFERROR(MATCH(TRIM(LEFT(IFERROR(INDEX(Topic_Register[Related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ID],0),"")="","",INDEX(Action_Register[Action Description],IFERROR(MATCH(TRIM(LEFT(IFERROR(INDEX(Topic_Register[Related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ID],0),""))))</f>
        <v/>
      </c>
      <c r="N9" s="17">
        <f t="array" ref="N9">IF($D9="","",IF(IFERROR(MATCH(TRIM(LEFT(IFERROR(INDEX(Topic_Register[Related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ID],0),"")="","",INDEX(Action_Register[Owner],IFERROR(MATCH(TRIM(LEFT(IFERROR(INDEX(Topic_Register[Related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ID],0),""))))</f>
        <v/>
      </c>
      <c r="O9" s="18">
        <f t="array" ref="O9">IF($D9="","",IF(IFERROR(MATCH(TRIM(LEFT(IFERROR(INDEX(Topic_Register[Related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ID],0),"")="","",INDEX(Action_Register[Due Date],IFERROR(MATCH(TRIM(LEFT(IFERROR(INDEX(Topic_Register[Related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ID],0),""))))</f>
        <v/>
      </c>
      <c r="P9" s="17">
        <f t="array" ref="P9">IF($D9="","",IF(IFERROR(MATCH(TRIM(LEFT(IFERROR(INDEX(Topic_Register[Related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ID],0),"")="","",INDEX(Action_Register[Status],IFERROR(MATCH(TRIM(LEFT(IFERROR(INDEX(Topic_Register[Related Action ID(s)],MATCH(1,Topic_Register[Meeting Rank],0)),"")&amp;",",IFERROR(FIND(",",IFERROR(INDEX(Topic_Register[Related Action ID(s)],MATCH(1,Topic_Register[Meeting Rank],0)),"")&amp;",")-1,LEN(IFERROR(INDEX(Topic_Register[Related Action ID(s)],MATCH(1,Topic_Register[Meeting Rank],0)),""))))),Action_Register[Action ID],0),""))))</f>
        <v/>
      </c>
      <c r="Q9" s="17">
        <f t="array" ref="Q9">IF($D9="","",IF(IFERROR(INDEX(Topic_Register[Related PQCP Step(s)],MATCH(1,Topic_Register[Meeting Rank],0)),"")="","",IFERROR(INDEX(Topic_Register[Related PQCP Step(s)],MATCH(1,Topic_Register[Meeting Rank],0)),"")&amp;IF(IFERROR(INDEX(Topic_Register[PQCP Comment / Impact],MATCH(1,Topic_Register[Meeting Rank],0)),"")&lt;&gt;"",": "&amp;IFERROR(INDEX(Topic_Register[PQCP Comment / Impact],MATCH(1,Topic_Register[Meeting Rank],0)),""),"")))</f>
        <v/>
      </c>
      <c r="R9" s="17">
        <f t="array" ref="R9">IF($D9="","",IFERROR(INDEX(Topic_Register[Commissioning Blocker?],MATCH(1,Topic_Register[Meeting Rank],0)),""))</f>
        <v/>
      </c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</row>
    <row r="10" ht="30" customHeight="1">
      <c r="B10" s="39">
        <f t="array" ref="B10">IF($D10="","",IFERROR(INDEX(Topic_Register[Category],MATCH(2,Topic_Register[Meeting Rank],0)),""))</f>
        <v/>
      </c>
      <c r="C10" s="39">
        <f t="array" ref="C10">IF($D10="","",IFERROR(INDEX(Topic_Register[Sub-category],MATCH(2,Topic_Register[Meeting Rank],0)),""))</f>
        <v/>
      </c>
      <c r="D10" s="39">
        <f t="array" ref="D10">IFERROR(INDEX(Topic_Register[Topic ID],MATCH(2,Topic_Register[Meeting Rank],0)),"")</f>
        <v/>
      </c>
      <c r="E10" s="39">
        <f t="array" ref="E10">IF($D10="","",IFERROR(INDEX(Topic_Register[Topic],MATCH(2,Topic_Register[Meeting Rank],0)),""))</f>
        <v/>
      </c>
      <c r="F10" s="39">
        <f t="array" ref="F10">IF($D10="","",IFERROR(INDEX(Topic_Register[Discipline],MATCH(2,Topic_Register[Meeting Rank],0)),""))</f>
        <v/>
      </c>
      <c r="G10" s="39">
        <f t="array" ref="G10">IF($D10="","",IFERROR(INDEX(Topic_Register[System / Scope],MATCH(2,Topic_Register[Meeting Rank],0)),""))</f>
        <v/>
      </c>
      <c r="H10" s="39">
        <f t="array" ref="H10">IF($D10="","",IFERROR(INDEX(Topic_Register[Current Position],MATCH(2,Topic_Register[Meeting Rank],0)),""))</f>
        <v/>
      </c>
      <c r="I10" s="39">
        <f t="array" ref="I10">IF($D10="","",IFERROR(INDEX(Topic_Register[Change Since Last Review],MATCH(2,Topic_Register[Meeting Rank],0)),""))</f>
        <v/>
      </c>
      <c r="J10" s="39">
        <f t="array" ref="J10">IF($D10="","",IFERROR(INDEX(Topic_Register[Latest Update],MATCH(2,Topic_Register[Meeting Rank],0)),""))</f>
        <v/>
      </c>
      <c r="K10" s="39">
        <f t="array" ref="K10">IF($D10="","",IFERROR(INDEX(Topic_Register[Outstanding Point / Gap],MATCH(2,Topic_Register[Meeting Rank],0)),""))</f>
        <v/>
      </c>
      <c r="L10" s="39">
        <f t="array" ref="L10">IF($D10="","",IFERROR(INDEX(Topic_Register[Question / Decision Required],MATCH(2,Topic_Register[Meeting Rank],0)),""))</f>
        <v/>
      </c>
      <c r="M10" s="39">
        <f t="array" ref="M10">IF($D10="","",IF(IFERROR(MATCH(TRIM(LEFT(IFERROR(INDEX(Topic_Register[Related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ID],0),"")="","",INDEX(Action_Register[Action Description],IFERROR(MATCH(TRIM(LEFT(IFERROR(INDEX(Topic_Register[Related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ID],0),""))))</f>
        <v/>
      </c>
      <c r="N10" s="39">
        <f t="array" ref="N10">IF($D10="","",IF(IFERROR(MATCH(TRIM(LEFT(IFERROR(INDEX(Topic_Register[Related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ID],0),"")="","",INDEX(Action_Register[Owner],IFERROR(MATCH(TRIM(LEFT(IFERROR(INDEX(Topic_Register[Related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ID],0),""))))</f>
        <v/>
      </c>
      <c r="O10" s="40">
        <f t="array" ref="O10">IF($D10="","",IF(IFERROR(MATCH(TRIM(LEFT(IFERROR(INDEX(Topic_Register[Related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ID],0),"")="","",INDEX(Action_Register[Due Date],IFERROR(MATCH(TRIM(LEFT(IFERROR(INDEX(Topic_Register[Related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ID],0),""))))</f>
        <v/>
      </c>
      <c r="P10" s="39">
        <f t="array" ref="P10">IF($D10="","",IF(IFERROR(MATCH(TRIM(LEFT(IFERROR(INDEX(Topic_Register[Related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ID],0),"")="","",INDEX(Action_Register[Status],IFERROR(MATCH(TRIM(LEFT(IFERROR(INDEX(Topic_Register[Related Action ID(s)],MATCH(2,Topic_Register[Meeting Rank],0)),"")&amp;",",IFERROR(FIND(",",IFERROR(INDEX(Topic_Register[Related Action ID(s)],MATCH(2,Topic_Register[Meeting Rank],0)),"")&amp;",")-1,LEN(IFERROR(INDEX(Topic_Register[Related Action ID(s)],MATCH(2,Topic_Register[Meeting Rank],0)),""))))),Action_Register[Action ID],0),""))))</f>
        <v/>
      </c>
      <c r="Q10" s="39">
        <f t="array" ref="Q10">IF($D10="","",IF(IFERROR(INDEX(Topic_Register[Related PQCP Step(s)],MATCH(2,Topic_Register[Meeting Rank],0)),"")="","",IFERROR(INDEX(Topic_Register[Related PQCP Step(s)],MATCH(2,Topic_Register[Meeting Rank],0)),"")&amp;IF(IFERROR(INDEX(Topic_Register[PQCP Comment / Impact],MATCH(2,Topic_Register[Meeting Rank],0)),"")&lt;&gt;"",": "&amp;IFERROR(INDEX(Topic_Register[PQCP Comment / Impact],MATCH(2,Topic_Register[Meeting Rank],0)),""),"")))</f>
        <v/>
      </c>
      <c r="R10" s="39">
        <f t="array" ref="R10">IF($D10="","",IFERROR(INDEX(Topic_Register[Commissioning Blocker?],MATCH(2,Topic_Register[Meeting Rank],0)),""))</f>
        <v/>
      </c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</row>
    <row r="11" ht="30" customHeight="1">
      <c r="B11" s="17">
        <f t="array" ref="B11">IF($D11="","",IFERROR(INDEX(Topic_Register[Category],MATCH(3,Topic_Register[Meeting Rank],0)),""))</f>
        <v/>
      </c>
      <c r="C11" s="17">
        <f t="array" ref="C11">IF($D11="","",IFERROR(INDEX(Topic_Register[Sub-category],MATCH(3,Topic_Register[Meeting Rank],0)),""))</f>
        <v/>
      </c>
      <c r="D11" s="17">
        <f t="array" ref="D11">IFERROR(INDEX(Topic_Register[Topic ID],MATCH(3,Topic_Register[Meeting Rank],0)),"")</f>
        <v/>
      </c>
      <c r="E11" s="17">
        <f t="array" ref="E11">IF($D11="","",IFERROR(INDEX(Topic_Register[Topic],MATCH(3,Topic_Register[Meeting Rank],0)),""))</f>
        <v/>
      </c>
      <c r="F11" s="17">
        <f t="array" ref="F11">IF($D11="","",IFERROR(INDEX(Topic_Register[Discipline],MATCH(3,Topic_Register[Meeting Rank],0)),""))</f>
        <v/>
      </c>
      <c r="G11" s="17">
        <f t="array" ref="G11">IF($D11="","",IFERROR(INDEX(Topic_Register[System / Scope],MATCH(3,Topic_Register[Meeting Rank],0)),""))</f>
        <v/>
      </c>
      <c r="H11" s="17">
        <f t="array" ref="H11">IF($D11="","",IFERROR(INDEX(Topic_Register[Current Position],MATCH(3,Topic_Register[Meeting Rank],0)),""))</f>
        <v/>
      </c>
      <c r="I11" s="17">
        <f t="array" ref="I11">IF($D11="","",IFERROR(INDEX(Topic_Register[Change Since Last Review],MATCH(3,Topic_Register[Meeting Rank],0)),""))</f>
        <v/>
      </c>
      <c r="J11" s="17">
        <f t="array" ref="J11">IF($D11="","",IFERROR(INDEX(Topic_Register[Latest Update],MATCH(3,Topic_Register[Meeting Rank],0)),""))</f>
        <v/>
      </c>
      <c r="K11" s="17">
        <f t="array" ref="K11">IF($D11="","",IFERROR(INDEX(Topic_Register[Outstanding Point / Gap],MATCH(3,Topic_Register[Meeting Rank],0)),""))</f>
        <v/>
      </c>
      <c r="L11" s="17">
        <f t="array" ref="L11">IF($D11="","",IFERROR(INDEX(Topic_Register[Question / Decision Required],MATCH(3,Topic_Register[Meeting Rank],0)),""))</f>
        <v/>
      </c>
      <c r="M11" s="17">
        <f t="array" ref="M11">IF($D11="","",IF(IFERROR(MATCH(TRIM(LEFT(IFERROR(INDEX(Topic_Register[Related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ID],0),"")="","",INDEX(Action_Register[Action Description],IFERROR(MATCH(TRIM(LEFT(IFERROR(INDEX(Topic_Register[Related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ID],0),""))))</f>
        <v/>
      </c>
      <c r="N11" s="17">
        <f t="array" ref="N11">IF($D11="","",IF(IFERROR(MATCH(TRIM(LEFT(IFERROR(INDEX(Topic_Register[Related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ID],0),"")="","",INDEX(Action_Register[Owner],IFERROR(MATCH(TRIM(LEFT(IFERROR(INDEX(Topic_Register[Related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ID],0),""))))</f>
        <v/>
      </c>
      <c r="O11" s="18">
        <f t="array" ref="O11">IF($D11="","",IF(IFERROR(MATCH(TRIM(LEFT(IFERROR(INDEX(Topic_Register[Related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ID],0),"")="","",INDEX(Action_Register[Due Date],IFERROR(MATCH(TRIM(LEFT(IFERROR(INDEX(Topic_Register[Related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ID],0),""))))</f>
        <v/>
      </c>
      <c r="P11" s="17">
        <f t="array" ref="P11">IF($D11="","",IF(IFERROR(MATCH(TRIM(LEFT(IFERROR(INDEX(Topic_Register[Related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ID],0),"")="","",INDEX(Action_Register[Status],IFERROR(MATCH(TRIM(LEFT(IFERROR(INDEX(Topic_Register[Related Action ID(s)],MATCH(3,Topic_Register[Meeting Rank],0)),"")&amp;",",IFERROR(FIND(",",IFERROR(INDEX(Topic_Register[Related Action ID(s)],MATCH(3,Topic_Register[Meeting Rank],0)),"")&amp;",")-1,LEN(IFERROR(INDEX(Topic_Register[Related Action ID(s)],MATCH(3,Topic_Register[Meeting Rank],0)),""))))),Action_Register[Action ID],0),""))))</f>
        <v/>
      </c>
      <c r="Q11" s="17">
        <f t="array" ref="Q11">IF($D11="","",IF(IFERROR(INDEX(Topic_Register[Related PQCP Step(s)],MATCH(3,Topic_Register[Meeting Rank],0)),"")="","",IFERROR(INDEX(Topic_Register[Related PQCP Step(s)],MATCH(3,Topic_Register[Meeting Rank],0)),"")&amp;IF(IFERROR(INDEX(Topic_Register[PQCP Comment / Impact],MATCH(3,Topic_Register[Meeting Rank],0)),"")&lt;&gt;"",": "&amp;IFERROR(INDEX(Topic_Register[PQCP Comment / Impact],MATCH(3,Topic_Register[Meeting Rank],0)),""),"")))</f>
        <v/>
      </c>
      <c r="R11" s="17">
        <f t="array" ref="R11">IF($D11="","",IFERROR(INDEX(Topic_Register[Commissioning Blocker?],MATCH(3,Topic_Register[Meeting Rank],0)),""))</f>
        <v/>
      </c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</row>
    <row r="12" ht="30" customHeight="1">
      <c r="B12" s="39">
        <f t="array" ref="B12">IF($D12="","",IFERROR(INDEX(Topic_Register[Category],MATCH(4,Topic_Register[Meeting Rank],0)),""))</f>
        <v/>
      </c>
      <c r="C12" s="39">
        <f t="array" ref="C12">IF($D12="","",IFERROR(INDEX(Topic_Register[Sub-category],MATCH(4,Topic_Register[Meeting Rank],0)),""))</f>
        <v/>
      </c>
      <c r="D12" s="39">
        <f t="array" ref="D12">IFERROR(INDEX(Topic_Register[Topic ID],MATCH(4,Topic_Register[Meeting Rank],0)),"")</f>
        <v/>
      </c>
      <c r="E12" s="39">
        <f t="array" ref="E12">IF($D12="","",IFERROR(INDEX(Topic_Register[Topic],MATCH(4,Topic_Register[Meeting Rank],0)),""))</f>
        <v/>
      </c>
      <c r="F12" s="39">
        <f t="array" ref="F12">IF($D12="","",IFERROR(INDEX(Topic_Register[Discipline],MATCH(4,Topic_Register[Meeting Rank],0)),""))</f>
        <v/>
      </c>
      <c r="G12" s="39">
        <f t="array" ref="G12">IF($D12="","",IFERROR(INDEX(Topic_Register[System / Scope],MATCH(4,Topic_Register[Meeting Rank],0)),""))</f>
        <v/>
      </c>
      <c r="H12" s="39">
        <f t="array" ref="H12">IF($D12="","",IFERROR(INDEX(Topic_Register[Current Position],MATCH(4,Topic_Register[Meeting Rank],0)),""))</f>
        <v/>
      </c>
      <c r="I12" s="39">
        <f t="array" ref="I12">IF($D12="","",IFERROR(INDEX(Topic_Register[Change Since Last Review],MATCH(4,Topic_Register[Meeting Rank],0)),""))</f>
        <v/>
      </c>
      <c r="J12" s="39">
        <f t="array" ref="J12">IF($D12="","",IFERROR(INDEX(Topic_Register[Latest Update],MATCH(4,Topic_Register[Meeting Rank],0)),""))</f>
        <v/>
      </c>
      <c r="K12" s="39">
        <f t="array" ref="K12">IF($D12="","",IFERROR(INDEX(Topic_Register[Outstanding Point / Gap],MATCH(4,Topic_Register[Meeting Rank],0)),""))</f>
        <v/>
      </c>
      <c r="L12" s="39">
        <f t="array" ref="L12">IF($D12="","",IFERROR(INDEX(Topic_Register[Question / Decision Required],MATCH(4,Topic_Register[Meeting Rank],0)),""))</f>
        <v/>
      </c>
      <c r="M12" s="39">
        <f t="array" ref="M12">IF($D12="","",IF(IFERROR(MATCH(TRIM(LEFT(IFERROR(INDEX(Topic_Register[Related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ID],0),"")="","",INDEX(Action_Register[Action Description],IFERROR(MATCH(TRIM(LEFT(IFERROR(INDEX(Topic_Register[Related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ID],0),""))))</f>
        <v/>
      </c>
      <c r="N12" s="39">
        <f t="array" ref="N12">IF($D12="","",IF(IFERROR(MATCH(TRIM(LEFT(IFERROR(INDEX(Topic_Register[Related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ID],0),"")="","",INDEX(Action_Register[Owner],IFERROR(MATCH(TRIM(LEFT(IFERROR(INDEX(Topic_Register[Related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ID],0),""))))</f>
        <v/>
      </c>
      <c r="O12" s="40">
        <f t="array" ref="O12">IF($D12="","",IF(IFERROR(MATCH(TRIM(LEFT(IFERROR(INDEX(Topic_Register[Related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ID],0),"")="","",INDEX(Action_Register[Due Date],IFERROR(MATCH(TRIM(LEFT(IFERROR(INDEX(Topic_Register[Related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ID],0),""))))</f>
        <v/>
      </c>
      <c r="P12" s="39">
        <f t="array" ref="P12">IF($D12="","",IF(IFERROR(MATCH(TRIM(LEFT(IFERROR(INDEX(Topic_Register[Related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ID],0),"")="","",INDEX(Action_Register[Status],IFERROR(MATCH(TRIM(LEFT(IFERROR(INDEX(Topic_Register[Related Action ID(s)],MATCH(4,Topic_Register[Meeting Rank],0)),"")&amp;",",IFERROR(FIND(",",IFERROR(INDEX(Topic_Register[Related Action ID(s)],MATCH(4,Topic_Register[Meeting Rank],0)),"")&amp;",")-1,LEN(IFERROR(INDEX(Topic_Register[Related Action ID(s)],MATCH(4,Topic_Register[Meeting Rank],0)),""))))),Action_Register[Action ID],0),""))))</f>
        <v/>
      </c>
      <c r="Q12" s="39">
        <f t="array" ref="Q12">IF($D12="","",IF(IFERROR(INDEX(Topic_Register[Related PQCP Step(s)],MATCH(4,Topic_Register[Meeting Rank],0)),"")="","",IFERROR(INDEX(Topic_Register[Related PQCP Step(s)],MATCH(4,Topic_Register[Meeting Rank],0)),"")&amp;IF(IFERROR(INDEX(Topic_Register[PQCP Comment / Impact],MATCH(4,Topic_Register[Meeting Rank],0)),"")&lt;&gt;"",": "&amp;IFERROR(INDEX(Topic_Register[PQCP Comment / Impact],MATCH(4,Topic_Register[Meeting Rank],0)),""),"")))</f>
        <v/>
      </c>
      <c r="R12" s="39">
        <f t="array" ref="R12">IF($D12="","",IFERROR(INDEX(Topic_Register[Commissioning Blocker?],MATCH(4,Topic_Register[Meeting Rank],0)),""))</f>
        <v/>
      </c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</row>
    <row r="13" ht="30" customHeight="1">
      <c r="B13" s="17">
        <f t="array" ref="B13">IF($D13="","",IFERROR(INDEX(Topic_Register[Category],MATCH(5,Topic_Register[Meeting Rank],0)),""))</f>
        <v/>
      </c>
      <c r="C13" s="17">
        <f t="array" ref="C13">IF($D13="","",IFERROR(INDEX(Topic_Register[Sub-category],MATCH(5,Topic_Register[Meeting Rank],0)),""))</f>
        <v/>
      </c>
      <c r="D13" s="17">
        <f t="array" ref="D13">IFERROR(INDEX(Topic_Register[Topic ID],MATCH(5,Topic_Register[Meeting Rank],0)),"")</f>
        <v/>
      </c>
      <c r="E13" s="17">
        <f t="array" ref="E13">IF($D13="","",IFERROR(INDEX(Topic_Register[Topic],MATCH(5,Topic_Register[Meeting Rank],0)),""))</f>
        <v/>
      </c>
      <c r="F13" s="17">
        <f t="array" ref="F13">IF($D13="","",IFERROR(INDEX(Topic_Register[Discipline],MATCH(5,Topic_Register[Meeting Rank],0)),""))</f>
        <v/>
      </c>
      <c r="G13" s="17">
        <f t="array" ref="G13">IF($D13="","",IFERROR(INDEX(Topic_Register[System / Scope],MATCH(5,Topic_Register[Meeting Rank],0)),""))</f>
        <v/>
      </c>
      <c r="H13" s="17">
        <f t="array" ref="H13">IF($D13="","",IFERROR(INDEX(Topic_Register[Current Position],MATCH(5,Topic_Register[Meeting Rank],0)),""))</f>
        <v/>
      </c>
      <c r="I13" s="17">
        <f t="array" ref="I13">IF($D13="","",IFERROR(INDEX(Topic_Register[Change Since Last Review],MATCH(5,Topic_Register[Meeting Rank],0)),""))</f>
        <v/>
      </c>
      <c r="J13" s="17">
        <f t="array" ref="J13">IF($D13="","",IFERROR(INDEX(Topic_Register[Latest Update],MATCH(5,Topic_Register[Meeting Rank],0)),""))</f>
        <v/>
      </c>
      <c r="K13" s="17">
        <f t="array" ref="K13">IF($D13="","",IFERROR(INDEX(Topic_Register[Outstanding Point / Gap],MATCH(5,Topic_Register[Meeting Rank],0)),""))</f>
        <v/>
      </c>
      <c r="L13" s="17">
        <f t="array" ref="L13">IF($D13="","",IFERROR(INDEX(Topic_Register[Question / Decision Required],MATCH(5,Topic_Register[Meeting Rank],0)),""))</f>
        <v/>
      </c>
      <c r="M13" s="17">
        <f t="array" ref="M13">IF($D13="","",IF(IFERROR(MATCH(TRIM(LEFT(IFERROR(INDEX(Topic_Register[Related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ID],0),"")="","",INDEX(Action_Register[Action Description],IFERROR(MATCH(TRIM(LEFT(IFERROR(INDEX(Topic_Register[Related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ID],0),""))))</f>
        <v/>
      </c>
      <c r="N13" s="17">
        <f t="array" ref="N13">IF($D13="","",IF(IFERROR(MATCH(TRIM(LEFT(IFERROR(INDEX(Topic_Register[Related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ID],0),"")="","",INDEX(Action_Register[Owner],IFERROR(MATCH(TRIM(LEFT(IFERROR(INDEX(Topic_Register[Related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ID],0),""))))</f>
        <v/>
      </c>
      <c r="O13" s="18">
        <f t="array" ref="O13">IF($D13="","",IF(IFERROR(MATCH(TRIM(LEFT(IFERROR(INDEX(Topic_Register[Related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ID],0),"")="","",INDEX(Action_Register[Due Date],IFERROR(MATCH(TRIM(LEFT(IFERROR(INDEX(Topic_Register[Related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ID],0),""))))</f>
        <v/>
      </c>
      <c r="P13" s="17">
        <f t="array" ref="P13">IF($D13="","",IF(IFERROR(MATCH(TRIM(LEFT(IFERROR(INDEX(Topic_Register[Related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ID],0),"")="","",INDEX(Action_Register[Status],IFERROR(MATCH(TRIM(LEFT(IFERROR(INDEX(Topic_Register[Related Action ID(s)],MATCH(5,Topic_Register[Meeting Rank],0)),"")&amp;",",IFERROR(FIND(",",IFERROR(INDEX(Topic_Register[Related Action ID(s)],MATCH(5,Topic_Register[Meeting Rank],0)),"")&amp;",")-1,LEN(IFERROR(INDEX(Topic_Register[Related Action ID(s)],MATCH(5,Topic_Register[Meeting Rank],0)),""))))),Action_Register[Action ID],0),""))))</f>
        <v/>
      </c>
      <c r="Q13" s="17">
        <f t="array" ref="Q13">IF($D13="","",IF(IFERROR(INDEX(Topic_Register[Related PQCP Step(s)],MATCH(5,Topic_Register[Meeting Rank],0)),"")="","",IFERROR(INDEX(Topic_Register[Related PQCP Step(s)],MATCH(5,Topic_Register[Meeting Rank],0)),"")&amp;IF(IFERROR(INDEX(Topic_Register[PQCP Comment / Impact],MATCH(5,Topic_Register[Meeting Rank],0)),"")&lt;&gt;"",": "&amp;IFERROR(INDEX(Topic_Register[PQCP Comment / Impact],MATCH(5,Topic_Register[Meeting Rank],0)),""),"")))</f>
        <v/>
      </c>
      <c r="R13" s="17">
        <f t="array" ref="R13">IF($D13="","",IFERROR(INDEX(Topic_Register[Commissioning Blocker?],MATCH(5,Topic_Register[Meeting Rank],0)),""))</f>
        <v/>
      </c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</row>
    <row r="14" ht="30" customHeight="1">
      <c r="B14" s="39">
        <f t="array" ref="B14">IF($D14="","",IFERROR(INDEX(Topic_Register[Category],MATCH(6,Topic_Register[Meeting Rank],0)),""))</f>
        <v/>
      </c>
      <c r="C14" s="39">
        <f t="array" ref="C14">IF($D14="","",IFERROR(INDEX(Topic_Register[Sub-category],MATCH(6,Topic_Register[Meeting Rank],0)),""))</f>
        <v/>
      </c>
      <c r="D14" s="39">
        <f t="array" ref="D14">IFERROR(INDEX(Topic_Register[Topic ID],MATCH(6,Topic_Register[Meeting Rank],0)),"")</f>
        <v/>
      </c>
      <c r="E14" s="39">
        <f t="array" ref="E14">IF($D14="","",IFERROR(INDEX(Topic_Register[Topic],MATCH(6,Topic_Register[Meeting Rank],0)),""))</f>
        <v/>
      </c>
      <c r="F14" s="39">
        <f t="array" ref="F14">IF($D14="","",IFERROR(INDEX(Topic_Register[Discipline],MATCH(6,Topic_Register[Meeting Rank],0)),""))</f>
        <v/>
      </c>
      <c r="G14" s="39">
        <f t="array" ref="G14">IF($D14="","",IFERROR(INDEX(Topic_Register[System / Scope],MATCH(6,Topic_Register[Meeting Rank],0)),""))</f>
        <v/>
      </c>
      <c r="H14" s="39">
        <f t="array" ref="H14">IF($D14="","",IFERROR(INDEX(Topic_Register[Current Position],MATCH(6,Topic_Register[Meeting Rank],0)),""))</f>
        <v/>
      </c>
      <c r="I14" s="39">
        <f t="array" ref="I14">IF($D14="","",IFERROR(INDEX(Topic_Register[Change Since Last Review],MATCH(6,Topic_Register[Meeting Rank],0)),""))</f>
        <v/>
      </c>
      <c r="J14" s="39">
        <f t="array" ref="J14">IF($D14="","",IFERROR(INDEX(Topic_Register[Latest Update],MATCH(6,Topic_Register[Meeting Rank],0)),""))</f>
        <v/>
      </c>
      <c r="K14" s="39">
        <f t="array" ref="K14">IF($D14="","",IFERROR(INDEX(Topic_Register[Outstanding Point / Gap],MATCH(6,Topic_Register[Meeting Rank],0)),""))</f>
        <v/>
      </c>
      <c r="L14" s="39">
        <f t="array" ref="L14">IF($D14="","",IFERROR(INDEX(Topic_Register[Question / Decision Required],MATCH(6,Topic_Register[Meeting Rank],0)),""))</f>
        <v/>
      </c>
      <c r="M14" s="39">
        <f t="array" ref="M14">IF($D14="","",IF(IFERROR(MATCH(TRIM(LEFT(IFERROR(INDEX(Topic_Register[Related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ID],0),"")="","",INDEX(Action_Register[Action Description],IFERROR(MATCH(TRIM(LEFT(IFERROR(INDEX(Topic_Register[Related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ID],0),""))))</f>
        <v/>
      </c>
      <c r="N14" s="39">
        <f t="array" ref="N14">IF($D14="","",IF(IFERROR(MATCH(TRIM(LEFT(IFERROR(INDEX(Topic_Register[Related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ID],0),"")="","",INDEX(Action_Register[Owner],IFERROR(MATCH(TRIM(LEFT(IFERROR(INDEX(Topic_Register[Related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ID],0),""))))</f>
        <v/>
      </c>
      <c r="O14" s="40">
        <f t="array" ref="O14">IF($D14="","",IF(IFERROR(MATCH(TRIM(LEFT(IFERROR(INDEX(Topic_Register[Related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ID],0),"")="","",INDEX(Action_Register[Due Date],IFERROR(MATCH(TRIM(LEFT(IFERROR(INDEX(Topic_Register[Related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ID],0),""))))</f>
        <v/>
      </c>
      <c r="P14" s="39">
        <f t="array" ref="P14">IF($D14="","",IF(IFERROR(MATCH(TRIM(LEFT(IFERROR(INDEX(Topic_Register[Related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ID],0),"")="","",INDEX(Action_Register[Status],IFERROR(MATCH(TRIM(LEFT(IFERROR(INDEX(Topic_Register[Related Action ID(s)],MATCH(6,Topic_Register[Meeting Rank],0)),"")&amp;",",IFERROR(FIND(",",IFERROR(INDEX(Topic_Register[Related Action ID(s)],MATCH(6,Topic_Register[Meeting Rank],0)),"")&amp;",")-1,LEN(IFERROR(INDEX(Topic_Register[Related Action ID(s)],MATCH(6,Topic_Register[Meeting Rank],0)),""))))),Action_Register[Action ID],0),""))))</f>
        <v/>
      </c>
      <c r="Q14" s="39">
        <f t="array" ref="Q14">IF($D14="","",IF(IFERROR(INDEX(Topic_Register[Related PQCP Step(s)],MATCH(6,Topic_Register[Meeting Rank],0)),"")="","",IFERROR(INDEX(Topic_Register[Related PQCP Step(s)],MATCH(6,Topic_Register[Meeting Rank],0)),"")&amp;IF(IFERROR(INDEX(Topic_Register[PQCP Comment / Impact],MATCH(6,Topic_Register[Meeting Rank],0)),"")&lt;&gt;"",": "&amp;IFERROR(INDEX(Topic_Register[PQCP Comment / Impact],MATCH(6,Topic_Register[Meeting Rank],0)),""),"")))</f>
        <v/>
      </c>
      <c r="R14" s="39">
        <f t="array" ref="R14">IF($D14="","",IFERROR(INDEX(Topic_Register[Commissioning Blocker?],MATCH(6,Topic_Register[Meeting Rank],0)),""))</f>
        <v/>
      </c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</row>
    <row r="15" ht="30" customHeight="1">
      <c r="B15" s="17">
        <f t="array" ref="B15">IF($D15="","",IFERROR(INDEX(Topic_Register[Category],MATCH(7,Topic_Register[Meeting Rank],0)),""))</f>
        <v/>
      </c>
      <c r="C15" s="17">
        <f t="array" ref="C15">IF($D15="","",IFERROR(INDEX(Topic_Register[Sub-category],MATCH(7,Topic_Register[Meeting Rank],0)),""))</f>
        <v/>
      </c>
      <c r="D15" s="17">
        <f t="array" ref="D15">IFERROR(INDEX(Topic_Register[Topic ID],MATCH(7,Topic_Register[Meeting Rank],0)),"")</f>
        <v/>
      </c>
      <c r="E15" s="17">
        <f t="array" ref="E15">IF($D15="","",IFERROR(INDEX(Topic_Register[Topic],MATCH(7,Topic_Register[Meeting Rank],0)),""))</f>
        <v/>
      </c>
      <c r="F15" s="17">
        <f t="array" ref="F15">IF($D15="","",IFERROR(INDEX(Topic_Register[Discipline],MATCH(7,Topic_Register[Meeting Rank],0)),""))</f>
        <v/>
      </c>
      <c r="G15" s="17">
        <f t="array" ref="G15">IF($D15="","",IFERROR(INDEX(Topic_Register[System / Scope],MATCH(7,Topic_Register[Meeting Rank],0)),""))</f>
        <v/>
      </c>
      <c r="H15" s="17">
        <f t="array" ref="H15">IF($D15="","",IFERROR(INDEX(Topic_Register[Current Position],MATCH(7,Topic_Register[Meeting Rank],0)),""))</f>
        <v/>
      </c>
      <c r="I15" s="17">
        <f t="array" ref="I15">IF($D15="","",IFERROR(INDEX(Topic_Register[Change Since Last Review],MATCH(7,Topic_Register[Meeting Rank],0)),""))</f>
        <v/>
      </c>
      <c r="J15" s="17">
        <f t="array" ref="J15">IF($D15="","",IFERROR(INDEX(Topic_Register[Latest Update],MATCH(7,Topic_Register[Meeting Rank],0)),""))</f>
        <v/>
      </c>
      <c r="K15" s="17">
        <f t="array" ref="K15">IF($D15="","",IFERROR(INDEX(Topic_Register[Outstanding Point / Gap],MATCH(7,Topic_Register[Meeting Rank],0)),""))</f>
        <v/>
      </c>
      <c r="L15" s="17">
        <f t="array" ref="L15">IF($D15="","",IFERROR(INDEX(Topic_Register[Question / Decision Required],MATCH(7,Topic_Register[Meeting Rank],0)),""))</f>
        <v/>
      </c>
      <c r="M15" s="17">
        <f t="array" ref="M15">IF($D15="","",IF(IFERROR(MATCH(TRIM(LEFT(IFERROR(INDEX(Topic_Register[Related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ID],0),"")="","",INDEX(Action_Register[Action Description],IFERROR(MATCH(TRIM(LEFT(IFERROR(INDEX(Topic_Register[Related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ID],0),""))))</f>
        <v/>
      </c>
      <c r="N15" s="17">
        <f t="array" ref="N15">IF($D15="","",IF(IFERROR(MATCH(TRIM(LEFT(IFERROR(INDEX(Topic_Register[Related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ID],0),"")="","",INDEX(Action_Register[Owner],IFERROR(MATCH(TRIM(LEFT(IFERROR(INDEX(Topic_Register[Related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ID],0),""))))</f>
        <v/>
      </c>
      <c r="O15" s="18">
        <f t="array" ref="O15">IF($D15="","",IF(IFERROR(MATCH(TRIM(LEFT(IFERROR(INDEX(Topic_Register[Related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ID],0),"")="","",INDEX(Action_Register[Due Date],IFERROR(MATCH(TRIM(LEFT(IFERROR(INDEX(Topic_Register[Related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ID],0),""))))</f>
        <v/>
      </c>
      <c r="P15" s="17">
        <f t="array" ref="P15">IF($D15="","",IF(IFERROR(MATCH(TRIM(LEFT(IFERROR(INDEX(Topic_Register[Related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ID],0),"")="","",INDEX(Action_Register[Status],IFERROR(MATCH(TRIM(LEFT(IFERROR(INDEX(Topic_Register[Related Action ID(s)],MATCH(7,Topic_Register[Meeting Rank],0)),"")&amp;",",IFERROR(FIND(",",IFERROR(INDEX(Topic_Register[Related Action ID(s)],MATCH(7,Topic_Register[Meeting Rank],0)),"")&amp;",")-1,LEN(IFERROR(INDEX(Topic_Register[Related Action ID(s)],MATCH(7,Topic_Register[Meeting Rank],0)),""))))),Action_Register[Action ID],0),""))))</f>
        <v/>
      </c>
      <c r="Q15" s="17">
        <f t="array" ref="Q15">IF($D15="","",IF(IFERROR(INDEX(Topic_Register[Related PQCP Step(s)],MATCH(7,Topic_Register[Meeting Rank],0)),"")="","",IFERROR(INDEX(Topic_Register[Related PQCP Step(s)],MATCH(7,Topic_Register[Meeting Rank],0)),"")&amp;IF(IFERROR(INDEX(Topic_Register[PQCP Comment / Impact],MATCH(7,Topic_Register[Meeting Rank],0)),"")&lt;&gt;"",": "&amp;IFERROR(INDEX(Topic_Register[PQCP Comment / Impact],MATCH(7,Topic_Register[Meeting Rank],0)),""),"")))</f>
        <v/>
      </c>
      <c r="R15" s="17">
        <f t="array" ref="R15">IF($D15="","",IFERROR(INDEX(Topic_Register[Commissioning Blocker?],MATCH(7,Topic_Register[Meeting Rank],0)),""))</f>
        <v/>
      </c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</row>
    <row r="16" ht="30" customHeight="1">
      <c r="B16" s="39">
        <f t="array" ref="B16">IF($D16="","",IFERROR(INDEX(Topic_Register[Category],MATCH(8,Topic_Register[Meeting Rank],0)),""))</f>
        <v/>
      </c>
      <c r="C16" s="39">
        <f t="array" ref="C16">IF($D16="","",IFERROR(INDEX(Topic_Register[Sub-category],MATCH(8,Topic_Register[Meeting Rank],0)),""))</f>
        <v/>
      </c>
      <c r="D16" s="39">
        <f t="array" ref="D16">IFERROR(INDEX(Topic_Register[Topic ID],MATCH(8,Topic_Register[Meeting Rank],0)),"")</f>
        <v/>
      </c>
      <c r="E16" s="39">
        <f t="array" ref="E16">IF($D16="","",IFERROR(INDEX(Topic_Register[Topic],MATCH(8,Topic_Register[Meeting Rank],0)),""))</f>
        <v/>
      </c>
      <c r="F16" s="39">
        <f t="array" ref="F16">IF($D16="","",IFERROR(INDEX(Topic_Register[Discipline],MATCH(8,Topic_Register[Meeting Rank],0)),""))</f>
        <v/>
      </c>
      <c r="G16" s="39">
        <f t="array" ref="G16">IF($D16="","",IFERROR(INDEX(Topic_Register[System / Scope],MATCH(8,Topic_Register[Meeting Rank],0)),""))</f>
        <v/>
      </c>
      <c r="H16" s="39">
        <f t="array" ref="H16">IF($D16="","",IFERROR(INDEX(Topic_Register[Current Position],MATCH(8,Topic_Register[Meeting Rank],0)),""))</f>
        <v/>
      </c>
      <c r="I16" s="39">
        <f t="array" ref="I16">IF($D16="","",IFERROR(INDEX(Topic_Register[Change Since Last Review],MATCH(8,Topic_Register[Meeting Rank],0)),""))</f>
        <v/>
      </c>
      <c r="J16" s="39">
        <f t="array" ref="J16">IF($D16="","",IFERROR(INDEX(Topic_Register[Latest Update],MATCH(8,Topic_Register[Meeting Rank],0)),""))</f>
        <v/>
      </c>
      <c r="K16" s="39">
        <f t="array" ref="K16">IF($D16="","",IFERROR(INDEX(Topic_Register[Outstanding Point / Gap],MATCH(8,Topic_Register[Meeting Rank],0)),""))</f>
        <v/>
      </c>
      <c r="L16" s="39">
        <f t="array" ref="L16">IF($D16="","",IFERROR(INDEX(Topic_Register[Question / Decision Required],MATCH(8,Topic_Register[Meeting Rank],0)),""))</f>
        <v/>
      </c>
      <c r="M16" s="39">
        <f t="array" ref="M16">IF($D16="","",IF(IFERROR(MATCH(TRIM(LEFT(IFERROR(INDEX(Topic_Register[Related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ID],0),"")="","",INDEX(Action_Register[Action Description],IFERROR(MATCH(TRIM(LEFT(IFERROR(INDEX(Topic_Register[Related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ID],0),""))))</f>
        <v/>
      </c>
      <c r="N16" s="39">
        <f t="array" ref="N16">IF($D16="","",IF(IFERROR(MATCH(TRIM(LEFT(IFERROR(INDEX(Topic_Register[Related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ID],0),"")="","",INDEX(Action_Register[Owner],IFERROR(MATCH(TRIM(LEFT(IFERROR(INDEX(Topic_Register[Related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ID],0),""))))</f>
        <v/>
      </c>
      <c r="O16" s="40">
        <f t="array" ref="O16">IF($D16="","",IF(IFERROR(MATCH(TRIM(LEFT(IFERROR(INDEX(Topic_Register[Related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ID],0),"")="","",INDEX(Action_Register[Due Date],IFERROR(MATCH(TRIM(LEFT(IFERROR(INDEX(Topic_Register[Related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ID],0),""))))</f>
        <v/>
      </c>
      <c r="P16" s="39">
        <f t="array" ref="P16">IF($D16="","",IF(IFERROR(MATCH(TRIM(LEFT(IFERROR(INDEX(Topic_Register[Related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ID],0),"")="","",INDEX(Action_Register[Status],IFERROR(MATCH(TRIM(LEFT(IFERROR(INDEX(Topic_Register[Related Action ID(s)],MATCH(8,Topic_Register[Meeting Rank],0)),"")&amp;",",IFERROR(FIND(",",IFERROR(INDEX(Topic_Register[Related Action ID(s)],MATCH(8,Topic_Register[Meeting Rank],0)),"")&amp;",")-1,LEN(IFERROR(INDEX(Topic_Register[Related Action ID(s)],MATCH(8,Topic_Register[Meeting Rank],0)),""))))),Action_Register[Action ID],0),""))))</f>
        <v/>
      </c>
      <c r="Q16" s="39">
        <f t="array" ref="Q16">IF($D16="","",IF(IFERROR(INDEX(Topic_Register[Related PQCP Step(s)],MATCH(8,Topic_Register[Meeting Rank],0)),"")="","",IFERROR(INDEX(Topic_Register[Related PQCP Step(s)],MATCH(8,Topic_Register[Meeting Rank],0)),"")&amp;IF(IFERROR(INDEX(Topic_Register[PQCP Comment / Impact],MATCH(8,Topic_Register[Meeting Rank],0)),"")&lt;&gt;"",": "&amp;IFERROR(INDEX(Topic_Register[PQCP Comment / Impact],MATCH(8,Topic_Register[Meeting Rank],0)),""),"")))</f>
        <v/>
      </c>
      <c r="R16" s="39">
        <f t="array" ref="R16">IF($D16="","",IFERROR(INDEX(Topic_Register[Commissioning Blocker?],MATCH(8,Topic_Register[Meeting Rank],0)),""))</f>
        <v/>
      </c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</row>
    <row r="17" ht="30" customHeight="1">
      <c r="B17" s="17">
        <f t="array" ref="B17">IF($D17="","",IFERROR(INDEX(Topic_Register[Category],MATCH(9,Topic_Register[Meeting Rank],0)),""))</f>
        <v/>
      </c>
      <c r="C17" s="17">
        <f t="array" ref="C17">IF($D17="","",IFERROR(INDEX(Topic_Register[Sub-category],MATCH(9,Topic_Register[Meeting Rank],0)),""))</f>
        <v/>
      </c>
      <c r="D17" s="17">
        <f t="array" ref="D17">IFERROR(INDEX(Topic_Register[Topic ID],MATCH(9,Topic_Register[Meeting Rank],0)),"")</f>
        <v/>
      </c>
      <c r="E17" s="17">
        <f t="array" ref="E17">IF($D17="","",IFERROR(INDEX(Topic_Register[Topic],MATCH(9,Topic_Register[Meeting Rank],0)),""))</f>
        <v/>
      </c>
      <c r="F17" s="17">
        <f t="array" ref="F17">IF($D17="","",IFERROR(INDEX(Topic_Register[Discipline],MATCH(9,Topic_Register[Meeting Rank],0)),""))</f>
        <v/>
      </c>
      <c r="G17" s="17">
        <f t="array" ref="G17">IF($D17="","",IFERROR(INDEX(Topic_Register[System / Scope],MATCH(9,Topic_Register[Meeting Rank],0)),""))</f>
        <v/>
      </c>
      <c r="H17" s="17">
        <f t="array" ref="H17">IF($D17="","",IFERROR(INDEX(Topic_Register[Current Position],MATCH(9,Topic_Register[Meeting Rank],0)),""))</f>
        <v/>
      </c>
      <c r="I17" s="17">
        <f t="array" ref="I17">IF($D17="","",IFERROR(INDEX(Topic_Register[Change Since Last Review],MATCH(9,Topic_Register[Meeting Rank],0)),""))</f>
        <v/>
      </c>
      <c r="J17" s="17">
        <f t="array" ref="J17">IF($D17="","",IFERROR(INDEX(Topic_Register[Latest Update],MATCH(9,Topic_Register[Meeting Rank],0)),""))</f>
        <v/>
      </c>
      <c r="K17" s="17">
        <f t="array" ref="K17">IF($D17="","",IFERROR(INDEX(Topic_Register[Outstanding Point / Gap],MATCH(9,Topic_Register[Meeting Rank],0)),""))</f>
        <v/>
      </c>
      <c r="L17" s="17">
        <f t="array" ref="L17">IF($D17="","",IFERROR(INDEX(Topic_Register[Question / Decision Required],MATCH(9,Topic_Register[Meeting Rank],0)),""))</f>
        <v/>
      </c>
      <c r="M17" s="17">
        <f t="array" ref="M17">IF($D17="","",IF(IFERROR(MATCH(TRIM(LEFT(IFERROR(INDEX(Topic_Register[Related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ID],0),"")="","",INDEX(Action_Register[Action Description],IFERROR(MATCH(TRIM(LEFT(IFERROR(INDEX(Topic_Register[Related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ID],0),""))))</f>
        <v/>
      </c>
      <c r="N17" s="17">
        <f t="array" ref="N17">IF($D17="","",IF(IFERROR(MATCH(TRIM(LEFT(IFERROR(INDEX(Topic_Register[Related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ID],0),"")="","",INDEX(Action_Register[Owner],IFERROR(MATCH(TRIM(LEFT(IFERROR(INDEX(Topic_Register[Related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ID],0),""))))</f>
        <v/>
      </c>
      <c r="O17" s="18">
        <f t="array" ref="O17">IF($D17="","",IF(IFERROR(MATCH(TRIM(LEFT(IFERROR(INDEX(Topic_Register[Related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ID],0),"")="","",INDEX(Action_Register[Due Date],IFERROR(MATCH(TRIM(LEFT(IFERROR(INDEX(Topic_Register[Related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ID],0),""))))</f>
        <v/>
      </c>
      <c r="P17" s="17">
        <f t="array" ref="P17">IF($D17="","",IF(IFERROR(MATCH(TRIM(LEFT(IFERROR(INDEX(Topic_Register[Related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ID],0),"")="","",INDEX(Action_Register[Status],IFERROR(MATCH(TRIM(LEFT(IFERROR(INDEX(Topic_Register[Related Action ID(s)],MATCH(9,Topic_Register[Meeting Rank],0)),"")&amp;",",IFERROR(FIND(",",IFERROR(INDEX(Topic_Register[Related Action ID(s)],MATCH(9,Topic_Register[Meeting Rank],0)),"")&amp;",")-1,LEN(IFERROR(INDEX(Topic_Register[Related Action ID(s)],MATCH(9,Topic_Register[Meeting Rank],0)),""))))),Action_Register[Action ID],0),""))))</f>
        <v/>
      </c>
      <c r="Q17" s="17">
        <f t="array" ref="Q17">IF($D17="","",IF(IFERROR(INDEX(Topic_Register[Related PQCP Step(s)],MATCH(9,Topic_Register[Meeting Rank],0)),"")="","",IFERROR(INDEX(Topic_Register[Related PQCP Step(s)],MATCH(9,Topic_Register[Meeting Rank],0)),"")&amp;IF(IFERROR(INDEX(Topic_Register[PQCP Comment / Impact],MATCH(9,Topic_Register[Meeting Rank],0)),"")&lt;&gt;"",": "&amp;IFERROR(INDEX(Topic_Register[PQCP Comment / Impact],MATCH(9,Topic_Register[Meeting Rank],0)),""),"")))</f>
        <v/>
      </c>
      <c r="R17" s="17">
        <f t="array" ref="R17">IF($D17="","",IFERROR(INDEX(Topic_Register[Commissioning Blocker?],MATCH(9,Topic_Register[Meeting Rank],0)),""))</f>
        <v/>
      </c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</row>
    <row r="18" ht="30" customHeight="1">
      <c r="B18" s="39">
        <f t="array" ref="B18">IF($D18="","",IFERROR(INDEX(Topic_Register[Category],MATCH(10,Topic_Register[Meeting Rank],0)),""))</f>
        <v/>
      </c>
      <c r="C18" s="39">
        <f t="array" ref="C18">IF($D18="","",IFERROR(INDEX(Topic_Register[Sub-category],MATCH(10,Topic_Register[Meeting Rank],0)),""))</f>
        <v/>
      </c>
      <c r="D18" s="39">
        <f t="array" ref="D18">IFERROR(INDEX(Topic_Register[Topic ID],MATCH(10,Topic_Register[Meeting Rank],0)),"")</f>
        <v/>
      </c>
      <c r="E18" s="39">
        <f t="array" ref="E18">IF($D18="","",IFERROR(INDEX(Topic_Register[Topic],MATCH(10,Topic_Register[Meeting Rank],0)),""))</f>
        <v/>
      </c>
      <c r="F18" s="39">
        <f t="array" ref="F18">IF($D18="","",IFERROR(INDEX(Topic_Register[Discipline],MATCH(10,Topic_Register[Meeting Rank],0)),""))</f>
        <v/>
      </c>
      <c r="G18" s="39">
        <f t="array" ref="G18">IF($D18="","",IFERROR(INDEX(Topic_Register[System / Scope],MATCH(10,Topic_Register[Meeting Rank],0)),""))</f>
        <v/>
      </c>
      <c r="H18" s="39">
        <f t="array" ref="H18">IF($D18="","",IFERROR(INDEX(Topic_Register[Current Position],MATCH(10,Topic_Register[Meeting Rank],0)),""))</f>
        <v/>
      </c>
      <c r="I18" s="39">
        <f t="array" ref="I18">IF($D18="","",IFERROR(INDEX(Topic_Register[Change Since Last Review],MATCH(10,Topic_Register[Meeting Rank],0)),""))</f>
        <v/>
      </c>
      <c r="J18" s="39">
        <f t="array" ref="J18">IF($D18="","",IFERROR(INDEX(Topic_Register[Latest Update],MATCH(10,Topic_Register[Meeting Rank],0)),""))</f>
        <v/>
      </c>
      <c r="K18" s="39">
        <f t="array" ref="K18">IF($D18="","",IFERROR(INDEX(Topic_Register[Outstanding Point / Gap],MATCH(10,Topic_Register[Meeting Rank],0)),""))</f>
        <v/>
      </c>
      <c r="L18" s="39">
        <f t="array" ref="L18">IF($D18="","",IFERROR(INDEX(Topic_Register[Question / Decision Required],MATCH(10,Topic_Register[Meeting Rank],0)),""))</f>
        <v/>
      </c>
      <c r="M18" s="39">
        <f t="array" ref="M18">IF($D18="","",IF(IFERROR(MATCH(TRIM(LEFT(IFERROR(INDEX(Topic_Register[Related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ID],0),"")="","",INDEX(Action_Register[Action Description],IFERROR(MATCH(TRIM(LEFT(IFERROR(INDEX(Topic_Register[Related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ID],0),""))))</f>
        <v/>
      </c>
      <c r="N18" s="39">
        <f t="array" ref="N18">IF($D18="","",IF(IFERROR(MATCH(TRIM(LEFT(IFERROR(INDEX(Topic_Register[Related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ID],0),"")="","",INDEX(Action_Register[Owner],IFERROR(MATCH(TRIM(LEFT(IFERROR(INDEX(Topic_Register[Related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ID],0),""))))</f>
        <v/>
      </c>
      <c r="O18" s="40">
        <f t="array" ref="O18">IF($D18="","",IF(IFERROR(MATCH(TRIM(LEFT(IFERROR(INDEX(Topic_Register[Related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ID],0),"")="","",INDEX(Action_Register[Due Date],IFERROR(MATCH(TRIM(LEFT(IFERROR(INDEX(Topic_Register[Related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ID],0),""))))</f>
        <v/>
      </c>
      <c r="P18" s="39">
        <f t="array" ref="P18">IF($D18="","",IF(IFERROR(MATCH(TRIM(LEFT(IFERROR(INDEX(Topic_Register[Related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ID],0),"")="","",INDEX(Action_Register[Status],IFERROR(MATCH(TRIM(LEFT(IFERROR(INDEX(Topic_Register[Related Action ID(s)],MATCH(10,Topic_Register[Meeting Rank],0)),"")&amp;",",IFERROR(FIND(",",IFERROR(INDEX(Topic_Register[Related Action ID(s)],MATCH(10,Topic_Register[Meeting Rank],0)),"")&amp;",")-1,LEN(IFERROR(INDEX(Topic_Register[Related Action ID(s)],MATCH(10,Topic_Register[Meeting Rank],0)),""))))),Action_Register[Action ID],0),""))))</f>
        <v/>
      </c>
      <c r="Q18" s="39">
        <f t="array" ref="Q18">IF($D18="","",IF(IFERROR(INDEX(Topic_Register[Related PQCP Step(s)],MATCH(10,Topic_Register[Meeting Rank],0)),"")="","",IFERROR(INDEX(Topic_Register[Related PQCP Step(s)],MATCH(10,Topic_Register[Meeting Rank],0)),"")&amp;IF(IFERROR(INDEX(Topic_Register[PQCP Comment / Impact],MATCH(10,Topic_Register[Meeting Rank],0)),"")&lt;&gt;"",": "&amp;IFERROR(INDEX(Topic_Register[PQCP Comment / Impact],MATCH(10,Topic_Register[Meeting Rank],0)),""),"")))</f>
        <v/>
      </c>
      <c r="R18" s="39">
        <f t="array" ref="R18">IF($D18="","",IFERROR(INDEX(Topic_Register[Commissioning Blocker?],MATCH(10,Topic_Register[Meeting Rank],0)),""))</f>
        <v/>
      </c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</row>
    <row r="19" ht="30" customHeight="1">
      <c r="B19" s="17">
        <f t="array" ref="B19">IF($D19="","",IFERROR(INDEX(Topic_Register[Category],MATCH(11,Topic_Register[Meeting Rank],0)),""))</f>
        <v/>
      </c>
      <c r="C19" s="17">
        <f t="array" ref="C19">IF($D19="","",IFERROR(INDEX(Topic_Register[Sub-category],MATCH(11,Topic_Register[Meeting Rank],0)),""))</f>
        <v/>
      </c>
      <c r="D19" s="17">
        <f t="array" ref="D19">IFERROR(INDEX(Topic_Register[Topic ID],MATCH(11,Topic_Register[Meeting Rank],0)),"")</f>
        <v/>
      </c>
      <c r="E19" s="17">
        <f t="array" ref="E19">IF($D19="","",IFERROR(INDEX(Topic_Register[Topic],MATCH(11,Topic_Register[Meeting Rank],0)),""))</f>
        <v/>
      </c>
      <c r="F19" s="17">
        <f t="array" ref="F19">IF($D19="","",IFERROR(INDEX(Topic_Register[Discipline],MATCH(11,Topic_Register[Meeting Rank],0)),""))</f>
        <v/>
      </c>
      <c r="G19" s="17">
        <f t="array" ref="G19">IF($D19="","",IFERROR(INDEX(Topic_Register[System / Scope],MATCH(11,Topic_Register[Meeting Rank],0)),""))</f>
        <v/>
      </c>
      <c r="H19" s="17">
        <f t="array" ref="H19">IF($D19="","",IFERROR(INDEX(Topic_Register[Current Position],MATCH(11,Topic_Register[Meeting Rank],0)),""))</f>
        <v/>
      </c>
      <c r="I19" s="17">
        <f t="array" ref="I19">IF($D19="","",IFERROR(INDEX(Topic_Register[Change Since Last Review],MATCH(11,Topic_Register[Meeting Rank],0)),""))</f>
        <v/>
      </c>
      <c r="J19" s="17">
        <f t="array" ref="J19">IF($D19="","",IFERROR(INDEX(Topic_Register[Latest Update],MATCH(11,Topic_Register[Meeting Rank],0)),""))</f>
        <v/>
      </c>
      <c r="K19" s="17">
        <f t="array" ref="K19">IF($D19="","",IFERROR(INDEX(Topic_Register[Outstanding Point / Gap],MATCH(11,Topic_Register[Meeting Rank],0)),""))</f>
        <v/>
      </c>
      <c r="L19" s="17">
        <f t="array" ref="L19">IF($D19="","",IFERROR(INDEX(Topic_Register[Question / Decision Required],MATCH(11,Topic_Register[Meeting Rank],0)),""))</f>
        <v/>
      </c>
      <c r="M19" s="17">
        <f t="array" ref="M19">IF($D19="","",IF(IFERROR(MATCH(TRIM(LEFT(IFERROR(INDEX(Topic_Register[Related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ID],0),"")="","",INDEX(Action_Register[Action Description],IFERROR(MATCH(TRIM(LEFT(IFERROR(INDEX(Topic_Register[Related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ID],0),""))))</f>
        <v/>
      </c>
      <c r="N19" s="17">
        <f t="array" ref="N19">IF($D19="","",IF(IFERROR(MATCH(TRIM(LEFT(IFERROR(INDEX(Topic_Register[Related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ID],0),"")="","",INDEX(Action_Register[Owner],IFERROR(MATCH(TRIM(LEFT(IFERROR(INDEX(Topic_Register[Related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ID],0),""))))</f>
        <v/>
      </c>
      <c r="O19" s="18">
        <f t="array" ref="O19">IF($D19="","",IF(IFERROR(MATCH(TRIM(LEFT(IFERROR(INDEX(Topic_Register[Related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ID],0),"")="","",INDEX(Action_Register[Due Date],IFERROR(MATCH(TRIM(LEFT(IFERROR(INDEX(Topic_Register[Related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ID],0),""))))</f>
        <v/>
      </c>
      <c r="P19" s="17">
        <f t="array" ref="P19">IF($D19="","",IF(IFERROR(MATCH(TRIM(LEFT(IFERROR(INDEX(Topic_Register[Related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ID],0),"")="","",INDEX(Action_Register[Status],IFERROR(MATCH(TRIM(LEFT(IFERROR(INDEX(Topic_Register[Related Action ID(s)],MATCH(11,Topic_Register[Meeting Rank],0)),"")&amp;",",IFERROR(FIND(",",IFERROR(INDEX(Topic_Register[Related Action ID(s)],MATCH(11,Topic_Register[Meeting Rank],0)),"")&amp;",")-1,LEN(IFERROR(INDEX(Topic_Register[Related Action ID(s)],MATCH(11,Topic_Register[Meeting Rank],0)),""))))),Action_Register[Action ID],0),""))))</f>
        <v/>
      </c>
      <c r="Q19" s="17">
        <f t="array" ref="Q19">IF($D19="","",IF(IFERROR(INDEX(Topic_Register[Related PQCP Step(s)],MATCH(11,Topic_Register[Meeting Rank],0)),"")="","",IFERROR(INDEX(Topic_Register[Related PQCP Step(s)],MATCH(11,Topic_Register[Meeting Rank],0)),"")&amp;IF(IFERROR(INDEX(Topic_Register[PQCP Comment / Impact],MATCH(11,Topic_Register[Meeting Rank],0)),"")&lt;&gt;"",": "&amp;IFERROR(INDEX(Topic_Register[PQCP Comment / Impact],MATCH(11,Topic_Register[Meeting Rank],0)),""),"")))</f>
        <v/>
      </c>
      <c r="R19" s="17">
        <f t="array" ref="R19">IF($D19="","",IFERROR(INDEX(Topic_Register[Commissioning Blocker?],MATCH(11,Topic_Register[Meeting Rank],0)),""))</f>
        <v/>
      </c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</row>
    <row r="20" ht="30" customHeight="1">
      <c r="B20" s="39">
        <f t="array" ref="B20">IF($D20="","",IFERROR(INDEX(Topic_Register[Category],MATCH(12,Topic_Register[Meeting Rank],0)),""))</f>
        <v/>
      </c>
      <c r="C20" s="39">
        <f t="array" ref="C20">IF($D20="","",IFERROR(INDEX(Topic_Register[Sub-category],MATCH(12,Topic_Register[Meeting Rank],0)),""))</f>
        <v/>
      </c>
      <c r="D20" s="39">
        <f t="array" ref="D20">IFERROR(INDEX(Topic_Register[Topic ID],MATCH(12,Topic_Register[Meeting Rank],0)),"")</f>
        <v/>
      </c>
      <c r="E20" s="39">
        <f t="array" ref="E20">IF($D20="","",IFERROR(INDEX(Topic_Register[Topic],MATCH(12,Topic_Register[Meeting Rank],0)),""))</f>
        <v/>
      </c>
      <c r="F20" s="39">
        <f t="array" ref="F20">IF($D20="","",IFERROR(INDEX(Topic_Register[Discipline],MATCH(12,Topic_Register[Meeting Rank],0)),""))</f>
        <v/>
      </c>
      <c r="G20" s="39">
        <f t="array" ref="G20">IF($D20="","",IFERROR(INDEX(Topic_Register[System / Scope],MATCH(12,Topic_Register[Meeting Rank],0)),""))</f>
        <v/>
      </c>
      <c r="H20" s="39">
        <f t="array" ref="H20">IF($D20="","",IFERROR(INDEX(Topic_Register[Current Position],MATCH(12,Topic_Register[Meeting Rank],0)),""))</f>
        <v/>
      </c>
      <c r="I20" s="39">
        <f t="array" ref="I20">IF($D20="","",IFERROR(INDEX(Topic_Register[Change Since Last Review],MATCH(12,Topic_Register[Meeting Rank],0)),""))</f>
        <v/>
      </c>
      <c r="J20" s="39">
        <f t="array" ref="J20">IF($D20="","",IFERROR(INDEX(Topic_Register[Latest Update],MATCH(12,Topic_Register[Meeting Rank],0)),""))</f>
        <v/>
      </c>
      <c r="K20" s="39">
        <f t="array" ref="K20">IF($D20="","",IFERROR(INDEX(Topic_Register[Outstanding Point / Gap],MATCH(12,Topic_Register[Meeting Rank],0)),""))</f>
        <v/>
      </c>
      <c r="L20" s="39">
        <f t="array" ref="L20">IF($D20="","",IFERROR(INDEX(Topic_Register[Question / Decision Required],MATCH(12,Topic_Register[Meeting Rank],0)),""))</f>
        <v/>
      </c>
      <c r="M20" s="39">
        <f t="array" ref="M20">IF($D20="","",IF(IFERROR(MATCH(TRIM(LEFT(IFERROR(INDEX(Topic_Register[Related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ID],0),"")="","",INDEX(Action_Register[Action Description],IFERROR(MATCH(TRIM(LEFT(IFERROR(INDEX(Topic_Register[Related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ID],0),""))))</f>
        <v/>
      </c>
      <c r="N20" s="39">
        <f t="array" ref="N20">IF($D20="","",IF(IFERROR(MATCH(TRIM(LEFT(IFERROR(INDEX(Topic_Register[Related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ID],0),"")="","",INDEX(Action_Register[Owner],IFERROR(MATCH(TRIM(LEFT(IFERROR(INDEX(Topic_Register[Related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ID],0),""))))</f>
        <v/>
      </c>
      <c r="O20" s="40">
        <f t="array" ref="O20">IF($D20="","",IF(IFERROR(MATCH(TRIM(LEFT(IFERROR(INDEX(Topic_Register[Related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ID],0),"")="","",INDEX(Action_Register[Due Date],IFERROR(MATCH(TRIM(LEFT(IFERROR(INDEX(Topic_Register[Related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ID],0),""))))</f>
        <v/>
      </c>
      <c r="P20" s="39">
        <f t="array" ref="P20">IF($D20="","",IF(IFERROR(MATCH(TRIM(LEFT(IFERROR(INDEX(Topic_Register[Related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ID],0),"")="","",INDEX(Action_Register[Status],IFERROR(MATCH(TRIM(LEFT(IFERROR(INDEX(Topic_Register[Related Action ID(s)],MATCH(12,Topic_Register[Meeting Rank],0)),"")&amp;",",IFERROR(FIND(",",IFERROR(INDEX(Topic_Register[Related Action ID(s)],MATCH(12,Topic_Register[Meeting Rank],0)),"")&amp;",")-1,LEN(IFERROR(INDEX(Topic_Register[Related Action ID(s)],MATCH(12,Topic_Register[Meeting Rank],0)),""))))),Action_Register[Action ID],0),""))))</f>
        <v/>
      </c>
      <c r="Q20" s="39">
        <f t="array" ref="Q20">IF($D20="","",IF(IFERROR(INDEX(Topic_Register[Related PQCP Step(s)],MATCH(12,Topic_Register[Meeting Rank],0)),"")="","",IFERROR(INDEX(Topic_Register[Related PQCP Step(s)],MATCH(12,Topic_Register[Meeting Rank],0)),"")&amp;IF(IFERROR(INDEX(Topic_Register[PQCP Comment / Impact],MATCH(12,Topic_Register[Meeting Rank],0)),"")&lt;&gt;"",": "&amp;IFERROR(INDEX(Topic_Register[PQCP Comment / Impact],MATCH(12,Topic_Register[Meeting Rank],0)),""),"")))</f>
        <v/>
      </c>
      <c r="R20" s="39">
        <f t="array" ref="R20">IF($D20="","",IFERROR(INDEX(Topic_Register[Commissioning Blocker?],MATCH(12,Topic_Register[Meeting Rank],0)),""))</f>
        <v/>
      </c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</row>
    <row r="21" ht="30" customHeight="1">
      <c r="B21" s="17">
        <f t="array" ref="B21">IF($D21="","",IFERROR(INDEX(Topic_Register[Category],MATCH(13,Topic_Register[Meeting Rank],0)),""))</f>
        <v/>
      </c>
      <c r="C21" s="17">
        <f t="array" ref="C21">IF($D21="","",IFERROR(INDEX(Topic_Register[Sub-category],MATCH(13,Topic_Register[Meeting Rank],0)),""))</f>
        <v/>
      </c>
      <c r="D21" s="17">
        <f t="array" ref="D21">IFERROR(INDEX(Topic_Register[Topic ID],MATCH(13,Topic_Register[Meeting Rank],0)),"")</f>
        <v/>
      </c>
      <c r="E21" s="17">
        <f t="array" ref="E21">IF($D21="","",IFERROR(INDEX(Topic_Register[Topic],MATCH(13,Topic_Register[Meeting Rank],0)),""))</f>
        <v/>
      </c>
      <c r="F21" s="17">
        <f t="array" ref="F21">IF($D21="","",IFERROR(INDEX(Topic_Register[Discipline],MATCH(13,Topic_Register[Meeting Rank],0)),""))</f>
        <v/>
      </c>
      <c r="G21" s="17">
        <f t="array" ref="G21">IF($D21="","",IFERROR(INDEX(Topic_Register[System / Scope],MATCH(13,Topic_Register[Meeting Rank],0)),""))</f>
        <v/>
      </c>
      <c r="H21" s="17">
        <f t="array" ref="H21">IF($D21="","",IFERROR(INDEX(Topic_Register[Current Position],MATCH(13,Topic_Register[Meeting Rank],0)),""))</f>
        <v/>
      </c>
      <c r="I21" s="17">
        <f t="array" ref="I21">IF($D21="","",IFERROR(INDEX(Topic_Register[Change Since Last Review],MATCH(13,Topic_Register[Meeting Rank],0)),""))</f>
        <v/>
      </c>
      <c r="J21" s="17">
        <f t="array" ref="J21">IF($D21="","",IFERROR(INDEX(Topic_Register[Latest Update],MATCH(13,Topic_Register[Meeting Rank],0)),""))</f>
        <v/>
      </c>
      <c r="K21" s="17">
        <f t="array" ref="K21">IF($D21="","",IFERROR(INDEX(Topic_Register[Outstanding Point / Gap],MATCH(13,Topic_Register[Meeting Rank],0)),""))</f>
        <v/>
      </c>
      <c r="L21" s="17">
        <f t="array" ref="L21">IF($D21="","",IFERROR(INDEX(Topic_Register[Question / Decision Required],MATCH(13,Topic_Register[Meeting Rank],0)),""))</f>
        <v/>
      </c>
      <c r="M21" s="17">
        <f t="array" ref="M21">IF($D21="","",IF(IFERROR(MATCH(TRIM(LEFT(IFERROR(INDEX(Topic_Register[Related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ID],0),"")="","",INDEX(Action_Register[Action Description],IFERROR(MATCH(TRIM(LEFT(IFERROR(INDEX(Topic_Register[Related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ID],0),""))))</f>
        <v/>
      </c>
      <c r="N21" s="17">
        <f t="array" ref="N21">IF($D21="","",IF(IFERROR(MATCH(TRIM(LEFT(IFERROR(INDEX(Topic_Register[Related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ID],0),"")="","",INDEX(Action_Register[Owner],IFERROR(MATCH(TRIM(LEFT(IFERROR(INDEX(Topic_Register[Related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ID],0),""))))</f>
        <v/>
      </c>
      <c r="O21" s="18">
        <f t="array" ref="O21">IF($D21="","",IF(IFERROR(MATCH(TRIM(LEFT(IFERROR(INDEX(Topic_Register[Related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ID],0),"")="","",INDEX(Action_Register[Due Date],IFERROR(MATCH(TRIM(LEFT(IFERROR(INDEX(Topic_Register[Related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ID],0),""))))</f>
        <v/>
      </c>
      <c r="P21" s="17">
        <f t="array" ref="P21">IF($D21="","",IF(IFERROR(MATCH(TRIM(LEFT(IFERROR(INDEX(Topic_Register[Related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ID],0),"")="","",INDEX(Action_Register[Status],IFERROR(MATCH(TRIM(LEFT(IFERROR(INDEX(Topic_Register[Related Action ID(s)],MATCH(13,Topic_Register[Meeting Rank],0)),"")&amp;",",IFERROR(FIND(",",IFERROR(INDEX(Topic_Register[Related Action ID(s)],MATCH(13,Topic_Register[Meeting Rank],0)),"")&amp;",")-1,LEN(IFERROR(INDEX(Topic_Register[Related Action ID(s)],MATCH(13,Topic_Register[Meeting Rank],0)),""))))),Action_Register[Action ID],0),""))))</f>
        <v/>
      </c>
      <c r="Q21" s="17">
        <f t="array" ref="Q21">IF($D21="","",IF(IFERROR(INDEX(Topic_Register[Related PQCP Step(s)],MATCH(13,Topic_Register[Meeting Rank],0)),"")="","",IFERROR(INDEX(Topic_Register[Related PQCP Step(s)],MATCH(13,Topic_Register[Meeting Rank],0)),"")&amp;IF(IFERROR(INDEX(Topic_Register[PQCP Comment / Impact],MATCH(13,Topic_Register[Meeting Rank],0)),"")&lt;&gt;"",": "&amp;IFERROR(INDEX(Topic_Register[PQCP Comment / Impact],MATCH(13,Topic_Register[Meeting Rank],0)),""),"")))</f>
        <v/>
      </c>
      <c r="R21" s="17">
        <f t="array" ref="R21">IF($D21="","",IFERROR(INDEX(Topic_Register[Commissioning Blocker?],MATCH(13,Topic_Register[Meeting Rank],0)),""))</f>
        <v/>
      </c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</row>
    <row r="22" ht="30" customHeight="1">
      <c r="B22" s="39">
        <f t="array" ref="B22">IF($D22="","",IFERROR(INDEX(Topic_Register[Category],MATCH(14,Topic_Register[Meeting Rank],0)),""))</f>
        <v/>
      </c>
      <c r="C22" s="39">
        <f t="array" ref="C22">IF($D22="","",IFERROR(INDEX(Topic_Register[Sub-category],MATCH(14,Topic_Register[Meeting Rank],0)),""))</f>
        <v/>
      </c>
      <c r="D22" s="39">
        <f t="array" ref="D22">IFERROR(INDEX(Topic_Register[Topic ID],MATCH(14,Topic_Register[Meeting Rank],0)),"")</f>
        <v/>
      </c>
      <c r="E22" s="39">
        <f t="array" ref="E22">IF($D22="","",IFERROR(INDEX(Topic_Register[Topic],MATCH(14,Topic_Register[Meeting Rank],0)),""))</f>
        <v/>
      </c>
      <c r="F22" s="39">
        <f t="array" ref="F22">IF($D22="","",IFERROR(INDEX(Topic_Register[Discipline],MATCH(14,Topic_Register[Meeting Rank],0)),""))</f>
        <v/>
      </c>
      <c r="G22" s="39">
        <f t="array" ref="G22">IF($D22="","",IFERROR(INDEX(Topic_Register[System / Scope],MATCH(14,Topic_Register[Meeting Rank],0)),""))</f>
        <v/>
      </c>
      <c r="H22" s="39">
        <f t="array" ref="H22">IF($D22="","",IFERROR(INDEX(Topic_Register[Current Position],MATCH(14,Topic_Register[Meeting Rank],0)),""))</f>
        <v/>
      </c>
      <c r="I22" s="39">
        <f t="array" ref="I22">IF($D22="","",IFERROR(INDEX(Topic_Register[Change Since Last Review],MATCH(14,Topic_Register[Meeting Rank],0)),""))</f>
        <v/>
      </c>
      <c r="J22" s="39">
        <f t="array" ref="J22">IF($D22="","",IFERROR(INDEX(Topic_Register[Latest Update],MATCH(14,Topic_Register[Meeting Rank],0)),""))</f>
        <v/>
      </c>
      <c r="K22" s="39">
        <f t="array" ref="K22">IF($D22="","",IFERROR(INDEX(Topic_Register[Outstanding Point / Gap],MATCH(14,Topic_Register[Meeting Rank],0)),""))</f>
        <v/>
      </c>
      <c r="L22" s="39">
        <f t="array" ref="L22">IF($D22="","",IFERROR(INDEX(Topic_Register[Question / Decision Required],MATCH(14,Topic_Register[Meeting Rank],0)),""))</f>
        <v/>
      </c>
      <c r="M22" s="39">
        <f t="array" ref="M22">IF($D22="","",IF(IFERROR(MATCH(TRIM(LEFT(IFERROR(INDEX(Topic_Register[Related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ID],0),"")="","",INDEX(Action_Register[Action Description],IFERROR(MATCH(TRIM(LEFT(IFERROR(INDEX(Topic_Register[Related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ID],0),""))))</f>
        <v/>
      </c>
      <c r="N22" s="39">
        <f t="array" ref="N22">IF($D22="","",IF(IFERROR(MATCH(TRIM(LEFT(IFERROR(INDEX(Topic_Register[Related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ID],0),"")="","",INDEX(Action_Register[Owner],IFERROR(MATCH(TRIM(LEFT(IFERROR(INDEX(Topic_Register[Related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ID],0),""))))</f>
        <v/>
      </c>
      <c r="O22" s="40">
        <f t="array" ref="O22">IF($D22="","",IF(IFERROR(MATCH(TRIM(LEFT(IFERROR(INDEX(Topic_Register[Related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ID],0),"")="","",INDEX(Action_Register[Due Date],IFERROR(MATCH(TRIM(LEFT(IFERROR(INDEX(Topic_Register[Related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ID],0),""))))</f>
        <v/>
      </c>
      <c r="P22" s="39">
        <f t="array" ref="P22">IF($D22="","",IF(IFERROR(MATCH(TRIM(LEFT(IFERROR(INDEX(Topic_Register[Related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ID],0),"")="","",INDEX(Action_Register[Status],IFERROR(MATCH(TRIM(LEFT(IFERROR(INDEX(Topic_Register[Related Action ID(s)],MATCH(14,Topic_Register[Meeting Rank],0)),"")&amp;",",IFERROR(FIND(",",IFERROR(INDEX(Topic_Register[Related Action ID(s)],MATCH(14,Topic_Register[Meeting Rank],0)),"")&amp;",")-1,LEN(IFERROR(INDEX(Topic_Register[Related Action ID(s)],MATCH(14,Topic_Register[Meeting Rank],0)),""))))),Action_Register[Action ID],0),""))))</f>
        <v/>
      </c>
      <c r="Q22" s="39">
        <f t="array" ref="Q22">IF($D22="","",IF(IFERROR(INDEX(Topic_Register[Related PQCP Step(s)],MATCH(14,Topic_Register[Meeting Rank],0)),"")="","",IFERROR(INDEX(Topic_Register[Related PQCP Step(s)],MATCH(14,Topic_Register[Meeting Rank],0)),"")&amp;IF(IFERROR(INDEX(Topic_Register[PQCP Comment / Impact],MATCH(14,Topic_Register[Meeting Rank],0)),"")&lt;&gt;"",": "&amp;IFERROR(INDEX(Topic_Register[PQCP Comment / Impact],MATCH(14,Topic_Register[Meeting Rank],0)),""),"")))</f>
        <v/>
      </c>
      <c r="R22" s="39">
        <f t="array" ref="R22">IF($D22="","",IFERROR(INDEX(Topic_Register[Commissioning Blocker?],MATCH(14,Topic_Register[Meeting Rank],0)),""))</f>
        <v/>
      </c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</row>
    <row r="23" ht="30" customHeight="1">
      <c r="B23" s="17">
        <f t="array" ref="B23">IF($D23="","",IFERROR(INDEX(Topic_Register[Category],MATCH(15,Topic_Register[Meeting Rank],0)),""))</f>
        <v/>
      </c>
      <c r="C23" s="17">
        <f t="array" ref="C23">IF($D23="","",IFERROR(INDEX(Topic_Register[Sub-category],MATCH(15,Topic_Register[Meeting Rank],0)),""))</f>
        <v/>
      </c>
      <c r="D23" s="17">
        <f t="array" ref="D23">IFERROR(INDEX(Topic_Register[Topic ID],MATCH(15,Topic_Register[Meeting Rank],0)),"")</f>
        <v/>
      </c>
      <c r="E23" s="17">
        <f t="array" ref="E23">IF($D23="","",IFERROR(INDEX(Topic_Register[Topic],MATCH(15,Topic_Register[Meeting Rank],0)),""))</f>
        <v/>
      </c>
      <c r="F23" s="17">
        <f t="array" ref="F23">IF($D23="","",IFERROR(INDEX(Topic_Register[Discipline],MATCH(15,Topic_Register[Meeting Rank],0)),""))</f>
        <v/>
      </c>
      <c r="G23" s="17">
        <f t="array" ref="G23">IF($D23="","",IFERROR(INDEX(Topic_Register[System / Scope],MATCH(15,Topic_Register[Meeting Rank],0)),""))</f>
        <v/>
      </c>
      <c r="H23" s="17">
        <f t="array" ref="H23">IF($D23="","",IFERROR(INDEX(Topic_Register[Current Position],MATCH(15,Topic_Register[Meeting Rank],0)),""))</f>
        <v/>
      </c>
      <c r="I23" s="17">
        <f t="array" ref="I23">IF($D23="","",IFERROR(INDEX(Topic_Register[Change Since Last Review],MATCH(15,Topic_Register[Meeting Rank],0)),""))</f>
        <v/>
      </c>
      <c r="J23" s="17">
        <f t="array" ref="J23">IF($D23="","",IFERROR(INDEX(Topic_Register[Latest Update],MATCH(15,Topic_Register[Meeting Rank],0)),""))</f>
        <v/>
      </c>
      <c r="K23" s="17">
        <f t="array" ref="K23">IF($D23="","",IFERROR(INDEX(Topic_Register[Outstanding Point / Gap],MATCH(15,Topic_Register[Meeting Rank],0)),""))</f>
        <v/>
      </c>
      <c r="L23" s="17">
        <f t="array" ref="L23">IF($D23="","",IFERROR(INDEX(Topic_Register[Question / Decision Required],MATCH(15,Topic_Register[Meeting Rank],0)),""))</f>
        <v/>
      </c>
      <c r="M23" s="17">
        <f t="array" ref="M23">IF($D23="","",IF(IFERROR(MATCH(TRIM(LEFT(IFERROR(INDEX(Topic_Register[Related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ID],0),"")="","",INDEX(Action_Register[Action Description],IFERROR(MATCH(TRIM(LEFT(IFERROR(INDEX(Topic_Register[Related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ID],0),""))))</f>
        <v/>
      </c>
      <c r="N23" s="17">
        <f t="array" ref="N23">IF($D23="","",IF(IFERROR(MATCH(TRIM(LEFT(IFERROR(INDEX(Topic_Register[Related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ID],0),"")="","",INDEX(Action_Register[Owner],IFERROR(MATCH(TRIM(LEFT(IFERROR(INDEX(Topic_Register[Related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ID],0),""))))</f>
        <v/>
      </c>
      <c r="O23" s="18">
        <f t="array" ref="O23">IF($D23="","",IF(IFERROR(MATCH(TRIM(LEFT(IFERROR(INDEX(Topic_Register[Related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ID],0),"")="","",INDEX(Action_Register[Due Date],IFERROR(MATCH(TRIM(LEFT(IFERROR(INDEX(Topic_Register[Related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ID],0),""))))</f>
        <v/>
      </c>
      <c r="P23" s="17">
        <f t="array" ref="P23">IF($D23="","",IF(IFERROR(MATCH(TRIM(LEFT(IFERROR(INDEX(Topic_Register[Related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ID],0),"")="","",INDEX(Action_Register[Status],IFERROR(MATCH(TRIM(LEFT(IFERROR(INDEX(Topic_Register[Related Action ID(s)],MATCH(15,Topic_Register[Meeting Rank],0)),"")&amp;",",IFERROR(FIND(",",IFERROR(INDEX(Topic_Register[Related Action ID(s)],MATCH(15,Topic_Register[Meeting Rank],0)),"")&amp;",")-1,LEN(IFERROR(INDEX(Topic_Register[Related Action ID(s)],MATCH(15,Topic_Register[Meeting Rank],0)),""))))),Action_Register[Action ID],0),""))))</f>
        <v/>
      </c>
      <c r="Q23" s="17">
        <f t="array" ref="Q23">IF($D23="","",IF(IFERROR(INDEX(Topic_Register[Related PQCP Step(s)],MATCH(15,Topic_Register[Meeting Rank],0)),"")="","",IFERROR(INDEX(Topic_Register[Related PQCP Step(s)],MATCH(15,Topic_Register[Meeting Rank],0)),"")&amp;IF(IFERROR(INDEX(Topic_Register[PQCP Comment / Impact],MATCH(15,Topic_Register[Meeting Rank],0)),"")&lt;&gt;"",": "&amp;IFERROR(INDEX(Topic_Register[PQCP Comment / Impact],MATCH(15,Topic_Register[Meeting Rank],0)),""),"")))</f>
        <v/>
      </c>
      <c r="R23" s="17">
        <f t="array" ref="R23">IF($D23="","",IFERROR(INDEX(Topic_Register[Commissioning Blocker?],MATCH(15,Topic_Register[Meeting Rank],0)),""))</f>
        <v/>
      </c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</row>
    <row r="24" ht="30" customHeight="1">
      <c r="B24" s="39">
        <f t="array" ref="B24">IF($D24="","",IFERROR(INDEX(Topic_Register[Category],MATCH(16,Topic_Register[Meeting Rank],0)),""))</f>
        <v/>
      </c>
      <c r="C24" s="39">
        <f t="array" ref="C24">IF($D24="","",IFERROR(INDEX(Topic_Register[Sub-category],MATCH(16,Topic_Register[Meeting Rank],0)),""))</f>
        <v/>
      </c>
      <c r="D24" s="39">
        <f t="array" ref="D24">IFERROR(INDEX(Topic_Register[Topic ID],MATCH(16,Topic_Register[Meeting Rank],0)),"")</f>
        <v/>
      </c>
      <c r="E24" s="39">
        <f t="array" ref="E24">IF($D24="","",IFERROR(INDEX(Topic_Register[Topic],MATCH(16,Topic_Register[Meeting Rank],0)),""))</f>
        <v/>
      </c>
      <c r="F24" s="39">
        <f t="array" ref="F24">IF($D24="","",IFERROR(INDEX(Topic_Register[Discipline],MATCH(16,Topic_Register[Meeting Rank],0)),""))</f>
        <v/>
      </c>
      <c r="G24" s="39">
        <f t="array" ref="G24">IF($D24="","",IFERROR(INDEX(Topic_Register[System / Scope],MATCH(16,Topic_Register[Meeting Rank],0)),""))</f>
        <v/>
      </c>
      <c r="H24" s="39">
        <f t="array" ref="H24">IF($D24="","",IFERROR(INDEX(Topic_Register[Current Position],MATCH(16,Topic_Register[Meeting Rank],0)),""))</f>
        <v/>
      </c>
      <c r="I24" s="39">
        <f t="array" ref="I24">IF($D24="","",IFERROR(INDEX(Topic_Register[Change Since Last Review],MATCH(16,Topic_Register[Meeting Rank],0)),""))</f>
        <v/>
      </c>
      <c r="J24" s="39">
        <f t="array" ref="J24">IF($D24="","",IFERROR(INDEX(Topic_Register[Latest Update],MATCH(16,Topic_Register[Meeting Rank],0)),""))</f>
        <v/>
      </c>
      <c r="K24" s="39">
        <f t="array" ref="K24">IF($D24="","",IFERROR(INDEX(Topic_Register[Outstanding Point / Gap],MATCH(16,Topic_Register[Meeting Rank],0)),""))</f>
        <v/>
      </c>
      <c r="L24" s="39">
        <f t="array" ref="L24">IF($D24="","",IFERROR(INDEX(Topic_Register[Question / Decision Required],MATCH(16,Topic_Register[Meeting Rank],0)),""))</f>
        <v/>
      </c>
      <c r="M24" s="39">
        <f t="array" ref="M24">IF($D24="","",IF(IFERROR(MATCH(TRIM(LEFT(IFERROR(INDEX(Topic_Register[Related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ID],0),"")="","",INDEX(Action_Register[Action Description],IFERROR(MATCH(TRIM(LEFT(IFERROR(INDEX(Topic_Register[Related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ID],0),""))))</f>
        <v/>
      </c>
      <c r="N24" s="39">
        <f t="array" ref="N24">IF($D24="","",IF(IFERROR(MATCH(TRIM(LEFT(IFERROR(INDEX(Topic_Register[Related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ID],0),"")="","",INDEX(Action_Register[Owner],IFERROR(MATCH(TRIM(LEFT(IFERROR(INDEX(Topic_Register[Related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ID],0),""))))</f>
        <v/>
      </c>
      <c r="O24" s="40">
        <f t="array" ref="O24">IF($D24="","",IF(IFERROR(MATCH(TRIM(LEFT(IFERROR(INDEX(Topic_Register[Related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ID],0),"")="","",INDEX(Action_Register[Due Date],IFERROR(MATCH(TRIM(LEFT(IFERROR(INDEX(Topic_Register[Related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ID],0),""))))</f>
        <v/>
      </c>
      <c r="P24" s="39">
        <f t="array" ref="P24">IF($D24="","",IF(IFERROR(MATCH(TRIM(LEFT(IFERROR(INDEX(Topic_Register[Related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ID],0),"")="","",INDEX(Action_Register[Status],IFERROR(MATCH(TRIM(LEFT(IFERROR(INDEX(Topic_Register[Related Action ID(s)],MATCH(16,Topic_Register[Meeting Rank],0)),"")&amp;",",IFERROR(FIND(",",IFERROR(INDEX(Topic_Register[Related Action ID(s)],MATCH(16,Topic_Register[Meeting Rank],0)),"")&amp;",")-1,LEN(IFERROR(INDEX(Topic_Register[Related Action ID(s)],MATCH(16,Topic_Register[Meeting Rank],0)),""))))),Action_Register[Action ID],0),""))))</f>
        <v/>
      </c>
      <c r="Q24" s="39">
        <f t="array" ref="Q24">IF($D24="","",IF(IFERROR(INDEX(Topic_Register[Related PQCP Step(s)],MATCH(16,Topic_Register[Meeting Rank],0)),"")="","",IFERROR(INDEX(Topic_Register[Related PQCP Step(s)],MATCH(16,Topic_Register[Meeting Rank],0)),"")&amp;IF(IFERROR(INDEX(Topic_Register[PQCP Comment / Impact],MATCH(16,Topic_Register[Meeting Rank],0)),"")&lt;&gt;"",": "&amp;IFERROR(INDEX(Topic_Register[PQCP Comment / Impact],MATCH(16,Topic_Register[Meeting Rank],0)),""),"")))</f>
        <v/>
      </c>
      <c r="R24" s="39">
        <f t="array" ref="R24">IF($D24="","",IFERROR(INDEX(Topic_Register[Commissioning Blocker?],MATCH(16,Topic_Register[Meeting Rank],0)),""))</f>
        <v/>
      </c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</row>
    <row r="25" ht="30" customHeight="1">
      <c r="B25" s="17">
        <f t="array" ref="B25">IF($D25="","",IFERROR(INDEX(Topic_Register[Category],MATCH(17,Topic_Register[Meeting Rank],0)),""))</f>
        <v/>
      </c>
      <c r="C25" s="17">
        <f t="array" ref="C25">IF($D25="","",IFERROR(INDEX(Topic_Register[Sub-category],MATCH(17,Topic_Register[Meeting Rank],0)),""))</f>
        <v/>
      </c>
      <c r="D25" s="17">
        <f t="array" ref="D25">IFERROR(INDEX(Topic_Register[Topic ID],MATCH(17,Topic_Register[Meeting Rank],0)),"")</f>
        <v/>
      </c>
      <c r="E25" s="17">
        <f t="array" ref="E25">IF($D25="","",IFERROR(INDEX(Topic_Register[Topic],MATCH(17,Topic_Register[Meeting Rank],0)),""))</f>
        <v/>
      </c>
      <c r="F25" s="17">
        <f t="array" ref="F25">IF($D25="","",IFERROR(INDEX(Topic_Register[Discipline],MATCH(17,Topic_Register[Meeting Rank],0)),""))</f>
        <v/>
      </c>
      <c r="G25" s="17">
        <f t="array" ref="G25">IF($D25="","",IFERROR(INDEX(Topic_Register[System / Scope],MATCH(17,Topic_Register[Meeting Rank],0)),""))</f>
        <v/>
      </c>
      <c r="H25" s="17">
        <f t="array" ref="H25">IF($D25="","",IFERROR(INDEX(Topic_Register[Current Position],MATCH(17,Topic_Register[Meeting Rank],0)),""))</f>
        <v/>
      </c>
      <c r="I25" s="17">
        <f t="array" ref="I25">IF($D25="","",IFERROR(INDEX(Topic_Register[Change Since Last Review],MATCH(17,Topic_Register[Meeting Rank],0)),""))</f>
        <v/>
      </c>
      <c r="J25" s="17">
        <f t="array" ref="J25">IF($D25="","",IFERROR(INDEX(Topic_Register[Latest Update],MATCH(17,Topic_Register[Meeting Rank],0)),""))</f>
        <v/>
      </c>
      <c r="K25" s="17">
        <f t="array" ref="K25">IF($D25="","",IFERROR(INDEX(Topic_Register[Outstanding Point / Gap],MATCH(17,Topic_Register[Meeting Rank],0)),""))</f>
        <v/>
      </c>
      <c r="L25" s="17">
        <f t="array" ref="L25">IF($D25="","",IFERROR(INDEX(Topic_Register[Question / Decision Required],MATCH(17,Topic_Register[Meeting Rank],0)),""))</f>
        <v/>
      </c>
      <c r="M25" s="17">
        <f t="array" ref="M25">IF($D25="","",IF(IFERROR(MATCH(TRIM(LEFT(IFERROR(INDEX(Topic_Register[Related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ID],0),"")="","",INDEX(Action_Register[Action Description],IFERROR(MATCH(TRIM(LEFT(IFERROR(INDEX(Topic_Register[Related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ID],0),""))))</f>
        <v/>
      </c>
      <c r="N25" s="17">
        <f t="array" ref="N25">IF($D25="","",IF(IFERROR(MATCH(TRIM(LEFT(IFERROR(INDEX(Topic_Register[Related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ID],0),"")="","",INDEX(Action_Register[Owner],IFERROR(MATCH(TRIM(LEFT(IFERROR(INDEX(Topic_Register[Related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ID],0),""))))</f>
        <v/>
      </c>
      <c r="O25" s="18">
        <f t="array" ref="O25">IF($D25="","",IF(IFERROR(MATCH(TRIM(LEFT(IFERROR(INDEX(Topic_Register[Related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ID],0),"")="","",INDEX(Action_Register[Due Date],IFERROR(MATCH(TRIM(LEFT(IFERROR(INDEX(Topic_Register[Related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ID],0),""))))</f>
        <v/>
      </c>
      <c r="P25" s="17">
        <f t="array" ref="P25">IF($D25="","",IF(IFERROR(MATCH(TRIM(LEFT(IFERROR(INDEX(Topic_Register[Related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ID],0),"")="","",INDEX(Action_Register[Status],IFERROR(MATCH(TRIM(LEFT(IFERROR(INDEX(Topic_Register[Related Action ID(s)],MATCH(17,Topic_Register[Meeting Rank],0)),"")&amp;",",IFERROR(FIND(",",IFERROR(INDEX(Topic_Register[Related Action ID(s)],MATCH(17,Topic_Register[Meeting Rank],0)),"")&amp;",")-1,LEN(IFERROR(INDEX(Topic_Register[Related Action ID(s)],MATCH(17,Topic_Register[Meeting Rank],0)),""))))),Action_Register[Action ID],0),""))))</f>
        <v/>
      </c>
      <c r="Q25" s="17">
        <f t="array" ref="Q25">IF($D25="","",IF(IFERROR(INDEX(Topic_Register[Related PQCP Step(s)],MATCH(17,Topic_Register[Meeting Rank],0)),"")="","",IFERROR(INDEX(Topic_Register[Related PQCP Step(s)],MATCH(17,Topic_Register[Meeting Rank],0)),"")&amp;IF(IFERROR(INDEX(Topic_Register[PQCP Comment / Impact],MATCH(17,Topic_Register[Meeting Rank],0)),"")&lt;&gt;"",": "&amp;IFERROR(INDEX(Topic_Register[PQCP Comment / Impact],MATCH(17,Topic_Register[Meeting Rank],0)),""),"")))</f>
        <v/>
      </c>
      <c r="R25" s="17">
        <f t="array" ref="R25">IF($D25="","",IFERROR(INDEX(Topic_Register[Commissioning Blocker?],MATCH(17,Topic_Register[Meeting Rank],0)),""))</f>
        <v/>
      </c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</row>
    <row r="26" ht="30" customHeight="1">
      <c r="B26" s="39">
        <f t="array" ref="B26">IF($D26="","",IFERROR(INDEX(Topic_Register[Category],MATCH(18,Topic_Register[Meeting Rank],0)),""))</f>
        <v/>
      </c>
      <c r="C26" s="39">
        <f t="array" ref="C26">IF($D26="","",IFERROR(INDEX(Topic_Register[Sub-category],MATCH(18,Topic_Register[Meeting Rank],0)),""))</f>
        <v/>
      </c>
      <c r="D26" s="39">
        <f t="array" ref="D26">IFERROR(INDEX(Topic_Register[Topic ID],MATCH(18,Topic_Register[Meeting Rank],0)),"")</f>
        <v/>
      </c>
      <c r="E26" s="39">
        <f t="array" ref="E26">IF($D26="","",IFERROR(INDEX(Topic_Register[Topic],MATCH(18,Topic_Register[Meeting Rank],0)),""))</f>
        <v/>
      </c>
      <c r="F26" s="39">
        <f t="array" ref="F26">IF($D26="","",IFERROR(INDEX(Topic_Register[Discipline],MATCH(18,Topic_Register[Meeting Rank],0)),""))</f>
        <v/>
      </c>
      <c r="G26" s="39">
        <f t="array" ref="G26">IF($D26="","",IFERROR(INDEX(Topic_Register[System / Scope],MATCH(18,Topic_Register[Meeting Rank],0)),""))</f>
        <v/>
      </c>
      <c r="H26" s="39">
        <f t="array" ref="H26">IF($D26="","",IFERROR(INDEX(Topic_Register[Current Position],MATCH(18,Topic_Register[Meeting Rank],0)),""))</f>
        <v/>
      </c>
      <c r="I26" s="39">
        <f t="array" ref="I26">IF($D26="","",IFERROR(INDEX(Topic_Register[Change Since Last Review],MATCH(18,Topic_Register[Meeting Rank],0)),""))</f>
        <v/>
      </c>
      <c r="J26" s="39">
        <f t="array" ref="J26">IF($D26="","",IFERROR(INDEX(Topic_Register[Latest Update],MATCH(18,Topic_Register[Meeting Rank],0)),""))</f>
        <v/>
      </c>
      <c r="K26" s="39">
        <f t="array" ref="K26">IF($D26="","",IFERROR(INDEX(Topic_Register[Outstanding Point / Gap],MATCH(18,Topic_Register[Meeting Rank],0)),""))</f>
        <v/>
      </c>
      <c r="L26" s="39">
        <f t="array" ref="L26">IF($D26="","",IFERROR(INDEX(Topic_Register[Question / Decision Required],MATCH(18,Topic_Register[Meeting Rank],0)),""))</f>
        <v/>
      </c>
      <c r="M26" s="39">
        <f t="array" ref="M26">IF($D26="","",IF(IFERROR(MATCH(TRIM(LEFT(IFERROR(INDEX(Topic_Register[Related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ID],0),"")="","",INDEX(Action_Register[Action Description],IFERROR(MATCH(TRIM(LEFT(IFERROR(INDEX(Topic_Register[Related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ID],0),""))))</f>
        <v/>
      </c>
      <c r="N26" s="39">
        <f t="array" ref="N26">IF($D26="","",IF(IFERROR(MATCH(TRIM(LEFT(IFERROR(INDEX(Topic_Register[Related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ID],0),"")="","",INDEX(Action_Register[Owner],IFERROR(MATCH(TRIM(LEFT(IFERROR(INDEX(Topic_Register[Related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ID],0),""))))</f>
        <v/>
      </c>
      <c r="O26" s="40">
        <f t="array" ref="O26">IF($D26="","",IF(IFERROR(MATCH(TRIM(LEFT(IFERROR(INDEX(Topic_Register[Related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ID],0),"")="","",INDEX(Action_Register[Due Date],IFERROR(MATCH(TRIM(LEFT(IFERROR(INDEX(Topic_Register[Related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ID],0),""))))</f>
        <v/>
      </c>
      <c r="P26" s="39">
        <f t="array" ref="P26">IF($D26="","",IF(IFERROR(MATCH(TRIM(LEFT(IFERROR(INDEX(Topic_Register[Related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ID],0),"")="","",INDEX(Action_Register[Status],IFERROR(MATCH(TRIM(LEFT(IFERROR(INDEX(Topic_Register[Related Action ID(s)],MATCH(18,Topic_Register[Meeting Rank],0)),"")&amp;",",IFERROR(FIND(",",IFERROR(INDEX(Topic_Register[Related Action ID(s)],MATCH(18,Topic_Register[Meeting Rank],0)),"")&amp;",")-1,LEN(IFERROR(INDEX(Topic_Register[Related Action ID(s)],MATCH(18,Topic_Register[Meeting Rank],0)),""))))),Action_Register[Action ID],0),""))))</f>
        <v/>
      </c>
      <c r="Q26" s="39">
        <f t="array" ref="Q26">IF($D26="","",IF(IFERROR(INDEX(Topic_Register[Related PQCP Step(s)],MATCH(18,Topic_Register[Meeting Rank],0)),"")="","",IFERROR(INDEX(Topic_Register[Related PQCP Step(s)],MATCH(18,Topic_Register[Meeting Rank],0)),"")&amp;IF(IFERROR(INDEX(Topic_Register[PQCP Comment / Impact],MATCH(18,Topic_Register[Meeting Rank],0)),"")&lt;&gt;"",": "&amp;IFERROR(INDEX(Topic_Register[PQCP Comment / Impact],MATCH(18,Topic_Register[Meeting Rank],0)),""),"")))</f>
        <v/>
      </c>
      <c r="R26" s="39">
        <f t="array" ref="R26">IF($D26="","",IFERROR(INDEX(Topic_Register[Commissioning Blocker?],MATCH(18,Topic_Register[Meeting Rank],0)),""))</f>
        <v/>
      </c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</row>
    <row r="27" ht="30" customHeight="1">
      <c r="B27" s="17">
        <f t="array" ref="B27">IF($D27="","",IFERROR(INDEX(Topic_Register[Category],MATCH(19,Topic_Register[Meeting Rank],0)),""))</f>
        <v/>
      </c>
      <c r="C27" s="17">
        <f t="array" ref="C27">IF($D27="","",IFERROR(INDEX(Topic_Register[Sub-category],MATCH(19,Topic_Register[Meeting Rank],0)),""))</f>
        <v/>
      </c>
      <c r="D27" s="17">
        <f t="array" ref="D27">IFERROR(INDEX(Topic_Register[Topic ID],MATCH(19,Topic_Register[Meeting Rank],0)),"")</f>
        <v/>
      </c>
      <c r="E27" s="17">
        <f t="array" ref="E27">IF($D27="","",IFERROR(INDEX(Topic_Register[Topic],MATCH(19,Topic_Register[Meeting Rank],0)),""))</f>
        <v/>
      </c>
      <c r="F27" s="17">
        <f t="array" ref="F27">IF($D27="","",IFERROR(INDEX(Topic_Register[Discipline],MATCH(19,Topic_Register[Meeting Rank],0)),""))</f>
        <v/>
      </c>
      <c r="G27" s="17">
        <f t="array" ref="G27">IF($D27="","",IFERROR(INDEX(Topic_Register[System / Scope],MATCH(19,Topic_Register[Meeting Rank],0)),""))</f>
        <v/>
      </c>
      <c r="H27" s="17">
        <f t="array" ref="H27">IF($D27="","",IFERROR(INDEX(Topic_Register[Current Position],MATCH(19,Topic_Register[Meeting Rank],0)),""))</f>
        <v/>
      </c>
      <c r="I27" s="17">
        <f t="array" ref="I27">IF($D27="","",IFERROR(INDEX(Topic_Register[Change Since Last Review],MATCH(19,Topic_Register[Meeting Rank],0)),""))</f>
        <v/>
      </c>
      <c r="J27" s="17">
        <f t="array" ref="J27">IF($D27="","",IFERROR(INDEX(Topic_Register[Latest Update],MATCH(19,Topic_Register[Meeting Rank],0)),""))</f>
        <v/>
      </c>
      <c r="K27" s="17">
        <f t="array" ref="K27">IF($D27="","",IFERROR(INDEX(Topic_Register[Outstanding Point / Gap],MATCH(19,Topic_Register[Meeting Rank],0)),""))</f>
        <v/>
      </c>
      <c r="L27" s="17">
        <f t="array" ref="L27">IF($D27="","",IFERROR(INDEX(Topic_Register[Question / Decision Required],MATCH(19,Topic_Register[Meeting Rank],0)),""))</f>
        <v/>
      </c>
      <c r="M27" s="17">
        <f t="array" ref="M27">IF($D27="","",IF(IFERROR(MATCH(TRIM(LEFT(IFERROR(INDEX(Topic_Register[Related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ID],0),"")="","",INDEX(Action_Register[Action Description],IFERROR(MATCH(TRIM(LEFT(IFERROR(INDEX(Topic_Register[Related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ID],0),""))))</f>
        <v/>
      </c>
      <c r="N27" s="17">
        <f t="array" ref="N27">IF($D27="","",IF(IFERROR(MATCH(TRIM(LEFT(IFERROR(INDEX(Topic_Register[Related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ID],0),"")="","",INDEX(Action_Register[Owner],IFERROR(MATCH(TRIM(LEFT(IFERROR(INDEX(Topic_Register[Related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ID],0),""))))</f>
        <v/>
      </c>
      <c r="O27" s="18">
        <f t="array" ref="O27">IF($D27="","",IF(IFERROR(MATCH(TRIM(LEFT(IFERROR(INDEX(Topic_Register[Related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ID],0),"")="","",INDEX(Action_Register[Due Date],IFERROR(MATCH(TRIM(LEFT(IFERROR(INDEX(Topic_Register[Related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ID],0),""))))</f>
        <v/>
      </c>
      <c r="P27" s="17">
        <f t="array" ref="P27">IF($D27="","",IF(IFERROR(MATCH(TRIM(LEFT(IFERROR(INDEX(Topic_Register[Related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ID],0),"")="","",INDEX(Action_Register[Status],IFERROR(MATCH(TRIM(LEFT(IFERROR(INDEX(Topic_Register[Related Action ID(s)],MATCH(19,Topic_Register[Meeting Rank],0)),"")&amp;",",IFERROR(FIND(",",IFERROR(INDEX(Topic_Register[Related Action ID(s)],MATCH(19,Topic_Register[Meeting Rank],0)),"")&amp;",")-1,LEN(IFERROR(INDEX(Topic_Register[Related Action ID(s)],MATCH(19,Topic_Register[Meeting Rank],0)),""))))),Action_Register[Action ID],0),""))))</f>
        <v/>
      </c>
      <c r="Q27" s="17">
        <f t="array" ref="Q27">IF($D27="","",IF(IFERROR(INDEX(Topic_Register[Related PQCP Step(s)],MATCH(19,Topic_Register[Meeting Rank],0)),"")="","",IFERROR(INDEX(Topic_Register[Related PQCP Step(s)],MATCH(19,Topic_Register[Meeting Rank],0)),"")&amp;IF(IFERROR(INDEX(Topic_Register[PQCP Comment / Impact],MATCH(19,Topic_Register[Meeting Rank],0)),"")&lt;&gt;"",": "&amp;IFERROR(INDEX(Topic_Register[PQCP Comment / Impact],MATCH(19,Topic_Register[Meeting Rank],0)),""),"")))</f>
        <v/>
      </c>
      <c r="R27" s="17">
        <f t="array" ref="R27">IF($D27="","",IFERROR(INDEX(Topic_Register[Commissioning Blocker?],MATCH(19,Topic_Register[Meeting Rank],0)),""))</f>
        <v/>
      </c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</row>
    <row r="28" ht="30" customHeight="1">
      <c r="B28" s="39">
        <f t="array" ref="B28">IF($D28="","",IFERROR(INDEX(Topic_Register[Category],MATCH(20,Topic_Register[Meeting Rank],0)),""))</f>
        <v/>
      </c>
      <c r="C28" s="39">
        <f t="array" ref="C28">IF($D28="","",IFERROR(INDEX(Topic_Register[Sub-category],MATCH(20,Topic_Register[Meeting Rank],0)),""))</f>
        <v/>
      </c>
      <c r="D28" s="39">
        <f t="array" ref="D28">IFERROR(INDEX(Topic_Register[Topic ID],MATCH(20,Topic_Register[Meeting Rank],0)),"")</f>
        <v/>
      </c>
      <c r="E28" s="39">
        <f t="array" ref="E28">IF($D28="","",IFERROR(INDEX(Topic_Register[Topic],MATCH(20,Topic_Register[Meeting Rank],0)),""))</f>
        <v/>
      </c>
      <c r="F28" s="39">
        <f t="array" ref="F28">IF($D28="","",IFERROR(INDEX(Topic_Register[Discipline],MATCH(20,Topic_Register[Meeting Rank],0)),""))</f>
        <v/>
      </c>
      <c r="G28" s="39">
        <f t="array" ref="G28">IF($D28="","",IFERROR(INDEX(Topic_Register[System / Scope],MATCH(20,Topic_Register[Meeting Rank],0)),""))</f>
        <v/>
      </c>
      <c r="H28" s="39">
        <f t="array" ref="H28">IF($D28="","",IFERROR(INDEX(Topic_Register[Current Position],MATCH(20,Topic_Register[Meeting Rank],0)),""))</f>
        <v/>
      </c>
      <c r="I28" s="39">
        <f t="array" ref="I28">IF($D28="","",IFERROR(INDEX(Topic_Register[Change Since Last Review],MATCH(20,Topic_Register[Meeting Rank],0)),""))</f>
        <v/>
      </c>
      <c r="J28" s="39">
        <f t="array" ref="J28">IF($D28="","",IFERROR(INDEX(Topic_Register[Latest Update],MATCH(20,Topic_Register[Meeting Rank],0)),""))</f>
        <v/>
      </c>
      <c r="K28" s="39">
        <f t="array" ref="K28">IF($D28="","",IFERROR(INDEX(Topic_Register[Outstanding Point / Gap],MATCH(20,Topic_Register[Meeting Rank],0)),""))</f>
        <v/>
      </c>
      <c r="L28" s="39">
        <f t="array" ref="L28">IF($D28="","",IFERROR(INDEX(Topic_Register[Question / Decision Required],MATCH(20,Topic_Register[Meeting Rank],0)),""))</f>
        <v/>
      </c>
      <c r="M28" s="39">
        <f t="array" ref="M28">IF($D28="","",IF(IFERROR(MATCH(TRIM(LEFT(IFERROR(INDEX(Topic_Register[Related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ID],0),"")="","",INDEX(Action_Register[Action Description],IFERROR(MATCH(TRIM(LEFT(IFERROR(INDEX(Topic_Register[Related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ID],0),""))))</f>
        <v/>
      </c>
      <c r="N28" s="39">
        <f t="array" ref="N28">IF($D28="","",IF(IFERROR(MATCH(TRIM(LEFT(IFERROR(INDEX(Topic_Register[Related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ID],0),"")="","",INDEX(Action_Register[Owner],IFERROR(MATCH(TRIM(LEFT(IFERROR(INDEX(Topic_Register[Related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ID],0),""))))</f>
        <v/>
      </c>
      <c r="O28" s="40">
        <f t="array" ref="O28">IF($D28="","",IF(IFERROR(MATCH(TRIM(LEFT(IFERROR(INDEX(Topic_Register[Related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ID],0),"")="","",INDEX(Action_Register[Due Date],IFERROR(MATCH(TRIM(LEFT(IFERROR(INDEX(Topic_Register[Related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ID],0),""))))</f>
        <v/>
      </c>
      <c r="P28" s="39">
        <f t="array" ref="P28">IF($D28="","",IF(IFERROR(MATCH(TRIM(LEFT(IFERROR(INDEX(Topic_Register[Related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ID],0),"")="","",INDEX(Action_Register[Status],IFERROR(MATCH(TRIM(LEFT(IFERROR(INDEX(Topic_Register[Related Action ID(s)],MATCH(20,Topic_Register[Meeting Rank],0)),"")&amp;",",IFERROR(FIND(",",IFERROR(INDEX(Topic_Register[Related Action ID(s)],MATCH(20,Topic_Register[Meeting Rank],0)),"")&amp;",")-1,LEN(IFERROR(INDEX(Topic_Register[Related Action ID(s)],MATCH(20,Topic_Register[Meeting Rank],0)),""))))),Action_Register[Action ID],0),""))))</f>
        <v/>
      </c>
      <c r="Q28" s="39">
        <f t="array" ref="Q28">IF($D28="","",IF(IFERROR(INDEX(Topic_Register[Related PQCP Step(s)],MATCH(20,Topic_Register[Meeting Rank],0)),"")="","",IFERROR(INDEX(Topic_Register[Related PQCP Step(s)],MATCH(20,Topic_Register[Meeting Rank],0)),"")&amp;IF(IFERROR(INDEX(Topic_Register[PQCP Comment / Impact],MATCH(20,Topic_Register[Meeting Rank],0)),"")&lt;&gt;"",": "&amp;IFERROR(INDEX(Topic_Register[PQCP Comment / Impact],MATCH(20,Topic_Register[Meeting Rank],0)),""),"")))</f>
        <v/>
      </c>
      <c r="R28" s="39">
        <f t="array" ref="R28">IF($D28="","",IFERROR(INDEX(Topic_Register[Commissioning Blocker?],MATCH(20,Topic_Register[Meeting Rank],0)),""))</f>
        <v/>
      </c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</row>
    <row r="29" ht="30" customHeight="1">
      <c r="B29" s="17">
        <f t="array" ref="B29">IF($D29="","",IFERROR(INDEX(Topic_Register[Category],MATCH(21,Topic_Register[Meeting Rank],0)),""))</f>
        <v/>
      </c>
      <c r="C29" s="17">
        <f t="array" ref="C29">IF($D29="","",IFERROR(INDEX(Topic_Register[Sub-category],MATCH(21,Topic_Register[Meeting Rank],0)),""))</f>
        <v/>
      </c>
      <c r="D29" s="17">
        <f t="array" ref="D29">IFERROR(INDEX(Topic_Register[Topic ID],MATCH(21,Topic_Register[Meeting Rank],0)),"")</f>
        <v/>
      </c>
      <c r="E29" s="17">
        <f t="array" ref="E29">IF($D29="","",IFERROR(INDEX(Topic_Register[Topic],MATCH(21,Topic_Register[Meeting Rank],0)),""))</f>
        <v/>
      </c>
      <c r="F29" s="17">
        <f t="array" ref="F29">IF($D29="","",IFERROR(INDEX(Topic_Register[Discipline],MATCH(21,Topic_Register[Meeting Rank],0)),""))</f>
        <v/>
      </c>
      <c r="G29" s="17">
        <f t="array" ref="G29">IF($D29="","",IFERROR(INDEX(Topic_Register[System / Scope],MATCH(21,Topic_Register[Meeting Rank],0)),""))</f>
        <v/>
      </c>
      <c r="H29" s="17">
        <f t="array" ref="H29">IF($D29="","",IFERROR(INDEX(Topic_Register[Current Position],MATCH(21,Topic_Register[Meeting Rank],0)),""))</f>
        <v/>
      </c>
      <c r="I29" s="17">
        <f t="array" ref="I29">IF($D29="","",IFERROR(INDEX(Topic_Register[Change Since Last Review],MATCH(21,Topic_Register[Meeting Rank],0)),""))</f>
        <v/>
      </c>
      <c r="J29" s="17">
        <f t="array" ref="J29">IF($D29="","",IFERROR(INDEX(Topic_Register[Latest Update],MATCH(21,Topic_Register[Meeting Rank],0)),""))</f>
        <v/>
      </c>
      <c r="K29" s="17">
        <f t="array" ref="K29">IF($D29="","",IFERROR(INDEX(Topic_Register[Outstanding Point / Gap],MATCH(21,Topic_Register[Meeting Rank],0)),""))</f>
        <v/>
      </c>
      <c r="L29" s="17">
        <f t="array" ref="L29">IF($D29="","",IFERROR(INDEX(Topic_Register[Question / Decision Required],MATCH(21,Topic_Register[Meeting Rank],0)),""))</f>
        <v/>
      </c>
      <c r="M29" s="17">
        <f t="array" ref="M29">IF($D29="","",IF(IFERROR(MATCH(TRIM(LEFT(IFERROR(INDEX(Topic_Register[Related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ID],0),"")="","",INDEX(Action_Register[Action Description],IFERROR(MATCH(TRIM(LEFT(IFERROR(INDEX(Topic_Register[Related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ID],0),""))))</f>
        <v/>
      </c>
      <c r="N29" s="17">
        <f t="array" ref="N29">IF($D29="","",IF(IFERROR(MATCH(TRIM(LEFT(IFERROR(INDEX(Topic_Register[Related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ID],0),"")="","",INDEX(Action_Register[Owner],IFERROR(MATCH(TRIM(LEFT(IFERROR(INDEX(Topic_Register[Related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ID],0),""))))</f>
        <v/>
      </c>
      <c r="O29" s="18">
        <f t="array" ref="O29">IF($D29="","",IF(IFERROR(MATCH(TRIM(LEFT(IFERROR(INDEX(Topic_Register[Related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ID],0),"")="","",INDEX(Action_Register[Due Date],IFERROR(MATCH(TRIM(LEFT(IFERROR(INDEX(Topic_Register[Related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ID],0),""))))</f>
        <v/>
      </c>
      <c r="P29" s="17">
        <f t="array" ref="P29">IF($D29="","",IF(IFERROR(MATCH(TRIM(LEFT(IFERROR(INDEX(Topic_Register[Related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ID],0),"")="","",INDEX(Action_Register[Status],IFERROR(MATCH(TRIM(LEFT(IFERROR(INDEX(Topic_Register[Related Action ID(s)],MATCH(21,Topic_Register[Meeting Rank],0)),"")&amp;",",IFERROR(FIND(",",IFERROR(INDEX(Topic_Register[Related Action ID(s)],MATCH(21,Topic_Register[Meeting Rank],0)),"")&amp;",")-1,LEN(IFERROR(INDEX(Topic_Register[Related Action ID(s)],MATCH(21,Topic_Register[Meeting Rank],0)),""))))),Action_Register[Action ID],0),""))))</f>
        <v/>
      </c>
      <c r="Q29" s="17">
        <f t="array" ref="Q29">IF($D29="","",IF(IFERROR(INDEX(Topic_Register[Related PQCP Step(s)],MATCH(21,Topic_Register[Meeting Rank],0)),"")="","",IFERROR(INDEX(Topic_Register[Related PQCP Step(s)],MATCH(21,Topic_Register[Meeting Rank],0)),"")&amp;IF(IFERROR(INDEX(Topic_Register[PQCP Comment / Impact],MATCH(21,Topic_Register[Meeting Rank],0)),"")&lt;&gt;"",": "&amp;IFERROR(INDEX(Topic_Register[PQCP Comment / Impact],MATCH(21,Topic_Register[Meeting Rank],0)),""),"")))</f>
        <v/>
      </c>
      <c r="R29" s="17">
        <f t="array" ref="R29">IF($D29="","",IFERROR(INDEX(Topic_Register[Commissioning Blocker?],MATCH(21,Topic_Register[Meeting Rank],0)),""))</f>
        <v/>
      </c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</row>
    <row r="30" ht="30" customHeight="1">
      <c r="B30" s="39">
        <f t="array" ref="B30">IF($D30="","",IFERROR(INDEX(Topic_Register[Category],MATCH(22,Topic_Register[Meeting Rank],0)),""))</f>
        <v/>
      </c>
      <c r="C30" s="39">
        <f t="array" ref="C30">IF($D30="","",IFERROR(INDEX(Topic_Register[Sub-category],MATCH(22,Topic_Register[Meeting Rank],0)),""))</f>
        <v/>
      </c>
      <c r="D30" s="39">
        <f t="array" ref="D30">IFERROR(INDEX(Topic_Register[Topic ID],MATCH(22,Topic_Register[Meeting Rank],0)),"")</f>
        <v/>
      </c>
      <c r="E30" s="39">
        <f t="array" ref="E30">IF($D30="","",IFERROR(INDEX(Topic_Register[Topic],MATCH(22,Topic_Register[Meeting Rank],0)),""))</f>
        <v/>
      </c>
      <c r="F30" s="39">
        <f t="array" ref="F30">IF($D30="","",IFERROR(INDEX(Topic_Register[Discipline],MATCH(22,Topic_Register[Meeting Rank],0)),""))</f>
        <v/>
      </c>
      <c r="G30" s="39">
        <f t="array" ref="G30">IF($D30="","",IFERROR(INDEX(Topic_Register[System / Scope],MATCH(22,Topic_Register[Meeting Rank],0)),""))</f>
        <v/>
      </c>
      <c r="H30" s="39">
        <f t="array" ref="H30">IF($D30="","",IFERROR(INDEX(Topic_Register[Current Position],MATCH(22,Topic_Register[Meeting Rank],0)),""))</f>
        <v/>
      </c>
      <c r="I30" s="39">
        <f t="array" ref="I30">IF($D30="","",IFERROR(INDEX(Topic_Register[Change Since Last Review],MATCH(22,Topic_Register[Meeting Rank],0)),""))</f>
        <v/>
      </c>
      <c r="J30" s="39">
        <f t="array" ref="J30">IF($D30="","",IFERROR(INDEX(Topic_Register[Latest Update],MATCH(22,Topic_Register[Meeting Rank],0)),""))</f>
        <v/>
      </c>
      <c r="K30" s="39">
        <f t="array" ref="K30">IF($D30="","",IFERROR(INDEX(Topic_Register[Outstanding Point / Gap],MATCH(22,Topic_Register[Meeting Rank],0)),""))</f>
        <v/>
      </c>
      <c r="L30" s="39">
        <f t="array" ref="L30">IF($D30="","",IFERROR(INDEX(Topic_Register[Question / Decision Required],MATCH(22,Topic_Register[Meeting Rank],0)),""))</f>
        <v/>
      </c>
      <c r="M30" s="39">
        <f t="array" ref="M30">IF($D30="","",IF(IFERROR(MATCH(TRIM(LEFT(IFERROR(INDEX(Topic_Register[Related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ID],0),"")="","",INDEX(Action_Register[Action Description],IFERROR(MATCH(TRIM(LEFT(IFERROR(INDEX(Topic_Register[Related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ID],0),""))))</f>
        <v/>
      </c>
      <c r="N30" s="39">
        <f t="array" ref="N30">IF($D30="","",IF(IFERROR(MATCH(TRIM(LEFT(IFERROR(INDEX(Topic_Register[Related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ID],0),"")="","",INDEX(Action_Register[Owner],IFERROR(MATCH(TRIM(LEFT(IFERROR(INDEX(Topic_Register[Related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ID],0),""))))</f>
        <v/>
      </c>
      <c r="O30" s="40">
        <f t="array" ref="O30">IF($D30="","",IF(IFERROR(MATCH(TRIM(LEFT(IFERROR(INDEX(Topic_Register[Related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ID],0),"")="","",INDEX(Action_Register[Due Date],IFERROR(MATCH(TRIM(LEFT(IFERROR(INDEX(Topic_Register[Related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ID],0),""))))</f>
        <v/>
      </c>
      <c r="P30" s="39">
        <f t="array" ref="P30">IF($D30="","",IF(IFERROR(MATCH(TRIM(LEFT(IFERROR(INDEX(Topic_Register[Related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ID],0),"")="","",INDEX(Action_Register[Status],IFERROR(MATCH(TRIM(LEFT(IFERROR(INDEX(Topic_Register[Related Action ID(s)],MATCH(22,Topic_Register[Meeting Rank],0)),"")&amp;",",IFERROR(FIND(",",IFERROR(INDEX(Topic_Register[Related Action ID(s)],MATCH(22,Topic_Register[Meeting Rank],0)),"")&amp;",")-1,LEN(IFERROR(INDEX(Topic_Register[Related Action ID(s)],MATCH(22,Topic_Register[Meeting Rank],0)),""))))),Action_Register[Action ID],0),""))))</f>
        <v/>
      </c>
      <c r="Q30" s="39">
        <f t="array" ref="Q30">IF($D30="","",IF(IFERROR(INDEX(Topic_Register[Related PQCP Step(s)],MATCH(22,Topic_Register[Meeting Rank],0)),"")="","",IFERROR(INDEX(Topic_Register[Related PQCP Step(s)],MATCH(22,Topic_Register[Meeting Rank],0)),"")&amp;IF(IFERROR(INDEX(Topic_Register[PQCP Comment / Impact],MATCH(22,Topic_Register[Meeting Rank],0)),"")&lt;&gt;"",": "&amp;IFERROR(INDEX(Topic_Register[PQCP Comment / Impact],MATCH(22,Topic_Register[Meeting Rank],0)),""),"")))</f>
        <v/>
      </c>
      <c r="R30" s="39">
        <f t="array" ref="R30">IF($D30="","",IFERROR(INDEX(Topic_Register[Commissioning Blocker?],MATCH(22,Topic_Register[Meeting Rank],0)),""))</f>
        <v/>
      </c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</row>
    <row r="31" ht="30" customHeight="1">
      <c r="B31" s="17">
        <f t="array" ref="B31">IF($D31="","",IFERROR(INDEX(Topic_Register[Category],MATCH(23,Topic_Register[Meeting Rank],0)),""))</f>
        <v/>
      </c>
      <c r="C31" s="17">
        <f t="array" ref="C31">IF($D31="","",IFERROR(INDEX(Topic_Register[Sub-category],MATCH(23,Topic_Register[Meeting Rank],0)),""))</f>
        <v/>
      </c>
      <c r="D31" s="17">
        <f t="array" ref="D31">IFERROR(INDEX(Topic_Register[Topic ID],MATCH(23,Topic_Register[Meeting Rank],0)),"")</f>
        <v/>
      </c>
      <c r="E31" s="17">
        <f t="array" ref="E31">IF($D31="","",IFERROR(INDEX(Topic_Register[Topic],MATCH(23,Topic_Register[Meeting Rank],0)),""))</f>
        <v/>
      </c>
      <c r="F31" s="17">
        <f t="array" ref="F31">IF($D31="","",IFERROR(INDEX(Topic_Register[Discipline],MATCH(23,Topic_Register[Meeting Rank],0)),""))</f>
        <v/>
      </c>
      <c r="G31" s="17">
        <f t="array" ref="G31">IF($D31="","",IFERROR(INDEX(Topic_Register[System / Scope],MATCH(23,Topic_Register[Meeting Rank],0)),""))</f>
        <v/>
      </c>
      <c r="H31" s="17">
        <f t="array" ref="H31">IF($D31="","",IFERROR(INDEX(Topic_Register[Current Position],MATCH(23,Topic_Register[Meeting Rank],0)),""))</f>
        <v/>
      </c>
      <c r="I31" s="17">
        <f t="array" ref="I31">IF($D31="","",IFERROR(INDEX(Topic_Register[Change Since Last Review],MATCH(23,Topic_Register[Meeting Rank],0)),""))</f>
        <v/>
      </c>
      <c r="J31" s="17">
        <f t="array" ref="J31">IF($D31="","",IFERROR(INDEX(Topic_Register[Latest Update],MATCH(23,Topic_Register[Meeting Rank],0)),""))</f>
        <v/>
      </c>
      <c r="K31" s="17">
        <f t="array" ref="K31">IF($D31="","",IFERROR(INDEX(Topic_Register[Outstanding Point / Gap],MATCH(23,Topic_Register[Meeting Rank],0)),""))</f>
        <v/>
      </c>
      <c r="L31" s="17">
        <f t="array" ref="L31">IF($D31="","",IFERROR(INDEX(Topic_Register[Question / Decision Required],MATCH(23,Topic_Register[Meeting Rank],0)),""))</f>
        <v/>
      </c>
      <c r="M31" s="17">
        <f t="array" ref="M31">IF($D31="","",IF(IFERROR(MATCH(TRIM(LEFT(IFERROR(INDEX(Topic_Register[Related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ID],0),"")="","",INDEX(Action_Register[Action Description],IFERROR(MATCH(TRIM(LEFT(IFERROR(INDEX(Topic_Register[Related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ID],0),""))))</f>
        <v/>
      </c>
      <c r="N31" s="17">
        <f t="array" ref="N31">IF($D31="","",IF(IFERROR(MATCH(TRIM(LEFT(IFERROR(INDEX(Topic_Register[Related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ID],0),"")="","",INDEX(Action_Register[Owner],IFERROR(MATCH(TRIM(LEFT(IFERROR(INDEX(Topic_Register[Related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ID],0),""))))</f>
        <v/>
      </c>
      <c r="O31" s="18">
        <f t="array" ref="O31">IF($D31="","",IF(IFERROR(MATCH(TRIM(LEFT(IFERROR(INDEX(Topic_Register[Related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ID],0),"")="","",INDEX(Action_Register[Due Date],IFERROR(MATCH(TRIM(LEFT(IFERROR(INDEX(Topic_Register[Related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ID],0),""))))</f>
        <v/>
      </c>
      <c r="P31" s="17">
        <f t="array" ref="P31">IF($D31="","",IF(IFERROR(MATCH(TRIM(LEFT(IFERROR(INDEX(Topic_Register[Related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ID],0),"")="","",INDEX(Action_Register[Status],IFERROR(MATCH(TRIM(LEFT(IFERROR(INDEX(Topic_Register[Related Action ID(s)],MATCH(23,Topic_Register[Meeting Rank],0)),"")&amp;",",IFERROR(FIND(",",IFERROR(INDEX(Topic_Register[Related Action ID(s)],MATCH(23,Topic_Register[Meeting Rank],0)),"")&amp;",")-1,LEN(IFERROR(INDEX(Topic_Register[Related Action ID(s)],MATCH(23,Topic_Register[Meeting Rank],0)),""))))),Action_Register[Action ID],0),""))))</f>
        <v/>
      </c>
      <c r="Q31" s="17">
        <f t="array" ref="Q31">IF($D31="","",IF(IFERROR(INDEX(Topic_Register[Related PQCP Step(s)],MATCH(23,Topic_Register[Meeting Rank],0)),"")="","",IFERROR(INDEX(Topic_Register[Related PQCP Step(s)],MATCH(23,Topic_Register[Meeting Rank],0)),"")&amp;IF(IFERROR(INDEX(Topic_Register[PQCP Comment / Impact],MATCH(23,Topic_Register[Meeting Rank],0)),"")&lt;&gt;"",": "&amp;IFERROR(INDEX(Topic_Register[PQCP Comment / Impact],MATCH(23,Topic_Register[Meeting Rank],0)),""),"")))</f>
        <v/>
      </c>
      <c r="R31" s="17">
        <f t="array" ref="R31">IF($D31="","",IFERROR(INDEX(Topic_Register[Commissioning Blocker?],MATCH(23,Topic_Register[Meeting Rank],0)),""))</f>
        <v/>
      </c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</row>
    <row r="32" ht="30" customHeight="1">
      <c r="B32" s="39">
        <f t="array" ref="B32">IF($D32="","",IFERROR(INDEX(Topic_Register[Category],MATCH(24,Topic_Register[Meeting Rank],0)),""))</f>
        <v/>
      </c>
      <c r="C32" s="39">
        <f t="array" ref="C32">IF($D32="","",IFERROR(INDEX(Topic_Register[Sub-category],MATCH(24,Topic_Register[Meeting Rank],0)),""))</f>
        <v/>
      </c>
      <c r="D32" s="39">
        <f t="array" ref="D32">IFERROR(INDEX(Topic_Register[Topic ID],MATCH(24,Topic_Register[Meeting Rank],0)),"")</f>
        <v/>
      </c>
      <c r="E32" s="39">
        <f t="array" ref="E32">IF($D32="","",IFERROR(INDEX(Topic_Register[Topic],MATCH(24,Topic_Register[Meeting Rank],0)),""))</f>
        <v/>
      </c>
      <c r="F32" s="39">
        <f t="array" ref="F32">IF($D32="","",IFERROR(INDEX(Topic_Register[Discipline],MATCH(24,Topic_Register[Meeting Rank],0)),""))</f>
        <v/>
      </c>
      <c r="G32" s="39">
        <f t="array" ref="G32">IF($D32="","",IFERROR(INDEX(Topic_Register[System / Scope],MATCH(24,Topic_Register[Meeting Rank],0)),""))</f>
        <v/>
      </c>
      <c r="H32" s="39">
        <f t="array" ref="H32">IF($D32="","",IFERROR(INDEX(Topic_Register[Current Position],MATCH(24,Topic_Register[Meeting Rank],0)),""))</f>
        <v/>
      </c>
      <c r="I32" s="39">
        <f t="array" ref="I32">IF($D32="","",IFERROR(INDEX(Topic_Register[Change Since Last Review],MATCH(24,Topic_Register[Meeting Rank],0)),""))</f>
        <v/>
      </c>
      <c r="J32" s="39">
        <f t="array" ref="J32">IF($D32="","",IFERROR(INDEX(Topic_Register[Latest Update],MATCH(24,Topic_Register[Meeting Rank],0)),""))</f>
        <v/>
      </c>
      <c r="K32" s="39">
        <f t="array" ref="K32">IF($D32="","",IFERROR(INDEX(Topic_Register[Outstanding Point / Gap],MATCH(24,Topic_Register[Meeting Rank],0)),""))</f>
        <v/>
      </c>
      <c r="L32" s="39">
        <f t="array" ref="L32">IF($D32="","",IFERROR(INDEX(Topic_Register[Question / Decision Required],MATCH(24,Topic_Register[Meeting Rank],0)),""))</f>
        <v/>
      </c>
      <c r="M32" s="39">
        <f t="array" ref="M32">IF($D32="","",IF(IFERROR(MATCH(TRIM(LEFT(IFERROR(INDEX(Topic_Register[Related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ID],0),"")="","",INDEX(Action_Register[Action Description],IFERROR(MATCH(TRIM(LEFT(IFERROR(INDEX(Topic_Register[Related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ID],0),""))))</f>
        <v/>
      </c>
      <c r="N32" s="39">
        <f t="array" ref="N32">IF($D32="","",IF(IFERROR(MATCH(TRIM(LEFT(IFERROR(INDEX(Topic_Register[Related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ID],0),"")="","",INDEX(Action_Register[Owner],IFERROR(MATCH(TRIM(LEFT(IFERROR(INDEX(Topic_Register[Related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ID],0),""))))</f>
        <v/>
      </c>
      <c r="O32" s="40">
        <f t="array" ref="O32">IF($D32="","",IF(IFERROR(MATCH(TRIM(LEFT(IFERROR(INDEX(Topic_Register[Related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ID],0),"")="","",INDEX(Action_Register[Due Date],IFERROR(MATCH(TRIM(LEFT(IFERROR(INDEX(Topic_Register[Related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ID],0),""))))</f>
        <v/>
      </c>
      <c r="P32" s="39">
        <f t="array" ref="P32">IF($D32="","",IF(IFERROR(MATCH(TRIM(LEFT(IFERROR(INDEX(Topic_Register[Related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ID],0),"")="","",INDEX(Action_Register[Status],IFERROR(MATCH(TRIM(LEFT(IFERROR(INDEX(Topic_Register[Related Action ID(s)],MATCH(24,Topic_Register[Meeting Rank],0)),"")&amp;",",IFERROR(FIND(",",IFERROR(INDEX(Topic_Register[Related Action ID(s)],MATCH(24,Topic_Register[Meeting Rank],0)),"")&amp;",")-1,LEN(IFERROR(INDEX(Topic_Register[Related Action ID(s)],MATCH(24,Topic_Register[Meeting Rank],0)),""))))),Action_Register[Action ID],0),""))))</f>
        <v/>
      </c>
      <c r="Q32" s="39">
        <f t="array" ref="Q32">IF($D32="","",IF(IFERROR(INDEX(Topic_Register[Related PQCP Step(s)],MATCH(24,Topic_Register[Meeting Rank],0)),"")="","",IFERROR(INDEX(Topic_Register[Related PQCP Step(s)],MATCH(24,Topic_Register[Meeting Rank],0)),"")&amp;IF(IFERROR(INDEX(Topic_Register[PQCP Comment / Impact],MATCH(24,Topic_Register[Meeting Rank],0)),"")&lt;&gt;"",": "&amp;IFERROR(INDEX(Topic_Register[PQCP Comment / Impact],MATCH(24,Topic_Register[Meeting Rank],0)),""),"")))</f>
        <v/>
      </c>
      <c r="R32" s="39">
        <f t="array" ref="R32">IF($D32="","",IFERROR(INDEX(Topic_Register[Commissioning Blocker?],MATCH(24,Topic_Register[Meeting Rank],0)),""))</f>
        <v/>
      </c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</row>
    <row r="33" ht="30" customHeight="1">
      <c r="B33" s="17">
        <f t="array" ref="B33">IF($D33="","",IFERROR(INDEX(Topic_Register[Category],MATCH(25,Topic_Register[Meeting Rank],0)),""))</f>
        <v/>
      </c>
      <c r="C33" s="17">
        <f t="array" ref="C33">IF($D33="","",IFERROR(INDEX(Topic_Register[Sub-category],MATCH(25,Topic_Register[Meeting Rank],0)),""))</f>
        <v/>
      </c>
      <c r="D33" s="17">
        <f t="array" ref="D33">IFERROR(INDEX(Topic_Register[Topic ID],MATCH(25,Topic_Register[Meeting Rank],0)),"")</f>
        <v/>
      </c>
      <c r="E33" s="17">
        <f t="array" ref="E33">IF($D33="","",IFERROR(INDEX(Topic_Register[Topic],MATCH(25,Topic_Register[Meeting Rank],0)),""))</f>
        <v/>
      </c>
      <c r="F33" s="17">
        <f t="array" ref="F33">IF($D33="","",IFERROR(INDEX(Topic_Register[Discipline],MATCH(25,Topic_Register[Meeting Rank],0)),""))</f>
        <v/>
      </c>
      <c r="G33" s="17">
        <f t="array" ref="G33">IF($D33="","",IFERROR(INDEX(Topic_Register[System / Scope],MATCH(25,Topic_Register[Meeting Rank],0)),""))</f>
        <v/>
      </c>
      <c r="H33" s="17">
        <f t="array" ref="H33">IF($D33="","",IFERROR(INDEX(Topic_Register[Current Position],MATCH(25,Topic_Register[Meeting Rank],0)),""))</f>
        <v/>
      </c>
      <c r="I33" s="17">
        <f t="array" ref="I33">IF($D33="","",IFERROR(INDEX(Topic_Register[Change Since Last Review],MATCH(25,Topic_Register[Meeting Rank],0)),""))</f>
        <v/>
      </c>
      <c r="J33" s="17">
        <f t="array" ref="J33">IF($D33="","",IFERROR(INDEX(Topic_Register[Latest Update],MATCH(25,Topic_Register[Meeting Rank],0)),""))</f>
        <v/>
      </c>
      <c r="K33" s="17">
        <f t="array" ref="K33">IF($D33="","",IFERROR(INDEX(Topic_Register[Outstanding Point / Gap],MATCH(25,Topic_Register[Meeting Rank],0)),""))</f>
        <v/>
      </c>
      <c r="L33" s="17">
        <f t="array" ref="L33">IF($D33="","",IFERROR(INDEX(Topic_Register[Question / Decision Required],MATCH(25,Topic_Register[Meeting Rank],0)),""))</f>
        <v/>
      </c>
      <c r="M33" s="17">
        <f t="array" ref="M33">IF($D33="","",IF(IFERROR(MATCH(TRIM(LEFT(IFERROR(INDEX(Topic_Register[Related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ID],0),"")="","",INDEX(Action_Register[Action Description],IFERROR(MATCH(TRIM(LEFT(IFERROR(INDEX(Topic_Register[Related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ID],0),""))))</f>
        <v/>
      </c>
      <c r="N33" s="17">
        <f t="array" ref="N33">IF($D33="","",IF(IFERROR(MATCH(TRIM(LEFT(IFERROR(INDEX(Topic_Register[Related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ID],0),"")="","",INDEX(Action_Register[Owner],IFERROR(MATCH(TRIM(LEFT(IFERROR(INDEX(Topic_Register[Related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ID],0),""))))</f>
        <v/>
      </c>
      <c r="O33" s="18">
        <f t="array" ref="O33">IF($D33="","",IF(IFERROR(MATCH(TRIM(LEFT(IFERROR(INDEX(Topic_Register[Related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ID],0),"")="","",INDEX(Action_Register[Due Date],IFERROR(MATCH(TRIM(LEFT(IFERROR(INDEX(Topic_Register[Related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ID],0),""))))</f>
        <v/>
      </c>
      <c r="P33" s="17">
        <f t="array" ref="P33">IF($D33="","",IF(IFERROR(MATCH(TRIM(LEFT(IFERROR(INDEX(Topic_Register[Related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ID],0),"")="","",INDEX(Action_Register[Status],IFERROR(MATCH(TRIM(LEFT(IFERROR(INDEX(Topic_Register[Related Action ID(s)],MATCH(25,Topic_Register[Meeting Rank],0)),"")&amp;",",IFERROR(FIND(",",IFERROR(INDEX(Topic_Register[Related Action ID(s)],MATCH(25,Topic_Register[Meeting Rank],0)),"")&amp;",")-1,LEN(IFERROR(INDEX(Topic_Register[Related Action ID(s)],MATCH(25,Topic_Register[Meeting Rank],0)),""))))),Action_Register[Action ID],0),""))))</f>
        <v/>
      </c>
      <c r="Q33" s="17">
        <f t="array" ref="Q33">IF($D33="","",IF(IFERROR(INDEX(Topic_Register[Related PQCP Step(s)],MATCH(25,Topic_Register[Meeting Rank],0)),"")="","",IFERROR(INDEX(Topic_Register[Related PQCP Step(s)],MATCH(25,Topic_Register[Meeting Rank],0)),"")&amp;IF(IFERROR(INDEX(Topic_Register[PQCP Comment / Impact],MATCH(25,Topic_Register[Meeting Rank],0)),"")&lt;&gt;"",": "&amp;IFERROR(INDEX(Topic_Register[PQCP Comment / Impact],MATCH(25,Topic_Register[Meeting Rank],0)),""),"")))</f>
        <v/>
      </c>
      <c r="R33" s="17">
        <f t="array" ref="R33">IF($D33="","",IFERROR(INDEX(Topic_Register[Commissioning Blocker?],MATCH(25,Topic_Register[Meeting Rank],0)),""))</f>
        <v/>
      </c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</row>
  </sheetData>
  <mergeCells count="2">
    <mergeCell ref="S7:AB7"/>
    <mergeCell ref="B7:R7"/>
  </mergeCells>
  <conditionalFormatting sqref="R9:R33">
    <cfRule type="cellIs" priority="1" operator="equal" dxfId="0">
      <formula>"Yes"</formula>
    </cfRule>
  </conditionalFormatting>
  <dataValidations count="4">
    <dataValidation sqref="X9:X33" showDropDown="0" showInputMessage="0" showErrorMessage="0" allowBlank="1" type="list">
      <formula1>=LIST_PRIORITY</formula1>
    </dataValidation>
    <dataValidation sqref="Y9:Y33" showDropDown="0" showInputMessage="0" showErrorMessage="0" allowBlank="1" type="list">
      <formula1>=LIST_YESNO</formula1>
    </dataValidation>
    <dataValidation sqref="Z9:Z33" showDropDown="0" showInputMessage="0" showErrorMessage="0" allowBlank="1" type="list">
      <formula1>=LIST_YESNO</formula1>
    </dataValidation>
    <dataValidation sqref="AB9:AB33" showDropDown="0" showInputMessage="0" showErrorMessage="0" allowBlank="1" type="list">
      <formula1>=LIST_YESNO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G9"/>
  <sheetViews>
    <sheetView showGridLines="0" workbookViewId="0">
      <pane xSplit="8" ySplit="7" topLeftCell="I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20" customWidth="1" min="3" max="3"/>
    <col width="22" customWidth="1" min="4" max="4"/>
    <col width="14" customWidth="1" min="5" max="5"/>
    <col width="20" customWidth="1" min="6" max="6"/>
    <col width="16" customWidth="1" min="7" max="7"/>
    <col width="18" customWidth="1" min="8" max="8"/>
    <col width="26" customWidth="1" min="9" max="9"/>
    <col width="28" customWidth="1" min="10" max="10"/>
    <col width="26" customWidth="1" min="11" max="11"/>
    <col width="26" customWidth="1" min="12" max="12"/>
    <col width="26" customWidth="1" min="13" max="13"/>
    <col width="13" customWidth="1" min="14" max="14"/>
    <col width="28" customWidth="1" min="15" max="15"/>
    <col width="14" customWidth="1" min="16" max="16"/>
    <col width="10" customWidth="1" min="17" max="17"/>
    <col width="14" customWidth="1" min="18" max="18"/>
    <col width="22" customWidth="1" min="19" max="19"/>
    <col width="13" customWidth="1" min="20" max="20"/>
    <col width="13" customWidth="1" min="21" max="21"/>
    <col width="16" customWidth="1" min="22" max="22"/>
    <col width="24" customWidth="1" min="23" max="23"/>
    <col width="12" customWidth="1" min="24" max="24"/>
    <col width="13" customWidth="1" min="25" max="25"/>
    <col width="14" customWidth="1" min="26" max="26"/>
    <col width="14" customWidth="1" min="27" max="27"/>
    <col width="12" customWidth="1" min="28" max="28"/>
    <col width="13" customWidth="1" min="29" max="29"/>
    <col width="26" customWidth="1" min="30" max="30"/>
    <col width="14" customWidth="1" min="31" max="31"/>
    <col width="8" customWidth="1" min="32" max="32"/>
    <col width="8" customWidth="1" min="33" max="33"/>
  </cols>
  <sheetData>
    <row r="1" ht="20" customHeight="1">
      <c r="B1" s="2" t="inlineStr">
        <is>
          <t>Dashboard</t>
        </is>
      </c>
      <c r="C1" s="2" t="inlineStr">
        <is>
          <t>Next Meeting</t>
        </is>
      </c>
      <c r="D1" s="1" t="inlineStr">
        <is>
          <t>Topic Register</t>
        </is>
      </c>
      <c r="E1" s="2" t="inlineStr">
        <is>
          <t>Action Register</t>
        </is>
      </c>
      <c r="F1" s="2" t="inlineStr">
        <is>
          <t>Update History</t>
        </is>
      </c>
      <c r="G1" s="2" t="inlineStr">
        <is>
          <t>PQCP Follow Up</t>
        </is>
      </c>
      <c r="H1" s="2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Topic Register</t>
        </is>
      </c>
    </row>
    <row r="3" ht="16" customHeight="1">
      <c r="B3" s="6" t="inlineStr">
        <is>
          <t>The central table. Every subject tracked across Commissioning Reviews, showing the CURRENT position only - full history lives in Update History. Add a new topic by typing in the row directly below the table.</t>
        </is>
      </c>
    </row>
    <row r="5">
      <c r="B5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  <row r="6" ht="18" customHeight="1">
      <c r="B6" s="41" t="inlineStr">
        <is>
          <t>Identification</t>
        </is>
      </c>
      <c r="C6" s="42" t="n"/>
      <c r="D6" s="42" t="n"/>
      <c r="E6" s="42" t="n"/>
      <c r="F6" s="42" t="n"/>
      <c r="G6" s="42" t="n"/>
      <c r="H6" s="42" t="n"/>
      <c r="I6" s="43" t="inlineStr">
        <is>
          <t>Position</t>
        </is>
      </c>
      <c r="J6" s="44" t="n"/>
      <c r="K6" s="44" t="n"/>
      <c r="L6" s="44" t="n"/>
      <c r="M6" s="44" t="n"/>
      <c r="N6" s="45" t="inlineStr">
        <is>
          <t>Automatic</t>
        </is>
      </c>
      <c r="O6" s="46" t="n"/>
      <c r="P6" s="41" t="inlineStr">
        <is>
          <t>Status &amp; Ownership</t>
        </is>
      </c>
      <c r="Q6" s="42" t="n"/>
      <c r="R6" s="42" t="n"/>
      <c r="S6" s="42" t="n"/>
      <c r="T6" s="43" t="inlineStr">
        <is>
          <t>Meeting</t>
        </is>
      </c>
      <c r="U6" s="47" t="inlineStr">
        <is>
          <t>Commissioning Blocker</t>
        </is>
      </c>
      <c r="V6" s="48" t="n"/>
      <c r="W6" s="48" t="n"/>
      <c r="X6" s="48" t="n"/>
      <c r="Y6" s="48" t="n"/>
      <c r="Z6" s="43" t="inlineStr">
        <is>
          <t>PQCP &amp; Evidence Links</t>
        </is>
      </c>
      <c r="AA6" s="44" t="n"/>
      <c r="AB6" s="44" t="n"/>
      <c r="AC6" s="44" t="n"/>
      <c r="AD6" s="44" t="n"/>
      <c r="AE6" s="44" t="n"/>
      <c r="AF6" s="45" t="inlineStr">
        <is>
          <t>Helpers</t>
        </is>
      </c>
      <c r="AG6" s="46" t="n"/>
    </row>
    <row r="7" ht="32" customHeight="1">
      <c r="B7" s="25" t="inlineStr">
        <is>
          <t>Topic ID</t>
        </is>
      </c>
      <c r="C7" s="25" t="inlineStr">
        <is>
          <t>Category</t>
        </is>
      </c>
      <c r="D7" s="25" t="inlineStr">
        <is>
          <t>Sub-category</t>
        </is>
      </c>
      <c r="E7" s="25" t="inlineStr">
        <is>
          <t>Discipline</t>
        </is>
      </c>
      <c r="F7" s="25" t="inlineStr">
        <is>
          <t>System / Scope</t>
        </is>
      </c>
      <c r="G7" s="25" t="inlineStr">
        <is>
          <t>Commissioning Stage</t>
        </is>
      </c>
      <c r="H7" s="25" t="inlineStr">
        <is>
          <t>ATP / Gateway</t>
        </is>
      </c>
      <c r="I7" s="25" t="inlineStr">
        <is>
          <t>Topic</t>
        </is>
      </c>
      <c r="J7" s="25" t="inlineStr">
        <is>
          <t>Current Position</t>
        </is>
      </c>
      <c r="K7" s="25" t="inlineStr">
        <is>
          <t>Change Since Last Review</t>
        </is>
      </c>
      <c r="L7" s="25" t="inlineStr">
        <is>
          <t>Outstanding Point / Gap</t>
        </is>
      </c>
      <c r="M7" s="25" t="inlineStr">
        <is>
          <t>Question / Decision Required</t>
        </is>
      </c>
      <c r="N7" s="25" t="inlineStr">
        <is>
          <t>Last Review Date</t>
        </is>
      </c>
      <c r="O7" s="25" t="inlineStr">
        <is>
          <t>Latest Update</t>
        </is>
      </c>
      <c r="P7" s="25" t="inlineStr">
        <is>
          <t>Status</t>
        </is>
      </c>
      <c r="Q7" s="25" t="inlineStr">
        <is>
          <t>Priority</t>
        </is>
      </c>
      <c r="R7" s="25" t="inlineStr">
        <is>
          <t>Owner / Lead</t>
        </is>
      </c>
      <c r="S7" s="25" t="inlineStr">
        <is>
          <t>Next Step</t>
        </is>
      </c>
      <c r="T7" s="25" t="inlineStr">
        <is>
          <t>Discuss at Next Meeting?</t>
        </is>
      </c>
      <c r="U7" s="25" t="inlineStr">
        <is>
          <t>Commissioning Blocker?</t>
        </is>
      </c>
      <c r="V7" s="25" t="inlineStr">
        <is>
          <t>Blocker Category</t>
        </is>
      </c>
      <c r="W7" s="25" t="inlineStr">
        <is>
          <t>Impact</t>
        </is>
      </c>
      <c r="X7" s="25" t="inlineStr">
        <is>
          <t>Required By</t>
        </is>
      </c>
      <c r="Y7" s="25" t="inlineStr">
        <is>
          <t>Escalation Required?</t>
        </is>
      </c>
      <c r="Z7" s="25" t="inlineStr">
        <is>
          <t>Related Action ID(s)</t>
        </is>
      </c>
      <c r="AA7" s="25" t="inlineStr">
        <is>
          <t>Related PQCP Step(s)</t>
        </is>
      </c>
      <c r="AB7" s="25" t="inlineStr">
        <is>
          <t>PQCP Relevance</t>
        </is>
      </c>
      <c r="AC7" s="25" t="inlineStr">
        <is>
          <t>PQCP Follow-Up Required?</t>
        </is>
      </c>
      <c r="AD7" s="25" t="inlineStr">
        <is>
          <t>PQCP Comment / Impact</t>
        </is>
      </c>
      <c r="AE7" s="25" t="inlineStr">
        <is>
          <t>Related Evidence ID(s)</t>
        </is>
      </c>
      <c r="AF7" s="25" t="inlineStr">
        <is>
          <t>Meeting Flag</t>
        </is>
      </c>
      <c r="AG7" s="25" t="inlineStr">
        <is>
          <t>Meeting Rank</t>
        </is>
      </c>
    </row>
    <row r="8">
      <c r="B8" s="17">
        <f>IF($I8="","","T"&amp;TEXT(ROW()-7,"000"))</f>
        <v/>
      </c>
      <c r="C8" s="26" t="inlineStr">
        <is>
          <t>Commissioning Documentation</t>
        </is>
      </c>
      <c r="D8" s="26" t="inlineStr">
        <is>
          <t>Commissioning Execution Plan</t>
        </is>
      </c>
      <c r="E8" s="26" t="inlineStr">
        <is>
          <t>Mechanical</t>
        </is>
      </c>
      <c r="F8" s="26" t="inlineStr">
        <is>
          <t>Example Ventilation System</t>
        </is>
      </c>
      <c r="G8" s="26" t="inlineStr">
        <is>
          <t>Pre-Commissioning</t>
        </is>
      </c>
      <c r="H8" s="26" t="inlineStr">
        <is>
          <t>ATP2 - Pre-Commissioning</t>
        </is>
      </c>
      <c r="I8" s="26" t="inlineStr">
        <is>
          <t>Example Ventilation System Commissioning Strategy</t>
        </is>
      </c>
      <c r="J8" s="26" t="inlineStr">
        <is>
          <t>Draft strategy issued for internal review.</t>
        </is>
      </c>
      <c r="K8" s="26" t="inlineStr">
        <is>
          <t>Contractor A confirmed the temporary supply date is still to be finalised.</t>
        </is>
      </c>
      <c r="L8" s="26" t="inlineStr">
        <is>
          <t>Confirmation required regarding temporary supply availability.</t>
        </is>
      </c>
      <c r="M8" s="26" t="inlineStr">
        <is>
          <t>Confirm expected temporary supply date.</t>
        </is>
      </c>
      <c r="N8" s="18">
        <f t="array" ref="N8">IF($B8="","",IF(IFERROR(MAX(IF(Update_History[Topic ID]=$B8,ROW(Update_History[Topic ID])-7)),0)=0,"",INDEX(Update_History[Meeting Date],IFERROR(MAX(IF(Update_History[Topic ID]=$B8,ROW(Update_History[Topic ID])-7)),0))))</f>
        <v/>
      </c>
      <c r="O8" s="17">
        <f t="array" ref="O8">IF($B8="","",IF(IFERROR(MAX(IF(Update_History[Topic ID]=$B8,ROW(Update_History[Topic ID])-7)),0)=0,"",INDEX(Update_History[Update / Discussion],IFERROR(MAX(IF(Update_History[Topic ID]=$B8,ROW(Update_History[Topic ID])-7)),0))))</f>
        <v/>
      </c>
      <c r="P8" s="26" t="inlineStr">
        <is>
          <t>Open</t>
        </is>
      </c>
      <c r="Q8" s="26" t="inlineStr">
        <is>
          <t>High</t>
        </is>
      </c>
      <c r="R8" s="26" t="inlineStr">
        <is>
          <t>Person A</t>
        </is>
      </c>
      <c r="S8" s="26" t="inlineStr">
        <is>
          <t>Await Contractor A's updated programme.</t>
        </is>
      </c>
      <c r="T8" s="26" t="inlineStr">
        <is>
          <t>Yes</t>
        </is>
      </c>
      <c r="U8" s="26" t="inlineStr">
        <is>
          <t>Yes</t>
        </is>
      </c>
      <c r="V8" s="26" t="inlineStr">
        <is>
          <t>Temporary Services</t>
        </is>
      </c>
      <c r="W8" s="26" t="inlineStr">
        <is>
          <t>Commissioning start date at risk if the temporary supply is delayed.</t>
        </is>
      </c>
      <c r="X8" s="27" t="n">
        <v>46218</v>
      </c>
      <c r="Y8" s="26" t="inlineStr">
        <is>
          <t>No</t>
        </is>
      </c>
      <c r="Z8" s="26" t="inlineStr">
        <is>
          <t>A001</t>
        </is>
      </c>
      <c r="AA8" s="26" t="inlineStr">
        <is>
          <t>P-001</t>
        </is>
      </c>
      <c r="AB8" s="26" t="inlineStr">
        <is>
          <t>Yes</t>
        </is>
      </c>
      <c r="AC8" s="26" t="inlineStr">
        <is>
          <t>Yes</t>
        </is>
      </c>
      <c r="AD8" s="26" t="inlineStr">
        <is>
          <t>Temporary supply confirmation required to progress PQCP step P-001.</t>
        </is>
      </c>
      <c r="AE8" s="26" t="inlineStr">
        <is>
          <t>E001</t>
        </is>
      </c>
      <c r="AF8" s="49">
        <f>IF($B8="",0,IF(OR($T8="Yes",$L8&lt;&gt;"",$M8&lt;&gt;"",$U8="Yes",$Y8="Yes",$AC8="Yes",COUNTIFS(Action_Register[Topic ID],$B8,Action_Register[Overdue?],"Yes")&gt;0),1,0))</f>
        <v/>
      </c>
      <c r="AG8" s="49">
        <f>IF($AF8=1,SUM($AF$8:$AF8),"")</f>
        <v/>
      </c>
    </row>
    <row r="9">
      <c r="B9" s="17">
        <f>IF($I9="","","T"&amp;TEXT(ROW()-7,"000"))</f>
        <v/>
      </c>
      <c r="C9" s="26" t="inlineStr">
        <is>
          <t>Safety / Capability</t>
        </is>
      </c>
      <c r="D9" s="26" t="inlineStr">
        <is>
          <t>Safe System of Work</t>
        </is>
      </c>
      <c r="E9" s="26" t="inlineStr">
        <is>
          <t>Multi-discipline</t>
        </is>
      </c>
      <c r="F9" s="26" t="inlineStr">
        <is>
          <t>Example Area B</t>
        </is>
      </c>
      <c r="G9" s="26" t="inlineStr">
        <is>
          <t>Commissioning</t>
        </is>
      </c>
      <c r="H9" s="26" t="inlineStr">
        <is>
          <t>ATP3 - Commissioning</t>
        </is>
      </c>
      <c r="I9" s="26" t="inlineStr">
        <is>
          <t>Safe System of Work review - Example Area B</t>
        </is>
      </c>
      <c r="J9" s="26" t="inlineStr">
        <is>
          <t>SSOW reviewed and accepted; no outstanding points.</t>
        </is>
      </c>
      <c r="K9" s="26" t="inlineStr">
        <is>
          <t>Action closed - SSOW accepted.</t>
        </is>
      </c>
      <c r="L9" s="26" t="inlineStr"/>
      <c r="M9" s="26" t="inlineStr"/>
      <c r="N9" s="18">
        <f t="array" ref="N9">IF($B9="","",IF(IFERROR(MAX(IF(Update_History[Topic ID]=$B9,ROW(Update_History[Topic ID])-7)),0)=0,"",INDEX(Update_History[Meeting Date],IFERROR(MAX(IF(Update_History[Topic ID]=$B9,ROW(Update_History[Topic ID])-7)),0))))</f>
        <v/>
      </c>
      <c r="O9" s="17">
        <f t="array" ref="O9">IF($B9="","",IF(IFERROR(MAX(IF(Update_History[Topic ID]=$B9,ROW(Update_History[Topic ID])-7)),0)=0,"",INDEX(Update_History[Update / Discussion],IFERROR(MAX(IF(Update_History[Topic ID]=$B9,ROW(Update_History[Topic ID])-7)),0))))</f>
        <v/>
      </c>
      <c r="P9" s="26" t="inlineStr">
        <is>
          <t>Monitoring</t>
        </is>
      </c>
      <c r="Q9" s="26" t="inlineStr">
        <is>
          <t>Low</t>
        </is>
      </c>
      <c r="R9" s="26" t="inlineStr">
        <is>
          <t>Person B</t>
        </is>
      </c>
      <c r="S9" s="26" t="inlineStr">
        <is>
          <t>None - monitor for any change in scope.</t>
        </is>
      </c>
      <c r="T9" s="26" t="inlineStr">
        <is>
          <t>No</t>
        </is>
      </c>
      <c r="U9" s="26" t="inlineStr">
        <is>
          <t>No</t>
        </is>
      </c>
      <c r="V9" s="26" t="inlineStr"/>
      <c r="W9" s="26" t="inlineStr"/>
      <c r="X9" s="27" t="n"/>
      <c r="Y9" s="26" t="inlineStr">
        <is>
          <t>No</t>
        </is>
      </c>
      <c r="Z9" s="26" t="inlineStr">
        <is>
          <t>A002</t>
        </is>
      </c>
      <c r="AA9" s="26" t="inlineStr"/>
      <c r="AB9" s="26" t="inlineStr">
        <is>
          <t>No</t>
        </is>
      </c>
      <c r="AC9" s="26" t="inlineStr">
        <is>
          <t>No</t>
        </is>
      </c>
      <c r="AD9" s="26" t="inlineStr"/>
      <c r="AE9" s="26" t="inlineStr">
        <is>
          <t>E002</t>
        </is>
      </c>
      <c r="AF9" s="49">
        <f>IF($B9="",0,IF(OR($T9="Yes",$L9&lt;&gt;"",$M9&lt;&gt;"",$U9="Yes",$Y9="Yes",$AC9="Yes",COUNTIFS(Action_Register[Topic ID],$B9,Action_Register[Overdue?],"Yes")&gt;0),1,0))</f>
        <v/>
      </c>
      <c r="AG9" s="49">
        <f>IF($AF9=1,SUM($AF$8:$AF9),"")</f>
        <v/>
      </c>
    </row>
  </sheetData>
  <mergeCells count="7">
    <mergeCell ref="I6:M6"/>
    <mergeCell ref="N6:O6"/>
    <mergeCell ref="U6:Y6"/>
    <mergeCell ref="B6:H6"/>
    <mergeCell ref="AF6:AG6"/>
    <mergeCell ref="P6:S6"/>
    <mergeCell ref="Z6:AE6"/>
  </mergeCells>
  <conditionalFormatting sqref="B8:AG9">
    <cfRule type="expression" priority="1" dxfId="4">
      <formula>$U8="Yes"</formula>
    </cfRule>
    <cfRule type="expression" priority="2" dxfId="5">
      <formula>$P8="Closed"</formula>
    </cfRule>
    <cfRule type="expression" priority="3" dxfId="6">
      <formula>AND($U8&lt;&gt;"Yes",$P8&lt;&gt;"Closed",$Q8="Critical")</formula>
    </cfRule>
  </conditionalFormatting>
  <dataValidations count="13">
    <dataValidation sqref="C8:C9" showDropDown="0" showInputMessage="0" showErrorMessage="0" allowBlank="1" type="list">
      <formula1>=LIST_CATEGORY</formula1>
    </dataValidation>
    <dataValidation sqref="D8:D9" showDropDown="0" showInputMessage="0" showErrorMessage="0" allowBlank="1" type="list">
      <formula1>=LIST_SUBCATEGORY</formula1>
    </dataValidation>
    <dataValidation sqref="E8:E9" showDropDown="0" showInputMessage="0" showErrorMessage="0" allowBlank="1" type="list">
      <formula1>=LIST_DISCIPLINE</formula1>
    </dataValidation>
    <dataValidation sqref="G8:G9" showDropDown="0" showInputMessage="0" showErrorMessage="0" allowBlank="1" type="list">
      <formula1>=LIST_STAGE</formula1>
    </dataValidation>
    <dataValidation sqref="H8:H9" showDropDown="0" showInputMessage="0" showErrorMessage="0" allowBlank="1" type="list">
      <formula1>=LIST_ATP</formula1>
    </dataValidation>
    <dataValidation sqref="P8:P9" showDropDown="0" showInputMessage="0" showErrorMessage="0" allowBlank="1" type="list">
      <formula1>=LIST_TOPIC_STATUS</formula1>
    </dataValidation>
    <dataValidation sqref="Q8:Q9" showDropDown="0" showInputMessage="0" showErrorMessage="0" allowBlank="1" type="list">
      <formula1>=LIST_PRIORITY</formula1>
    </dataValidation>
    <dataValidation sqref="T8:T9" showDropDown="0" showInputMessage="0" showErrorMessage="0" allowBlank="1" type="list">
      <formula1>=LIST_YESNO</formula1>
    </dataValidation>
    <dataValidation sqref="U8:U9" showDropDown="0" showInputMessage="0" showErrorMessage="0" allowBlank="1" type="list">
      <formula1>=LIST_YESNO</formula1>
    </dataValidation>
    <dataValidation sqref="V8:V9" showDropDown="0" showInputMessage="0" showErrorMessage="0" allowBlank="1" type="list">
      <formula1>=LIST_BLOCKER_CAT</formula1>
    </dataValidation>
    <dataValidation sqref="Y8:Y9" showDropDown="0" showInputMessage="0" showErrorMessage="0" allowBlank="1" type="list">
      <formula1>=LIST_YESNO</formula1>
    </dataValidation>
    <dataValidation sqref="AB8:AB9" showDropDown="0" showInputMessage="0" showErrorMessage="0" allowBlank="1" type="list">
      <formula1>=LIST_YESNO_TBC</formula1>
    </dataValidation>
    <dataValidation sqref="AC8:AC9" showDropDown="0" showInputMessage="0" showErrorMessage="0" allowBlank="1" type="list">
      <formula1>=LIST_YESNO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Y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1" customWidth="1" min="2" max="2"/>
    <col width="10" customWidth="1" min="3" max="3"/>
    <col width="34" customWidth="1" min="4" max="4"/>
    <col width="14" customWidth="1" min="5" max="5"/>
    <col width="16" customWidth="1" min="6" max="6"/>
    <col width="12" customWidth="1" min="7" max="7"/>
    <col width="12" customWidth="1" min="8" max="8"/>
    <col width="18" customWidth="1" min="9" max="9"/>
    <col width="10" customWidth="1" min="10" max="10"/>
    <col width="10" customWidth="1" min="11" max="11"/>
    <col width="11" customWidth="1" min="12" max="12"/>
    <col width="10" customWidth="1" min="13" max="13"/>
    <col width="28" customWidth="1" min="14" max="14"/>
    <col width="24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2" customWidth="1" min="21" max="21"/>
    <col width="22" customWidth="1" min="22" max="22"/>
    <col width="22" customWidth="1" min="23" max="23"/>
    <col width="8" customWidth="1" min="24" max="24"/>
    <col width="8" customWidth="1" min="25" max="25"/>
  </cols>
  <sheetData>
    <row r="1" ht="20" customHeight="1">
      <c r="B1" s="2" t="inlineStr">
        <is>
          <t>Dashboard</t>
        </is>
      </c>
      <c r="C1" s="2" t="inlineStr">
        <is>
          <t>Next Meeting</t>
        </is>
      </c>
      <c r="D1" s="2" t="inlineStr">
        <is>
          <t>Topic Register</t>
        </is>
      </c>
      <c r="E1" s="1" t="inlineStr">
        <is>
          <t>Action Register</t>
        </is>
      </c>
      <c r="F1" s="2" t="inlineStr">
        <is>
          <t>Update History</t>
        </is>
      </c>
      <c r="G1" s="2" t="inlineStr">
        <is>
          <t>PQCP Follow Up</t>
        </is>
      </c>
      <c r="H1" s="2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Action Register</t>
        </is>
      </c>
    </row>
    <row r="3" ht="16" customHeight="1">
      <c r="B3" s="6" t="inlineStr">
        <is>
          <t>Every action raised at a Commissioning Review. Add a new action by typing in the row directly below the table.</t>
        </is>
      </c>
    </row>
    <row r="5">
      <c r="B5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  <row r="6" ht="18" customHeight="1">
      <c r="B6" s="41" t="inlineStr">
        <is>
          <t>Identification</t>
        </is>
      </c>
      <c r="C6" s="42" t="n"/>
      <c r="D6" s="42" t="n"/>
      <c r="E6" s="43" t="inlineStr">
        <is>
          <t>Ownership</t>
        </is>
      </c>
      <c r="F6" s="44" t="n"/>
      <c r="G6" s="41" t="inlineStr">
        <is>
          <t>Dates &amp; Status</t>
        </is>
      </c>
      <c r="H6" s="42" t="n"/>
      <c r="I6" s="42" t="n"/>
      <c r="J6" s="42" t="n"/>
      <c r="K6" s="43" t="inlineStr">
        <is>
          <t>Automatic</t>
        </is>
      </c>
      <c r="L6" s="44" t="n"/>
      <c r="M6" s="44" t="n"/>
      <c r="N6" s="44" t="n"/>
      <c r="O6" s="41" t="inlineStr">
        <is>
          <t>Follow-up</t>
        </is>
      </c>
      <c r="P6" s="42" t="n"/>
      <c r="Q6" s="42" t="n"/>
      <c r="R6" s="43" t="inlineStr">
        <is>
          <t>Links</t>
        </is>
      </c>
      <c r="S6" s="44" t="n"/>
      <c r="T6" s="44" t="n"/>
      <c r="U6" s="41" t="inlineStr">
        <is>
          <t>Closure</t>
        </is>
      </c>
      <c r="V6" s="42" t="n"/>
      <c r="W6" s="42" t="n"/>
      <c r="X6" s="45" t="inlineStr">
        <is>
          <t>Helpers</t>
        </is>
      </c>
      <c r="Y6" s="46" t="n"/>
    </row>
    <row r="7" ht="32" customHeight="1">
      <c r="B7" s="25" t="inlineStr">
        <is>
          <t>Action ID</t>
        </is>
      </c>
      <c r="C7" s="25" t="inlineStr">
        <is>
          <t>Topic ID</t>
        </is>
      </c>
      <c r="D7" s="25" t="inlineStr">
        <is>
          <t>Action Description</t>
        </is>
      </c>
      <c r="E7" s="25" t="inlineStr">
        <is>
          <t>Owner</t>
        </is>
      </c>
      <c r="F7" s="25" t="inlineStr">
        <is>
          <t>Organisation / Party</t>
        </is>
      </c>
      <c r="G7" s="25" t="inlineStr">
        <is>
          <t>Date Raised</t>
        </is>
      </c>
      <c r="H7" s="25" t="inlineStr">
        <is>
          <t>Due Date</t>
        </is>
      </c>
      <c r="I7" s="25" t="inlineStr">
        <is>
          <t>Status</t>
        </is>
      </c>
      <c r="J7" s="25" t="inlineStr">
        <is>
          <t>Priority</t>
        </is>
      </c>
      <c r="K7" s="25" t="inlineStr">
        <is>
          <t>Days Open</t>
        </is>
      </c>
      <c r="L7" s="25" t="inlineStr">
        <is>
          <t>Days to Due Date</t>
        </is>
      </c>
      <c r="M7" s="25" t="inlineStr">
        <is>
          <t>Overdue?</t>
        </is>
      </c>
      <c r="N7" s="25" t="inlineStr">
        <is>
          <t>Latest Update</t>
        </is>
      </c>
      <c r="O7" s="25" t="inlineStr">
        <is>
          <t>Next Step</t>
        </is>
      </c>
      <c r="P7" s="25" t="inlineStr">
        <is>
          <t>Commissioning Blocker?</t>
        </is>
      </c>
      <c r="Q7" s="25" t="inlineStr">
        <is>
          <t>Escalation Required?</t>
        </is>
      </c>
      <c r="R7" s="25" t="inlineStr">
        <is>
          <t>Related PQCP Step</t>
        </is>
      </c>
      <c r="S7" s="25" t="inlineStr">
        <is>
          <t>Related Evidence ID</t>
        </is>
      </c>
      <c r="T7" s="25" t="inlineStr">
        <is>
          <t>Source Meeting Date</t>
        </is>
      </c>
      <c r="U7" s="25" t="inlineStr">
        <is>
          <t>Closure Date</t>
        </is>
      </c>
      <c r="V7" s="25" t="inlineStr">
        <is>
          <t>Closure Evidence / Reference</t>
        </is>
      </c>
      <c r="W7" s="25" t="inlineStr">
        <is>
          <t>Closure Comment</t>
        </is>
      </c>
      <c r="X7" s="25" t="inlineStr">
        <is>
          <t>Attention Flag</t>
        </is>
      </c>
      <c r="Y7" s="25" t="inlineStr">
        <is>
          <t>Attention Rank</t>
        </is>
      </c>
    </row>
    <row r="8">
      <c r="B8" s="17">
        <f>IF($D8="","","A"&amp;TEXT(ROW()-7,"000"))</f>
        <v/>
      </c>
      <c r="C8" s="26" t="inlineStr">
        <is>
          <t>T001</t>
        </is>
      </c>
      <c r="D8" s="26" t="inlineStr">
        <is>
          <t>Contractor A to provide an updated programme for the Example Ventilation System temporary supply.</t>
        </is>
      </c>
      <c r="E8" s="26" t="inlineStr">
        <is>
          <t>Person A</t>
        </is>
      </c>
      <c r="F8" s="26" t="inlineStr">
        <is>
          <t>Contractor A</t>
        </is>
      </c>
      <c r="G8" s="27" t="n">
        <v>46175</v>
      </c>
      <c r="H8" s="27" t="n">
        <v>46218</v>
      </c>
      <c r="I8" s="26" t="inlineStr">
        <is>
          <t>In Progress</t>
        </is>
      </c>
      <c r="J8" s="26" t="inlineStr">
        <is>
          <t>High</t>
        </is>
      </c>
      <c r="K8" s="17">
        <f>IF($D8="","",IF($U8&lt;&gt;"",$U8-$G8,TODAY()-$G8))</f>
        <v/>
      </c>
      <c r="L8" s="17">
        <f>IF(OR($D8="",$H8=""),"",$H8-TODAY())</f>
        <v/>
      </c>
      <c r="M8" s="17">
        <f>IF($D8="","",IF(AND($I8&lt;&gt;"Closed",$I8&lt;&gt;"Cancelled",$H8&lt;&gt;"",$H8&lt;TODAY()),"Yes","No"))</f>
        <v/>
      </c>
      <c r="N8" s="17">
        <f t="array" ref="N8">IF($D8="","",IF(IFERROR(MAX(IF(Update_History[Action ID]=$B8,ROW(Update_History[Action ID])-7)),0)=0,"",INDEX(Update_History[Update / Discussion],IFERROR(MAX(IF(Update_History[Action ID]=$B8,ROW(Update_History[Action ID])-7)),0))))</f>
        <v/>
      </c>
      <c r="O8" s="26" t="inlineStr">
        <is>
          <t>Follow up with Contractor A if the programme is not received.</t>
        </is>
      </c>
      <c r="P8" s="26" t="inlineStr">
        <is>
          <t>Yes</t>
        </is>
      </c>
      <c r="Q8" s="26" t="inlineStr">
        <is>
          <t>No</t>
        </is>
      </c>
      <c r="R8" s="26" t="inlineStr">
        <is>
          <t>P-001</t>
        </is>
      </c>
      <c r="S8" s="26" t="inlineStr">
        <is>
          <t>E001</t>
        </is>
      </c>
      <c r="T8" s="27" t="n">
        <v>46175</v>
      </c>
      <c r="U8" s="27" t="n"/>
      <c r="V8" s="26" t="inlineStr"/>
      <c r="W8" s="26" t="inlineStr"/>
      <c r="X8" s="49">
        <f>IF($D8="",0,IF(OR($M8="Yes",$J8="Critical"),1,0))</f>
        <v/>
      </c>
      <c r="Y8" s="49">
        <f>IF($X8=1,SUM($X$8:$X8),"")</f>
        <v/>
      </c>
    </row>
    <row r="9">
      <c r="B9" s="17">
        <f>IF($D9="","","A"&amp;TEXT(ROW()-7,"000"))</f>
        <v/>
      </c>
      <c r="C9" s="26" t="inlineStr">
        <is>
          <t>T002</t>
        </is>
      </c>
      <c r="D9" s="26" t="inlineStr">
        <is>
          <t>Person B to confirm the Safe System of Work review is complete for Example Area B.</t>
        </is>
      </c>
      <c r="E9" s="26" t="inlineStr">
        <is>
          <t>Person B</t>
        </is>
      </c>
      <c r="F9" s="26" t="inlineStr">
        <is>
          <t>Client Team</t>
        </is>
      </c>
      <c r="G9" s="27" t="n">
        <v>46122</v>
      </c>
      <c r="H9" s="27" t="n">
        <v>46143</v>
      </c>
      <c r="I9" s="26" t="inlineStr">
        <is>
          <t>Closed</t>
        </is>
      </c>
      <c r="J9" s="26" t="inlineStr">
        <is>
          <t>Medium</t>
        </is>
      </c>
      <c r="K9" s="17">
        <f>IF($D9="","",IF($U9&lt;&gt;"",$U9-$G9,TODAY()-$G9))</f>
        <v/>
      </c>
      <c r="L9" s="17">
        <f>IF(OR($D9="",$H9=""),"",$H9-TODAY())</f>
        <v/>
      </c>
      <c r="M9" s="17">
        <f>IF($D9="","",IF(AND($I9&lt;&gt;"Closed",$I9&lt;&gt;"Cancelled",$H9&lt;&gt;"",$H9&lt;TODAY()),"Yes","No"))</f>
        <v/>
      </c>
      <c r="N9" s="17">
        <f t="array" ref="N9">IF($D9="","",IF(IFERROR(MAX(IF(Update_History[Action ID]=$B9,ROW(Update_History[Action ID])-7)),0)=0,"",INDEX(Update_History[Update / Discussion],IFERROR(MAX(IF(Update_History[Action ID]=$B9,ROW(Update_History[Action ID])-7)),0))))</f>
        <v/>
      </c>
      <c r="O9" s="26" t="inlineStr">
        <is>
          <t>None - closed.</t>
        </is>
      </c>
      <c r="P9" s="26" t="inlineStr">
        <is>
          <t>No</t>
        </is>
      </c>
      <c r="Q9" s="26" t="inlineStr">
        <is>
          <t>No</t>
        </is>
      </c>
      <c r="R9" s="26" t="inlineStr"/>
      <c r="S9" s="26" t="inlineStr">
        <is>
          <t>E002</t>
        </is>
      </c>
      <c r="T9" s="27" t="n">
        <v>46122</v>
      </c>
      <c r="U9" s="27" t="n">
        <v>46140</v>
      </c>
      <c r="V9" s="26" t="inlineStr">
        <is>
          <t>DOC-EXAMPLE-002 rev A</t>
        </is>
      </c>
      <c r="W9" s="26" t="inlineStr">
        <is>
          <t>SSOW reviewed and accepted.</t>
        </is>
      </c>
      <c r="X9" s="49">
        <f>IF($D9="",0,IF(OR($M9="Yes",$J9="Critical"),1,0))</f>
        <v/>
      </c>
      <c r="Y9" s="49">
        <f>IF($X9=1,SUM($X$8:$X9),"")</f>
        <v/>
      </c>
    </row>
  </sheetData>
  <mergeCells count="8">
    <mergeCell ref="G6:J6"/>
    <mergeCell ref="U6:W6"/>
    <mergeCell ref="K6:N6"/>
    <mergeCell ref="E6:F6"/>
    <mergeCell ref="O6:Q6"/>
    <mergeCell ref="X6:Y6"/>
    <mergeCell ref="B6:D6"/>
    <mergeCell ref="R6:T6"/>
  </mergeCells>
  <conditionalFormatting sqref="B8:Y9">
    <cfRule type="expression" priority="1" dxfId="4">
      <formula>AND($I8&lt;&gt;"Closed",$I8&lt;&gt;"Cancelled",$M8="Yes")</formula>
    </cfRule>
    <cfRule type="expression" priority="2" dxfId="7">
      <formula>AND($I8&lt;&gt;"Closed",$I8&lt;&gt;"Cancelled",$M8&lt;&gt;"Yes",$H8&lt;&gt;"",$H8&lt;=TODAY()+DUE_SOON_DAYS)</formula>
    </cfRule>
    <cfRule type="expression" priority="3" dxfId="5">
      <formula>$I8="Closed"</formula>
    </cfRule>
    <cfRule type="expression" priority="4" dxfId="3">
      <formula>$I8="Cancelled"</formula>
    </cfRule>
    <cfRule type="expression" priority="5" dxfId="8">
      <formula>$I8="On Hold"</formula>
    </cfRule>
  </conditionalFormatting>
  <dataValidations count="8">
    <dataValidation sqref="C8:C9" showDropDown="0" showInputMessage="0" showErrorMessage="0" allowBlank="1" type="list">
      <formula1>=NAME_TOPIC_IDS</formula1>
    </dataValidation>
    <dataValidation sqref="F8:F9" showDropDown="0" showInputMessage="0" showErrorMessage="0" allowBlank="1" type="list">
      <formula1>=LIST_ORG</formula1>
    </dataValidation>
    <dataValidation sqref="I8:I9" showDropDown="0" showInputMessage="0" showErrorMessage="0" allowBlank="1" type="list">
      <formula1>=LIST_ACTION_STATUS</formula1>
    </dataValidation>
    <dataValidation sqref="J8:J9" showDropDown="0" showInputMessage="0" showErrorMessage="0" allowBlank="1" type="list">
      <formula1>=LIST_PRIORITY</formula1>
    </dataValidation>
    <dataValidation sqref="P8:P9" showDropDown="0" showInputMessage="0" showErrorMessage="0" allowBlank="1" type="list">
      <formula1>=LIST_YESNO</formula1>
    </dataValidation>
    <dataValidation sqref="Q8:Q9" showDropDown="0" showInputMessage="0" showErrorMessage="0" allowBlank="1" type="list">
      <formula1>=LIST_YESNO</formula1>
    </dataValidation>
    <dataValidation sqref="R8:R9" showDropDown="0" showInputMessage="0" showErrorMessage="0" allowBlank="1" type="list">
      <formula1>=NAME_PQCP_STEPS</formula1>
    </dataValidation>
    <dataValidation sqref="S8:S9" showDropDown="0" showInputMessage="0" showErrorMessage="0" allowBlank="1" type="list">
      <formula1>=NAME_EVIDENCE_IDS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1" customWidth="1" min="2" max="2"/>
    <col width="13" customWidth="1" min="3" max="3"/>
    <col width="10" customWidth="1" min="4" max="4"/>
    <col width="10" customWidth="1" min="5" max="5"/>
    <col width="34" customWidth="1" min="6" max="6"/>
    <col width="26" customWidth="1" min="7" max="7"/>
    <col width="15" customWidth="1" min="8" max="8"/>
    <col width="15" customWidth="1" min="9" max="9"/>
    <col width="15" customWidth="1" min="10" max="10"/>
    <col width="15" customWidth="1" min="11" max="11"/>
    <col width="14" customWidth="1" min="12" max="12"/>
    <col width="20" customWidth="1" min="13" max="13"/>
  </cols>
  <sheetData>
    <row r="1" ht="20" customHeight="1">
      <c r="B1" s="2" t="inlineStr">
        <is>
          <t>Dashboard</t>
        </is>
      </c>
      <c r="C1" s="2" t="inlineStr">
        <is>
          <t>Next Meeting</t>
        </is>
      </c>
      <c r="D1" s="2" t="inlineStr">
        <is>
          <t>Topic Register</t>
        </is>
      </c>
      <c r="E1" s="2" t="inlineStr">
        <is>
          <t>Action Register</t>
        </is>
      </c>
      <c r="F1" s="1" t="inlineStr">
        <is>
          <t>Update History</t>
        </is>
      </c>
      <c r="G1" s="2" t="inlineStr">
        <is>
          <t>PQCP Follow Up</t>
        </is>
      </c>
      <c r="H1" s="2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Update History</t>
        </is>
      </c>
    </row>
    <row r="3" ht="16" customHeight="1">
      <c r="B3" s="6" t="inlineStr">
        <is>
          <t>One row per update given at a review. This is the permanent record - Topic and Action Registers only ever show the CURRENT position, pulled from here automatically.</t>
        </is>
      </c>
    </row>
    <row r="5">
      <c r="B5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  <row r="6" ht="18" customHeight="1">
      <c r="B6" s="41" t="inlineStr">
        <is>
          <t>Identification</t>
        </is>
      </c>
      <c r="C6" s="42" t="n"/>
      <c r="D6" s="42" t="n"/>
      <c r="E6" s="42" t="n"/>
      <c r="F6" s="43" t="inlineStr">
        <is>
          <t>Content</t>
        </is>
      </c>
      <c r="G6" s="44" t="n"/>
      <c r="H6" s="41" t="inlineStr">
        <is>
          <t>Status Trail</t>
        </is>
      </c>
      <c r="I6" s="42" t="n"/>
      <c r="J6" s="42" t="n"/>
      <c r="K6" s="42" t="n"/>
      <c r="L6" s="43" t="inlineStr">
        <is>
          <t>Admin</t>
        </is>
      </c>
      <c r="M6" s="44" t="n"/>
    </row>
    <row r="7" ht="32" customHeight="1">
      <c r="B7" s="25" t="inlineStr">
        <is>
          <t>Update ID</t>
        </is>
      </c>
      <c r="C7" s="25" t="inlineStr">
        <is>
          <t>Meeting Date</t>
        </is>
      </c>
      <c r="D7" s="25" t="inlineStr">
        <is>
          <t>Topic ID</t>
        </is>
      </c>
      <c r="E7" s="25" t="inlineStr">
        <is>
          <t>Action ID</t>
        </is>
      </c>
      <c r="F7" s="25" t="inlineStr">
        <is>
          <t>Update / Discussion</t>
        </is>
      </c>
      <c r="G7" s="25" t="inlineStr">
        <is>
          <t>Decision</t>
        </is>
      </c>
      <c r="H7" s="25" t="inlineStr">
        <is>
          <t>Previous Topic Status</t>
        </is>
      </c>
      <c r="I7" s="25" t="inlineStr">
        <is>
          <t>New Topic Status</t>
        </is>
      </c>
      <c r="J7" s="25" t="inlineStr">
        <is>
          <t>Previous Action Status</t>
        </is>
      </c>
      <c r="K7" s="25" t="inlineStr">
        <is>
          <t>New Action Status</t>
        </is>
      </c>
      <c r="L7" s="25" t="inlineStr">
        <is>
          <t>Updated By</t>
        </is>
      </c>
      <c r="M7" s="25" t="inlineStr">
        <is>
          <t>Source / Comment</t>
        </is>
      </c>
    </row>
    <row r="8">
      <c r="B8">
        <f>IF($C8="","","U"&amp;TEXT(ROW()-7,"0000"))</f>
        <v/>
      </c>
      <c r="C8" s="27" t="n">
        <v>46175</v>
      </c>
      <c r="D8" s="26" t="inlineStr">
        <is>
          <t>T001</t>
        </is>
      </c>
      <c r="E8" s="26" t="inlineStr">
        <is>
          <t>A001</t>
        </is>
      </c>
      <c r="F8" s="26" t="inlineStr">
        <is>
          <t>Contractor A confirmed the temporary supply date is still to be finalised; the draft strategy remains under internal review.</t>
        </is>
      </c>
      <c r="G8" s="26" t="inlineStr"/>
      <c r="H8" s="26" t="inlineStr">
        <is>
          <t>Monitoring</t>
        </is>
      </c>
      <c r="I8" s="26" t="inlineStr">
        <is>
          <t>Open</t>
        </is>
      </c>
      <c r="J8" s="26" t="inlineStr"/>
      <c r="K8" s="26" t="inlineStr">
        <is>
          <t>In Progress</t>
        </is>
      </c>
      <c r="L8" s="26" t="inlineStr">
        <is>
          <t>Person A</t>
        </is>
      </c>
      <c r="M8" s="26" t="inlineStr">
        <is>
          <t>Monthly Commissioning Review</t>
        </is>
      </c>
    </row>
    <row r="9">
      <c r="B9">
        <f>IF($C9="","","U"&amp;TEXT(ROW()-7,"0000"))</f>
        <v/>
      </c>
      <c r="C9" s="27" t="n">
        <v>46122</v>
      </c>
      <c r="D9" s="26" t="inlineStr">
        <is>
          <t>T002</t>
        </is>
      </c>
      <c r="E9" s="26" t="inlineStr">
        <is>
          <t>A002</t>
        </is>
      </c>
      <c r="F9" s="26" t="inlineStr">
        <is>
          <t>Person B confirmed the Safe System of Work review is complete for Example Area B.</t>
        </is>
      </c>
      <c r="G9" s="26" t="inlineStr">
        <is>
          <t>SSOW accepted; action closed.</t>
        </is>
      </c>
      <c r="H9" s="26" t="inlineStr">
        <is>
          <t>Open</t>
        </is>
      </c>
      <c r="I9" s="26" t="inlineStr">
        <is>
          <t>Monitoring</t>
        </is>
      </c>
      <c r="J9" s="26" t="inlineStr">
        <is>
          <t>In Progress</t>
        </is>
      </c>
      <c r="K9" s="26" t="inlineStr">
        <is>
          <t>Closed</t>
        </is>
      </c>
      <c r="L9" s="26" t="inlineStr">
        <is>
          <t>Person B</t>
        </is>
      </c>
      <c r="M9" s="26" t="inlineStr">
        <is>
          <t>Monthly Commissioning Review</t>
        </is>
      </c>
    </row>
  </sheetData>
  <mergeCells count="4">
    <mergeCell ref="L6:M6"/>
    <mergeCell ref="H6:K6"/>
    <mergeCell ref="F6:G6"/>
    <mergeCell ref="B6:E6"/>
  </mergeCells>
  <dataValidations count="6">
    <dataValidation sqref="D8:D9" showDropDown="0" showInputMessage="0" showErrorMessage="0" allowBlank="1" type="list">
      <formula1>=NAME_TOPIC_IDS</formula1>
    </dataValidation>
    <dataValidation sqref="E8:E9" showDropDown="0" showInputMessage="0" showErrorMessage="0" allowBlank="1" type="list">
      <formula1>=NAME_ACTION_IDS</formula1>
    </dataValidation>
    <dataValidation sqref="H8:H9" showDropDown="0" showInputMessage="0" showErrorMessage="0" allowBlank="1" type="list">
      <formula1>=LIST_TOPIC_STATUS</formula1>
    </dataValidation>
    <dataValidation sqref="I8:I9" showDropDown="0" showInputMessage="0" showErrorMessage="0" allowBlank="1" type="list">
      <formula1>=LIST_TOPIC_STATUS</formula1>
    </dataValidation>
    <dataValidation sqref="J8:J9" showDropDown="0" showInputMessage="0" showErrorMessage="0" allowBlank="1" type="list">
      <formula1>=LIST_ACTION_STATUS</formula1>
    </dataValidation>
    <dataValidation sqref="K8:K9" showDropDown="0" showInputMessage="0" showErrorMessage="0" allowBlank="1" type="list">
      <formula1>=LIST_ACTION_STATUS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S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24" customWidth="1" min="3" max="3"/>
    <col width="20" customWidth="1" min="4" max="4"/>
    <col width="28" customWidth="1" min="5" max="5"/>
    <col width="26" customWidth="1" min="6" max="6"/>
    <col width="2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22" customWidth="1" min="15" max="15"/>
    <col width="13" customWidth="1" min="16" max="16"/>
    <col width="15" customWidth="1" min="17" max="17"/>
    <col width="14" customWidth="1" min="18" max="18"/>
    <col width="22" customWidth="1" min="19" max="19"/>
  </cols>
  <sheetData>
    <row r="1" ht="20" customHeight="1">
      <c r="B1" s="2" t="inlineStr">
        <is>
          <t>Dashboard</t>
        </is>
      </c>
      <c r="C1" s="2" t="inlineStr">
        <is>
          <t>Next Meeting</t>
        </is>
      </c>
      <c r="D1" s="2" t="inlineStr">
        <is>
          <t>Topic Register</t>
        </is>
      </c>
      <c r="E1" s="2" t="inlineStr">
        <is>
          <t>Action Register</t>
        </is>
      </c>
      <c r="F1" s="2" t="inlineStr">
        <is>
          <t>Update History</t>
        </is>
      </c>
      <c r="G1" s="1" t="inlineStr">
        <is>
          <t>PQCP Follow Up</t>
        </is>
      </c>
      <c r="H1" s="2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PQCP Follow-Up</t>
        </is>
      </c>
    </row>
    <row r="3" ht="16" customHeight="1">
      <c r="B3" s="6" t="inlineStr">
        <is>
          <t>This is NOT the official PQCP - the official PQCP stays in its own separate worksheet/file and is the source of truth. This table only tracks the operational follow-up (discussion, evidence, action) needed for specific PQCP steps.</t>
        </is>
      </c>
    </row>
    <row r="4">
      <c r="B4" s="50" t="inlineStr">
        <is>
          <t>Reminder: the official PQCP is a separate worksheet/file and remains the source of truth for formal readiness/compliance. This table is only an operational tracker.</t>
        </is>
      </c>
    </row>
    <row r="5">
      <c r="B5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  <row r="6" ht="18" customHeight="1">
      <c r="B6" s="41" t="inlineStr">
        <is>
          <t>Identification</t>
        </is>
      </c>
      <c r="C6" s="42" t="n"/>
      <c r="D6" s="42" t="n"/>
      <c r="E6" s="43" t="inlineStr">
        <is>
          <t>Position</t>
        </is>
      </c>
      <c r="F6" s="44" t="n"/>
      <c r="G6" s="44" t="n"/>
      <c r="H6" s="44" t="n"/>
      <c r="I6" s="44" t="n"/>
      <c r="J6" s="41" t="inlineStr">
        <is>
          <t>Links &amp; Ownership</t>
        </is>
      </c>
      <c r="K6" s="42" t="n"/>
      <c r="L6" s="42" t="n"/>
      <c r="M6" s="42" t="n"/>
      <c r="N6" s="42" t="n"/>
      <c r="O6" s="43" t="inlineStr">
        <is>
          <t>Follow-up</t>
        </is>
      </c>
      <c r="P6" s="44" t="n"/>
      <c r="Q6" s="44" t="n"/>
      <c r="R6" s="44" t="n"/>
      <c r="S6" s="44" t="n"/>
    </row>
    <row r="7" ht="32" customHeight="1">
      <c r="B7" s="25" t="inlineStr">
        <is>
          <t>PQCP Step</t>
        </is>
      </c>
      <c r="C7" s="25" t="inlineStr">
        <is>
          <t>Short Subject</t>
        </is>
      </c>
      <c r="D7" s="25" t="inlineStr">
        <is>
          <t>Category</t>
        </is>
      </c>
      <c r="E7" s="25" t="inlineStr">
        <is>
          <t>Current Position</t>
        </is>
      </c>
      <c r="F7" s="25" t="inlineStr">
        <is>
          <t>Gap / Information Required</t>
        </is>
      </c>
      <c r="G7" s="25" t="inlineStr">
        <is>
          <t>Evidence Required</t>
        </is>
      </c>
      <c r="H7" s="25" t="inlineStr">
        <is>
          <t>Evidence Available?</t>
        </is>
      </c>
      <c r="I7" s="25" t="inlineStr">
        <is>
          <t>Evidence Reference</t>
        </is>
      </c>
      <c r="J7" s="25" t="inlineStr">
        <is>
          <t>Related Topic ID</t>
        </is>
      </c>
      <c r="K7" s="25" t="inlineStr">
        <is>
          <t>Related Action ID</t>
        </is>
      </c>
      <c r="L7" s="25" t="inlineStr">
        <is>
          <t>Owner</t>
        </is>
      </c>
      <c r="M7" s="25" t="inlineStr">
        <is>
          <t>Target Date</t>
        </is>
      </c>
      <c r="N7" s="25" t="inlineStr">
        <is>
          <t>Last Discussed</t>
        </is>
      </c>
      <c r="O7" s="25" t="inlineStr">
        <is>
          <t>Next Step</t>
        </is>
      </c>
      <c r="P7" s="25" t="inlineStr">
        <is>
          <t>Discuss at Next Meeting?</t>
        </is>
      </c>
      <c r="Q7" s="25" t="inlineStr">
        <is>
          <t>Readiness Assessment</t>
        </is>
      </c>
      <c r="R7" s="25" t="inlineStr">
        <is>
          <t>Readiness Indicator</t>
        </is>
      </c>
      <c r="S7" s="25" t="inlineStr">
        <is>
          <t>Comment</t>
        </is>
      </c>
    </row>
    <row r="8">
      <c r="B8" s="26" t="inlineStr">
        <is>
          <t>P-001</t>
        </is>
      </c>
      <c r="C8" s="26" t="inlineStr">
        <is>
          <t>Temporary supply availability</t>
        </is>
      </c>
      <c r="D8" s="26" t="inlineStr">
        <is>
          <t>Schedule &amp; Interfaces</t>
        </is>
      </c>
      <c r="E8" s="26" t="inlineStr">
        <is>
          <t>Awaiting contractor confirmation of the temporary supply date.</t>
        </is>
      </c>
      <c r="F8" s="26" t="inlineStr">
        <is>
          <t>Temporary supply date not yet confirmed.</t>
        </is>
      </c>
      <c r="G8" s="26" t="inlineStr">
        <is>
          <t>Updated programme confirming the supply date.</t>
        </is>
      </c>
      <c r="H8" s="26" t="inlineStr">
        <is>
          <t>No</t>
        </is>
      </c>
      <c r="I8" s="26" t="inlineStr">
        <is>
          <t>E001</t>
        </is>
      </c>
      <c r="J8" s="26" t="inlineStr">
        <is>
          <t>T001</t>
        </is>
      </c>
      <c r="K8" s="26" t="inlineStr">
        <is>
          <t>A001</t>
        </is>
      </c>
      <c r="L8" s="26" t="inlineStr">
        <is>
          <t>Person A</t>
        </is>
      </c>
      <c r="M8" s="27" t="n">
        <v>46218</v>
      </c>
      <c r="N8" s="27" t="n">
        <v>46175</v>
      </c>
      <c r="O8" s="26" t="inlineStr">
        <is>
          <t>Await Contractor A's updated programme.</t>
        </is>
      </c>
      <c r="P8" s="26" t="inlineStr">
        <is>
          <t>Yes</t>
        </is>
      </c>
      <c r="Q8" s="26" t="inlineStr">
        <is>
          <t>Not Ready</t>
        </is>
      </c>
      <c r="R8" s="51">
        <f>IF($Q8="","",IF($Q8="Ready",1,IF($Q8="Partially Ready",0.5,IF($Q8="Not Ready",0,""))))</f>
        <v/>
      </c>
      <c r="S8" s="26" t="inlineStr">
        <is>
          <t>Fictional example only.</t>
        </is>
      </c>
    </row>
    <row r="9">
      <c r="B9" s="26" t="inlineStr">
        <is>
          <t>P-002</t>
        </is>
      </c>
      <c r="C9" s="26" t="inlineStr">
        <is>
          <t>SSOW acceptance - Example Area B</t>
        </is>
      </c>
      <c r="D9" s="26" t="inlineStr">
        <is>
          <t>Safety / Capability</t>
        </is>
      </c>
      <c r="E9" s="26" t="inlineStr">
        <is>
          <t>SSOW reviewed and accepted.</t>
        </is>
      </c>
      <c r="F9" s="26" t="inlineStr"/>
      <c r="G9" s="26" t="inlineStr">
        <is>
          <t>Approved SSOW document.</t>
        </is>
      </c>
      <c r="H9" s="26" t="inlineStr">
        <is>
          <t>Yes</t>
        </is>
      </c>
      <c r="I9" s="26" t="inlineStr">
        <is>
          <t>E002</t>
        </is>
      </c>
      <c r="J9" s="26" t="inlineStr">
        <is>
          <t>T002</t>
        </is>
      </c>
      <c r="K9" s="26" t="inlineStr">
        <is>
          <t>A002</t>
        </is>
      </c>
      <c r="L9" s="26" t="inlineStr">
        <is>
          <t>Person B</t>
        </is>
      </c>
      <c r="M9" s="27" t="n">
        <v>46137</v>
      </c>
      <c r="N9" s="27" t="n">
        <v>46122</v>
      </c>
      <c r="O9" s="26" t="inlineStr">
        <is>
          <t>None - closed.</t>
        </is>
      </c>
      <c r="P9" s="26" t="inlineStr">
        <is>
          <t>No</t>
        </is>
      </c>
      <c r="Q9" s="26" t="inlineStr">
        <is>
          <t>Ready</t>
        </is>
      </c>
      <c r="R9" s="51">
        <f>IF($Q9="","",IF($Q9="Ready",1,IF($Q9="Partially Ready",0.5,IF($Q9="Not Ready",0,""))))</f>
        <v/>
      </c>
      <c r="S9" s="26" t="inlineStr">
        <is>
          <t>Fictional example only.</t>
        </is>
      </c>
    </row>
  </sheetData>
  <mergeCells count="4">
    <mergeCell ref="E6:I6"/>
    <mergeCell ref="O6:S6"/>
    <mergeCell ref="B6:D6"/>
    <mergeCell ref="J6:N6"/>
  </mergeCells>
  <conditionalFormatting sqref="B8:S9">
    <cfRule type="expression" priority="1" dxfId="4">
      <formula>$Q8="Not Ready"</formula>
    </cfRule>
    <cfRule type="expression" priority="2" dxfId="6">
      <formula>$Q8="Partially Ready"</formula>
    </cfRule>
    <cfRule type="expression" priority="3" dxfId="9">
      <formula>$Q8="Ready"</formula>
    </cfRule>
  </conditionalFormatting>
  <dataValidations count="7">
    <dataValidation sqref="D8:D9" showDropDown="0" showInputMessage="0" showErrorMessage="0" allowBlank="1" type="list">
      <formula1>=LIST_CATEGORY</formula1>
    </dataValidation>
    <dataValidation sqref="H8:H9" showDropDown="0" showInputMessage="0" showErrorMessage="0" allowBlank="1" type="list">
      <formula1>=LIST_EVIDENCE_AVAIL</formula1>
    </dataValidation>
    <dataValidation sqref="I8:I9" showDropDown="0" showInputMessage="0" showErrorMessage="0" allowBlank="1" type="list">
      <formula1>=NAME_EVIDENCE_IDS</formula1>
    </dataValidation>
    <dataValidation sqref="J8:J9" showDropDown="0" showInputMessage="0" showErrorMessage="0" allowBlank="1" type="list">
      <formula1>=NAME_TOPIC_IDS</formula1>
    </dataValidation>
    <dataValidation sqref="K8:K9" showDropDown="0" showInputMessage="0" showErrorMessage="0" allowBlank="1" type="list">
      <formula1>=NAME_ACTION_IDS</formula1>
    </dataValidation>
    <dataValidation sqref="P8:P9" showDropDown="0" showInputMessage="0" showErrorMessage="0" allowBlank="1" type="list">
      <formula1>=LIST_YESNO</formula1>
    </dataValidation>
    <dataValidation sqref="Q8:Q9" showDropDown="0" showInputMessage="0" showErrorMessage="0" allowBlank="1" type="list">
      <formula1>=LIST_READINESS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1" customWidth="1" min="2" max="2"/>
    <col width="24" customWidth="1" min="3" max="3"/>
    <col width="30" customWidth="1" min="4" max="4"/>
    <col width="16" customWidth="1" min="5" max="5"/>
    <col width="10" customWidth="1" min="6" max="6"/>
    <col width="14" customWidth="1" min="7" max="7"/>
    <col width="10" customWidth="1" min="8" max="8"/>
    <col width="15" customWidth="1" min="9" max="9"/>
    <col width="16" customWidth="1" min="10" max="10"/>
    <col width="12" customWidth="1" min="11" max="11"/>
    <col width="12" customWidth="1" min="12" max="12"/>
    <col width="13" customWidth="1" min="13" max="13"/>
    <col width="12" customWidth="1" min="14" max="14"/>
    <col width="26" customWidth="1" min="15" max="15"/>
    <col width="12" customWidth="1" min="16" max="16"/>
  </cols>
  <sheetData>
    <row r="1" ht="20" customHeight="1">
      <c r="B1" s="2" t="inlineStr">
        <is>
          <t>Dashboard</t>
        </is>
      </c>
      <c r="C1" s="2" t="inlineStr">
        <is>
          <t>Next Meeting</t>
        </is>
      </c>
      <c r="D1" s="2" t="inlineStr">
        <is>
          <t>Topic Register</t>
        </is>
      </c>
      <c r="E1" s="2" t="inlineStr">
        <is>
          <t>Action Register</t>
        </is>
      </c>
      <c r="F1" s="2" t="inlineStr">
        <is>
          <t>Update History</t>
        </is>
      </c>
      <c r="G1" s="2" t="inlineStr">
        <is>
          <t>PQCP Follow Up</t>
        </is>
      </c>
      <c r="H1" s="1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Document / Evidence Register</t>
        </is>
      </c>
    </row>
    <row r="3" ht="16" customHeight="1">
      <c r="B3" s="6" t="inlineStr">
        <is>
          <t>Documents and records supporting Commissioning readiness, topic closure, action closure or PQCP follow-up. Not a full document management system - only what this Review needs to track.</t>
        </is>
      </c>
    </row>
    <row r="5">
      <c r="B5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  <row r="6" ht="18" customHeight="1">
      <c r="B6" s="41" t="inlineStr">
        <is>
          <t>Identification</t>
        </is>
      </c>
      <c r="C6" s="42" t="n"/>
      <c r="D6" s="42" t="n"/>
      <c r="E6" s="42" t="n"/>
      <c r="F6" s="42" t="n"/>
      <c r="G6" s="43" t="inlineStr">
        <is>
          <t>Status</t>
        </is>
      </c>
      <c r="H6" s="44" t="n"/>
      <c r="I6" s="44" t="n"/>
      <c r="J6" s="44" t="n"/>
      <c r="K6" s="41" t="inlineStr">
        <is>
          <t>Links</t>
        </is>
      </c>
      <c r="L6" s="42" t="n"/>
      <c r="M6" s="42" t="n"/>
      <c r="N6" s="43" t="inlineStr">
        <is>
          <t>Tracking</t>
        </is>
      </c>
      <c r="O6" s="44" t="n"/>
      <c r="P6" s="44" t="n"/>
    </row>
    <row r="7" ht="32" customHeight="1">
      <c r="B7" s="25" t="inlineStr">
        <is>
          <t>Evidence ID</t>
        </is>
      </c>
      <c r="C7" s="25" t="inlineStr">
        <is>
          <t>Document Type</t>
        </is>
      </c>
      <c r="D7" s="25" t="inlineStr">
        <is>
          <t>Short Description</t>
        </is>
      </c>
      <c r="E7" s="25" t="inlineStr">
        <is>
          <t>Document Reference</t>
        </is>
      </c>
      <c r="F7" s="25" t="inlineStr">
        <is>
          <t>Revision</t>
        </is>
      </c>
      <c r="G7" s="25" t="inlineStr">
        <is>
          <t>Status</t>
        </is>
      </c>
      <c r="H7" s="25" t="inlineStr">
        <is>
          <t>Available?</t>
        </is>
      </c>
      <c r="I7" s="25" t="inlineStr">
        <is>
          <t>Approved / Accepted?</t>
        </is>
      </c>
      <c r="J7" s="25" t="inlineStr">
        <is>
          <t>Responsible Party</t>
        </is>
      </c>
      <c r="K7" s="25" t="inlineStr">
        <is>
          <t>Related Topic ID</t>
        </is>
      </c>
      <c r="L7" s="25" t="inlineStr">
        <is>
          <t>Related Action ID</t>
        </is>
      </c>
      <c r="M7" s="25" t="inlineStr">
        <is>
          <t>Related PQCP Step</t>
        </is>
      </c>
      <c r="N7" s="25" t="inlineStr">
        <is>
          <t>Required By</t>
        </is>
      </c>
      <c r="O7" s="25" t="inlineStr">
        <is>
          <t>Latest Status / Comment</t>
        </is>
      </c>
      <c r="P7" s="25" t="inlineStr">
        <is>
          <t>Last Checked</t>
        </is>
      </c>
    </row>
    <row r="8">
      <c r="B8" s="17">
        <f>IF($D8="","","E"&amp;TEXT(ROW()-7,"000"))</f>
        <v/>
      </c>
      <c r="C8" s="26" t="inlineStr">
        <is>
          <t>Method Statement</t>
        </is>
      </c>
      <c r="D8" s="26" t="inlineStr">
        <is>
          <t>Temporary supply installation method statement - Example Ventilation System</t>
        </is>
      </c>
      <c r="E8" s="26" t="inlineStr">
        <is>
          <t>DOC-EXAMPLE-001</t>
        </is>
      </c>
      <c r="F8" s="26" t="inlineStr">
        <is>
          <t>A</t>
        </is>
      </c>
      <c r="G8" s="26" t="inlineStr">
        <is>
          <t>Draft</t>
        </is>
      </c>
      <c r="H8" s="26" t="inlineStr">
        <is>
          <t>No</t>
        </is>
      </c>
      <c r="I8" s="26" t="inlineStr">
        <is>
          <t>TBC</t>
        </is>
      </c>
      <c r="J8" s="26" t="inlineStr">
        <is>
          <t>Contractor A</t>
        </is>
      </c>
      <c r="K8" s="26" t="inlineStr">
        <is>
          <t>T001</t>
        </is>
      </c>
      <c r="L8" s="26" t="inlineStr">
        <is>
          <t>A001</t>
        </is>
      </c>
      <c r="M8" s="26" t="inlineStr">
        <is>
          <t>P-001</t>
        </is>
      </c>
      <c r="N8" s="27" t="n">
        <v>46213</v>
      </c>
      <c r="O8" s="26" t="inlineStr">
        <is>
          <t>Awaiting contractor issue.</t>
        </is>
      </c>
      <c r="P8" s="27" t="n">
        <v>46175</v>
      </c>
    </row>
    <row r="9">
      <c r="B9" s="17">
        <f>IF($D9="","","E"&amp;TEXT(ROW()-7,"000"))</f>
        <v/>
      </c>
      <c r="C9" s="26" t="inlineStr">
        <is>
          <t>Safe System of Work</t>
        </is>
      </c>
      <c r="D9" s="26" t="inlineStr">
        <is>
          <t>SSOW for Example Area B</t>
        </is>
      </c>
      <c r="E9" s="26" t="inlineStr">
        <is>
          <t>DOC-EXAMPLE-002</t>
        </is>
      </c>
      <c r="F9" s="26" t="inlineStr">
        <is>
          <t>A</t>
        </is>
      </c>
      <c r="G9" s="26" t="inlineStr">
        <is>
          <t>Approved</t>
        </is>
      </c>
      <c r="H9" s="26" t="inlineStr">
        <is>
          <t>Yes</t>
        </is>
      </c>
      <c r="I9" s="26" t="inlineStr">
        <is>
          <t>Yes</t>
        </is>
      </c>
      <c r="J9" s="26" t="inlineStr">
        <is>
          <t>Client Team</t>
        </is>
      </c>
      <c r="K9" s="26" t="inlineStr">
        <is>
          <t>T002</t>
        </is>
      </c>
      <c r="L9" s="26" t="inlineStr">
        <is>
          <t>A002</t>
        </is>
      </c>
      <c r="M9" s="26" t="inlineStr"/>
      <c r="N9" s="27" t="n">
        <v>46137</v>
      </c>
      <c r="O9" s="26" t="inlineStr">
        <is>
          <t>Reviewed and accepted.</t>
        </is>
      </c>
      <c r="P9" s="27" t="n">
        <v>46140</v>
      </c>
    </row>
  </sheetData>
  <mergeCells count="4">
    <mergeCell ref="G6:J6"/>
    <mergeCell ref="K6:M6"/>
    <mergeCell ref="N6:P6"/>
    <mergeCell ref="B6:F6"/>
  </mergeCells>
  <conditionalFormatting sqref="B8:P9">
    <cfRule type="expression" priority="1" dxfId="4">
      <formula>$G8="Missing"</formula>
    </cfRule>
    <cfRule type="expression" priority="2" dxfId="9">
      <formula>$G8="Approved"</formula>
    </cfRule>
    <cfRule type="expression" priority="3" dxfId="6">
      <formula>OR($G8="Draft",$G8="Issued for Review")</formula>
    </cfRule>
  </conditionalFormatting>
  <dataValidations count="8">
    <dataValidation sqref="C8:C9" showDropDown="0" showInputMessage="0" showErrorMessage="0" allowBlank="1" type="list">
      <formula1>=LIST_DOC_TYPE</formula1>
    </dataValidation>
    <dataValidation sqref="G8:G9" showDropDown="0" showInputMessage="0" showErrorMessage="0" allowBlank="1" type="list">
      <formula1>=LIST_EVIDENCE_STATUS</formula1>
    </dataValidation>
    <dataValidation sqref="H8:H9" showDropDown="0" showInputMessage="0" showErrorMessage="0" allowBlank="1" type="list">
      <formula1>=LIST_YESNO</formula1>
    </dataValidation>
    <dataValidation sqref="I8:I9" showDropDown="0" showInputMessage="0" showErrorMessage="0" allowBlank="1" type="list">
      <formula1>=LIST_APPROVED</formula1>
    </dataValidation>
    <dataValidation sqref="J8:J9" showDropDown="0" showInputMessage="0" showErrorMessage="0" allowBlank="1" type="list">
      <formula1>=LIST_ORG</formula1>
    </dataValidation>
    <dataValidation sqref="K8:K9" showDropDown="0" showInputMessage="0" showErrorMessage="0" allowBlank="1" type="list">
      <formula1>=NAME_TOPIC_IDS</formula1>
    </dataValidation>
    <dataValidation sqref="L8:L9" showDropDown="0" showInputMessage="0" showErrorMessage="0" allowBlank="1" type="list">
      <formula1>=NAME_ACTION_IDS</formula1>
    </dataValidation>
    <dataValidation sqref="M8:M9" showDropDown="0" showInputMessage="0" showErrorMessage="0" allowBlank="1" type="list">
      <formula1>=NAME_PQCP_STEPS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7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28" customWidth="1" min="4" max="4"/>
    <col width="14" customWidth="1" min="5" max="5"/>
    <col width="13" customWidth="1" min="6" max="6"/>
  </cols>
  <sheetData>
    <row r="1" ht="20" customHeight="1">
      <c r="B1" s="2" t="inlineStr">
        <is>
          <t>Dashboard</t>
        </is>
      </c>
      <c r="C1" s="2" t="inlineStr">
        <is>
          <t>Next Meeting</t>
        </is>
      </c>
      <c r="D1" s="2" t="inlineStr">
        <is>
          <t>Topic Register</t>
        </is>
      </c>
      <c r="E1" s="2" t="inlineStr">
        <is>
          <t>Action Register</t>
        </is>
      </c>
      <c r="F1" s="2" t="inlineStr">
        <is>
          <t>Update History</t>
        </is>
      </c>
      <c r="G1" s="2" t="inlineStr">
        <is>
          <t>PQCP Follow Up</t>
        </is>
      </c>
      <c r="H1" s="2" t="inlineStr">
        <is>
          <t>Document Evidence</t>
        </is>
      </c>
      <c r="I1" s="1" t="inlineStr">
        <is>
          <t>Meeting Summary</t>
        </is>
      </c>
    </row>
    <row r="2" ht="26" customHeight="1">
      <c r="B2" s="3" t="inlineStr">
        <is>
          <t>Meeting Summary</t>
        </is>
      </c>
    </row>
    <row r="3" ht="16" customHeight="1">
      <c r="B3" s="6" t="inlineStr">
        <is>
          <t>Fill in the meeting information and Executive Summary manually. Every section below fills in automatically from the registers for the meeting date selected - nothing else to maintain here.</t>
        </is>
      </c>
    </row>
    <row r="5">
      <c r="B5" s="29" t="inlineStr">
        <is>
          <t>Meeting Date:</t>
        </is>
      </c>
      <c r="C5" s="30" t="n">
        <v>46175</v>
      </c>
      <c r="E5" s="29" t="inlineStr">
        <is>
          <t>Meeting Title:</t>
        </is>
      </c>
      <c r="F5" s="52" t="inlineStr">
        <is>
          <t>Monthly Commissioning Review - Example Project</t>
        </is>
      </c>
    </row>
    <row r="6">
      <c r="B6" s="29" t="inlineStr">
        <is>
          <t>Prepared By:</t>
        </is>
      </c>
      <c r="C6" s="52" t="inlineStr">
        <is>
          <t>Person A</t>
        </is>
      </c>
      <c r="E6" s="29" t="inlineStr">
        <is>
          <t>Participants / Attendees:</t>
        </is>
      </c>
      <c r="F6" s="52" t="inlineStr">
        <is>
          <t>Person A, Person B, Contractor A representative</t>
        </is>
      </c>
    </row>
    <row r="8">
      <c r="B8" s="53" t="inlineStr">
        <is>
          <t>EXECUTIVE SUMMARY (max 5 points)</t>
        </is>
      </c>
    </row>
    <row r="9">
      <c r="B9" s="29" t="inlineStr">
        <is>
          <t>1.</t>
        </is>
      </c>
      <c r="C9" s="54" t="inlineStr">
        <is>
          <t>Fictional example: temporary supply confirmation remains the key open item for Example Ventilation System.</t>
        </is>
      </c>
    </row>
    <row r="10">
      <c r="B10" s="29" t="inlineStr">
        <is>
          <t>2.</t>
        </is>
      </c>
      <c r="C10" s="54" t="n"/>
    </row>
    <row r="11">
      <c r="B11" s="29" t="inlineStr">
        <is>
          <t>3.</t>
        </is>
      </c>
      <c r="C11" s="54" t="n"/>
    </row>
    <row r="12">
      <c r="B12" s="29" t="inlineStr">
        <is>
          <t>4.</t>
        </is>
      </c>
      <c r="C12" s="54" t="n"/>
    </row>
    <row r="13">
      <c r="B13" s="29" t="inlineStr">
        <is>
          <t>5.</t>
        </is>
      </c>
      <c r="C13" s="54" t="n"/>
    </row>
    <row r="16" ht="22" customHeight="1">
      <c r="B16" s="55" t="inlineStr">
        <is>
          <t>KEY UPDATES</t>
        </is>
      </c>
      <c r="C16" s="55" t="n"/>
      <c r="D16" s="55" t="n"/>
    </row>
    <row r="17">
      <c r="B17" s="56" t="inlineStr">
        <is>
          <t>Topic ID</t>
        </is>
      </c>
      <c r="C17" s="56" t="inlineStr">
        <is>
          <t>Update</t>
        </is>
      </c>
      <c r="D17" s="56" t="inlineStr">
        <is>
          <t>Current Position</t>
        </is>
      </c>
    </row>
    <row r="18" ht="26" customHeight="1">
      <c r="B18" s="17">
        <f t="array" ref="B18">IFERROR(INDEX(Update_History[Topic ID],SMALL(IF((Update_History[Meeting Date]=$C$5)*(Update_History[Decision]=""),ROW(Update_History[Meeting Date])-7),1)),"")</f>
        <v/>
      </c>
      <c r="C18" s="17">
        <f t="array" ref="C18">IFERROR(INDEX(Update_History[Update / Discussion],SMALL(IF((Update_History[Meeting Date]=$C$5)*(Update_History[Decision]=""),ROW(Update_History[Meeting Date])-7),1)),"")</f>
        <v/>
      </c>
      <c r="D18" s="17">
        <f t="array" ref="D18">IF($B18="","",IFERROR(INDEX(Topic_Register[Current Position],MATCH($B18,Topic_Register[Topic ID],0)),""))</f>
        <v/>
      </c>
    </row>
    <row r="19" ht="26" customHeight="1">
      <c r="B19" s="19">
        <f t="array" ref="B19">IFERROR(INDEX(Update_History[Topic ID],SMALL(IF((Update_History[Meeting Date]=$C$5)*(Update_History[Decision]=""),ROW(Update_History[Meeting Date])-7),2)),"")</f>
        <v/>
      </c>
      <c r="C19" s="19">
        <f t="array" ref="C19">IFERROR(INDEX(Update_History[Update / Discussion],SMALL(IF((Update_History[Meeting Date]=$C$5)*(Update_History[Decision]=""),ROW(Update_History[Meeting Date])-7),2)),"")</f>
        <v/>
      </c>
      <c r="D19" s="19">
        <f t="array" ref="D19">IF($B19="","",IFERROR(INDEX(Topic_Register[Current Position],MATCH($B19,Topic_Register[Topic ID],0)),""))</f>
        <v/>
      </c>
    </row>
    <row r="20" ht="26" customHeight="1">
      <c r="B20" s="17">
        <f t="array" ref="B20">IFERROR(INDEX(Update_History[Topic ID],SMALL(IF((Update_History[Meeting Date]=$C$5)*(Update_History[Decision]=""),ROW(Update_History[Meeting Date])-7),3)),"")</f>
        <v/>
      </c>
      <c r="C20" s="17">
        <f t="array" ref="C20">IFERROR(INDEX(Update_History[Update / Discussion],SMALL(IF((Update_History[Meeting Date]=$C$5)*(Update_History[Decision]=""),ROW(Update_History[Meeting Date])-7),3)),"")</f>
        <v/>
      </c>
      <c r="D20" s="17">
        <f t="array" ref="D20">IF($B20="","",IFERROR(INDEX(Topic_Register[Current Position],MATCH($B20,Topic_Register[Topic ID],0)),""))</f>
        <v/>
      </c>
    </row>
    <row r="21" ht="26" customHeight="1">
      <c r="B21" s="19">
        <f t="array" ref="B21">IFERROR(INDEX(Update_History[Topic ID],SMALL(IF((Update_History[Meeting Date]=$C$5)*(Update_History[Decision]=""),ROW(Update_History[Meeting Date])-7),4)),"")</f>
        <v/>
      </c>
      <c r="C21" s="19">
        <f t="array" ref="C21">IFERROR(INDEX(Update_History[Update / Discussion],SMALL(IF((Update_History[Meeting Date]=$C$5)*(Update_History[Decision]=""),ROW(Update_History[Meeting Date])-7),4)),"")</f>
        <v/>
      </c>
      <c r="D21" s="19">
        <f t="array" ref="D21">IF($B21="","",IFERROR(INDEX(Topic_Register[Current Position],MATCH($B21,Topic_Register[Topic ID],0)),""))</f>
        <v/>
      </c>
    </row>
    <row r="22" ht="26" customHeight="1">
      <c r="B22" s="17">
        <f t="array" ref="B22">IFERROR(INDEX(Update_History[Topic ID],SMALL(IF((Update_History[Meeting Date]=$C$5)*(Update_History[Decision]=""),ROW(Update_History[Meeting Date])-7),5)),"")</f>
        <v/>
      </c>
      <c r="C22" s="17">
        <f t="array" ref="C22">IFERROR(INDEX(Update_History[Update / Discussion],SMALL(IF((Update_History[Meeting Date]=$C$5)*(Update_History[Decision]=""),ROW(Update_History[Meeting Date])-7),5)),"")</f>
        <v/>
      </c>
      <c r="D22" s="17">
        <f t="array" ref="D22">IF($B22="","",IFERROR(INDEX(Topic_Register[Current Position],MATCH($B22,Topic_Register[Topic ID],0)),""))</f>
        <v/>
      </c>
    </row>
    <row r="23" ht="26" customHeight="1">
      <c r="B23" s="19">
        <f t="array" ref="B23">IFERROR(INDEX(Update_History[Topic ID],SMALL(IF((Update_History[Meeting Date]=$C$5)*(Update_History[Decision]=""),ROW(Update_History[Meeting Date])-7),6)),"")</f>
        <v/>
      </c>
      <c r="C23" s="19">
        <f t="array" ref="C23">IFERROR(INDEX(Update_History[Update / Discussion],SMALL(IF((Update_History[Meeting Date]=$C$5)*(Update_History[Decision]=""),ROW(Update_History[Meeting Date])-7),6)),"")</f>
        <v/>
      </c>
      <c r="D23" s="19">
        <f t="array" ref="D23">IF($B23="","",IFERROR(INDEX(Topic_Register[Current Position],MATCH($B23,Topic_Register[Topic ID],0)),""))</f>
        <v/>
      </c>
    </row>
    <row r="25" ht="22" customHeight="1">
      <c r="B25" s="55" t="inlineStr">
        <is>
          <t>DECISIONS</t>
        </is>
      </c>
      <c r="C25" s="55" t="n"/>
    </row>
    <row r="26">
      <c r="B26" s="56" t="inlineStr">
        <is>
          <t>Topic ID</t>
        </is>
      </c>
      <c r="C26" s="56" t="inlineStr">
        <is>
          <t>Decision</t>
        </is>
      </c>
    </row>
    <row r="27" ht="26" customHeight="1">
      <c r="B27" s="17">
        <f t="array" ref="B27">IFERROR(INDEX(Update_History[Topic ID],SMALL(IF((Update_History[Meeting Date]=$C$5)*(Update_History[Decision]&lt;&gt;""),ROW(Update_History[Meeting Date])-7),1)),"")</f>
        <v/>
      </c>
      <c r="C27" s="17">
        <f t="array" ref="C27">IFERROR(INDEX(Update_History[Decision],SMALL(IF((Update_History[Meeting Date]=$C$5)*(Update_History[Decision]&lt;&gt;""),ROW(Update_History[Meeting Date])-7),1)),"")</f>
        <v/>
      </c>
    </row>
    <row r="28" ht="26" customHeight="1">
      <c r="B28" s="19">
        <f t="array" ref="B28">IFERROR(INDEX(Update_History[Topic ID],SMALL(IF((Update_History[Meeting Date]=$C$5)*(Update_History[Decision]&lt;&gt;""),ROW(Update_History[Meeting Date])-7),2)),"")</f>
        <v/>
      </c>
      <c r="C28" s="19">
        <f t="array" ref="C28">IFERROR(INDEX(Update_History[Decision],SMALL(IF((Update_History[Meeting Date]=$C$5)*(Update_History[Decision]&lt;&gt;""),ROW(Update_History[Meeting Date])-7),2)),"")</f>
        <v/>
      </c>
    </row>
    <row r="29" ht="26" customHeight="1">
      <c r="B29" s="17">
        <f t="array" ref="B29">IFERROR(INDEX(Update_History[Topic ID],SMALL(IF((Update_History[Meeting Date]=$C$5)*(Update_History[Decision]&lt;&gt;""),ROW(Update_History[Meeting Date])-7),3)),"")</f>
        <v/>
      </c>
      <c r="C29" s="17">
        <f t="array" ref="C29">IFERROR(INDEX(Update_History[Decision],SMALL(IF((Update_History[Meeting Date]=$C$5)*(Update_History[Decision]&lt;&gt;""),ROW(Update_History[Meeting Date])-7),3)),"")</f>
        <v/>
      </c>
    </row>
    <row r="30" ht="26" customHeight="1">
      <c r="B30" s="19">
        <f t="array" ref="B30">IFERROR(INDEX(Update_History[Topic ID],SMALL(IF((Update_History[Meeting Date]=$C$5)*(Update_History[Decision]&lt;&gt;""),ROW(Update_History[Meeting Date])-7),4)),"")</f>
        <v/>
      </c>
      <c r="C30" s="19">
        <f t="array" ref="C30">IFERROR(INDEX(Update_History[Decision],SMALL(IF((Update_History[Meeting Date]=$C$5)*(Update_History[Decision]&lt;&gt;""),ROW(Update_History[Meeting Date])-7),4)),"")</f>
        <v/>
      </c>
    </row>
    <row r="31" ht="26" customHeight="1">
      <c r="B31" s="17">
        <f t="array" ref="B31">IFERROR(INDEX(Update_History[Topic ID],SMALL(IF((Update_History[Meeting Date]=$C$5)*(Update_History[Decision]&lt;&gt;""),ROW(Update_History[Meeting Date])-7),5)),"")</f>
        <v/>
      </c>
      <c r="C31" s="17">
        <f t="array" ref="C31">IFERROR(INDEX(Update_History[Decision],SMALL(IF((Update_History[Meeting Date]=$C$5)*(Update_History[Decision]&lt;&gt;""),ROW(Update_History[Meeting Date])-7),5)),"")</f>
        <v/>
      </c>
    </row>
    <row r="33" ht="22" customHeight="1">
      <c r="B33" s="55" t="inlineStr">
        <is>
          <t>NEW ACTIONS</t>
        </is>
      </c>
      <c r="C33" s="55" t="n"/>
      <c r="D33" s="55" t="n"/>
      <c r="E33" s="55" t="n"/>
    </row>
    <row r="34">
      <c r="B34" s="56" t="inlineStr">
        <is>
          <t>Action</t>
        </is>
      </c>
      <c r="C34" s="56" t="inlineStr">
        <is>
          <t>Owner</t>
        </is>
      </c>
      <c r="D34" s="56" t="inlineStr">
        <is>
          <t>Due Date</t>
        </is>
      </c>
      <c r="E34" s="56" t="inlineStr">
        <is>
          <t>Priority</t>
        </is>
      </c>
    </row>
    <row r="35" ht="26" customHeight="1">
      <c r="B35" s="17">
        <f t="array" ref="B35">IFERROR(INDEX(Action_Register[Action Description],SMALL(IF(Action_Register[Date Raised]=$C$5,ROW(Action_Register[Date Raised])-7),1)),"")</f>
        <v/>
      </c>
      <c r="C35" s="17">
        <f t="array" ref="C35">IFERROR(INDEX(Action_Register[Owner],SMALL(IF(Action_Register[Date Raised]=$C$5,ROW(Action_Register[Date Raised])-7),1)),"")</f>
        <v/>
      </c>
      <c r="D35" s="18">
        <f t="array" ref="D35">IFERROR(INDEX(Action_Register[Due Date],SMALL(IF(Action_Register[Date Raised]=$C$5,ROW(Action_Register[Date Raised])-7),1)),"")</f>
        <v/>
      </c>
      <c r="E35" s="17">
        <f t="array" ref="E35">IFERROR(INDEX(Action_Register[Priority],SMALL(IF(Action_Register[Date Raised]=$C$5,ROW(Action_Register[Date Raised])-7),1)),"")</f>
        <v/>
      </c>
    </row>
    <row r="36" ht="26" customHeight="1">
      <c r="B36" s="19">
        <f t="array" ref="B36">IFERROR(INDEX(Action_Register[Action Description],SMALL(IF(Action_Register[Date Raised]=$C$5,ROW(Action_Register[Date Raised])-7),2)),"")</f>
        <v/>
      </c>
      <c r="C36" s="19">
        <f t="array" ref="C36">IFERROR(INDEX(Action_Register[Owner],SMALL(IF(Action_Register[Date Raised]=$C$5,ROW(Action_Register[Date Raised])-7),2)),"")</f>
        <v/>
      </c>
      <c r="D36" s="20">
        <f t="array" ref="D36">IFERROR(INDEX(Action_Register[Due Date],SMALL(IF(Action_Register[Date Raised]=$C$5,ROW(Action_Register[Date Raised])-7),2)),"")</f>
        <v/>
      </c>
      <c r="E36" s="19">
        <f t="array" ref="E36">IFERROR(INDEX(Action_Register[Priority],SMALL(IF(Action_Register[Date Raised]=$C$5,ROW(Action_Register[Date Raised])-7),2)),"")</f>
        <v/>
      </c>
    </row>
    <row r="37" ht="26" customHeight="1">
      <c r="B37" s="17">
        <f t="array" ref="B37">IFERROR(INDEX(Action_Register[Action Description],SMALL(IF(Action_Register[Date Raised]=$C$5,ROW(Action_Register[Date Raised])-7),3)),"")</f>
        <v/>
      </c>
      <c r="C37" s="17">
        <f t="array" ref="C37">IFERROR(INDEX(Action_Register[Owner],SMALL(IF(Action_Register[Date Raised]=$C$5,ROW(Action_Register[Date Raised])-7),3)),"")</f>
        <v/>
      </c>
      <c r="D37" s="18">
        <f t="array" ref="D37">IFERROR(INDEX(Action_Register[Due Date],SMALL(IF(Action_Register[Date Raised]=$C$5,ROW(Action_Register[Date Raised])-7),3)),"")</f>
        <v/>
      </c>
      <c r="E37" s="17">
        <f t="array" ref="E37">IFERROR(INDEX(Action_Register[Priority],SMALL(IF(Action_Register[Date Raised]=$C$5,ROW(Action_Register[Date Raised])-7),3)),"")</f>
        <v/>
      </c>
    </row>
    <row r="38" ht="26" customHeight="1">
      <c r="B38" s="19">
        <f t="array" ref="B38">IFERROR(INDEX(Action_Register[Action Description],SMALL(IF(Action_Register[Date Raised]=$C$5,ROW(Action_Register[Date Raised])-7),4)),"")</f>
        <v/>
      </c>
      <c r="C38" s="19">
        <f t="array" ref="C38">IFERROR(INDEX(Action_Register[Owner],SMALL(IF(Action_Register[Date Raised]=$C$5,ROW(Action_Register[Date Raised])-7),4)),"")</f>
        <v/>
      </c>
      <c r="D38" s="20">
        <f t="array" ref="D38">IFERROR(INDEX(Action_Register[Due Date],SMALL(IF(Action_Register[Date Raised]=$C$5,ROW(Action_Register[Date Raised])-7),4)),"")</f>
        <v/>
      </c>
      <c r="E38" s="19">
        <f t="array" ref="E38">IFERROR(INDEX(Action_Register[Priority],SMALL(IF(Action_Register[Date Raised]=$C$5,ROW(Action_Register[Date Raised])-7),4)),"")</f>
        <v/>
      </c>
    </row>
    <row r="39" ht="26" customHeight="1">
      <c r="B39" s="17">
        <f t="array" ref="B39">IFERROR(INDEX(Action_Register[Action Description],SMALL(IF(Action_Register[Date Raised]=$C$5,ROW(Action_Register[Date Raised])-7),5)),"")</f>
        <v/>
      </c>
      <c r="C39" s="17">
        <f t="array" ref="C39">IFERROR(INDEX(Action_Register[Owner],SMALL(IF(Action_Register[Date Raised]=$C$5,ROW(Action_Register[Date Raised])-7),5)),"")</f>
        <v/>
      </c>
      <c r="D39" s="18">
        <f t="array" ref="D39">IFERROR(INDEX(Action_Register[Due Date],SMALL(IF(Action_Register[Date Raised]=$C$5,ROW(Action_Register[Date Raised])-7),5)),"")</f>
        <v/>
      </c>
      <c r="E39" s="17">
        <f t="array" ref="E39">IFERROR(INDEX(Action_Register[Priority],SMALL(IF(Action_Register[Date Raised]=$C$5,ROW(Action_Register[Date Raised])-7),5)),"")</f>
        <v/>
      </c>
    </row>
    <row r="40" ht="26" customHeight="1">
      <c r="B40" s="19">
        <f t="array" ref="B40">IFERROR(INDEX(Action_Register[Action Description],SMALL(IF(Action_Register[Date Raised]=$C$5,ROW(Action_Register[Date Raised])-7),6)),"")</f>
        <v/>
      </c>
      <c r="C40" s="19">
        <f t="array" ref="C40">IFERROR(INDEX(Action_Register[Owner],SMALL(IF(Action_Register[Date Raised]=$C$5,ROW(Action_Register[Date Raised])-7),6)),"")</f>
        <v/>
      </c>
      <c r="D40" s="20">
        <f t="array" ref="D40">IFERROR(INDEX(Action_Register[Due Date],SMALL(IF(Action_Register[Date Raised]=$C$5,ROW(Action_Register[Date Raised])-7),6)),"")</f>
        <v/>
      </c>
      <c r="E40" s="19">
        <f t="array" ref="E40">IFERROR(INDEX(Action_Register[Priority],SMALL(IF(Action_Register[Date Raised]=$C$5,ROW(Action_Register[Date Raised])-7),6)),"")</f>
        <v/>
      </c>
    </row>
    <row r="42" ht="22" customHeight="1">
      <c r="B42" s="55" t="inlineStr">
        <is>
          <t>CLOSED ACTIONS</t>
        </is>
      </c>
      <c r="C42" s="55" t="n"/>
      <c r="D42" s="55" t="n"/>
      <c r="E42" s="55" t="n"/>
    </row>
    <row r="43">
      <c r="B43" s="56" t="inlineStr">
        <is>
          <t>Action</t>
        </is>
      </c>
      <c r="C43" s="56" t="inlineStr">
        <is>
          <t>Owner</t>
        </is>
      </c>
      <c r="D43" s="56" t="inlineStr">
        <is>
          <t>Closure Evidence</t>
        </is>
      </c>
      <c r="E43" s="56" t="inlineStr">
        <is>
          <t>Closure Date</t>
        </is>
      </c>
    </row>
    <row r="44" ht="26" customHeight="1">
      <c r="B44" s="17">
        <f t="array" ref="B44">IFERROR(INDEX(Action_Register[Action Description],SMALL(IF(Action_Register[Closure Date]=$C$5,ROW(Action_Register[Closure Date])-7),1)),"")</f>
        <v/>
      </c>
      <c r="C44" s="17">
        <f t="array" ref="C44">IFERROR(INDEX(Action_Register[Owner],SMALL(IF(Action_Register[Closure Date]=$C$5,ROW(Action_Register[Closure Date])-7),1)),"")</f>
        <v/>
      </c>
      <c r="D44" s="17">
        <f t="array" ref="D44">IFERROR(INDEX(Action_Register[Closure Evidence / Reference],SMALL(IF(Action_Register[Closure Date]=$C$5,ROW(Action_Register[Closure Date])-7),1)),"")</f>
        <v/>
      </c>
      <c r="E44" s="18">
        <f t="array" ref="E44">IFERROR(INDEX(Action_Register[Closure Date],SMALL(IF(Action_Register[Closure Date]=$C$5,ROW(Action_Register[Closure Date])-7),1)),"")</f>
        <v/>
      </c>
    </row>
    <row r="45" ht="26" customHeight="1">
      <c r="B45" s="19">
        <f t="array" ref="B45">IFERROR(INDEX(Action_Register[Action Description],SMALL(IF(Action_Register[Closure Date]=$C$5,ROW(Action_Register[Closure Date])-7),2)),"")</f>
        <v/>
      </c>
      <c r="C45" s="19">
        <f t="array" ref="C45">IFERROR(INDEX(Action_Register[Owner],SMALL(IF(Action_Register[Closure Date]=$C$5,ROW(Action_Register[Closure Date])-7),2)),"")</f>
        <v/>
      </c>
      <c r="D45" s="19">
        <f t="array" ref="D45">IFERROR(INDEX(Action_Register[Closure Evidence / Reference],SMALL(IF(Action_Register[Closure Date]=$C$5,ROW(Action_Register[Closure Date])-7),2)),"")</f>
        <v/>
      </c>
      <c r="E45" s="20">
        <f t="array" ref="E45">IFERROR(INDEX(Action_Register[Closure Date],SMALL(IF(Action_Register[Closure Date]=$C$5,ROW(Action_Register[Closure Date])-7),2)),"")</f>
        <v/>
      </c>
    </row>
    <row r="46" ht="26" customHeight="1">
      <c r="B46" s="17">
        <f t="array" ref="B46">IFERROR(INDEX(Action_Register[Action Description],SMALL(IF(Action_Register[Closure Date]=$C$5,ROW(Action_Register[Closure Date])-7),3)),"")</f>
        <v/>
      </c>
      <c r="C46" s="17">
        <f t="array" ref="C46">IFERROR(INDEX(Action_Register[Owner],SMALL(IF(Action_Register[Closure Date]=$C$5,ROW(Action_Register[Closure Date])-7),3)),"")</f>
        <v/>
      </c>
      <c r="D46" s="17">
        <f t="array" ref="D46">IFERROR(INDEX(Action_Register[Closure Evidence / Reference],SMALL(IF(Action_Register[Closure Date]=$C$5,ROW(Action_Register[Closure Date])-7),3)),"")</f>
        <v/>
      </c>
      <c r="E46" s="18">
        <f t="array" ref="E46">IFERROR(INDEX(Action_Register[Closure Date],SMALL(IF(Action_Register[Closure Date]=$C$5,ROW(Action_Register[Closure Date])-7),3)),"")</f>
        <v/>
      </c>
    </row>
    <row r="47" ht="26" customHeight="1">
      <c r="B47" s="19">
        <f t="array" ref="B47">IFERROR(INDEX(Action_Register[Action Description],SMALL(IF(Action_Register[Closure Date]=$C$5,ROW(Action_Register[Closure Date])-7),4)),"")</f>
        <v/>
      </c>
      <c r="C47" s="19">
        <f t="array" ref="C47">IFERROR(INDEX(Action_Register[Owner],SMALL(IF(Action_Register[Closure Date]=$C$5,ROW(Action_Register[Closure Date])-7),4)),"")</f>
        <v/>
      </c>
      <c r="D47" s="19">
        <f t="array" ref="D47">IFERROR(INDEX(Action_Register[Closure Evidence / Reference],SMALL(IF(Action_Register[Closure Date]=$C$5,ROW(Action_Register[Closure Date])-7),4)),"")</f>
        <v/>
      </c>
      <c r="E47" s="20">
        <f t="array" ref="E47">IFERROR(INDEX(Action_Register[Closure Date],SMALL(IF(Action_Register[Closure Date]=$C$5,ROW(Action_Register[Closure Date])-7),4)),"")</f>
        <v/>
      </c>
    </row>
    <row r="48" ht="26" customHeight="1">
      <c r="B48" s="17">
        <f t="array" ref="B48">IFERROR(INDEX(Action_Register[Action Description],SMALL(IF(Action_Register[Closure Date]=$C$5,ROW(Action_Register[Closure Date])-7),5)),"")</f>
        <v/>
      </c>
      <c r="C48" s="17">
        <f t="array" ref="C48">IFERROR(INDEX(Action_Register[Owner],SMALL(IF(Action_Register[Closure Date]=$C$5,ROW(Action_Register[Closure Date])-7),5)),"")</f>
        <v/>
      </c>
      <c r="D48" s="17">
        <f t="array" ref="D48">IFERROR(INDEX(Action_Register[Closure Evidence / Reference],SMALL(IF(Action_Register[Closure Date]=$C$5,ROW(Action_Register[Closure Date])-7),5)),"")</f>
        <v/>
      </c>
      <c r="E48" s="18">
        <f t="array" ref="E48">IFERROR(INDEX(Action_Register[Closure Date],SMALL(IF(Action_Register[Closure Date]=$C$5,ROW(Action_Register[Closure Date])-7),5)),"")</f>
        <v/>
      </c>
    </row>
    <row r="49" ht="26" customHeight="1">
      <c r="B49" s="19">
        <f t="array" ref="B49">IFERROR(INDEX(Action_Register[Action Description],SMALL(IF(Action_Register[Closure Date]=$C$5,ROW(Action_Register[Closure Date])-7),6)),"")</f>
        <v/>
      </c>
      <c r="C49" s="19">
        <f t="array" ref="C49">IFERROR(INDEX(Action_Register[Owner],SMALL(IF(Action_Register[Closure Date]=$C$5,ROW(Action_Register[Closure Date])-7),6)),"")</f>
        <v/>
      </c>
      <c r="D49" s="19">
        <f t="array" ref="D49">IFERROR(INDEX(Action_Register[Closure Evidence / Reference],SMALL(IF(Action_Register[Closure Date]=$C$5,ROW(Action_Register[Closure Date])-7),6)),"")</f>
        <v/>
      </c>
      <c r="E49" s="20">
        <f t="array" ref="E49">IFERROR(INDEX(Action_Register[Closure Date],SMALL(IF(Action_Register[Closure Date]=$C$5,ROW(Action_Register[Closure Date])-7),6)),"")</f>
        <v/>
      </c>
    </row>
    <row r="51" ht="22" customHeight="1">
      <c r="B51" s="55" t="inlineStr">
        <is>
          <t>PQCP / READINESS FOLLOW-UP</t>
        </is>
      </c>
      <c r="C51" s="55" t="n"/>
      <c r="D51" s="55" t="n"/>
      <c r="E51" s="55" t="n"/>
    </row>
    <row r="52">
      <c r="B52" s="56" t="inlineStr">
        <is>
          <t>PQCP Step</t>
        </is>
      </c>
      <c r="C52" s="56" t="inlineStr">
        <is>
          <t>Current Position</t>
        </is>
      </c>
      <c r="D52" s="56" t="inlineStr">
        <is>
          <t>Gap</t>
        </is>
      </c>
      <c r="E52" s="56" t="inlineStr">
        <is>
          <t>Next Step</t>
        </is>
      </c>
    </row>
    <row r="53" ht="26" customHeight="1">
      <c r="B53" s="17">
        <f t="array" ref="B53">IFERROR(INDEX(PQCP_Follow_Up[PQCP Step],SMALL(IF(PQCP_Follow_Up[Discuss at Next Meeting?]="Yes",ROW(PQCP_Follow_Up[Discuss at Next Meeting?])-7),1)),"")</f>
        <v/>
      </c>
      <c r="C53" s="17">
        <f t="array" ref="C53">IFERROR(INDEX(PQCP_Follow_Up[Current Position],SMALL(IF(PQCP_Follow_Up[Discuss at Next Meeting?]="Yes",ROW(PQCP_Follow_Up[Discuss at Next Meeting?])-7),1)),"")</f>
        <v/>
      </c>
      <c r="D53" s="17">
        <f t="array" ref="D53">IFERROR(INDEX(PQCP_Follow_Up[Gap / Information Required],SMALL(IF(PQCP_Follow_Up[Discuss at Next Meeting?]="Yes",ROW(PQCP_Follow_Up[Discuss at Next Meeting?])-7),1)),"")</f>
        <v/>
      </c>
      <c r="E53" s="17">
        <f t="array" ref="E53">IFERROR(INDEX(PQCP_Follow_Up[Next Step],SMALL(IF(PQCP_Follow_Up[Discuss at Next Meeting?]="Yes",ROW(PQCP_Follow_Up[Discuss at Next Meeting?])-7),1)),"")</f>
        <v/>
      </c>
    </row>
    <row r="54" ht="26" customHeight="1">
      <c r="B54" s="19">
        <f t="array" ref="B54">IFERROR(INDEX(PQCP_Follow_Up[PQCP Step],SMALL(IF(PQCP_Follow_Up[Discuss at Next Meeting?]="Yes",ROW(PQCP_Follow_Up[Discuss at Next Meeting?])-7),2)),"")</f>
        <v/>
      </c>
      <c r="C54" s="19">
        <f t="array" ref="C54">IFERROR(INDEX(PQCP_Follow_Up[Current Position],SMALL(IF(PQCP_Follow_Up[Discuss at Next Meeting?]="Yes",ROW(PQCP_Follow_Up[Discuss at Next Meeting?])-7),2)),"")</f>
        <v/>
      </c>
      <c r="D54" s="19">
        <f t="array" ref="D54">IFERROR(INDEX(PQCP_Follow_Up[Gap / Information Required],SMALL(IF(PQCP_Follow_Up[Discuss at Next Meeting?]="Yes",ROW(PQCP_Follow_Up[Discuss at Next Meeting?])-7),2)),"")</f>
        <v/>
      </c>
      <c r="E54" s="19">
        <f t="array" ref="E54">IFERROR(INDEX(PQCP_Follow_Up[Next Step],SMALL(IF(PQCP_Follow_Up[Discuss at Next Meeting?]="Yes",ROW(PQCP_Follow_Up[Discuss at Next Meeting?])-7),2)),"")</f>
        <v/>
      </c>
    </row>
    <row r="55" ht="26" customHeight="1">
      <c r="B55" s="17">
        <f t="array" ref="B55">IFERROR(INDEX(PQCP_Follow_Up[PQCP Step],SMALL(IF(PQCP_Follow_Up[Discuss at Next Meeting?]="Yes",ROW(PQCP_Follow_Up[Discuss at Next Meeting?])-7),3)),"")</f>
        <v/>
      </c>
      <c r="C55" s="17">
        <f t="array" ref="C55">IFERROR(INDEX(PQCP_Follow_Up[Current Position],SMALL(IF(PQCP_Follow_Up[Discuss at Next Meeting?]="Yes",ROW(PQCP_Follow_Up[Discuss at Next Meeting?])-7),3)),"")</f>
        <v/>
      </c>
      <c r="D55" s="17">
        <f t="array" ref="D55">IFERROR(INDEX(PQCP_Follow_Up[Gap / Information Required],SMALL(IF(PQCP_Follow_Up[Discuss at Next Meeting?]="Yes",ROW(PQCP_Follow_Up[Discuss at Next Meeting?])-7),3)),"")</f>
        <v/>
      </c>
      <c r="E55" s="17">
        <f t="array" ref="E55">IFERROR(INDEX(PQCP_Follow_Up[Next Step],SMALL(IF(PQCP_Follow_Up[Discuss at Next Meeting?]="Yes",ROW(PQCP_Follow_Up[Discuss at Next Meeting?])-7),3)),"")</f>
        <v/>
      </c>
    </row>
    <row r="56" ht="26" customHeight="1">
      <c r="B56" s="19">
        <f t="array" ref="B56">IFERROR(INDEX(PQCP_Follow_Up[PQCP Step],SMALL(IF(PQCP_Follow_Up[Discuss at Next Meeting?]="Yes",ROW(PQCP_Follow_Up[Discuss at Next Meeting?])-7),4)),"")</f>
        <v/>
      </c>
      <c r="C56" s="19">
        <f t="array" ref="C56">IFERROR(INDEX(PQCP_Follow_Up[Current Position],SMALL(IF(PQCP_Follow_Up[Discuss at Next Meeting?]="Yes",ROW(PQCP_Follow_Up[Discuss at Next Meeting?])-7),4)),"")</f>
        <v/>
      </c>
      <c r="D56" s="19">
        <f t="array" ref="D56">IFERROR(INDEX(PQCP_Follow_Up[Gap / Information Required],SMALL(IF(PQCP_Follow_Up[Discuss at Next Meeting?]="Yes",ROW(PQCP_Follow_Up[Discuss at Next Meeting?])-7),4)),"")</f>
        <v/>
      </c>
      <c r="E56" s="19">
        <f t="array" ref="E56">IFERROR(INDEX(PQCP_Follow_Up[Next Step],SMALL(IF(PQCP_Follow_Up[Discuss at Next Meeting?]="Yes",ROW(PQCP_Follow_Up[Discuss at Next Meeting?])-7),4)),"")</f>
        <v/>
      </c>
    </row>
    <row r="57" ht="26" customHeight="1">
      <c r="B57" s="17">
        <f t="array" ref="B57">IFERROR(INDEX(PQCP_Follow_Up[PQCP Step],SMALL(IF(PQCP_Follow_Up[Discuss at Next Meeting?]="Yes",ROW(PQCP_Follow_Up[Discuss at Next Meeting?])-7),5)),"")</f>
        <v/>
      </c>
      <c r="C57" s="17">
        <f t="array" ref="C57">IFERROR(INDEX(PQCP_Follow_Up[Current Position],SMALL(IF(PQCP_Follow_Up[Discuss at Next Meeting?]="Yes",ROW(PQCP_Follow_Up[Discuss at Next Meeting?])-7),5)),"")</f>
        <v/>
      </c>
      <c r="D57" s="17">
        <f t="array" ref="D57">IFERROR(INDEX(PQCP_Follow_Up[Gap / Information Required],SMALL(IF(PQCP_Follow_Up[Discuss at Next Meeting?]="Yes",ROW(PQCP_Follow_Up[Discuss at Next Meeting?])-7),5)),"")</f>
        <v/>
      </c>
      <c r="E57" s="17">
        <f t="array" ref="E57">IFERROR(INDEX(PQCP_Follow_Up[Next Step],SMALL(IF(PQCP_Follow_Up[Discuss at Next Meeting?]="Yes",ROW(PQCP_Follow_Up[Discuss at Next Meeting?])-7),5)),"")</f>
        <v/>
      </c>
    </row>
    <row r="58" ht="26" customHeight="1">
      <c r="B58" s="19">
        <f t="array" ref="B58">IFERROR(INDEX(PQCP_Follow_Up[PQCP Step],SMALL(IF(PQCP_Follow_Up[Discuss at Next Meeting?]="Yes",ROW(PQCP_Follow_Up[Discuss at Next Meeting?])-7),6)),"")</f>
        <v/>
      </c>
      <c r="C58" s="19">
        <f t="array" ref="C58">IFERROR(INDEX(PQCP_Follow_Up[Current Position],SMALL(IF(PQCP_Follow_Up[Discuss at Next Meeting?]="Yes",ROW(PQCP_Follow_Up[Discuss at Next Meeting?])-7),6)),"")</f>
        <v/>
      </c>
      <c r="D58" s="19">
        <f t="array" ref="D58">IFERROR(INDEX(PQCP_Follow_Up[Gap / Information Required],SMALL(IF(PQCP_Follow_Up[Discuss at Next Meeting?]="Yes",ROW(PQCP_Follow_Up[Discuss at Next Meeting?])-7),6)),"")</f>
        <v/>
      </c>
      <c r="E58" s="19">
        <f t="array" ref="E58">IFERROR(INDEX(PQCP_Follow_Up[Next Step],SMALL(IF(PQCP_Follow_Up[Discuss at Next Meeting?]="Yes",ROW(PQCP_Follow_Up[Discuss at Next Meeting?])-7),6)),"")</f>
        <v/>
      </c>
    </row>
    <row r="60" ht="22" customHeight="1">
      <c r="B60" s="55" t="inlineStr">
        <is>
          <t>KEY COMMISSIONING BLOCKERS</t>
        </is>
      </c>
      <c r="C60" s="55" t="n"/>
      <c r="D60" s="55" t="n"/>
      <c r="E60" s="55" t="n"/>
      <c r="F60" s="55" t="n"/>
    </row>
    <row r="61">
      <c r="B61" s="56" t="inlineStr">
        <is>
          <t>Topic</t>
        </is>
      </c>
      <c r="C61" s="56" t="inlineStr">
        <is>
          <t>Impact</t>
        </is>
      </c>
      <c r="D61" s="56" t="inlineStr">
        <is>
          <t>Owner</t>
        </is>
      </c>
      <c r="E61" s="56" t="inlineStr">
        <is>
          <t>Required By</t>
        </is>
      </c>
      <c r="F61" s="56" t="inlineStr">
        <is>
          <t>Escalation</t>
        </is>
      </c>
    </row>
    <row r="62" ht="26" customHeight="1">
      <c r="B62" s="17">
        <f t="array" ref="B62">IFERROR(INDEX(Topic_Register[Topic],SMALL(IF(Topic_Register[Commissioning Blocker?]="Yes",ROW(Topic_Register[Commissioning Blocker?])-7),1)),"")</f>
        <v/>
      </c>
      <c r="C62" s="17">
        <f t="array" ref="C62">IFERROR(INDEX(Topic_Register[Impact],SMALL(IF(Topic_Register[Commissioning Blocker?]="Yes",ROW(Topic_Register[Commissioning Blocker?])-7),1)),"")</f>
        <v/>
      </c>
      <c r="D62" s="17">
        <f t="array" ref="D62">IFERROR(INDEX(Topic_Register[Owner / Lead],SMALL(IF(Topic_Register[Commissioning Blocker?]="Yes",ROW(Topic_Register[Commissioning Blocker?])-7),1)),"")</f>
        <v/>
      </c>
      <c r="E62" s="18">
        <f t="array" ref="E62">IFERROR(INDEX(Topic_Register[Required By],SMALL(IF(Topic_Register[Commissioning Blocker?]="Yes",ROW(Topic_Register[Commissioning Blocker?])-7),1)),"")</f>
        <v/>
      </c>
      <c r="F62" s="17">
        <f t="array" ref="F62">IFERROR(INDEX(Topic_Register[Escalation Required?],SMALL(IF(Topic_Register[Commissioning Blocker?]="Yes",ROW(Topic_Register[Commissioning Blocker?])-7),1)),"")</f>
        <v/>
      </c>
    </row>
    <row r="63" ht="26" customHeight="1">
      <c r="B63" s="19">
        <f t="array" ref="B63">IFERROR(INDEX(Topic_Register[Topic],SMALL(IF(Topic_Register[Commissioning Blocker?]="Yes",ROW(Topic_Register[Commissioning Blocker?])-7),2)),"")</f>
        <v/>
      </c>
      <c r="C63" s="19">
        <f t="array" ref="C63">IFERROR(INDEX(Topic_Register[Impact],SMALL(IF(Topic_Register[Commissioning Blocker?]="Yes",ROW(Topic_Register[Commissioning Blocker?])-7),2)),"")</f>
        <v/>
      </c>
      <c r="D63" s="19">
        <f t="array" ref="D63">IFERROR(INDEX(Topic_Register[Owner / Lead],SMALL(IF(Topic_Register[Commissioning Blocker?]="Yes",ROW(Topic_Register[Commissioning Blocker?])-7),2)),"")</f>
        <v/>
      </c>
      <c r="E63" s="20">
        <f t="array" ref="E63">IFERROR(INDEX(Topic_Register[Required By],SMALL(IF(Topic_Register[Commissioning Blocker?]="Yes",ROW(Topic_Register[Commissioning Blocker?])-7),2)),"")</f>
        <v/>
      </c>
      <c r="F63" s="19">
        <f t="array" ref="F63">IFERROR(INDEX(Topic_Register[Escalation Required?],SMALL(IF(Topic_Register[Commissioning Blocker?]="Yes",ROW(Topic_Register[Commissioning Blocker?])-7),2)),"")</f>
        <v/>
      </c>
    </row>
    <row r="64" ht="26" customHeight="1">
      <c r="B64" s="17">
        <f t="array" ref="B64">IFERROR(INDEX(Topic_Register[Topic],SMALL(IF(Topic_Register[Commissioning Blocker?]="Yes",ROW(Topic_Register[Commissioning Blocker?])-7),3)),"")</f>
        <v/>
      </c>
      <c r="C64" s="17">
        <f t="array" ref="C64">IFERROR(INDEX(Topic_Register[Impact],SMALL(IF(Topic_Register[Commissioning Blocker?]="Yes",ROW(Topic_Register[Commissioning Blocker?])-7),3)),"")</f>
        <v/>
      </c>
      <c r="D64" s="17">
        <f t="array" ref="D64">IFERROR(INDEX(Topic_Register[Owner / Lead],SMALL(IF(Topic_Register[Commissioning Blocker?]="Yes",ROW(Topic_Register[Commissioning Blocker?])-7),3)),"")</f>
        <v/>
      </c>
      <c r="E64" s="18">
        <f t="array" ref="E64">IFERROR(INDEX(Topic_Register[Required By],SMALL(IF(Topic_Register[Commissioning Blocker?]="Yes",ROW(Topic_Register[Commissioning Blocker?])-7),3)),"")</f>
        <v/>
      </c>
      <c r="F64" s="17">
        <f t="array" ref="F64">IFERROR(INDEX(Topic_Register[Escalation Required?],SMALL(IF(Topic_Register[Commissioning Blocker?]="Yes",ROW(Topic_Register[Commissioning Blocker?])-7),3)),"")</f>
        <v/>
      </c>
    </row>
    <row r="65" ht="26" customHeight="1">
      <c r="B65" s="19">
        <f t="array" ref="B65">IFERROR(INDEX(Topic_Register[Topic],SMALL(IF(Topic_Register[Commissioning Blocker?]="Yes",ROW(Topic_Register[Commissioning Blocker?])-7),4)),"")</f>
        <v/>
      </c>
      <c r="C65" s="19">
        <f t="array" ref="C65">IFERROR(INDEX(Topic_Register[Impact],SMALL(IF(Topic_Register[Commissioning Blocker?]="Yes",ROW(Topic_Register[Commissioning Blocker?])-7),4)),"")</f>
        <v/>
      </c>
      <c r="D65" s="19">
        <f t="array" ref="D65">IFERROR(INDEX(Topic_Register[Owner / Lead],SMALL(IF(Topic_Register[Commissioning Blocker?]="Yes",ROW(Topic_Register[Commissioning Blocker?])-7),4)),"")</f>
        <v/>
      </c>
      <c r="E65" s="20">
        <f t="array" ref="E65">IFERROR(INDEX(Topic_Register[Required By],SMALL(IF(Topic_Register[Commissioning Blocker?]="Yes",ROW(Topic_Register[Commissioning Blocker?])-7),4)),"")</f>
        <v/>
      </c>
      <c r="F65" s="19">
        <f t="array" ref="F65">IFERROR(INDEX(Topic_Register[Escalation Required?],SMALL(IF(Topic_Register[Commissioning Blocker?]="Yes",ROW(Topic_Register[Commissioning Blocker?])-7),4)),"")</f>
        <v/>
      </c>
    </row>
    <row r="66" ht="26" customHeight="1">
      <c r="B66" s="17">
        <f t="array" ref="B66">IFERROR(INDEX(Topic_Register[Topic],SMALL(IF(Topic_Register[Commissioning Blocker?]="Yes",ROW(Topic_Register[Commissioning Blocker?])-7),5)),"")</f>
        <v/>
      </c>
      <c r="C66" s="17">
        <f t="array" ref="C66">IFERROR(INDEX(Topic_Register[Impact],SMALL(IF(Topic_Register[Commissioning Blocker?]="Yes",ROW(Topic_Register[Commissioning Blocker?])-7),5)),"")</f>
        <v/>
      </c>
      <c r="D66" s="17">
        <f t="array" ref="D66">IFERROR(INDEX(Topic_Register[Owner / Lead],SMALL(IF(Topic_Register[Commissioning Blocker?]="Yes",ROW(Topic_Register[Commissioning Blocker?])-7),5)),"")</f>
        <v/>
      </c>
      <c r="E66" s="18">
        <f t="array" ref="E66">IFERROR(INDEX(Topic_Register[Required By],SMALL(IF(Topic_Register[Commissioning Blocker?]="Yes",ROW(Topic_Register[Commissioning Blocker?])-7),5)),"")</f>
        <v/>
      </c>
      <c r="F66" s="17">
        <f t="array" ref="F66">IFERROR(INDEX(Topic_Register[Escalation Required?],SMALL(IF(Topic_Register[Commissioning Blocker?]="Yes",ROW(Topic_Register[Commissioning Blocker?])-7),5)),"")</f>
        <v/>
      </c>
    </row>
    <row r="67" ht="26" customHeight="1">
      <c r="B67" s="19">
        <f t="array" ref="B67">IFERROR(INDEX(Topic_Register[Topic],SMALL(IF(Topic_Register[Commissioning Blocker?]="Yes",ROW(Topic_Register[Commissioning Blocker?])-7),6)),"")</f>
        <v/>
      </c>
      <c r="C67" s="19">
        <f t="array" ref="C67">IFERROR(INDEX(Topic_Register[Impact],SMALL(IF(Topic_Register[Commissioning Blocker?]="Yes",ROW(Topic_Register[Commissioning Blocker?])-7),6)),"")</f>
        <v/>
      </c>
      <c r="D67" s="19">
        <f t="array" ref="D67">IFERROR(INDEX(Topic_Register[Owner / Lead],SMALL(IF(Topic_Register[Commissioning Blocker?]="Yes",ROW(Topic_Register[Commissioning Blocker?])-7),6)),"")</f>
        <v/>
      </c>
      <c r="E67" s="20">
        <f t="array" ref="E67">IFERROR(INDEX(Topic_Register[Required By],SMALL(IF(Topic_Register[Commissioning Blocker?]="Yes",ROW(Topic_Register[Commissioning Blocker?])-7),6)),"")</f>
        <v/>
      </c>
      <c r="F67" s="19">
        <f t="array" ref="F67">IFERROR(INDEX(Topic_Register[Escalation Required?],SMALL(IF(Topic_Register[Commissioning Blocker?]="Yes",ROW(Topic_Register[Commissioning Blocker?])-7),6)),"")</f>
        <v/>
      </c>
    </row>
    <row r="69" ht="22" customHeight="1">
      <c r="B69" s="55" t="inlineStr">
        <is>
          <t>ITEMS FOR NEXT REVIEW</t>
        </is>
      </c>
      <c r="C69" s="55" t="n"/>
      <c r="D69" s="55" t="n"/>
      <c r="E69" s="55" t="n"/>
    </row>
    <row r="70">
      <c r="B70" s="56" t="inlineStr">
        <is>
          <t>Topic</t>
        </is>
      </c>
      <c r="C70" s="56" t="inlineStr">
        <is>
          <t>Outstanding Point</t>
        </is>
      </c>
      <c r="D70" s="56" t="inlineStr">
        <is>
          <t>Next Step</t>
        </is>
      </c>
      <c r="E70" s="56" t="inlineStr">
        <is>
          <t>Owner</t>
        </is>
      </c>
    </row>
    <row r="71" ht="26" customHeight="1">
      <c r="B71" s="17">
        <f t="array" ref="B71">IFERROR(INDEX(Topic_Register[Topic],SMALL(IF(Topic_Register[Discuss at Next Meeting?]="Yes",ROW(Topic_Register[Discuss at Next Meeting?])-7),1)),"")</f>
        <v/>
      </c>
      <c r="C71" s="17">
        <f t="array" ref="C71">IFERROR(INDEX(Topic_Register[Outstanding Point / Gap],SMALL(IF(Topic_Register[Discuss at Next Meeting?]="Yes",ROW(Topic_Register[Discuss at Next Meeting?])-7),1)),"")</f>
        <v/>
      </c>
      <c r="D71" s="17">
        <f t="array" ref="D71">IFERROR(INDEX(Topic_Register[Next Step],SMALL(IF(Topic_Register[Discuss at Next Meeting?]="Yes",ROW(Topic_Register[Discuss at Next Meeting?])-7),1)),"")</f>
        <v/>
      </c>
      <c r="E71" s="17">
        <f t="array" ref="E71">IFERROR(INDEX(Topic_Register[Owner / Lead],SMALL(IF(Topic_Register[Discuss at Next Meeting?]="Yes",ROW(Topic_Register[Discuss at Next Meeting?])-7),1)),"")</f>
        <v/>
      </c>
    </row>
    <row r="72" ht="26" customHeight="1">
      <c r="B72" s="19">
        <f t="array" ref="B72">IFERROR(INDEX(Topic_Register[Topic],SMALL(IF(Topic_Register[Discuss at Next Meeting?]="Yes",ROW(Topic_Register[Discuss at Next Meeting?])-7),2)),"")</f>
        <v/>
      </c>
      <c r="C72" s="19">
        <f t="array" ref="C72">IFERROR(INDEX(Topic_Register[Outstanding Point / Gap],SMALL(IF(Topic_Register[Discuss at Next Meeting?]="Yes",ROW(Topic_Register[Discuss at Next Meeting?])-7),2)),"")</f>
        <v/>
      </c>
      <c r="D72" s="19">
        <f t="array" ref="D72">IFERROR(INDEX(Topic_Register[Next Step],SMALL(IF(Topic_Register[Discuss at Next Meeting?]="Yes",ROW(Topic_Register[Discuss at Next Meeting?])-7),2)),"")</f>
        <v/>
      </c>
      <c r="E72" s="19">
        <f t="array" ref="E72">IFERROR(INDEX(Topic_Register[Owner / Lead],SMALL(IF(Topic_Register[Discuss at Next Meeting?]="Yes",ROW(Topic_Register[Discuss at Next Meeting?])-7),2)),"")</f>
        <v/>
      </c>
    </row>
    <row r="73" ht="26" customHeight="1">
      <c r="B73" s="17">
        <f t="array" ref="B73">IFERROR(INDEX(Topic_Register[Topic],SMALL(IF(Topic_Register[Discuss at Next Meeting?]="Yes",ROW(Topic_Register[Discuss at Next Meeting?])-7),3)),"")</f>
        <v/>
      </c>
      <c r="C73" s="17">
        <f t="array" ref="C73">IFERROR(INDEX(Topic_Register[Outstanding Point / Gap],SMALL(IF(Topic_Register[Discuss at Next Meeting?]="Yes",ROW(Topic_Register[Discuss at Next Meeting?])-7),3)),"")</f>
        <v/>
      </c>
      <c r="D73" s="17">
        <f t="array" ref="D73">IFERROR(INDEX(Topic_Register[Next Step],SMALL(IF(Topic_Register[Discuss at Next Meeting?]="Yes",ROW(Topic_Register[Discuss at Next Meeting?])-7),3)),"")</f>
        <v/>
      </c>
      <c r="E73" s="17">
        <f t="array" ref="E73">IFERROR(INDEX(Topic_Register[Owner / Lead],SMALL(IF(Topic_Register[Discuss at Next Meeting?]="Yes",ROW(Topic_Register[Discuss at Next Meeting?])-7),3)),"")</f>
        <v/>
      </c>
    </row>
    <row r="74" ht="26" customHeight="1">
      <c r="B74" s="19">
        <f t="array" ref="B74">IFERROR(INDEX(Topic_Register[Topic],SMALL(IF(Topic_Register[Discuss at Next Meeting?]="Yes",ROW(Topic_Register[Discuss at Next Meeting?])-7),4)),"")</f>
        <v/>
      </c>
      <c r="C74" s="19">
        <f t="array" ref="C74">IFERROR(INDEX(Topic_Register[Outstanding Point / Gap],SMALL(IF(Topic_Register[Discuss at Next Meeting?]="Yes",ROW(Topic_Register[Discuss at Next Meeting?])-7),4)),"")</f>
        <v/>
      </c>
      <c r="D74" s="19">
        <f t="array" ref="D74">IFERROR(INDEX(Topic_Register[Next Step],SMALL(IF(Topic_Register[Discuss at Next Meeting?]="Yes",ROW(Topic_Register[Discuss at Next Meeting?])-7),4)),"")</f>
        <v/>
      </c>
      <c r="E74" s="19">
        <f t="array" ref="E74">IFERROR(INDEX(Topic_Register[Owner / Lead],SMALL(IF(Topic_Register[Discuss at Next Meeting?]="Yes",ROW(Topic_Register[Discuss at Next Meeting?])-7),4)),"")</f>
        <v/>
      </c>
    </row>
    <row r="75" ht="26" customHeight="1">
      <c r="B75" s="17">
        <f t="array" ref="B75">IFERROR(INDEX(Topic_Register[Topic],SMALL(IF(Topic_Register[Discuss at Next Meeting?]="Yes",ROW(Topic_Register[Discuss at Next Meeting?])-7),5)),"")</f>
        <v/>
      </c>
      <c r="C75" s="17">
        <f t="array" ref="C75">IFERROR(INDEX(Topic_Register[Outstanding Point / Gap],SMALL(IF(Topic_Register[Discuss at Next Meeting?]="Yes",ROW(Topic_Register[Discuss at Next Meeting?])-7),5)),"")</f>
        <v/>
      </c>
      <c r="D75" s="17">
        <f t="array" ref="D75">IFERROR(INDEX(Topic_Register[Next Step],SMALL(IF(Topic_Register[Discuss at Next Meeting?]="Yes",ROW(Topic_Register[Discuss at Next Meeting?])-7),5)),"")</f>
        <v/>
      </c>
      <c r="E75" s="17">
        <f t="array" ref="E75">IFERROR(INDEX(Topic_Register[Owner / Lead],SMALL(IF(Topic_Register[Discuss at Next Meeting?]="Yes",ROW(Topic_Register[Discuss at Next Meeting?])-7),5)),"")</f>
        <v/>
      </c>
    </row>
    <row r="76" ht="26" customHeight="1">
      <c r="B76" s="19">
        <f t="array" ref="B76">IFERROR(INDEX(Topic_Register[Topic],SMALL(IF(Topic_Register[Discuss at Next Meeting?]="Yes",ROW(Topic_Register[Discuss at Next Meeting?])-7),6)),"")</f>
        <v/>
      </c>
      <c r="C76" s="19">
        <f t="array" ref="C76">IFERROR(INDEX(Topic_Register[Outstanding Point / Gap],SMALL(IF(Topic_Register[Discuss at Next Meeting?]="Yes",ROW(Topic_Register[Discuss at Next Meeting?])-7),6)),"")</f>
        <v/>
      </c>
      <c r="D76" s="19">
        <f t="array" ref="D76">IFERROR(INDEX(Topic_Register[Next Step],SMALL(IF(Topic_Register[Discuss at Next Meeting?]="Yes",ROW(Topic_Register[Discuss at Next Meeting?])-7),6)),"")</f>
        <v/>
      </c>
      <c r="E76" s="19">
        <f t="array" ref="E76">IFERROR(INDEX(Topic_Register[Owner / Lead],SMALL(IF(Topic_Register[Discuss at Next Meeting?]="Yes",ROW(Topic_Register[Discuss at Next Meeting?])-7),6)),"")</f>
        <v/>
      </c>
    </row>
    <row r="78">
      <c r="B78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</sheetData>
  <mergeCells count="5">
    <mergeCell ref="C11:H11"/>
    <mergeCell ref="C10:H10"/>
    <mergeCell ref="C13:H13"/>
    <mergeCell ref="C9:H9"/>
    <mergeCell ref="C12:H12"/>
  </mergeCell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S7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6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 ht="20" customHeight="1">
      <c r="B1" s="2" t="inlineStr">
        <is>
          <t>Dashboard</t>
        </is>
      </c>
      <c r="C1" s="2" t="inlineStr">
        <is>
          <t>Next Meeting</t>
        </is>
      </c>
      <c r="D1" s="2" t="inlineStr">
        <is>
          <t>Topic Register</t>
        </is>
      </c>
      <c r="E1" s="2" t="inlineStr">
        <is>
          <t>Action Register</t>
        </is>
      </c>
      <c r="F1" s="2" t="inlineStr">
        <is>
          <t>Update History</t>
        </is>
      </c>
      <c r="G1" s="2" t="inlineStr">
        <is>
          <t>PQCP Follow Up</t>
        </is>
      </c>
      <c r="H1" s="2" t="inlineStr">
        <is>
          <t>Document Evidence</t>
        </is>
      </c>
      <c r="I1" s="2" t="inlineStr">
        <is>
          <t>Meeting Summary</t>
        </is>
      </c>
    </row>
    <row r="2" ht="26" customHeight="1">
      <c r="B2" s="3" t="inlineStr">
        <is>
          <t>Lists &amp; Configuration</t>
        </is>
      </c>
    </row>
    <row r="3" ht="16" customHeight="1">
      <c r="B3" s="6" t="inlineStr">
        <is>
          <t>Every dropdown list used across the workbook. Edit these lists to match your project's vocabulary - changes here update every dropdown automatically.</t>
        </is>
      </c>
    </row>
    <row r="5" ht="24" customHeight="1">
      <c r="B5" s="14" t="inlineStr">
        <is>
          <t>Category</t>
        </is>
      </c>
      <c r="C5" s="14" t="inlineStr">
        <is>
          <t>Sub-category</t>
        </is>
      </c>
      <c r="D5" s="14" t="inlineStr">
        <is>
          <t>Discipline</t>
        </is>
      </c>
      <c r="E5" s="14" t="inlineStr">
        <is>
          <t>Commissioning Stage</t>
        </is>
      </c>
      <c r="F5" s="14" t="inlineStr">
        <is>
          <t>ATP / Gateway</t>
        </is>
      </c>
      <c r="G5" s="14" t="inlineStr">
        <is>
          <t>Topic Status</t>
        </is>
      </c>
      <c r="H5" s="14" t="inlineStr">
        <is>
          <t>Action Status</t>
        </is>
      </c>
      <c r="I5" s="14" t="inlineStr">
        <is>
          <t>Priority</t>
        </is>
      </c>
      <c r="J5" s="14" t="inlineStr">
        <is>
          <t>Yes/No</t>
        </is>
      </c>
      <c r="K5" s="14" t="inlineStr">
        <is>
          <t>Yes/No/TBC</t>
        </is>
      </c>
      <c r="L5" s="14" t="inlineStr">
        <is>
          <t>Readiness Assessment</t>
        </is>
      </c>
      <c r="M5" s="14" t="inlineStr">
        <is>
          <t>Evidence Availability</t>
        </is>
      </c>
      <c r="N5" s="14" t="inlineStr">
        <is>
          <t>Evidence Status</t>
        </is>
      </c>
      <c r="O5" s="14" t="inlineStr">
        <is>
          <t>Document Type</t>
        </is>
      </c>
      <c r="P5" s="14" t="inlineStr">
        <is>
          <t>Blocker Category</t>
        </is>
      </c>
      <c r="Q5" s="14" t="inlineStr">
        <is>
          <t>Organisation / Party</t>
        </is>
      </c>
      <c r="R5" s="14" t="inlineStr">
        <is>
          <t>Approved?</t>
        </is>
      </c>
      <c r="S5" s="14" t="inlineStr">
        <is>
          <t>Milestone Status</t>
        </is>
      </c>
    </row>
    <row r="6">
      <c r="B6" s="21" t="inlineStr">
        <is>
          <t>Commissioning Documentation</t>
        </is>
      </c>
      <c r="C6" s="21" t="inlineStr">
        <is>
          <t>Commissioning Execution Plan</t>
        </is>
      </c>
      <c r="D6" s="21" t="inlineStr">
        <is>
          <t>Mechanical</t>
        </is>
      </c>
      <c r="E6" s="21" t="inlineStr">
        <is>
          <t>Design</t>
        </is>
      </c>
      <c r="F6" s="21" t="inlineStr">
        <is>
          <t>ATP1 - Static Completion</t>
        </is>
      </c>
      <c r="G6" s="21" t="inlineStr">
        <is>
          <t>Open</t>
        </is>
      </c>
      <c r="H6" s="21" t="inlineStr">
        <is>
          <t>Open</t>
        </is>
      </c>
      <c r="I6" s="21" t="inlineStr">
        <is>
          <t>Low</t>
        </is>
      </c>
      <c r="J6" s="21" t="inlineStr">
        <is>
          <t>Yes</t>
        </is>
      </c>
      <c r="K6" s="21" t="inlineStr">
        <is>
          <t>Yes</t>
        </is>
      </c>
      <c r="L6" s="21" t="inlineStr">
        <is>
          <t>Ready</t>
        </is>
      </c>
      <c r="M6" s="21" t="inlineStr">
        <is>
          <t>Yes</t>
        </is>
      </c>
      <c r="N6" s="21" t="inlineStr">
        <is>
          <t>Draft</t>
        </is>
      </c>
      <c r="O6" s="21" t="inlineStr">
        <is>
          <t>Commissioning Execution Plan</t>
        </is>
      </c>
      <c r="P6" s="21" t="inlineStr">
        <is>
          <t>Documentation</t>
        </is>
      </c>
      <c r="Q6" s="21" t="inlineStr">
        <is>
          <t>Contractor A</t>
        </is>
      </c>
      <c r="R6" s="21" t="inlineStr">
        <is>
          <t>Yes</t>
        </is>
      </c>
      <c r="S6" s="21" t="inlineStr">
        <is>
          <t>Not Started</t>
        </is>
      </c>
    </row>
    <row r="7">
      <c r="B7" s="57" t="inlineStr">
        <is>
          <t>Reviews &amp; Surveillance</t>
        </is>
      </c>
      <c r="C7" s="57" t="inlineStr">
        <is>
          <t>Commissioning Programme / SCP</t>
        </is>
      </c>
      <c r="D7" s="57" t="inlineStr">
        <is>
          <t>Electrical</t>
        </is>
      </c>
      <c r="E7" s="57" t="inlineStr">
        <is>
          <t>Construction</t>
        </is>
      </c>
      <c r="F7" s="57" t="inlineStr">
        <is>
          <t>ATP2 - Pre-Commissioning</t>
        </is>
      </c>
      <c r="G7" s="57" t="inlineStr">
        <is>
          <t>Monitoring</t>
        </is>
      </c>
      <c r="H7" s="57" t="inlineStr">
        <is>
          <t>In Progress</t>
        </is>
      </c>
      <c r="I7" s="57" t="inlineStr">
        <is>
          <t>Medium</t>
        </is>
      </c>
      <c r="J7" s="57" t="inlineStr">
        <is>
          <t>No</t>
        </is>
      </c>
      <c r="K7" s="57" t="inlineStr">
        <is>
          <t>No</t>
        </is>
      </c>
      <c r="L7" s="57" t="inlineStr">
        <is>
          <t>Partially Ready</t>
        </is>
      </c>
      <c r="M7" s="57" t="inlineStr">
        <is>
          <t>No</t>
        </is>
      </c>
      <c r="N7" s="57" t="inlineStr">
        <is>
          <t>Issued for Review</t>
        </is>
      </c>
      <c r="O7" s="57" t="inlineStr">
        <is>
          <t>Commissioning Programme / SCP</t>
        </is>
      </c>
      <c r="P7" s="57" t="inlineStr">
        <is>
          <t>Design</t>
        </is>
      </c>
      <c r="Q7" s="57" t="inlineStr">
        <is>
          <t>Contractor B</t>
        </is>
      </c>
      <c r="R7" s="57" t="inlineStr">
        <is>
          <t>No</t>
        </is>
      </c>
      <c r="S7" s="57" t="inlineStr">
        <is>
          <t>On Track</t>
        </is>
      </c>
    </row>
    <row r="8">
      <c r="B8" s="21" t="inlineStr">
        <is>
          <t>Handover / Completion</t>
        </is>
      </c>
      <c r="C8" s="21" t="inlineStr">
        <is>
          <t>Commissioning Procedures</t>
        </is>
      </c>
      <c r="D8" s="21" t="inlineStr">
        <is>
          <t>I&amp;C / Controls</t>
        </is>
      </c>
      <c r="E8" s="21" t="inlineStr">
        <is>
          <t>Static Completion</t>
        </is>
      </c>
      <c r="F8" s="21" t="inlineStr">
        <is>
          <t>ATP3 - Commissioning</t>
        </is>
      </c>
      <c r="G8" s="21" t="inlineStr">
        <is>
          <t>Awaiting Information</t>
        </is>
      </c>
      <c r="H8" s="21" t="inlineStr">
        <is>
          <t>Awaiting Information</t>
        </is>
      </c>
      <c r="I8" s="21" t="inlineStr">
        <is>
          <t>High</t>
        </is>
      </c>
      <c r="K8" s="21" t="inlineStr">
        <is>
          <t>TBC</t>
        </is>
      </c>
      <c r="L8" s="21" t="inlineStr">
        <is>
          <t>Not Ready</t>
        </is>
      </c>
      <c r="M8" s="21" t="inlineStr">
        <is>
          <t>Partial</t>
        </is>
      </c>
      <c r="N8" s="21" t="inlineStr">
        <is>
          <t>Approved</t>
        </is>
      </c>
      <c r="O8" s="21" t="inlineStr">
        <is>
          <t>Commissioning Procedure</t>
        </is>
      </c>
      <c r="P8" s="21" t="inlineStr">
        <is>
          <t>Schedule</t>
        </is>
      </c>
      <c r="Q8" s="21" t="inlineStr">
        <is>
          <t>Client Team</t>
        </is>
      </c>
      <c r="R8" s="21" t="inlineStr">
        <is>
          <t>N/A</t>
        </is>
      </c>
      <c r="S8" s="21" t="inlineStr">
        <is>
          <t>At Risk</t>
        </is>
      </c>
    </row>
    <row r="9">
      <c r="B9" s="57" t="inlineStr">
        <is>
          <t>Configuration</t>
        </is>
      </c>
      <c r="C9" s="57" t="inlineStr">
        <is>
          <t>Method Statements</t>
        </is>
      </c>
      <c r="D9" s="57" t="inlineStr">
        <is>
          <t>Civil / Structural</t>
        </is>
      </c>
      <c r="E9" s="57" t="inlineStr">
        <is>
          <t>Pre-Commissioning</t>
        </is>
      </c>
      <c r="F9" s="57" t="inlineStr">
        <is>
          <t>ATP4 - Integrated Commissioning</t>
        </is>
      </c>
      <c r="G9" s="57" t="inlineStr">
        <is>
          <t>In Progress</t>
        </is>
      </c>
      <c r="H9" s="57" t="inlineStr">
        <is>
          <t>Awaiting Contractor</t>
        </is>
      </c>
      <c r="I9" s="57" t="inlineStr">
        <is>
          <t>Critical</t>
        </is>
      </c>
      <c r="L9" s="57" t="inlineStr">
        <is>
          <t>N/A</t>
        </is>
      </c>
      <c r="M9" s="57" t="inlineStr">
        <is>
          <t>TBC</t>
        </is>
      </c>
      <c r="N9" s="57" t="inlineStr">
        <is>
          <t>Superseded</t>
        </is>
      </c>
      <c r="O9" s="57" t="inlineStr">
        <is>
          <t>Method Statement</t>
        </is>
      </c>
      <c r="P9" s="57" t="inlineStr">
        <is>
          <t>Interface</t>
        </is>
      </c>
      <c r="Q9" s="57" t="inlineStr">
        <is>
          <t>Other</t>
        </is>
      </c>
      <c r="R9" s="57" t="inlineStr">
        <is>
          <t>TBC</t>
        </is>
      </c>
      <c r="S9" s="57" t="inlineStr">
        <is>
          <t>Complete</t>
        </is>
      </c>
    </row>
    <row r="10">
      <c r="B10" s="21" t="inlineStr">
        <is>
          <t>Schedule &amp; Interfaces</t>
        </is>
      </c>
      <c r="C10" s="21" t="inlineStr">
        <is>
          <t>Inspection &amp; Test Plans</t>
        </is>
      </c>
      <c r="D10" s="21" t="inlineStr">
        <is>
          <t>Process</t>
        </is>
      </c>
      <c r="E10" s="21" t="inlineStr">
        <is>
          <t>Commissioning</t>
        </is>
      </c>
      <c r="F10" s="21" t="inlineStr">
        <is>
          <t>N/A</t>
        </is>
      </c>
      <c r="G10" s="21" t="inlineStr">
        <is>
          <t>On Hold</t>
        </is>
      </c>
      <c r="H10" s="21" t="inlineStr">
        <is>
          <t>Awaiting Client</t>
        </is>
      </c>
      <c r="N10" s="21" t="inlineStr">
        <is>
          <t>Missing</t>
        </is>
      </c>
      <c r="O10" s="21" t="inlineStr">
        <is>
          <t>Inspection &amp; Test Plan</t>
        </is>
      </c>
      <c r="P10" s="21" t="inlineStr">
        <is>
          <t>Temporary Services</t>
        </is>
      </c>
      <c r="S10" s="21" t="inlineStr">
        <is>
          <t>Missed</t>
        </is>
      </c>
    </row>
    <row r="11">
      <c r="B11" s="57" t="inlineStr">
        <is>
          <t>Safety / Capability</t>
        </is>
      </c>
      <c r="C11" s="57" t="inlineStr">
        <is>
          <t>Commissioning Result Sheets / Test Results</t>
        </is>
      </c>
      <c r="D11" s="57" t="inlineStr">
        <is>
          <t>HVAC</t>
        </is>
      </c>
      <c r="E11" s="57" t="inlineStr">
        <is>
          <t>Integrated Commissioning</t>
        </is>
      </c>
      <c r="F11" s="57" t="inlineStr">
        <is>
          <t>Other</t>
        </is>
      </c>
      <c r="G11" s="57" t="inlineStr">
        <is>
          <t>Closed</t>
        </is>
      </c>
      <c r="H11" s="57" t="inlineStr">
        <is>
          <t>Awaiting Internal Team</t>
        </is>
      </c>
      <c r="N11" s="57" t="inlineStr">
        <is>
          <t>TBC</t>
        </is>
      </c>
      <c r="O11" s="57" t="inlineStr">
        <is>
          <t>Commissioning Result Sheet / Test Record</t>
        </is>
      </c>
      <c r="P11" s="57" t="inlineStr">
        <is>
          <t>Permanent Services</t>
        </is>
      </c>
    </row>
    <row r="12">
      <c r="B12" s="21" t="inlineStr">
        <is>
          <t>Commissioning Control</t>
        </is>
      </c>
      <c r="C12" s="21" t="inlineStr">
        <is>
          <t>LOD / LDRC</t>
        </is>
      </c>
      <c r="D12" s="21" t="inlineStr">
        <is>
          <t>Telecoms</t>
        </is>
      </c>
      <c r="E12" s="21" t="inlineStr">
        <is>
          <t>Handover</t>
        </is>
      </c>
      <c r="H12" s="21" t="inlineStr">
        <is>
          <t>On Hold</t>
        </is>
      </c>
      <c r="O12" s="21" t="inlineStr">
        <is>
          <t>EESR / Completion Evidence</t>
        </is>
      </c>
      <c r="P12" s="21" t="inlineStr">
        <is>
          <t>Safety / SSOW</t>
        </is>
      </c>
    </row>
    <row r="13">
      <c r="B13" s="57" t="inlineStr">
        <is>
          <t>Quality</t>
        </is>
      </c>
      <c r="C13" s="57" t="inlineStr">
        <is>
          <t>Commissioning Completion Report</t>
        </is>
      </c>
      <c r="D13" s="57" t="inlineStr">
        <is>
          <t>Multi-discipline</t>
        </is>
      </c>
      <c r="E13" s="57" t="inlineStr">
        <is>
          <t>Final Completion</t>
        </is>
      </c>
      <c r="H13" s="57" t="inlineStr">
        <is>
          <t>Closed</t>
        </is>
      </c>
      <c r="O13" s="57" t="inlineStr">
        <is>
          <t>Handover Evidence</t>
        </is>
      </c>
      <c r="P13" s="57" t="inlineStr">
        <is>
          <t>Resources / Competence</t>
        </is>
      </c>
    </row>
    <row r="14">
      <c r="B14" s="21" t="inlineStr">
        <is>
          <t>Other</t>
        </is>
      </c>
      <c r="C14" s="21" t="inlineStr">
        <is>
          <t>Surveillance Strategy</t>
        </is>
      </c>
      <c r="D14" s="21" t="inlineStr">
        <is>
          <t>Other</t>
        </is>
      </c>
      <c r="E14" s="21" t="inlineStr">
        <is>
          <t>N/A</t>
        </is>
      </c>
      <c r="H14" s="21" t="inlineStr">
        <is>
          <t>Cancelled</t>
        </is>
      </c>
      <c r="O14" s="21" t="inlineStr">
        <is>
          <t>Safe System of Work</t>
        </is>
      </c>
      <c r="P14" s="21" t="inlineStr">
        <is>
          <t>Surveillance</t>
        </is>
      </c>
    </row>
    <row r="15">
      <c r="C15" s="57" t="inlineStr">
        <is>
          <t>Surveillance Programme</t>
        </is>
      </c>
      <c r="E15" s="57" t="inlineStr">
        <is>
          <t>Other</t>
        </is>
      </c>
      <c r="O15" s="57" t="inlineStr">
        <is>
          <t>RAMS</t>
        </is>
      </c>
      <c r="P15" s="57" t="inlineStr">
        <is>
          <t>Handover</t>
        </is>
      </c>
    </row>
    <row r="16">
      <c r="C16" s="21" t="inlineStr">
        <is>
          <t>Witness Points</t>
        </is>
      </c>
      <c r="O16" s="21" t="inlineStr">
        <is>
          <t>Surveillance Strategy</t>
        </is>
      </c>
      <c r="P16" s="21" t="inlineStr">
        <is>
          <t>Configuration</t>
        </is>
      </c>
    </row>
    <row r="17">
      <c r="C17" s="57" t="inlineStr">
        <is>
          <t>Hold Points</t>
        </is>
      </c>
      <c r="O17" s="57" t="inlineStr">
        <is>
          <t>Surveillance Record</t>
        </is>
      </c>
      <c r="P17" s="57" t="inlineStr">
        <is>
          <t>Quality</t>
        </is>
      </c>
    </row>
    <row r="18">
      <c r="C18" s="21" t="inlineStr">
        <is>
          <t>Inspection / Surveillance Notifications</t>
        </is>
      </c>
      <c r="O18" s="21" t="inlineStr">
        <is>
          <t>O&amp;M Documentation</t>
        </is>
      </c>
      <c r="P18" s="21" t="inlineStr">
        <is>
          <t>Contractual / Scope</t>
        </is>
      </c>
    </row>
    <row r="19">
      <c r="C19" s="57" t="inlineStr">
        <is>
          <t>SONIMS or equivalent</t>
        </is>
      </c>
      <c r="O19" s="57" t="inlineStr">
        <is>
          <t>Configuration Record</t>
        </is>
      </c>
      <c r="P19" s="57" t="inlineStr">
        <is>
          <t>Other</t>
        </is>
      </c>
    </row>
    <row r="20">
      <c r="C20" s="21" t="inlineStr">
        <is>
          <t>Supporting Surveillance Documentation</t>
        </is>
      </c>
      <c r="O20" s="21" t="inlineStr">
        <is>
          <t>Training / Competence Evidence</t>
        </is>
      </c>
    </row>
    <row r="21">
      <c r="C21" s="57" t="inlineStr">
        <is>
          <t>Partitioning Strategy</t>
        </is>
      </c>
      <c r="O21" s="57" t="inlineStr">
        <is>
          <t>Commissioning Completion Report</t>
        </is>
      </c>
    </row>
    <row r="22">
      <c r="C22" s="21" t="inlineStr">
        <is>
          <t>Planned Erection / Completion Status</t>
        </is>
      </c>
      <c r="O22" s="21" t="inlineStr">
        <is>
          <t>Other</t>
        </is>
      </c>
    </row>
    <row r="23">
      <c r="C23" s="57" t="inlineStr">
        <is>
          <t>Final Erection / Completion Status</t>
        </is>
      </c>
    </row>
    <row r="24">
      <c r="C24" s="21" t="inlineStr">
        <is>
          <t>Handover</t>
        </is>
      </c>
    </row>
    <row r="25">
      <c r="C25" s="57" t="inlineStr">
        <is>
          <t>Care &amp; Maintenance</t>
        </is>
      </c>
    </row>
    <row r="26">
      <c r="C26" s="21" t="inlineStr">
        <is>
          <t>O&amp;M Documentation</t>
        </is>
      </c>
    </row>
    <row r="27">
      <c r="C27" s="57" t="inlineStr">
        <is>
          <t>Outstanding Works / Open Points</t>
        </is>
      </c>
    </row>
    <row r="28">
      <c r="C28" s="21" t="inlineStr">
        <is>
          <t>Configuration Baseline</t>
        </is>
      </c>
    </row>
    <row r="29">
      <c r="C29" s="57" t="inlineStr">
        <is>
          <t>System / Asset Coding</t>
        </is>
      </c>
    </row>
    <row r="30">
      <c r="C30" s="21" t="inlineStr">
        <is>
          <t>Temporary Means / Devices</t>
        </is>
      </c>
    </row>
    <row r="31">
      <c r="C31" s="57" t="inlineStr">
        <is>
          <t>Design Configuration</t>
        </is>
      </c>
    </row>
    <row r="32">
      <c r="C32" s="21" t="inlineStr">
        <is>
          <t>Final Configuration</t>
        </is>
      </c>
    </row>
    <row r="33">
      <c r="C33" s="57" t="inlineStr">
        <is>
          <t>Configuration Records</t>
        </is>
      </c>
    </row>
    <row r="34">
      <c r="C34" s="21" t="inlineStr">
        <is>
          <t>Commissioning Programme</t>
        </is>
      </c>
    </row>
    <row r="35">
      <c r="C35" s="57" t="inlineStr">
        <is>
          <t>Commissioning Start Date</t>
        </is>
      </c>
    </row>
    <row r="36">
      <c r="C36" s="21" t="inlineStr">
        <is>
          <t>Commissioning Sequence</t>
        </is>
      </c>
    </row>
    <row r="37">
      <c r="C37" s="57" t="inlineStr">
        <is>
          <t>Static Completion</t>
        </is>
      </c>
    </row>
    <row r="38">
      <c r="C38" s="21" t="inlineStr">
        <is>
          <t>Pre-Commissioning</t>
        </is>
      </c>
    </row>
    <row r="39">
      <c r="C39" s="57" t="inlineStr">
        <is>
          <t>Integrated Commissioning</t>
        </is>
      </c>
    </row>
    <row r="40">
      <c r="C40" s="21" t="inlineStr">
        <is>
          <t>Temporary Services</t>
        </is>
      </c>
    </row>
    <row r="41">
      <c r="C41" s="57" t="inlineStr">
        <is>
          <t>Permanent Services</t>
        </is>
      </c>
    </row>
    <row r="42">
      <c r="C42" s="21" t="inlineStr">
        <is>
          <t>Integrated Schedule</t>
        </is>
      </c>
    </row>
    <row r="43">
      <c r="C43" s="57" t="inlineStr">
        <is>
          <t>Contract Interfaces</t>
        </is>
      </c>
    </row>
    <row r="44">
      <c r="C44" s="21" t="inlineStr">
        <is>
          <t>Scope Gaps</t>
        </is>
      </c>
    </row>
    <row r="45">
      <c r="C45" s="57" t="inlineStr">
        <is>
          <t>External Dependencies</t>
        </is>
      </c>
    </row>
    <row r="46">
      <c r="C46" s="21" t="inlineStr">
        <is>
          <t>Safe System of Work</t>
        </is>
      </c>
    </row>
    <row r="47">
      <c r="C47" s="57" t="inlineStr">
        <is>
          <t>Mechanical SSOW</t>
        </is>
      </c>
    </row>
    <row r="48">
      <c r="C48" s="21" t="inlineStr">
        <is>
          <t>Electrical SSOW</t>
        </is>
      </c>
    </row>
    <row r="49">
      <c r="C49" s="57" t="inlineStr">
        <is>
          <t>RAMS</t>
        </is>
      </c>
    </row>
    <row r="50">
      <c r="C50" s="21" t="inlineStr">
        <is>
          <t>Training</t>
        </is>
      </c>
    </row>
    <row r="51">
      <c r="C51" s="57" t="inlineStr">
        <is>
          <t>Competence</t>
        </is>
      </c>
    </row>
    <row r="52">
      <c r="C52" s="21" t="inlineStr">
        <is>
          <t>SQEP</t>
        </is>
      </c>
    </row>
    <row r="53">
      <c r="C53" s="57" t="inlineStr">
        <is>
          <t>Commissioning Team Readiness</t>
        </is>
      </c>
    </row>
    <row r="54">
      <c r="C54" s="21" t="inlineStr">
        <is>
          <t>NCR / Non-Conformance</t>
        </is>
      </c>
    </row>
    <row r="55">
      <c r="C55" s="57" t="inlineStr">
        <is>
          <t>Deviations</t>
        </is>
      </c>
    </row>
    <row r="56">
      <c r="C56" s="21" t="inlineStr">
        <is>
          <t>Change Management</t>
        </is>
      </c>
    </row>
    <row r="57">
      <c r="C57" s="57" t="inlineStr">
        <is>
          <t>Retesting</t>
        </is>
      </c>
    </row>
    <row r="58">
      <c r="C58" s="21" t="inlineStr">
        <is>
          <t>Authority to Start Commissioning</t>
        </is>
      </c>
    </row>
    <row r="59">
      <c r="C59" s="57" t="inlineStr">
        <is>
          <t>Commissioning Control Point</t>
        </is>
      </c>
    </row>
    <row r="60">
      <c r="C60" s="21" t="inlineStr">
        <is>
          <t>Gateway Readiness</t>
        </is>
      </c>
    </row>
    <row r="61">
      <c r="C61" s="57" t="inlineStr">
        <is>
          <t>Document Review</t>
        </is>
      </c>
    </row>
    <row r="62">
      <c r="C62" s="21" t="inlineStr">
        <is>
          <t>Acceptance</t>
        </is>
      </c>
    </row>
    <row r="63">
      <c r="C63" s="57" t="inlineStr">
        <is>
          <t>Quality Records</t>
        </is>
      </c>
    </row>
    <row r="64">
      <c r="C64" s="21" t="inlineStr">
        <is>
          <t>LTQR</t>
        </is>
      </c>
    </row>
    <row r="65">
      <c r="C65" s="57" t="inlineStr">
        <is>
          <t>Audit</t>
        </is>
      </c>
    </row>
    <row r="66">
      <c r="C66" s="21" t="inlineStr">
        <is>
          <t>Closeout</t>
        </is>
      </c>
    </row>
    <row r="67">
      <c r="C67" s="57" t="inlineStr">
        <is>
          <t>Other</t>
        </is>
      </c>
    </row>
    <row r="70">
      <c r="B70" s="58" t="inlineStr">
        <is>
          <t>Configuration Parameters</t>
        </is>
      </c>
    </row>
    <row r="71">
      <c r="B71" s="59" t="inlineStr">
        <is>
          <t>Parameter</t>
        </is>
      </c>
      <c r="C71" s="14" t="inlineStr">
        <is>
          <t>Value</t>
        </is>
      </c>
    </row>
    <row r="72">
      <c r="B72" s="15" t="inlineStr">
        <is>
          <t>'Due soon' warning window (calendar days before due date)</t>
        </is>
      </c>
      <c r="C72" s="60" t="n">
        <v>14</v>
      </c>
    </row>
    <row r="74">
      <c r="B74" s="28" t="inlineStr">
        <is>
          <t>Legend:  Blue = fill in yourself   |   Black = automatic formula, do not overtype   |   Grey columns = automation helpers, leave untouched   |   New row: type directly below the table and Excel extends it automatically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2026-09-28T09:02:14Z</dcterms:created>
  <dcterms:modified xsi:type="dcterms:W3CDTF">2026-09-28T09:02:14Z</dcterms:modified>
</cp:coreProperties>
</file>