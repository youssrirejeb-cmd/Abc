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MIC List - master" sheetId="2" state="visible" r:id="rId2"/>
    <sheet name="Commissioning Readiness" sheetId="3" state="visible" r:id="rId3"/>
    <sheet name="DMIC DMS Commissioning-master" sheetId="4" state="visible" r:id="rId4"/>
    <sheet name="Competency&amp;Complexity" sheetId="5" state="visible" r:id="rId5"/>
    <sheet name="Useful Docs" sheetId="6" state="visible" r:id="rId6"/>
    <sheet name="Site Services" sheetId="7" state="visible" r:id="rId7"/>
    <sheet name="Systems" sheetId="8" state="visible" r:id="rId8"/>
  </sheets>
  <definedNames>
    <definedName name="CONTRACT_ID">'DMIC List - master'!$B$6:$B$65</definedName>
    <definedName name="CC_CONTRACT_ID">'Competency&amp;Complexity'!$B$6:$B$65</definedName>
    <definedName name="_xlnm._FilterDatabase" localSheetId="7" hidden="1">'Systems'!$B$5:$H$65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yyyy-mm-dd"/>
    <numFmt numFmtId="166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1B2A41"/>
      <sz val="20"/>
    </font>
    <font>
      <name val="Calibri"/>
      <i val="1"/>
      <color rgb="005B6472"/>
      <sz val="10"/>
    </font>
    <font>
      <name val="Calibri"/>
      <b val="1"/>
      <color rgb="00FFFFFF"/>
      <sz val="12"/>
    </font>
    <font>
      <name val="Calibri"/>
      <b val="1"/>
      <color rgb="001B4F72"/>
      <sz val="10"/>
    </font>
    <font>
      <name val="Calibri"/>
      <b val="1"/>
      <color rgb="000F6E5E"/>
      <sz val="10"/>
    </font>
    <font>
      <name val="Calibri"/>
      <b val="1"/>
      <color rgb="008A6D00"/>
      <sz val="10"/>
    </font>
    <font>
      <name val="Calibri"/>
      <color rgb="001B2331"/>
      <sz val="10"/>
    </font>
    <font>
      <name val="Calibri"/>
      <b val="1"/>
      <color rgb="005B6472"/>
      <sz val="9"/>
    </font>
    <font>
      <name val="Calibri"/>
      <b val="1"/>
      <color rgb="001B2A41"/>
      <sz val="11"/>
    </font>
    <font>
      <name val="Calibri"/>
      <b val="1"/>
      <color rgb="004B3D8F"/>
      <sz val="10"/>
    </font>
    <font>
      <name val="Calibri"/>
      <b val="1"/>
      <color rgb="002D6E82"/>
      <sz val="10"/>
    </font>
    <font>
      <name val="Calibri"/>
      <b val="1"/>
      <color rgb="007A3B69"/>
      <sz val="10"/>
    </font>
    <font>
      <name val="Calibri"/>
      <b val="1"/>
      <color rgb="004A4E5A"/>
      <sz val="10"/>
    </font>
    <font>
      <name val="Calibri"/>
      <b val="1"/>
      <color rgb="001B2331"/>
      <sz val="10"/>
    </font>
    <font>
      <name val="Calibri"/>
      <b val="1"/>
      <color rgb="00FFFFFF"/>
      <sz val="10"/>
    </font>
    <font>
      <name val="Calibri"/>
      <b val="1"/>
      <color rgb="001B4F72"/>
      <sz val="24"/>
    </font>
    <font>
      <name val="Calibri"/>
      <b val="1"/>
      <color rgb="009C5E00"/>
      <sz val="24"/>
    </font>
    <font>
      <name val="Calibri"/>
      <b val="1"/>
      <color rgb="00A5281E"/>
      <sz val="24"/>
    </font>
    <font>
      <name val="Calibri"/>
      <b val="1"/>
      <color rgb="001B2A41"/>
      <sz val="10"/>
    </font>
  </fonts>
  <fills count="23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CE8F2"/>
      </patternFill>
    </fill>
    <fill>
      <patternFill patternType="solid">
        <fgColor rgb="00EDEFF2"/>
      </patternFill>
    </fill>
    <fill>
      <patternFill patternType="solid">
        <fgColor rgb="000F6E5E"/>
      </patternFill>
    </fill>
    <fill>
      <patternFill patternType="solid">
        <fgColor rgb="00D9F0EA"/>
      </patternFill>
    </fill>
    <fill>
      <patternFill patternType="solid">
        <fgColor rgb="008A6D00"/>
      </patternFill>
    </fill>
    <fill>
      <patternFill patternType="solid">
        <fgColor rgb="00FBF1D0"/>
      </patternFill>
    </fill>
    <fill>
      <patternFill patternType="solid">
        <fgColor rgb="00F4F7FA"/>
      </patternFill>
    </fill>
    <fill>
      <patternFill patternType="solid">
        <fgColor rgb="004B3D8F"/>
      </patternFill>
    </fill>
    <fill>
      <patternFill patternType="solid">
        <fgColor rgb="00E3E0F3"/>
      </patternFill>
    </fill>
    <fill>
      <patternFill patternType="solid">
        <fgColor rgb="002D6E82"/>
      </patternFill>
    </fill>
    <fill>
      <patternFill patternType="solid">
        <fgColor rgb="00DCEBEF"/>
      </patternFill>
    </fill>
    <fill>
      <patternFill patternType="solid">
        <fgColor rgb="007A3B69"/>
      </patternFill>
    </fill>
    <fill>
      <patternFill patternType="solid">
        <fgColor rgb="00F0E1EC"/>
      </patternFill>
    </fill>
    <fill>
      <patternFill patternType="solid">
        <fgColor rgb="004A4E5A"/>
      </patternFill>
    </fill>
    <fill>
      <patternFill patternType="solid">
        <fgColor rgb="00E2E4E7"/>
      </patternFill>
    </fill>
    <fill>
      <patternFill patternType="solid">
        <fgColor rgb="009C5E00"/>
      </patternFill>
    </fill>
    <fill>
      <patternFill patternType="solid">
        <fgColor rgb="00FCEEDA"/>
      </patternFill>
    </fill>
    <fill>
      <patternFill patternType="solid">
        <fgColor rgb="00A5281E"/>
      </patternFill>
    </fill>
    <fill>
      <patternFill patternType="solid">
        <fgColor rgb="00FAE1DE"/>
      </patternFill>
    </fill>
    <fill>
      <patternFill patternType="solid">
        <fgColor rgb="001B2A41"/>
      </patternFill>
    </fill>
  </fills>
  <borders count="5">
    <border>
      <left/>
      <right/>
      <top/>
      <bottom/>
      <diagonal/>
    </border>
    <border>
      <left style="thin">
        <color rgb="00AAB2BD"/>
      </left>
      <right style="thin">
        <color rgb="00AAB2BD"/>
      </right>
      <top style="thin">
        <color rgb="00AAB2BD"/>
      </top>
      <bottom style="thin">
        <color rgb="00AAB2BD"/>
      </bottom>
    </border>
    <border>
      <left/>
      <right/>
      <top style="thin">
        <color rgb="00AAB2BD"/>
      </top>
      <bottom/>
      <diagonal/>
    </border>
    <border>
      <left/>
      <right style="thin">
        <color rgb="00AAB2BD"/>
      </right>
      <top style="thin">
        <color rgb="00AAB2BD"/>
      </top>
      <bottom/>
      <diagonal/>
    </border>
    <border>
      <left/>
      <right style="thin">
        <color rgb="00AAB2BD"/>
      </right>
      <top style="thin">
        <color rgb="00AAB2BD"/>
      </top>
      <bottom style="thin">
        <color rgb="00AAB2BD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2" fillId="0" borderId="0" pivotButton="0" quotePrefix="0" xfId="0"/>
    <xf numFmtId="0" fontId="19" fillId="0" borderId="0" pivotButton="0" quotePrefix="0" xfId="0"/>
    <xf numFmtId="0" fontId="0" fillId="2" borderId="1" pivotButton="0" quotePrefix="0" xfId="0"/>
    <xf numFmtId="0" fontId="0" fillId="18" borderId="1" pivotButton="0" quotePrefix="0" xfId="0"/>
    <xf numFmtId="0" fontId="0" fillId="20" borderId="1" pivotButton="0" quotePrefix="0" xfId="0"/>
    <xf numFmtId="0" fontId="8" fillId="0" borderId="1" pivotButton="0" quotePrefix="0" xfId="0"/>
    <xf numFmtId="0" fontId="0" fillId="3" borderId="1" pivotButton="0" quotePrefix="0" xfId="0"/>
    <xf numFmtId="0" fontId="8" fillId="3" borderId="1" applyAlignment="1" pivotButton="0" quotePrefix="0" xfId="0">
      <alignment horizontal="center"/>
    </xf>
    <xf numFmtId="0" fontId="0" fillId="0" borderId="4" pivotButton="0" quotePrefix="0" xfId="0"/>
    <xf numFmtId="0" fontId="8" fillId="19" borderId="1" applyAlignment="1" pivotButton="0" quotePrefix="0" xfId="0">
      <alignment horizontal="center"/>
    </xf>
    <xf numFmtId="0" fontId="8" fillId="21" borderId="1" applyAlignment="1" pivotButton="0" quotePrefix="0" xfId="0">
      <alignment horizontal="center"/>
    </xf>
    <xf numFmtId="0" fontId="0" fillId="19" borderId="1" pivotButton="0" quotePrefix="0" xfId="0"/>
    <xf numFmtId="0" fontId="0" fillId="21" borderId="1" pivotButton="0" quotePrefix="0" xfId="0"/>
    <xf numFmtId="0" fontId="7" fillId="0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center"/>
    </xf>
    <xf numFmtId="9" fontId="17" fillId="19" borderId="1" applyAlignment="1" pivotButton="0" quotePrefix="0" xfId="0">
      <alignment horizontal="center"/>
    </xf>
    <xf numFmtId="0" fontId="18" fillId="21" borderId="1" applyAlignment="1" pivotButton="0" quotePrefix="0" xfId="0">
      <alignment horizontal="center"/>
    </xf>
    <xf numFmtId="0" fontId="17" fillId="19" borderId="1" applyAlignment="1" pivotButton="0" quotePrefix="0" xfId="0">
      <alignment horizontal="center"/>
    </xf>
    <xf numFmtId="0" fontId="3" fillId="2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9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9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left" vertical="center" wrapText="1"/>
    </xf>
    <xf numFmtId="166" fontId="7" fillId="9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5">
    <dxf>
      <fill>
        <patternFill patternType="solid">
          <fgColor rgb="00FAE1DE"/>
        </patternFill>
      </fill>
    </dxf>
    <dxf>
      <fill>
        <patternFill patternType="solid">
          <fgColor rgb="00FCEEDA"/>
        </patternFill>
      </fill>
    </dxf>
    <dxf>
      <fill>
        <patternFill patternType="solid">
          <fgColor rgb="00E1F2E7"/>
        </patternFill>
      </fill>
    </dxf>
    <dxf>
      <fill>
        <patternFill patternType="solid">
          <fgColor rgb="00A5281E"/>
        </patternFill>
      </fill>
    </dxf>
    <dxf>
      <fill>
        <patternFill patternType="solid">
          <fgColor rgb="009C5E00"/>
        </patternFill>
      </fill>
    </dxf>
    <dxf>
      <fill>
        <patternFill patternType="solid">
          <fgColor rgb="001E6B3E"/>
        </patternFill>
      </fill>
    </dxf>
    <dxf>
      <font>
        <name val="Calibri"/>
        <b val="1"/>
        <color rgb="00A5281E"/>
        <sz val="24"/>
      </font>
    </dxf>
    <dxf>
      <font>
        <name val="Calibri"/>
        <b val="1"/>
        <color rgb="009C5E00"/>
        <sz val="24"/>
      </font>
    </dxf>
    <dxf>
      <font>
        <name val="Calibri"/>
        <b val="1"/>
        <color rgb="001E6B3E"/>
        <sz val="24"/>
      </font>
    </dxf>
    <dxf>
      <font>
        <b val="1"/>
        <color rgb="00A5281E"/>
      </font>
      <fill>
        <patternFill patternType="solid">
          <fgColor rgb="00FAE1DE"/>
        </patternFill>
      </fill>
    </dxf>
    <dxf>
      <font>
        <b val="1"/>
        <color rgb="009C5E00"/>
      </font>
      <fill>
        <patternFill patternType="solid">
          <fgColor rgb="00FCEEDA"/>
        </patternFill>
      </fill>
    </dxf>
    <dxf>
      <font>
        <b val="1"/>
        <color rgb="001E6B3E"/>
      </font>
      <fill>
        <patternFill patternType="solid">
          <fgColor rgb="00E1F2E7"/>
        </patternFill>
      </fill>
    </dxf>
    <dxf>
      <font>
        <color rgb="005B6472"/>
      </font>
      <fill>
        <patternFill patternType="solid">
          <fgColor rgb="00EDEFF2"/>
        </patternFill>
      </fill>
    </dxf>
    <dxf>
      <font>
        <color rgb="00A5281E"/>
      </font>
      <fill>
        <patternFill patternType="solid">
          <fgColor rgb="00FAE1DE"/>
        </patternFill>
      </fill>
    </dxf>
    <dxf>
      <font>
        <color rgb="009C5E00"/>
      </font>
      <fill>
        <patternFill patternType="solid">
          <fgColor rgb="00FCEE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3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7" customWidth="1" min="3" max="3"/>
    <col width="17" customWidth="1" min="4" max="4"/>
    <col width="22" customWidth="1" min="5" max="5"/>
    <col width="17" customWidth="1" min="6" max="6"/>
    <col width="11" customWidth="1" min="7" max="7"/>
    <col width="15" customWidth="1" min="8" max="8"/>
    <col width="12" customWidth="1" min="9" max="9"/>
    <col width="18" customWidth="1" min="10" max="10"/>
    <col width="18" customWidth="1" min="11" max="11"/>
    <col width="16" customWidth="1" min="12" max="12"/>
    <col width="12" customWidth="1" min="13" max="13"/>
    <col width="16" customWidth="1" min="14" max="14"/>
    <col width="16" customWidth="1" min="15" max="15"/>
  </cols>
  <sheetData>
    <row r="1"/>
    <row r="2">
      <c r="B2" s="1" t="inlineStr">
        <is>
          <t>DMIC Contract Overview</t>
        </is>
      </c>
      <c r="J2" s="2" t="inlineStr">
        <is>
          <t>As of</t>
        </is>
      </c>
      <c r="K2" s="3">
        <f>TODAY()</f>
        <v/>
      </c>
    </row>
    <row r="3">
      <c r="B3" s="4" t="inlineStr">
        <is>
          <t>Live rollup across all contracts - pulled from Contracts, Schedule &amp; Status and Risk &amp; Phase.</t>
        </is>
      </c>
    </row>
    <row r="4">
      <c r="N4" s="5" t="inlineStr">
        <is>
          <t>Systems by contract</t>
        </is>
      </c>
    </row>
    <row r="5" ht="5" customHeight="1">
      <c r="B5" s="6" t="n"/>
      <c r="C5" s="6" t="n"/>
      <c r="D5" s="7" t="n"/>
      <c r="E5" s="7" t="n"/>
      <c r="F5" s="8" t="n"/>
      <c r="G5" s="8" t="n"/>
      <c r="H5" s="7" t="n"/>
      <c r="I5" s="7" t="n"/>
      <c r="N5" s="9" t="inlineStr">
        <is>
          <t>Choose a contract:</t>
        </is>
      </c>
      <c r="O5" s="10" t="inlineStr">
        <is>
          <t>UK-EX01</t>
        </is>
      </c>
    </row>
    <row r="6">
      <c r="B6" s="11" t="inlineStr">
        <is>
          <t>Total contracts</t>
        </is>
      </c>
      <c r="C6" s="12" t="n"/>
      <c r="D6" s="13" t="inlineStr">
        <is>
          <t>Average risk</t>
        </is>
      </c>
      <c r="E6" s="12" t="n"/>
      <c r="F6" s="14" t="inlineStr">
        <is>
          <t>Critical (risk ≥ 60%)</t>
        </is>
      </c>
      <c r="G6" s="12" t="n"/>
      <c r="H6" s="13" t="inlineStr">
        <is>
          <t>Watch (30–59%)</t>
        </is>
      </c>
      <c r="I6" s="12" t="n"/>
    </row>
    <row r="7">
      <c r="B7" s="10" t="n"/>
      <c r="C7" s="10" t="n"/>
      <c r="D7" s="15" t="n"/>
      <c r="E7" s="15" t="n"/>
      <c r="F7" s="16" t="n"/>
      <c r="G7" s="16" t="n"/>
      <c r="H7" s="15" t="n"/>
      <c r="I7" s="15" t="n"/>
      <c r="N7" s="17">
        <f t="array" ref="N7">IFERROR(TEXTJOIN(CHAR(10),TRUE,IF(Systems!$B$6:$B$65=$O$5,Systems!$C$6:$C$65,"")),"")</f>
        <v/>
      </c>
    </row>
    <row r="8">
      <c r="B8" s="18">
        <f>COUNTA('DMIC List - master'!$B$6:$B$65)</f>
        <v/>
      </c>
      <c r="C8" s="12" t="n"/>
      <c r="D8" s="19">
        <f>IFERROR(AVERAGE('DMIC DMS Commissioning-master'!$U$6:$U$65),"—")</f>
        <v/>
      </c>
      <c r="E8" s="12" t="n"/>
      <c r="F8" s="20">
        <f>COUNTIF('DMIC DMS Commissioning-master'!$U$6:$U$65,"&gt;=0.6")</f>
        <v/>
      </c>
      <c r="G8" s="12" t="n"/>
      <c r="H8" s="21">
        <f>COUNTIFS('DMIC DMS Commissioning-master'!$U$6:$U$65,"&gt;=0.3",'DMIC DMS Commissioning-master'!$U$6:$U$65,"&lt;0.6")</f>
        <v/>
      </c>
      <c r="I8" s="12" t="n"/>
    </row>
    <row r="9">
      <c r="B9" s="10" t="n"/>
      <c r="C9" s="10" t="n"/>
      <c r="D9" s="15" t="n"/>
      <c r="E9" s="15" t="n"/>
      <c r="F9" s="16" t="n"/>
      <c r="G9" s="16" t="n"/>
      <c r="H9" s="15" t="n"/>
      <c r="I9" s="15" t="n"/>
    </row>
    <row r="10">
      <c r="B10" s="10" t="n"/>
      <c r="C10" s="10" t="n"/>
      <c r="D10" s="15" t="n"/>
      <c r="E10" s="15" t="n"/>
      <c r="F10" s="16" t="n"/>
      <c r="G10" s="16" t="n"/>
      <c r="H10" s="15" t="n"/>
      <c r="I10" s="15" t="n"/>
    </row>
    <row r="11"/>
    <row r="12"/>
    <row r="13" ht="34" customHeight="1">
      <c r="B13" s="22" t="inlineStr">
        <is>
          <t>Contract Number</t>
        </is>
      </c>
      <c r="C13" s="22" t="inlineStr">
        <is>
          <t>Area</t>
        </is>
      </c>
      <c r="D13" s="22" t="inlineStr">
        <is>
          <t>Contractor</t>
        </is>
      </c>
      <c r="E13" s="22" t="inlineStr">
        <is>
          <t>Description</t>
        </is>
      </c>
      <c r="F13" s="22" t="inlineStr">
        <is>
          <t>Current Phase</t>
        </is>
      </c>
      <c r="G13" s="22" t="inlineStr">
        <is>
          <t>Total Risk %</t>
        </is>
      </c>
      <c r="H13" s="22" t="inlineStr">
        <is>
          <t>Next Milestone</t>
        </is>
      </c>
      <c r="I13" s="22" t="inlineStr">
        <is>
          <t>Days to Milestone</t>
        </is>
      </c>
      <c r="J13" s="22" t="inlineStr">
        <is>
          <t>Commissioning Engineer</t>
        </is>
      </c>
      <c r="K13" s="22" t="inlineStr">
        <is>
          <t>Commissioning Manager</t>
        </is>
      </c>
      <c r="L13" s="22" t="inlineStr">
        <is>
          <t>DMIC Co-ordinator</t>
        </is>
      </c>
      <c r="M13" s="22" t="inlineStr">
        <is>
          <t>Status</t>
        </is>
      </c>
    </row>
    <row r="14">
      <c r="B14" s="23">
        <f>IFERROR(IF('DMIC List - master'!B6="","",'DMIC List - master'!B6),"")</f>
        <v/>
      </c>
      <c r="C14" s="23">
        <f>IFERROR(IF($B14="","",'DMIC List - master'!C6),"")</f>
        <v/>
      </c>
      <c r="D14" s="23">
        <f>IFERROR(IF($B14="","",'DMIC List - master'!D6),"")</f>
        <v/>
      </c>
      <c r="E14" s="23">
        <f>IFERROR(IF($B14="","",'DMIC List - master'!E6),"")</f>
        <v/>
      </c>
      <c r="F14" s="23">
        <f>IFERROR(IF($B14="","",IF(INDEX('DMIC DMS Commissioning-master'!$O$6:$O$65,MATCH($B14,'DMIC DMS Commissioning-master'!$B$6:$B$65,0))=0,"",INDEX('DMIC DMS Commissioning-master'!$O$6:$O$65,MATCH($B14,'DMIC DMS Commissioning-master'!$B$6:$B$65,0)))),"")</f>
        <v/>
      </c>
      <c r="G14" s="24">
        <f>IFERROR(IF($B14="","",INDEX('DMIC DMS Commissioning-master'!$U$6:$U$65,MATCH($B14,'DMIC DMS Commissioning-master'!$B$6:$B$65,0))),"")</f>
        <v/>
      </c>
      <c r="H14" s="25">
        <f>IFERROR(IF($B14="","",IF(INDEX('Commissioning Readiness'!$N$6:$N$65,MATCH($B14,'Commissioning Readiness'!$B$6:$B$65,0))=0,"",INDEX('Commissioning Readiness'!$N$6:$N$65,MATCH($B14,'Commissioning Readiness'!$B$6:$B$65,0)))),"")</f>
        <v/>
      </c>
      <c r="I14" s="23">
        <f>IF(OR($B14="",$H14=""),"",$H14-TODAY())</f>
        <v/>
      </c>
      <c r="J14" s="23">
        <f>IFERROR(IF($B14="","",'DMIC List - master'!P6),"")</f>
        <v/>
      </c>
      <c r="K14" s="23">
        <f>IFERROR(IF($B14="","",'DMIC List - master'!Q6),"")</f>
        <v/>
      </c>
      <c r="L14" s="23">
        <f>IFERROR(IF($B14="","",'DMIC List - master'!U6),"")</f>
        <v/>
      </c>
      <c r="M14" s="23">
        <f>IF($B14="","",IF(OR($G14&lt;&gt;""),IF(OR($G14&gt;=0.6,AND($I14&lt;&gt;"",$I14&lt;0)),"Critical",IF(OR($G14&gt;=0.3,AND($I14&lt;&gt;"",$I14&gt;=0,$I14&lt;=60)),"Watch","On track")),"No data"))</f>
        <v/>
      </c>
    </row>
    <row r="15">
      <c r="B15" s="26">
        <f>IFERROR(IF('DMIC List - master'!B7="","",'DMIC List - master'!B7),"")</f>
        <v/>
      </c>
      <c r="C15" s="26">
        <f>IFERROR(IF($B15="","",'DMIC List - master'!C7),"")</f>
        <v/>
      </c>
      <c r="D15" s="26">
        <f>IFERROR(IF($B15="","",'DMIC List - master'!D7),"")</f>
        <v/>
      </c>
      <c r="E15" s="26">
        <f>IFERROR(IF($B15="","",'DMIC List - master'!E7),"")</f>
        <v/>
      </c>
      <c r="F15" s="26">
        <f>IFERROR(IF($B15="","",IF(INDEX('DMIC DMS Commissioning-master'!$O$6:$O$65,MATCH($B15,'DMIC DMS Commissioning-master'!$B$6:$B$65,0))=0,"",INDEX('DMIC DMS Commissioning-master'!$O$6:$O$65,MATCH($B15,'DMIC DMS Commissioning-master'!$B$6:$B$65,0)))),"")</f>
        <v/>
      </c>
      <c r="G15" s="27">
        <f>IFERROR(IF($B15="","",INDEX('DMIC DMS Commissioning-master'!$U$6:$U$65,MATCH($B15,'DMIC DMS Commissioning-master'!$B$6:$B$65,0))),"")</f>
        <v/>
      </c>
      <c r="H15" s="28">
        <f>IFERROR(IF($B15="","",IF(INDEX('Commissioning Readiness'!$N$6:$N$65,MATCH($B15,'Commissioning Readiness'!$B$6:$B$65,0))=0,"",INDEX('Commissioning Readiness'!$N$6:$N$65,MATCH($B15,'Commissioning Readiness'!$B$6:$B$65,0)))),"")</f>
        <v/>
      </c>
      <c r="I15" s="26">
        <f>IF(OR($B15="",$H15=""),"",$H15-TODAY())</f>
        <v/>
      </c>
      <c r="J15" s="26">
        <f>IFERROR(IF($B15="","",'DMIC List - master'!P7),"")</f>
        <v/>
      </c>
      <c r="K15" s="26">
        <f>IFERROR(IF($B15="","",'DMIC List - master'!Q7),"")</f>
        <v/>
      </c>
      <c r="L15" s="26">
        <f>IFERROR(IF($B15="","",'DMIC List - master'!U7),"")</f>
        <v/>
      </c>
      <c r="M15" s="26">
        <f>IF($B15="","",IF(OR($G15&lt;&gt;""),IF(OR($G15&gt;=0.6,AND($I15&lt;&gt;"",$I15&lt;0)),"Critical",IF(OR($G15&gt;=0.3,AND($I15&lt;&gt;"",$I15&gt;=0,$I15&lt;=60)),"Watch","On track")),"No data"))</f>
        <v/>
      </c>
    </row>
    <row r="16">
      <c r="B16" s="23">
        <f>IFERROR(IF('DMIC List - master'!B8="","",'DMIC List - master'!B8),"")</f>
        <v/>
      </c>
      <c r="C16" s="23">
        <f>IFERROR(IF($B16="","",'DMIC List - master'!C8),"")</f>
        <v/>
      </c>
      <c r="D16" s="23">
        <f>IFERROR(IF($B16="","",'DMIC List - master'!D8),"")</f>
        <v/>
      </c>
      <c r="E16" s="23">
        <f>IFERROR(IF($B16="","",'DMIC List - master'!E8),"")</f>
        <v/>
      </c>
      <c r="F16" s="23">
        <f>IFERROR(IF($B16="","",IF(INDEX('DMIC DMS Commissioning-master'!$O$6:$O$65,MATCH($B16,'DMIC DMS Commissioning-master'!$B$6:$B$65,0))=0,"",INDEX('DMIC DMS Commissioning-master'!$O$6:$O$65,MATCH($B16,'DMIC DMS Commissioning-master'!$B$6:$B$65,0)))),"")</f>
        <v/>
      </c>
      <c r="G16" s="24">
        <f>IFERROR(IF($B16="","",INDEX('DMIC DMS Commissioning-master'!$U$6:$U$65,MATCH($B16,'DMIC DMS Commissioning-master'!$B$6:$B$65,0))),"")</f>
        <v/>
      </c>
      <c r="H16" s="25">
        <f>IFERROR(IF($B16="","",IF(INDEX('Commissioning Readiness'!$N$6:$N$65,MATCH($B16,'Commissioning Readiness'!$B$6:$B$65,0))=0,"",INDEX('Commissioning Readiness'!$N$6:$N$65,MATCH($B16,'Commissioning Readiness'!$B$6:$B$65,0)))),"")</f>
        <v/>
      </c>
      <c r="I16" s="23">
        <f>IF(OR($B16="",$H16=""),"",$H16-TODAY())</f>
        <v/>
      </c>
      <c r="J16" s="23">
        <f>IFERROR(IF($B16="","",'DMIC List - master'!P8),"")</f>
        <v/>
      </c>
      <c r="K16" s="23">
        <f>IFERROR(IF($B16="","",'DMIC List - master'!Q8),"")</f>
        <v/>
      </c>
      <c r="L16" s="23">
        <f>IFERROR(IF($B16="","",'DMIC List - master'!U8),"")</f>
        <v/>
      </c>
      <c r="M16" s="23">
        <f>IF($B16="","",IF(OR($G16&lt;&gt;""),IF(OR($G16&gt;=0.6,AND($I16&lt;&gt;"",$I16&lt;0)),"Critical",IF(OR($G16&gt;=0.3,AND($I16&lt;&gt;"",$I16&gt;=0,$I16&lt;=60)),"Watch","On track")),"No data"))</f>
        <v/>
      </c>
    </row>
    <row r="17">
      <c r="B17" s="26">
        <f>IFERROR(IF('DMIC List - master'!B9="","",'DMIC List - master'!B9),"")</f>
        <v/>
      </c>
      <c r="C17" s="26">
        <f>IFERROR(IF($B17="","",'DMIC List - master'!C9),"")</f>
        <v/>
      </c>
      <c r="D17" s="26">
        <f>IFERROR(IF($B17="","",'DMIC List - master'!D9),"")</f>
        <v/>
      </c>
      <c r="E17" s="26">
        <f>IFERROR(IF($B17="","",'DMIC List - master'!E9),"")</f>
        <v/>
      </c>
      <c r="F17" s="26">
        <f>IFERROR(IF($B17="","",IF(INDEX('DMIC DMS Commissioning-master'!$O$6:$O$65,MATCH($B17,'DMIC DMS Commissioning-master'!$B$6:$B$65,0))=0,"",INDEX('DMIC DMS Commissioning-master'!$O$6:$O$65,MATCH($B17,'DMIC DMS Commissioning-master'!$B$6:$B$65,0)))),"")</f>
        <v/>
      </c>
      <c r="G17" s="27">
        <f>IFERROR(IF($B17="","",INDEX('DMIC DMS Commissioning-master'!$U$6:$U$65,MATCH($B17,'DMIC DMS Commissioning-master'!$B$6:$B$65,0))),"")</f>
        <v/>
      </c>
      <c r="H17" s="28">
        <f>IFERROR(IF($B17="","",IF(INDEX('Commissioning Readiness'!$N$6:$N$65,MATCH($B17,'Commissioning Readiness'!$B$6:$B$65,0))=0,"",INDEX('Commissioning Readiness'!$N$6:$N$65,MATCH($B17,'Commissioning Readiness'!$B$6:$B$65,0)))),"")</f>
        <v/>
      </c>
      <c r="I17" s="26">
        <f>IF(OR($B17="",$H17=""),"",$H17-TODAY())</f>
        <v/>
      </c>
      <c r="J17" s="26">
        <f>IFERROR(IF($B17="","",'DMIC List - master'!P9),"")</f>
        <v/>
      </c>
      <c r="K17" s="26">
        <f>IFERROR(IF($B17="","",'DMIC List - master'!Q9),"")</f>
        <v/>
      </c>
      <c r="L17" s="26">
        <f>IFERROR(IF($B17="","",'DMIC List - master'!U9),"")</f>
        <v/>
      </c>
      <c r="M17" s="26">
        <f>IF($B17="","",IF(OR($G17&lt;&gt;""),IF(OR($G17&gt;=0.6,AND($I17&lt;&gt;"",$I17&lt;0)),"Critical",IF(OR($G17&gt;=0.3,AND($I17&lt;&gt;"",$I17&gt;=0,$I17&lt;=60)),"Watch","On track")),"No data"))</f>
        <v/>
      </c>
    </row>
    <row r="18">
      <c r="B18" s="23">
        <f>IFERROR(IF('DMIC List - master'!B10="","",'DMIC List - master'!B10),"")</f>
        <v/>
      </c>
      <c r="C18" s="23">
        <f>IFERROR(IF($B18="","",'DMIC List - master'!C10),"")</f>
        <v/>
      </c>
      <c r="D18" s="23">
        <f>IFERROR(IF($B18="","",'DMIC List - master'!D10),"")</f>
        <v/>
      </c>
      <c r="E18" s="23">
        <f>IFERROR(IF($B18="","",'DMIC List - master'!E10),"")</f>
        <v/>
      </c>
      <c r="F18" s="23">
        <f>IFERROR(IF($B18="","",IF(INDEX('DMIC DMS Commissioning-master'!$O$6:$O$65,MATCH($B18,'DMIC DMS Commissioning-master'!$B$6:$B$65,0))=0,"",INDEX('DMIC DMS Commissioning-master'!$O$6:$O$65,MATCH($B18,'DMIC DMS Commissioning-master'!$B$6:$B$65,0)))),"")</f>
        <v/>
      </c>
      <c r="G18" s="24">
        <f>IFERROR(IF($B18="","",INDEX('DMIC DMS Commissioning-master'!$U$6:$U$65,MATCH($B18,'DMIC DMS Commissioning-master'!$B$6:$B$65,0))),"")</f>
        <v/>
      </c>
      <c r="H18" s="25">
        <f>IFERROR(IF($B18="","",IF(INDEX('Commissioning Readiness'!$N$6:$N$65,MATCH($B18,'Commissioning Readiness'!$B$6:$B$65,0))=0,"",INDEX('Commissioning Readiness'!$N$6:$N$65,MATCH($B18,'Commissioning Readiness'!$B$6:$B$65,0)))),"")</f>
        <v/>
      </c>
      <c r="I18" s="23">
        <f>IF(OR($B18="",$H18=""),"",$H18-TODAY())</f>
        <v/>
      </c>
      <c r="J18" s="23">
        <f>IFERROR(IF($B18="","",'DMIC List - master'!P10),"")</f>
        <v/>
      </c>
      <c r="K18" s="23">
        <f>IFERROR(IF($B18="","",'DMIC List - master'!Q10),"")</f>
        <v/>
      </c>
      <c r="L18" s="23">
        <f>IFERROR(IF($B18="","",'DMIC List - master'!U10),"")</f>
        <v/>
      </c>
      <c r="M18" s="23">
        <f>IF($B18="","",IF(OR($G18&lt;&gt;""),IF(OR($G18&gt;=0.6,AND($I18&lt;&gt;"",$I18&lt;0)),"Critical",IF(OR($G18&gt;=0.3,AND($I18&lt;&gt;"",$I18&gt;=0,$I18&lt;=60)),"Watch","On track")),"No data"))</f>
        <v/>
      </c>
    </row>
    <row r="19">
      <c r="B19" s="26">
        <f>IFERROR(IF('DMIC List - master'!B11="","",'DMIC List - master'!B11),"")</f>
        <v/>
      </c>
      <c r="C19" s="26">
        <f>IFERROR(IF($B19="","",'DMIC List - master'!C11),"")</f>
        <v/>
      </c>
      <c r="D19" s="26">
        <f>IFERROR(IF($B19="","",'DMIC List - master'!D11),"")</f>
        <v/>
      </c>
      <c r="E19" s="26">
        <f>IFERROR(IF($B19="","",'DMIC List - master'!E11),"")</f>
        <v/>
      </c>
      <c r="F19" s="26">
        <f>IFERROR(IF($B19="","",IF(INDEX('DMIC DMS Commissioning-master'!$O$6:$O$65,MATCH($B19,'DMIC DMS Commissioning-master'!$B$6:$B$65,0))=0,"",INDEX('DMIC DMS Commissioning-master'!$O$6:$O$65,MATCH($B19,'DMIC DMS Commissioning-master'!$B$6:$B$65,0)))),"")</f>
        <v/>
      </c>
      <c r="G19" s="27">
        <f>IFERROR(IF($B19="","",INDEX('DMIC DMS Commissioning-master'!$U$6:$U$65,MATCH($B19,'DMIC DMS Commissioning-master'!$B$6:$B$65,0))),"")</f>
        <v/>
      </c>
      <c r="H19" s="28">
        <f>IFERROR(IF($B19="","",IF(INDEX('Commissioning Readiness'!$N$6:$N$65,MATCH($B19,'Commissioning Readiness'!$B$6:$B$65,0))=0,"",INDEX('Commissioning Readiness'!$N$6:$N$65,MATCH($B19,'Commissioning Readiness'!$B$6:$B$65,0)))),"")</f>
        <v/>
      </c>
      <c r="I19" s="26">
        <f>IF(OR($B19="",$H19=""),"",$H19-TODAY())</f>
        <v/>
      </c>
      <c r="J19" s="26">
        <f>IFERROR(IF($B19="","",'DMIC List - master'!P11),"")</f>
        <v/>
      </c>
      <c r="K19" s="26">
        <f>IFERROR(IF($B19="","",'DMIC List - master'!Q11),"")</f>
        <v/>
      </c>
      <c r="L19" s="26">
        <f>IFERROR(IF($B19="","",'DMIC List - master'!U11),"")</f>
        <v/>
      </c>
      <c r="M19" s="26">
        <f>IF($B19="","",IF(OR($G19&lt;&gt;""),IF(OR($G19&gt;=0.6,AND($I19&lt;&gt;"",$I19&lt;0)),"Critical",IF(OR($G19&gt;=0.3,AND($I19&lt;&gt;"",$I19&gt;=0,$I19&lt;=60)),"Watch","On track")),"No data"))</f>
        <v/>
      </c>
    </row>
    <row r="20">
      <c r="B20" s="23">
        <f>IFERROR(IF('DMIC List - master'!B12="","",'DMIC List - master'!B12),"")</f>
        <v/>
      </c>
      <c r="C20" s="23">
        <f>IFERROR(IF($B20="","",'DMIC List - master'!C12),"")</f>
        <v/>
      </c>
      <c r="D20" s="23">
        <f>IFERROR(IF($B20="","",'DMIC List - master'!D12),"")</f>
        <v/>
      </c>
      <c r="E20" s="23">
        <f>IFERROR(IF($B20="","",'DMIC List - master'!E12),"")</f>
        <v/>
      </c>
      <c r="F20" s="23">
        <f>IFERROR(IF($B20="","",IF(INDEX('DMIC DMS Commissioning-master'!$O$6:$O$65,MATCH($B20,'DMIC DMS Commissioning-master'!$B$6:$B$65,0))=0,"",INDEX('DMIC DMS Commissioning-master'!$O$6:$O$65,MATCH($B20,'DMIC DMS Commissioning-master'!$B$6:$B$65,0)))),"")</f>
        <v/>
      </c>
      <c r="G20" s="24">
        <f>IFERROR(IF($B20="","",INDEX('DMIC DMS Commissioning-master'!$U$6:$U$65,MATCH($B20,'DMIC DMS Commissioning-master'!$B$6:$B$65,0))),"")</f>
        <v/>
      </c>
      <c r="H20" s="25">
        <f>IFERROR(IF($B20="","",IF(INDEX('Commissioning Readiness'!$N$6:$N$65,MATCH($B20,'Commissioning Readiness'!$B$6:$B$65,0))=0,"",INDEX('Commissioning Readiness'!$N$6:$N$65,MATCH($B20,'Commissioning Readiness'!$B$6:$B$65,0)))),"")</f>
        <v/>
      </c>
      <c r="I20" s="23">
        <f>IF(OR($B20="",$H20=""),"",$H20-TODAY())</f>
        <v/>
      </c>
      <c r="J20" s="23">
        <f>IFERROR(IF($B20="","",'DMIC List - master'!P12),"")</f>
        <v/>
      </c>
      <c r="K20" s="23">
        <f>IFERROR(IF($B20="","",'DMIC List - master'!Q12),"")</f>
        <v/>
      </c>
      <c r="L20" s="23">
        <f>IFERROR(IF($B20="","",'DMIC List - master'!U12),"")</f>
        <v/>
      </c>
      <c r="M20" s="23">
        <f>IF($B20="","",IF(OR($G20&lt;&gt;""),IF(OR($G20&gt;=0.6,AND($I20&lt;&gt;"",$I20&lt;0)),"Critical",IF(OR($G20&gt;=0.3,AND($I20&lt;&gt;"",$I20&gt;=0,$I20&lt;=60)),"Watch","On track")),"No data"))</f>
        <v/>
      </c>
    </row>
    <row r="21">
      <c r="B21" s="26">
        <f>IFERROR(IF('DMIC List - master'!B13="","",'DMIC List - master'!B13),"")</f>
        <v/>
      </c>
      <c r="C21" s="26">
        <f>IFERROR(IF($B21="","",'DMIC List - master'!C13),"")</f>
        <v/>
      </c>
      <c r="D21" s="26">
        <f>IFERROR(IF($B21="","",'DMIC List - master'!D13),"")</f>
        <v/>
      </c>
      <c r="E21" s="26">
        <f>IFERROR(IF($B21="","",'DMIC List - master'!E13),"")</f>
        <v/>
      </c>
      <c r="F21" s="26">
        <f>IFERROR(IF($B21="","",IF(INDEX('DMIC DMS Commissioning-master'!$O$6:$O$65,MATCH($B21,'DMIC DMS Commissioning-master'!$B$6:$B$65,0))=0,"",INDEX('DMIC DMS Commissioning-master'!$O$6:$O$65,MATCH($B21,'DMIC DMS Commissioning-master'!$B$6:$B$65,0)))),"")</f>
        <v/>
      </c>
      <c r="G21" s="27">
        <f>IFERROR(IF($B21="","",INDEX('DMIC DMS Commissioning-master'!$U$6:$U$65,MATCH($B21,'DMIC DMS Commissioning-master'!$B$6:$B$65,0))),"")</f>
        <v/>
      </c>
      <c r="H21" s="28">
        <f>IFERROR(IF($B21="","",IF(INDEX('Commissioning Readiness'!$N$6:$N$65,MATCH($B21,'Commissioning Readiness'!$B$6:$B$65,0))=0,"",INDEX('Commissioning Readiness'!$N$6:$N$65,MATCH($B21,'Commissioning Readiness'!$B$6:$B$65,0)))),"")</f>
        <v/>
      </c>
      <c r="I21" s="26">
        <f>IF(OR($B21="",$H21=""),"",$H21-TODAY())</f>
        <v/>
      </c>
      <c r="J21" s="26">
        <f>IFERROR(IF($B21="","",'DMIC List - master'!P13),"")</f>
        <v/>
      </c>
      <c r="K21" s="26">
        <f>IFERROR(IF($B21="","",'DMIC List - master'!Q13),"")</f>
        <v/>
      </c>
      <c r="L21" s="26">
        <f>IFERROR(IF($B21="","",'DMIC List - master'!U13),"")</f>
        <v/>
      </c>
      <c r="M21" s="26">
        <f>IF($B21="","",IF(OR($G21&lt;&gt;""),IF(OR($G21&gt;=0.6,AND($I21&lt;&gt;"",$I21&lt;0)),"Critical",IF(OR($G21&gt;=0.3,AND($I21&lt;&gt;"",$I21&gt;=0,$I21&lt;=60)),"Watch","On track")),"No data"))</f>
        <v/>
      </c>
    </row>
    <row r="22">
      <c r="B22" s="23">
        <f>IFERROR(IF('DMIC List - master'!B14="","",'DMIC List - master'!B14),"")</f>
        <v/>
      </c>
      <c r="C22" s="23">
        <f>IFERROR(IF($B22="","",'DMIC List - master'!C14),"")</f>
        <v/>
      </c>
      <c r="D22" s="23">
        <f>IFERROR(IF($B22="","",'DMIC List - master'!D14),"")</f>
        <v/>
      </c>
      <c r="E22" s="23">
        <f>IFERROR(IF($B22="","",'DMIC List - master'!E14),"")</f>
        <v/>
      </c>
      <c r="F22" s="23">
        <f>IFERROR(IF($B22="","",IF(INDEX('DMIC DMS Commissioning-master'!$O$6:$O$65,MATCH($B22,'DMIC DMS Commissioning-master'!$B$6:$B$65,0))=0,"",INDEX('DMIC DMS Commissioning-master'!$O$6:$O$65,MATCH($B22,'DMIC DMS Commissioning-master'!$B$6:$B$65,0)))),"")</f>
        <v/>
      </c>
      <c r="G22" s="24">
        <f>IFERROR(IF($B22="","",INDEX('DMIC DMS Commissioning-master'!$U$6:$U$65,MATCH($B22,'DMIC DMS Commissioning-master'!$B$6:$B$65,0))),"")</f>
        <v/>
      </c>
      <c r="H22" s="25">
        <f>IFERROR(IF($B22="","",IF(INDEX('Commissioning Readiness'!$N$6:$N$65,MATCH($B22,'Commissioning Readiness'!$B$6:$B$65,0))=0,"",INDEX('Commissioning Readiness'!$N$6:$N$65,MATCH($B22,'Commissioning Readiness'!$B$6:$B$65,0)))),"")</f>
        <v/>
      </c>
      <c r="I22" s="23">
        <f>IF(OR($B22="",$H22=""),"",$H22-TODAY())</f>
        <v/>
      </c>
      <c r="J22" s="23">
        <f>IFERROR(IF($B22="","",'DMIC List - master'!P14),"")</f>
        <v/>
      </c>
      <c r="K22" s="23">
        <f>IFERROR(IF($B22="","",'DMIC List - master'!Q14),"")</f>
        <v/>
      </c>
      <c r="L22" s="23">
        <f>IFERROR(IF($B22="","",'DMIC List - master'!U14),"")</f>
        <v/>
      </c>
      <c r="M22" s="23">
        <f>IF($B22="","",IF(OR($G22&lt;&gt;""),IF(OR($G22&gt;=0.6,AND($I22&lt;&gt;"",$I22&lt;0)),"Critical",IF(OR($G22&gt;=0.3,AND($I22&lt;&gt;"",$I22&gt;=0,$I22&lt;=60)),"Watch","On track")),"No data"))</f>
        <v/>
      </c>
    </row>
    <row r="23">
      <c r="B23" s="26">
        <f>IFERROR(IF('DMIC List - master'!B15="","",'DMIC List - master'!B15),"")</f>
        <v/>
      </c>
      <c r="C23" s="26">
        <f>IFERROR(IF($B23="","",'DMIC List - master'!C15),"")</f>
        <v/>
      </c>
      <c r="D23" s="26">
        <f>IFERROR(IF($B23="","",'DMIC List - master'!D15),"")</f>
        <v/>
      </c>
      <c r="E23" s="26">
        <f>IFERROR(IF($B23="","",'DMIC List - master'!E15),"")</f>
        <v/>
      </c>
      <c r="F23" s="26">
        <f>IFERROR(IF($B23="","",IF(INDEX('DMIC DMS Commissioning-master'!$O$6:$O$65,MATCH($B23,'DMIC DMS Commissioning-master'!$B$6:$B$65,0))=0,"",INDEX('DMIC DMS Commissioning-master'!$O$6:$O$65,MATCH($B23,'DMIC DMS Commissioning-master'!$B$6:$B$65,0)))),"")</f>
        <v/>
      </c>
      <c r="G23" s="27">
        <f>IFERROR(IF($B23="","",INDEX('DMIC DMS Commissioning-master'!$U$6:$U$65,MATCH($B23,'DMIC DMS Commissioning-master'!$B$6:$B$65,0))),"")</f>
        <v/>
      </c>
      <c r="H23" s="28">
        <f>IFERROR(IF($B23="","",IF(INDEX('Commissioning Readiness'!$N$6:$N$65,MATCH($B23,'Commissioning Readiness'!$B$6:$B$65,0))=0,"",INDEX('Commissioning Readiness'!$N$6:$N$65,MATCH($B23,'Commissioning Readiness'!$B$6:$B$65,0)))),"")</f>
        <v/>
      </c>
      <c r="I23" s="26">
        <f>IF(OR($B23="",$H23=""),"",$H23-TODAY())</f>
        <v/>
      </c>
      <c r="J23" s="26">
        <f>IFERROR(IF($B23="","",'DMIC List - master'!P15),"")</f>
        <v/>
      </c>
      <c r="K23" s="26">
        <f>IFERROR(IF($B23="","",'DMIC List - master'!Q15),"")</f>
        <v/>
      </c>
      <c r="L23" s="26">
        <f>IFERROR(IF($B23="","",'DMIC List - master'!U15),"")</f>
        <v/>
      </c>
      <c r="M23" s="26">
        <f>IF($B23="","",IF(OR($G23&lt;&gt;""),IF(OR($G23&gt;=0.6,AND($I23&lt;&gt;"",$I23&lt;0)),"Critical",IF(OR($G23&gt;=0.3,AND($I23&lt;&gt;"",$I23&gt;=0,$I23&lt;=60)),"Watch","On track")),"No data"))</f>
        <v/>
      </c>
    </row>
    <row r="24">
      <c r="B24" s="23">
        <f>IFERROR(IF('DMIC List - master'!B16="","",'DMIC List - master'!B16),"")</f>
        <v/>
      </c>
      <c r="C24" s="23">
        <f>IFERROR(IF($B24="","",'DMIC List - master'!C16),"")</f>
        <v/>
      </c>
      <c r="D24" s="23">
        <f>IFERROR(IF($B24="","",'DMIC List - master'!D16),"")</f>
        <v/>
      </c>
      <c r="E24" s="23">
        <f>IFERROR(IF($B24="","",'DMIC List - master'!E16),"")</f>
        <v/>
      </c>
      <c r="F24" s="23">
        <f>IFERROR(IF($B24="","",IF(INDEX('DMIC DMS Commissioning-master'!$O$6:$O$65,MATCH($B24,'DMIC DMS Commissioning-master'!$B$6:$B$65,0))=0,"",INDEX('DMIC DMS Commissioning-master'!$O$6:$O$65,MATCH($B24,'DMIC DMS Commissioning-master'!$B$6:$B$65,0)))),"")</f>
        <v/>
      </c>
      <c r="G24" s="24">
        <f>IFERROR(IF($B24="","",INDEX('DMIC DMS Commissioning-master'!$U$6:$U$65,MATCH($B24,'DMIC DMS Commissioning-master'!$B$6:$B$65,0))),"")</f>
        <v/>
      </c>
      <c r="H24" s="25">
        <f>IFERROR(IF($B24="","",IF(INDEX('Commissioning Readiness'!$N$6:$N$65,MATCH($B24,'Commissioning Readiness'!$B$6:$B$65,0))=0,"",INDEX('Commissioning Readiness'!$N$6:$N$65,MATCH($B24,'Commissioning Readiness'!$B$6:$B$65,0)))),"")</f>
        <v/>
      </c>
      <c r="I24" s="23">
        <f>IF(OR($B24="",$H24=""),"",$H24-TODAY())</f>
        <v/>
      </c>
      <c r="J24" s="23">
        <f>IFERROR(IF($B24="","",'DMIC List - master'!P16),"")</f>
        <v/>
      </c>
      <c r="K24" s="23">
        <f>IFERROR(IF($B24="","",'DMIC List - master'!Q16),"")</f>
        <v/>
      </c>
      <c r="L24" s="23">
        <f>IFERROR(IF($B24="","",'DMIC List - master'!U16),"")</f>
        <v/>
      </c>
      <c r="M24" s="23">
        <f>IF($B24="","",IF(OR($G24&lt;&gt;""),IF(OR($G24&gt;=0.6,AND($I24&lt;&gt;"",$I24&lt;0)),"Critical",IF(OR($G24&gt;=0.3,AND($I24&lt;&gt;"",$I24&gt;=0,$I24&lt;=60)),"Watch","On track")),"No data"))</f>
        <v/>
      </c>
    </row>
    <row r="25">
      <c r="B25" s="26">
        <f>IFERROR(IF('DMIC List - master'!B17="","",'DMIC List - master'!B17),"")</f>
        <v/>
      </c>
      <c r="C25" s="26">
        <f>IFERROR(IF($B25="","",'DMIC List - master'!C17),"")</f>
        <v/>
      </c>
      <c r="D25" s="26">
        <f>IFERROR(IF($B25="","",'DMIC List - master'!D17),"")</f>
        <v/>
      </c>
      <c r="E25" s="26">
        <f>IFERROR(IF($B25="","",'DMIC List - master'!E17),"")</f>
        <v/>
      </c>
      <c r="F25" s="26">
        <f>IFERROR(IF($B25="","",IF(INDEX('DMIC DMS Commissioning-master'!$O$6:$O$65,MATCH($B25,'DMIC DMS Commissioning-master'!$B$6:$B$65,0))=0,"",INDEX('DMIC DMS Commissioning-master'!$O$6:$O$65,MATCH($B25,'DMIC DMS Commissioning-master'!$B$6:$B$65,0)))),"")</f>
        <v/>
      </c>
      <c r="G25" s="27">
        <f>IFERROR(IF($B25="","",INDEX('DMIC DMS Commissioning-master'!$U$6:$U$65,MATCH($B25,'DMIC DMS Commissioning-master'!$B$6:$B$65,0))),"")</f>
        <v/>
      </c>
      <c r="H25" s="28">
        <f>IFERROR(IF($B25="","",IF(INDEX('Commissioning Readiness'!$N$6:$N$65,MATCH($B25,'Commissioning Readiness'!$B$6:$B$65,0))=0,"",INDEX('Commissioning Readiness'!$N$6:$N$65,MATCH($B25,'Commissioning Readiness'!$B$6:$B$65,0)))),"")</f>
        <v/>
      </c>
      <c r="I25" s="26">
        <f>IF(OR($B25="",$H25=""),"",$H25-TODAY())</f>
        <v/>
      </c>
      <c r="J25" s="26">
        <f>IFERROR(IF($B25="","",'DMIC List - master'!P17),"")</f>
        <v/>
      </c>
      <c r="K25" s="26">
        <f>IFERROR(IF($B25="","",'DMIC List - master'!Q17),"")</f>
        <v/>
      </c>
      <c r="L25" s="26">
        <f>IFERROR(IF($B25="","",'DMIC List - master'!U17),"")</f>
        <v/>
      </c>
      <c r="M25" s="26">
        <f>IF($B25="","",IF(OR($G25&lt;&gt;""),IF(OR($G25&gt;=0.6,AND($I25&lt;&gt;"",$I25&lt;0)),"Critical",IF(OR($G25&gt;=0.3,AND($I25&lt;&gt;"",$I25&gt;=0,$I25&lt;=60)),"Watch","On track")),"No data"))</f>
        <v/>
      </c>
    </row>
    <row r="26">
      <c r="B26" s="23">
        <f>IFERROR(IF('DMIC List - master'!B18="","",'DMIC List - master'!B18),"")</f>
        <v/>
      </c>
      <c r="C26" s="23">
        <f>IFERROR(IF($B26="","",'DMIC List - master'!C18),"")</f>
        <v/>
      </c>
      <c r="D26" s="23">
        <f>IFERROR(IF($B26="","",'DMIC List - master'!D18),"")</f>
        <v/>
      </c>
      <c r="E26" s="23">
        <f>IFERROR(IF($B26="","",'DMIC List - master'!E18),"")</f>
        <v/>
      </c>
      <c r="F26" s="23">
        <f>IFERROR(IF($B26="","",IF(INDEX('DMIC DMS Commissioning-master'!$O$6:$O$65,MATCH($B26,'DMIC DMS Commissioning-master'!$B$6:$B$65,0))=0,"",INDEX('DMIC DMS Commissioning-master'!$O$6:$O$65,MATCH($B26,'DMIC DMS Commissioning-master'!$B$6:$B$65,0)))),"")</f>
        <v/>
      </c>
      <c r="G26" s="24">
        <f>IFERROR(IF($B26="","",INDEX('DMIC DMS Commissioning-master'!$U$6:$U$65,MATCH($B26,'DMIC DMS Commissioning-master'!$B$6:$B$65,0))),"")</f>
        <v/>
      </c>
      <c r="H26" s="25">
        <f>IFERROR(IF($B26="","",IF(INDEX('Commissioning Readiness'!$N$6:$N$65,MATCH($B26,'Commissioning Readiness'!$B$6:$B$65,0))=0,"",INDEX('Commissioning Readiness'!$N$6:$N$65,MATCH($B26,'Commissioning Readiness'!$B$6:$B$65,0)))),"")</f>
        <v/>
      </c>
      <c r="I26" s="23">
        <f>IF(OR($B26="",$H26=""),"",$H26-TODAY())</f>
        <v/>
      </c>
      <c r="J26" s="23">
        <f>IFERROR(IF($B26="","",'DMIC List - master'!P18),"")</f>
        <v/>
      </c>
      <c r="K26" s="23">
        <f>IFERROR(IF($B26="","",'DMIC List - master'!Q18),"")</f>
        <v/>
      </c>
      <c r="L26" s="23">
        <f>IFERROR(IF($B26="","",'DMIC List - master'!U18),"")</f>
        <v/>
      </c>
      <c r="M26" s="23">
        <f>IF($B26="","",IF(OR($G26&lt;&gt;""),IF(OR($G26&gt;=0.6,AND($I26&lt;&gt;"",$I26&lt;0)),"Critical",IF(OR($G26&gt;=0.3,AND($I26&lt;&gt;"",$I26&gt;=0,$I26&lt;=60)),"Watch","On track")),"No data"))</f>
        <v/>
      </c>
    </row>
    <row r="27">
      <c r="B27" s="26">
        <f>IFERROR(IF('DMIC List - master'!B19="","",'DMIC List - master'!B19),"")</f>
        <v/>
      </c>
      <c r="C27" s="26">
        <f>IFERROR(IF($B27="","",'DMIC List - master'!C19),"")</f>
        <v/>
      </c>
      <c r="D27" s="26">
        <f>IFERROR(IF($B27="","",'DMIC List - master'!D19),"")</f>
        <v/>
      </c>
      <c r="E27" s="26">
        <f>IFERROR(IF($B27="","",'DMIC List - master'!E19),"")</f>
        <v/>
      </c>
      <c r="F27" s="26">
        <f>IFERROR(IF($B27="","",IF(INDEX('DMIC DMS Commissioning-master'!$O$6:$O$65,MATCH($B27,'DMIC DMS Commissioning-master'!$B$6:$B$65,0))=0,"",INDEX('DMIC DMS Commissioning-master'!$O$6:$O$65,MATCH($B27,'DMIC DMS Commissioning-master'!$B$6:$B$65,0)))),"")</f>
        <v/>
      </c>
      <c r="G27" s="27">
        <f>IFERROR(IF($B27="","",INDEX('DMIC DMS Commissioning-master'!$U$6:$U$65,MATCH($B27,'DMIC DMS Commissioning-master'!$B$6:$B$65,0))),"")</f>
        <v/>
      </c>
      <c r="H27" s="28">
        <f>IFERROR(IF($B27="","",IF(INDEX('Commissioning Readiness'!$N$6:$N$65,MATCH($B27,'Commissioning Readiness'!$B$6:$B$65,0))=0,"",INDEX('Commissioning Readiness'!$N$6:$N$65,MATCH($B27,'Commissioning Readiness'!$B$6:$B$65,0)))),"")</f>
        <v/>
      </c>
      <c r="I27" s="26">
        <f>IF(OR($B27="",$H27=""),"",$H27-TODAY())</f>
        <v/>
      </c>
      <c r="J27" s="26">
        <f>IFERROR(IF($B27="","",'DMIC List - master'!P19),"")</f>
        <v/>
      </c>
      <c r="K27" s="26">
        <f>IFERROR(IF($B27="","",'DMIC List - master'!Q19),"")</f>
        <v/>
      </c>
      <c r="L27" s="26">
        <f>IFERROR(IF($B27="","",'DMIC List - master'!U19),"")</f>
        <v/>
      </c>
      <c r="M27" s="26">
        <f>IF($B27="","",IF(OR($G27&lt;&gt;""),IF(OR($G27&gt;=0.6,AND($I27&lt;&gt;"",$I27&lt;0)),"Critical",IF(OR($G27&gt;=0.3,AND($I27&lt;&gt;"",$I27&gt;=0,$I27&lt;=60)),"Watch","On track")),"No data"))</f>
        <v/>
      </c>
    </row>
    <row r="28">
      <c r="B28" s="23">
        <f>IFERROR(IF('DMIC List - master'!B20="","",'DMIC List - master'!B20),"")</f>
        <v/>
      </c>
      <c r="C28" s="23">
        <f>IFERROR(IF($B28="","",'DMIC List - master'!C20),"")</f>
        <v/>
      </c>
      <c r="D28" s="23">
        <f>IFERROR(IF($B28="","",'DMIC List - master'!D20),"")</f>
        <v/>
      </c>
      <c r="E28" s="23">
        <f>IFERROR(IF($B28="","",'DMIC List - master'!E20),"")</f>
        <v/>
      </c>
      <c r="F28" s="23">
        <f>IFERROR(IF($B28="","",IF(INDEX('DMIC DMS Commissioning-master'!$O$6:$O$65,MATCH($B28,'DMIC DMS Commissioning-master'!$B$6:$B$65,0))=0,"",INDEX('DMIC DMS Commissioning-master'!$O$6:$O$65,MATCH($B28,'DMIC DMS Commissioning-master'!$B$6:$B$65,0)))),"")</f>
        <v/>
      </c>
      <c r="G28" s="24">
        <f>IFERROR(IF($B28="","",INDEX('DMIC DMS Commissioning-master'!$U$6:$U$65,MATCH($B28,'DMIC DMS Commissioning-master'!$B$6:$B$65,0))),"")</f>
        <v/>
      </c>
      <c r="H28" s="25">
        <f>IFERROR(IF($B28="","",IF(INDEX('Commissioning Readiness'!$N$6:$N$65,MATCH($B28,'Commissioning Readiness'!$B$6:$B$65,0))=0,"",INDEX('Commissioning Readiness'!$N$6:$N$65,MATCH($B28,'Commissioning Readiness'!$B$6:$B$65,0)))),"")</f>
        <v/>
      </c>
      <c r="I28" s="23">
        <f>IF(OR($B28="",$H28=""),"",$H28-TODAY())</f>
        <v/>
      </c>
      <c r="J28" s="23">
        <f>IFERROR(IF($B28="","",'DMIC List - master'!P20),"")</f>
        <v/>
      </c>
      <c r="K28" s="23">
        <f>IFERROR(IF($B28="","",'DMIC List - master'!Q20),"")</f>
        <v/>
      </c>
      <c r="L28" s="23">
        <f>IFERROR(IF($B28="","",'DMIC List - master'!U20),"")</f>
        <v/>
      </c>
      <c r="M28" s="23">
        <f>IF($B28="","",IF(OR($G28&lt;&gt;""),IF(OR($G28&gt;=0.6,AND($I28&lt;&gt;"",$I28&lt;0)),"Critical",IF(OR($G28&gt;=0.3,AND($I28&lt;&gt;"",$I28&gt;=0,$I28&lt;=60)),"Watch","On track")),"No data"))</f>
        <v/>
      </c>
    </row>
    <row r="29">
      <c r="B29" s="26">
        <f>IFERROR(IF('DMIC List - master'!B21="","",'DMIC List - master'!B21),"")</f>
        <v/>
      </c>
      <c r="C29" s="26">
        <f>IFERROR(IF($B29="","",'DMIC List - master'!C21),"")</f>
        <v/>
      </c>
      <c r="D29" s="26">
        <f>IFERROR(IF($B29="","",'DMIC List - master'!D21),"")</f>
        <v/>
      </c>
      <c r="E29" s="26">
        <f>IFERROR(IF($B29="","",'DMIC List - master'!E21),"")</f>
        <v/>
      </c>
      <c r="F29" s="26">
        <f>IFERROR(IF($B29="","",IF(INDEX('DMIC DMS Commissioning-master'!$O$6:$O$65,MATCH($B29,'DMIC DMS Commissioning-master'!$B$6:$B$65,0))=0,"",INDEX('DMIC DMS Commissioning-master'!$O$6:$O$65,MATCH($B29,'DMIC DMS Commissioning-master'!$B$6:$B$65,0)))),"")</f>
        <v/>
      </c>
      <c r="G29" s="27">
        <f>IFERROR(IF($B29="","",INDEX('DMIC DMS Commissioning-master'!$U$6:$U$65,MATCH($B29,'DMIC DMS Commissioning-master'!$B$6:$B$65,0))),"")</f>
        <v/>
      </c>
      <c r="H29" s="28">
        <f>IFERROR(IF($B29="","",IF(INDEX('Commissioning Readiness'!$N$6:$N$65,MATCH($B29,'Commissioning Readiness'!$B$6:$B$65,0))=0,"",INDEX('Commissioning Readiness'!$N$6:$N$65,MATCH($B29,'Commissioning Readiness'!$B$6:$B$65,0)))),"")</f>
        <v/>
      </c>
      <c r="I29" s="26">
        <f>IF(OR($B29="",$H29=""),"",$H29-TODAY())</f>
        <v/>
      </c>
      <c r="J29" s="26">
        <f>IFERROR(IF($B29="","",'DMIC List - master'!P21),"")</f>
        <v/>
      </c>
      <c r="K29" s="26">
        <f>IFERROR(IF($B29="","",'DMIC List - master'!Q21),"")</f>
        <v/>
      </c>
      <c r="L29" s="26">
        <f>IFERROR(IF($B29="","",'DMIC List - master'!U21),"")</f>
        <v/>
      </c>
      <c r="M29" s="26">
        <f>IF($B29="","",IF(OR($G29&lt;&gt;""),IF(OR($G29&gt;=0.6,AND($I29&lt;&gt;"",$I29&lt;0)),"Critical",IF(OR($G29&gt;=0.3,AND($I29&lt;&gt;"",$I29&gt;=0,$I29&lt;=60)),"Watch","On track")),"No data"))</f>
        <v/>
      </c>
    </row>
    <row r="30">
      <c r="B30" s="23">
        <f>IFERROR(IF('DMIC List - master'!B22="","",'DMIC List - master'!B22),"")</f>
        <v/>
      </c>
      <c r="C30" s="23">
        <f>IFERROR(IF($B30="","",'DMIC List - master'!C22),"")</f>
        <v/>
      </c>
      <c r="D30" s="23">
        <f>IFERROR(IF($B30="","",'DMIC List - master'!D22),"")</f>
        <v/>
      </c>
      <c r="E30" s="23">
        <f>IFERROR(IF($B30="","",'DMIC List - master'!E22),"")</f>
        <v/>
      </c>
      <c r="F30" s="23">
        <f>IFERROR(IF($B30="","",IF(INDEX('DMIC DMS Commissioning-master'!$O$6:$O$65,MATCH($B30,'DMIC DMS Commissioning-master'!$B$6:$B$65,0))=0,"",INDEX('DMIC DMS Commissioning-master'!$O$6:$O$65,MATCH($B30,'DMIC DMS Commissioning-master'!$B$6:$B$65,0)))),"")</f>
        <v/>
      </c>
      <c r="G30" s="24">
        <f>IFERROR(IF($B30="","",INDEX('DMIC DMS Commissioning-master'!$U$6:$U$65,MATCH($B30,'DMIC DMS Commissioning-master'!$B$6:$B$65,0))),"")</f>
        <v/>
      </c>
      <c r="H30" s="25">
        <f>IFERROR(IF($B30="","",IF(INDEX('Commissioning Readiness'!$N$6:$N$65,MATCH($B30,'Commissioning Readiness'!$B$6:$B$65,0))=0,"",INDEX('Commissioning Readiness'!$N$6:$N$65,MATCH($B30,'Commissioning Readiness'!$B$6:$B$65,0)))),"")</f>
        <v/>
      </c>
      <c r="I30" s="23">
        <f>IF(OR($B30="",$H30=""),"",$H30-TODAY())</f>
        <v/>
      </c>
      <c r="J30" s="23">
        <f>IFERROR(IF($B30="","",'DMIC List - master'!P22),"")</f>
        <v/>
      </c>
      <c r="K30" s="23">
        <f>IFERROR(IF($B30="","",'DMIC List - master'!Q22),"")</f>
        <v/>
      </c>
      <c r="L30" s="23">
        <f>IFERROR(IF($B30="","",'DMIC List - master'!U22),"")</f>
        <v/>
      </c>
      <c r="M30" s="23">
        <f>IF($B30="","",IF(OR($G30&lt;&gt;""),IF(OR($G30&gt;=0.6,AND($I30&lt;&gt;"",$I30&lt;0)),"Critical",IF(OR($G30&gt;=0.3,AND($I30&lt;&gt;"",$I30&gt;=0,$I30&lt;=60)),"Watch","On track")),"No data"))</f>
        <v/>
      </c>
    </row>
    <row r="31">
      <c r="B31" s="26">
        <f>IFERROR(IF('DMIC List - master'!B23="","",'DMIC List - master'!B23),"")</f>
        <v/>
      </c>
      <c r="C31" s="26">
        <f>IFERROR(IF($B31="","",'DMIC List - master'!C23),"")</f>
        <v/>
      </c>
      <c r="D31" s="26">
        <f>IFERROR(IF($B31="","",'DMIC List - master'!D23),"")</f>
        <v/>
      </c>
      <c r="E31" s="26">
        <f>IFERROR(IF($B31="","",'DMIC List - master'!E23),"")</f>
        <v/>
      </c>
      <c r="F31" s="26">
        <f>IFERROR(IF($B31="","",IF(INDEX('DMIC DMS Commissioning-master'!$O$6:$O$65,MATCH($B31,'DMIC DMS Commissioning-master'!$B$6:$B$65,0))=0,"",INDEX('DMIC DMS Commissioning-master'!$O$6:$O$65,MATCH($B31,'DMIC DMS Commissioning-master'!$B$6:$B$65,0)))),"")</f>
        <v/>
      </c>
      <c r="G31" s="27">
        <f>IFERROR(IF($B31="","",INDEX('DMIC DMS Commissioning-master'!$U$6:$U$65,MATCH($B31,'DMIC DMS Commissioning-master'!$B$6:$B$65,0))),"")</f>
        <v/>
      </c>
      <c r="H31" s="28">
        <f>IFERROR(IF($B31="","",IF(INDEX('Commissioning Readiness'!$N$6:$N$65,MATCH($B31,'Commissioning Readiness'!$B$6:$B$65,0))=0,"",INDEX('Commissioning Readiness'!$N$6:$N$65,MATCH($B31,'Commissioning Readiness'!$B$6:$B$65,0)))),"")</f>
        <v/>
      </c>
      <c r="I31" s="26">
        <f>IF(OR($B31="",$H31=""),"",$H31-TODAY())</f>
        <v/>
      </c>
      <c r="J31" s="26">
        <f>IFERROR(IF($B31="","",'DMIC List - master'!P23),"")</f>
        <v/>
      </c>
      <c r="K31" s="26">
        <f>IFERROR(IF($B31="","",'DMIC List - master'!Q23),"")</f>
        <v/>
      </c>
      <c r="L31" s="26">
        <f>IFERROR(IF($B31="","",'DMIC List - master'!U23),"")</f>
        <v/>
      </c>
      <c r="M31" s="26">
        <f>IF($B31="","",IF(OR($G31&lt;&gt;""),IF(OR($G31&gt;=0.6,AND($I31&lt;&gt;"",$I31&lt;0)),"Critical",IF(OR($G31&gt;=0.3,AND($I31&lt;&gt;"",$I31&gt;=0,$I31&lt;=60)),"Watch","On track")),"No data"))</f>
        <v/>
      </c>
    </row>
    <row r="32">
      <c r="B32" s="23">
        <f>IFERROR(IF('DMIC List - master'!B24="","",'DMIC List - master'!B24),"")</f>
        <v/>
      </c>
      <c r="C32" s="23">
        <f>IFERROR(IF($B32="","",'DMIC List - master'!C24),"")</f>
        <v/>
      </c>
      <c r="D32" s="23">
        <f>IFERROR(IF($B32="","",'DMIC List - master'!D24),"")</f>
        <v/>
      </c>
      <c r="E32" s="23">
        <f>IFERROR(IF($B32="","",'DMIC List - master'!E24),"")</f>
        <v/>
      </c>
      <c r="F32" s="23">
        <f>IFERROR(IF($B32="","",IF(INDEX('DMIC DMS Commissioning-master'!$O$6:$O$65,MATCH($B32,'DMIC DMS Commissioning-master'!$B$6:$B$65,0))=0,"",INDEX('DMIC DMS Commissioning-master'!$O$6:$O$65,MATCH($B32,'DMIC DMS Commissioning-master'!$B$6:$B$65,0)))),"")</f>
        <v/>
      </c>
      <c r="G32" s="24">
        <f>IFERROR(IF($B32="","",INDEX('DMIC DMS Commissioning-master'!$U$6:$U$65,MATCH($B32,'DMIC DMS Commissioning-master'!$B$6:$B$65,0))),"")</f>
        <v/>
      </c>
      <c r="H32" s="25">
        <f>IFERROR(IF($B32="","",IF(INDEX('Commissioning Readiness'!$N$6:$N$65,MATCH($B32,'Commissioning Readiness'!$B$6:$B$65,0))=0,"",INDEX('Commissioning Readiness'!$N$6:$N$65,MATCH($B32,'Commissioning Readiness'!$B$6:$B$65,0)))),"")</f>
        <v/>
      </c>
      <c r="I32" s="23">
        <f>IF(OR($B32="",$H32=""),"",$H32-TODAY())</f>
        <v/>
      </c>
      <c r="J32" s="23">
        <f>IFERROR(IF($B32="","",'DMIC List - master'!P24),"")</f>
        <v/>
      </c>
      <c r="K32" s="23">
        <f>IFERROR(IF($B32="","",'DMIC List - master'!Q24),"")</f>
        <v/>
      </c>
      <c r="L32" s="23">
        <f>IFERROR(IF($B32="","",'DMIC List - master'!U24),"")</f>
        <v/>
      </c>
      <c r="M32" s="23">
        <f>IF($B32="","",IF(OR($G32&lt;&gt;""),IF(OR($G32&gt;=0.6,AND($I32&lt;&gt;"",$I32&lt;0)),"Critical",IF(OR($G32&gt;=0.3,AND($I32&lt;&gt;"",$I32&gt;=0,$I32&lt;=60)),"Watch","On track")),"No data"))</f>
        <v/>
      </c>
    </row>
    <row r="33">
      <c r="B33" s="26">
        <f>IFERROR(IF('DMIC List - master'!B25="","",'DMIC List - master'!B25),"")</f>
        <v/>
      </c>
      <c r="C33" s="26">
        <f>IFERROR(IF($B33="","",'DMIC List - master'!C25),"")</f>
        <v/>
      </c>
      <c r="D33" s="26">
        <f>IFERROR(IF($B33="","",'DMIC List - master'!D25),"")</f>
        <v/>
      </c>
      <c r="E33" s="26">
        <f>IFERROR(IF($B33="","",'DMIC List - master'!E25),"")</f>
        <v/>
      </c>
      <c r="F33" s="26">
        <f>IFERROR(IF($B33="","",IF(INDEX('DMIC DMS Commissioning-master'!$O$6:$O$65,MATCH($B33,'DMIC DMS Commissioning-master'!$B$6:$B$65,0))=0,"",INDEX('DMIC DMS Commissioning-master'!$O$6:$O$65,MATCH($B33,'DMIC DMS Commissioning-master'!$B$6:$B$65,0)))),"")</f>
        <v/>
      </c>
      <c r="G33" s="27">
        <f>IFERROR(IF($B33="","",INDEX('DMIC DMS Commissioning-master'!$U$6:$U$65,MATCH($B33,'DMIC DMS Commissioning-master'!$B$6:$B$65,0))),"")</f>
        <v/>
      </c>
      <c r="H33" s="28">
        <f>IFERROR(IF($B33="","",IF(INDEX('Commissioning Readiness'!$N$6:$N$65,MATCH($B33,'Commissioning Readiness'!$B$6:$B$65,0))=0,"",INDEX('Commissioning Readiness'!$N$6:$N$65,MATCH($B33,'Commissioning Readiness'!$B$6:$B$65,0)))),"")</f>
        <v/>
      </c>
      <c r="I33" s="26">
        <f>IF(OR($B33="",$H33=""),"",$H33-TODAY())</f>
        <v/>
      </c>
      <c r="J33" s="26">
        <f>IFERROR(IF($B33="","",'DMIC List - master'!P25),"")</f>
        <v/>
      </c>
      <c r="K33" s="26">
        <f>IFERROR(IF($B33="","",'DMIC List - master'!Q25),"")</f>
        <v/>
      </c>
      <c r="L33" s="26">
        <f>IFERROR(IF($B33="","",'DMIC List - master'!U25),"")</f>
        <v/>
      </c>
      <c r="M33" s="26">
        <f>IF($B33="","",IF(OR($G33&lt;&gt;""),IF(OR($G33&gt;=0.6,AND($I33&lt;&gt;"",$I33&lt;0)),"Critical",IF(OR($G33&gt;=0.3,AND($I33&lt;&gt;"",$I33&gt;=0,$I33&lt;=60)),"Watch","On track")),"No data"))</f>
        <v/>
      </c>
    </row>
    <row r="34">
      <c r="B34" s="23">
        <f>IFERROR(IF('DMIC List - master'!B26="","",'DMIC List - master'!B26),"")</f>
        <v/>
      </c>
      <c r="C34" s="23">
        <f>IFERROR(IF($B34="","",'DMIC List - master'!C26),"")</f>
        <v/>
      </c>
      <c r="D34" s="23">
        <f>IFERROR(IF($B34="","",'DMIC List - master'!D26),"")</f>
        <v/>
      </c>
      <c r="E34" s="23">
        <f>IFERROR(IF($B34="","",'DMIC List - master'!E26),"")</f>
        <v/>
      </c>
      <c r="F34" s="23">
        <f>IFERROR(IF($B34="","",IF(INDEX('DMIC DMS Commissioning-master'!$O$6:$O$65,MATCH($B34,'DMIC DMS Commissioning-master'!$B$6:$B$65,0))=0,"",INDEX('DMIC DMS Commissioning-master'!$O$6:$O$65,MATCH($B34,'DMIC DMS Commissioning-master'!$B$6:$B$65,0)))),"")</f>
        <v/>
      </c>
      <c r="G34" s="24">
        <f>IFERROR(IF($B34="","",INDEX('DMIC DMS Commissioning-master'!$U$6:$U$65,MATCH($B34,'DMIC DMS Commissioning-master'!$B$6:$B$65,0))),"")</f>
        <v/>
      </c>
      <c r="H34" s="25">
        <f>IFERROR(IF($B34="","",IF(INDEX('Commissioning Readiness'!$N$6:$N$65,MATCH($B34,'Commissioning Readiness'!$B$6:$B$65,0))=0,"",INDEX('Commissioning Readiness'!$N$6:$N$65,MATCH($B34,'Commissioning Readiness'!$B$6:$B$65,0)))),"")</f>
        <v/>
      </c>
      <c r="I34" s="23">
        <f>IF(OR($B34="",$H34=""),"",$H34-TODAY())</f>
        <v/>
      </c>
      <c r="J34" s="23">
        <f>IFERROR(IF($B34="","",'DMIC List - master'!P26),"")</f>
        <v/>
      </c>
      <c r="K34" s="23">
        <f>IFERROR(IF($B34="","",'DMIC List - master'!Q26),"")</f>
        <v/>
      </c>
      <c r="L34" s="23">
        <f>IFERROR(IF($B34="","",'DMIC List - master'!U26),"")</f>
        <v/>
      </c>
      <c r="M34" s="23">
        <f>IF($B34="","",IF(OR($G34&lt;&gt;""),IF(OR($G34&gt;=0.6,AND($I34&lt;&gt;"",$I34&lt;0)),"Critical",IF(OR($G34&gt;=0.3,AND($I34&lt;&gt;"",$I34&gt;=0,$I34&lt;=60)),"Watch","On track")),"No data"))</f>
        <v/>
      </c>
    </row>
    <row r="35">
      <c r="B35" s="26">
        <f>IFERROR(IF('DMIC List - master'!B27="","",'DMIC List - master'!B27),"")</f>
        <v/>
      </c>
      <c r="C35" s="26">
        <f>IFERROR(IF($B35="","",'DMIC List - master'!C27),"")</f>
        <v/>
      </c>
      <c r="D35" s="26">
        <f>IFERROR(IF($B35="","",'DMIC List - master'!D27),"")</f>
        <v/>
      </c>
      <c r="E35" s="26">
        <f>IFERROR(IF($B35="","",'DMIC List - master'!E27),"")</f>
        <v/>
      </c>
      <c r="F35" s="26">
        <f>IFERROR(IF($B35="","",IF(INDEX('DMIC DMS Commissioning-master'!$O$6:$O$65,MATCH($B35,'DMIC DMS Commissioning-master'!$B$6:$B$65,0))=0,"",INDEX('DMIC DMS Commissioning-master'!$O$6:$O$65,MATCH($B35,'DMIC DMS Commissioning-master'!$B$6:$B$65,0)))),"")</f>
        <v/>
      </c>
      <c r="G35" s="27">
        <f>IFERROR(IF($B35="","",INDEX('DMIC DMS Commissioning-master'!$U$6:$U$65,MATCH($B35,'DMIC DMS Commissioning-master'!$B$6:$B$65,0))),"")</f>
        <v/>
      </c>
      <c r="H35" s="28">
        <f>IFERROR(IF($B35="","",IF(INDEX('Commissioning Readiness'!$N$6:$N$65,MATCH($B35,'Commissioning Readiness'!$B$6:$B$65,0))=0,"",INDEX('Commissioning Readiness'!$N$6:$N$65,MATCH($B35,'Commissioning Readiness'!$B$6:$B$65,0)))),"")</f>
        <v/>
      </c>
      <c r="I35" s="26">
        <f>IF(OR($B35="",$H35=""),"",$H35-TODAY())</f>
        <v/>
      </c>
      <c r="J35" s="26">
        <f>IFERROR(IF($B35="","",'DMIC List - master'!P27),"")</f>
        <v/>
      </c>
      <c r="K35" s="26">
        <f>IFERROR(IF($B35="","",'DMIC List - master'!Q27),"")</f>
        <v/>
      </c>
      <c r="L35" s="26">
        <f>IFERROR(IF($B35="","",'DMIC List - master'!U27),"")</f>
        <v/>
      </c>
      <c r="M35" s="26">
        <f>IF($B35="","",IF(OR($G35&lt;&gt;""),IF(OR($G35&gt;=0.6,AND($I35&lt;&gt;"",$I35&lt;0)),"Critical",IF(OR($G35&gt;=0.3,AND($I35&lt;&gt;"",$I35&gt;=0,$I35&lt;=60)),"Watch","On track")),"No data"))</f>
        <v/>
      </c>
    </row>
    <row r="36">
      <c r="B36" s="23">
        <f>IFERROR(IF('DMIC List - master'!B28="","",'DMIC List - master'!B28),"")</f>
        <v/>
      </c>
      <c r="C36" s="23">
        <f>IFERROR(IF($B36="","",'DMIC List - master'!C28),"")</f>
        <v/>
      </c>
      <c r="D36" s="23">
        <f>IFERROR(IF($B36="","",'DMIC List - master'!D28),"")</f>
        <v/>
      </c>
      <c r="E36" s="23">
        <f>IFERROR(IF($B36="","",'DMIC List - master'!E28),"")</f>
        <v/>
      </c>
      <c r="F36" s="23">
        <f>IFERROR(IF($B36="","",IF(INDEX('DMIC DMS Commissioning-master'!$O$6:$O$65,MATCH($B36,'DMIC DMS Commissioning-master'!$B$6:$B$65,0))=0,"",INDEX('DMIC DMS Commissioning-master'!$O$6:$O$65,MATCH($B36,'DMIC DMS Commissioning-master'!$B$6:$B$65,0)))),"")</f>
        <v/>
      </c>
      <c r="G36" s="24">
        <f>IFERROR(IF($B36="","",INDEX('DMIC DMS Commissioning-master'!$U$6:$U$65,MATCH($B36,'DMIC DMS Commissioning-master'!$B$6:$B$65,0))),"")</f>
        <v/>
      </c>
      <c r="H36" s="25">
        <f>IFERROR(IF($B36="","",IF(INDEX('Commissioning Readiness'!$N$6:$N$65,MATCH($B36,'Commissioning Readiness'!$B$6:$B$65,0))=0,"",INDEX('Commissioning Readiness'!$N$6:$N$65,MATCH($B36,'Commissioning Readiness'!$B$6:$B$65,0)))),"")</f>
        <v/>
      </c>
      <c r="I36" s="23">
        <f>IF(OR($B36="",$H36=""),"",$H36-TODAY())</f>
        <v/>
      </c>
      <c r="J36" s="23">
        <f>IFERROR(IF($B36="","",'DMIC List - master'!P28),"")</f>
        <v/>
      </c>
      <c r="K36" s="23">
        <f>IFERROR(IF($B36="","",'DMIC List - master'!Q28),"")</f>
        <v/>
      </c>
      <c r="L36" s="23">
        <f>IFERROR(IF($B36="","",'DMIC List - master'!U28),"")</f>
        <v/>
      </c>
      <c r="M36" s="23">
        <f>IF($B36="","",IF(OR($G36&lt;&gt;""),IF(OR($G36&gt;=0.6,AND($I36&lt;&gt;"",$I36&lt;0)),"Critical",IF(OR($G36&gt;=0.3,AND($I36&lt;&gt;"",$I36&gt;=0,$I36&lt;=60)),"Watch","On track")),"No data"))</f>
        <v/>
      </c>
    </row>
    <row r="37">
      <c r="B37" s="26">
        <f>IFERROR(IF('DMIC List - master'!B29="","",'DMIC List - master'!B29),"")</f>
        <v/>
      </c>
      <c r="C37" s="26">
        <f>IFERROR(IF($B37="","",'DMIC List - master'!C29),"")</f>
        <v/>
      </c>
      <c r="D37" s="26">
        <f>IFERROR(IF($B37="","",'DMIC List - master'!D29),"")</f>
        <v/>
      </c>
      <c r="E37" s="26">
        <f>IFERROR(IF($B37="","",'DMIC List - master'!E29),"")</f>
        <v/>
      </c>
      <c r="F37" s="26">
        <f>IFERROR(IF($B37="","",IF(INDEX('DMIC DMS Commissioning-master'!$O$6:$O$65,MATCH($B37,'DMIC DMS Commissioning-master'!$B$6:$B$65,0))=0,"",INDEX('DMIC DMS Commissioning-master'!$O$6:$O$65,MATCH($B37,'DMIC DMS Commissioning-master'!$B$6:$B$65,0)))),"")</f>
        <v/>
      </c>
      <c r="G37" s="27">
        <f>IFERROR(IF($B37="","",INDEX('DMIC DMS Commissioning-master'!$U$6:$U$65,MATCH($B37,'DMIC DMS Commissioning-master'!$B$6:$B$65,0))),"")</f>
        <v/>
      </c>
      <c r="H37" s="28">
        <f>IFERROR(IF($B37="","",IF(INDEX('Commissioning Readiness'!$N$6:$N$65,MATCH($B37,'Commissioning Readiness'!$B$6:$B$65,0))=0,"",INDEX('Commissioning Readiness'!$N$6:$N$65,MATCH($B37,'Commissioning Readiness'!$B$6:$B$65,0)))),"")</f>
        <v/>
      </c>
      <c r="I37" s="26">
        <f>IF(OR($B37="",$H37=""),"",$H37-TODAY())</f>
        <v/>
      </c>
      <c r="J37" s="26">
        <f>IFERROR(IF($B37="","",'DMIC List - master'!P29),"")</f>
        <v/>
      </c>
      <c r="K37" s="26">
        <f>IFERROR(IF($B37="","",'DMIC List - master'!Q29),"")</f>
        <v/>
      </c>
      <c r="L37" s="26">
        <f>IFERROR(IF($B37="","",'DMIC List - master'!U29),"")</f>
        <v/>
      </c>
      <c r="M37" s="26">
        <f>IF($B37="","",IF(OR($G37&lt;&gt;""),IF(OR($G37&gt;=0.6,AND($I37&lt;&gt;"",$I37&lt;0)),"Critical",IF(OR($G37&gt;=0.3,AND($I37&lt;&gt;"",$I37&gt;=0,$I37&lt;=60)),"Watch","On track")),"No data"))</f>
        <v/>
      </c>
    </row>
    <row r="38">
      <c r="B38" s="23">
        <f>IFERROR(IF('DMIC List - master'!B30="","",'DMIC List - master'!B30),"")</f>
        <v/>
      </c>
      <c r="C38" s="23">
        <f>IFERROR(IF($B38="","",'DMIC List - master'!C30),"")</f>
        <v/>
      </c>
      <c r="D38" s="23">
        <f>IFERROR(IF($B38="","",'DMIC List - master'!D30),"")</f>
        <v/>
      </c>
      <c r="E38" s="23">
        <f>IFERROR(IF($B38="","",'DMIC List - master'!E30),"")</f>
        <v/>
      </c>
      <c r="F38" s="23">
        <f>IFERROR(IF($B38="","",IF(INDEX('DMIC DMS Commissioning-master'!$O$6:$O$65,MATCH($B38,'DMIC DMS Commissioning-master'!$B$6:$B$65,0))=0,"",INDEX('DMIC DMS Commissioning-master'!$O$6:$O$65,MATCH($B38,'DMIC DMS Commissioning-master'!$B$6:$B$65,0)))),"")</f>
        <v/>
      </c>
      <c r="G38" s="24">
        <f>IFERROR(IF($B38="","",INDEX('DMIC DMS Commissioning-master'!$U$6:$U$65,MATCH($B38,'DMIC DMS Commissioning-master'!$B$6:$B$65,0))),"")</f>
        <v/>
      </c>
      <c r="H38" s="25">
        <f>IFERROR(IF($B38="","",IF(INDEX('Commissioning Readiness'!$N$6:$N$65,MATCH($B38,'Commissioning Readiness'!$B$6:$B$65,0))=0,"",INDEX('Commissioning Readiness'!$N$6:$N$65,MATCH($B38,'Commissioning Readiness'!$B$6:$B$65,0)))),"")</f>
        <v/>
      </c>
      <c r="I38" s="23">
        <f>IF(OR($B38="",$H38=""),"",$H38-TODAY())</f>
        <v/>
      </c>
      <c r="J38" s="23">
        <f>IFERROR(IF($B38="","",'DMIC List - master'!P30),"")</f>
        <v/>
      </c>
      <c r="K38" s="23">
        <f>IFERROR(IF($B38="","",'DMIC List - master'!Q30),"")</f>
        <v/>
      </c>
      <c r="L38" s="23">
        <f>IFERROR(IF($B38="","",'DMIC List - master'!U30),"")</f>
        <v/>
      </c>
      <c r="M38" s="23">
        <f>IF($B38="","",IF(OR($G38&lt;&gt;""),IF(OR($G38&gt;=0.6,AND($I38&lt;&gt;"",$I38&lt;0)),"Critical",IF(OR($G38&gt;=0.3,AND($I38&lt;&gt;"",$I38&gt;=0,$I38&lt;=60)),"Watch","On track")),"No data"))</f>
        <v/>
      </c>
    </row>
    <row r="39">
      <c r="B39" s="26">
        <f>IFERROR(IF('DMIC List - master'!B31="","",'DMIC List - master'!B31),"")</f>
        <v/>
      </c>
      <c r="C39" s="26">
        <f>IFERROR(IF($B39="","",'DMIC List - master'!C31),"")</f>
        <v/>
      </c>
      <c r="D39" s="26">
        <f>IFERROR(IF($B39="","",'DMIC List - master'!D31),"")</f>
        <v/>
      </c>
      <c r="E39" s="26">
        <f>IFERROR(IF($B39="","",'DMIC List - master'!E31),"")</f>
        <v/>
      </c>
      <c r="F39" s="26">
        <f>IFERROR(IF($B39="","",IF(INDEX('DMIC DMS Commissioning-master'!$O$6:$O$65,MATCH($B39,'DMIC DMS Commissioning-master'!$B$6:$B$65,0))=0,"",INDEX('DMIC DMS Commissioning-master'!$O$6:$O$65,MATCH($B39,'DMIC DMS Commissioning-master'!$B$6:$B$65,0)))),"")</f>
        <v/>
      </c>
      <c r="G39" s="27">
        <f>IFERROR(IF($B39="","",INDEX('DMIC DMS Commissioning-master'!$U$6:$U$65,MATCH($B39,'DMIC DMS Commissioning-master'!$B$6:$B$65,0))),"")</f>
        <v/>
      </c>
      <c r="H39" s="28">
        <f>IFERROR(IF($B39="","",IF(INDEX('Commissioning Readiness'!$N$6:$N$65,MATCH($B39,'Commissioning Readiness'!$B$6:$B$65,0))=0,"",INDEX('Commissioning Readiness'!$N$6:$N$65,MATCH($B39,'Commissioning Readiness'!$B$6:$B$65,0)))),"")</f>
        <v/>
      </c>
      <c r="I39" s="26">
        <f>IF(OR($B39="",$H39=""),"",$H39-TODAY())</f>
        <v/>
      </c>
      <c r="J39" s="26">
        <f>IFERROR(IF($B39="","",'DMIC List - master'!P31),"")</f>
        <v/>
      </c>
      <c r="K39" s="26">
        <f>IFERROR(IF($B39="","",'DMIC List - master'!Q31),"")</f>
        <v/>
      </c>
      <c r="L39" s="26">
        <f>IFERROR(IF($B39="","",'DMIC List - master'!U31),"")</f>
        <v/>
      </c>
      <c r="M39" s="26">
        <f>IF($B39="","",IF(OR($G39&lt;&gt;""),IF(OR($G39&gt;=0.6,AND($I39&lt;&gt;"",$I39&lt;0)),"Critical",IF(OR($G39&gt;=0.3,AND($I39&lt;&gt;"",$I39&gt;=0,$I39&lt;=60)),"Watch","On track")),"No data"))</f>
        <v/>
      </c>
    </row>
    <row r="40">
      <c r="B40" s="23">
        <f>IFERROR(IF('DMIC List - master'!B32="","",'DMIC List - master'!B32),"")</f>
        <v/>
      </c>
      <c r="C40" s="23">
        <f>IFERROR(IF($B40="","",'DMIC List - master'!C32),"")</f>
        <v/>
      </c>
      <c r="D40" s="23">
        <f>IFERROR(IF($B40="","",'DMIC List - master'!D32),"")</f>
        <v/>
      </c>
      <c r="E40" s="23">
        <f>IFERROR(IF($B40="","",'DMIC List - master'!E32),"")</f>
        <v/>
      </c>
      <c r="F40" s="23">
        <f>IFERROR(IF($B40="","",IF(INDEX('DMIC DMS Commissioning-master'!$O$6:$O$65,MATCH($B40,'DMIC DMS Commissioning-master'!$B$6:$B$65,0))=0,"",INDEX('DMIC DMS Commissioning-master'!$O$6:$O$65,MATCH($B40,'DMIC DMS Commissioning-master'!$B$6:$B$65,0)))),"")</f>
        <v/>
      </c>
      <c r="G40" s="24">
        <f>IFERROR(IF($B40="","",INDEX('DMIC DMS Commissioning-master'!$U$6:$U$65,MATCH($B40,'DMIC DMS Commissioning-master'!$B$6:$B$65,0))),"")</f>
        <v/>
      </c>
      <c r="H40" s="25">
        <f>IFERROR(IF($B40="","",IF(INDEX('Commissioning Readiness'!$N$6:$N$65,MATCH($B40,'Commissioning Readiness'!$B$6:$B$65,0))=0,"",INDEX('Commissioning Readiness'!$N$6:$N$65,MATCH($B40,'Commissioning Readiness'!$B$6:$B$65,0)))),"")</f>
        <v/>
      </c>
      <c r="I40" s="23">
        <f>IF(OR($B40="",$H40=""),"",$H40-TODAY())</f>
        <v/>
      </c>
      <c r="J40" s="23">
        <f>IFERROR(IF($B40="","",'DMIC List - master'!P32),"")</f>
        <v/>
      </c>
      <c r="K40" s="23">
        <f>IFERROR(IF($B40="","",'DMIC List - master'!Q32),"")</f>
        <v/>
      </c>
      <c r="L40" s="23">
        <f>IFERROR(IF($B40="","",'DMIC List - master'!U32),"")</f>
        <v/>
      </c>
      <c r="M40" s="23">
        <f>IF($B40="","",IF(OR($G40&lt;&gt;""),IF(OR($G40&gt;=0.6,AND($I40&lt;&gt;"",$I40&lt;0)),"Critical",IF(OR($G40&gt;=0.3,AND($I40&lt;&gt;"",$I40&gt;=0,$I40&lt;=60)),"Watch","On track")),"No data"))</f>
        <v/>
      </c>
    </row>
    <row r="41">
      <c r="B41" s="26">
        <f>IFERROR(IF('DMIC List - master'!B33="","",'DMIC List - master'!B33),"")</f>
        <v/>
      </c>
      <c r="C41" s="26">
        <f>IFERROR(IF($B41="","",'DMIC List - master'!C33),"")</f>
        <v/>
      </c>
      <c r="D41" s="26">
        <f>IFERROR(IF($B41="","",'DMIC List - master'!D33),"")</f>
        <v/>
      </c>
      <c r="E41" s="26">
        <f>IFERROR(IF($B41="","",'DMIC List - master'!E33),"")</f>
        <v/>
      </c>
      <c r="F41" s="26">
        <f>IFERROR(IF($B41="","",IF(INDEX('DMIC DMS Commissioning-master'!$O$6:$O$65,MATCH($B41,'DMIC DMS Commissioning-master'!$B$6:$B$65,0))=0,"",INDEX('DMIC DMS Commissioning-master'!$O$6:$O$65,MATCH($B41,'DMIC DMS Commissioning-master'!$B$6:$B$65,0)))),"")</f>
        <v/>
      </c>
      <c r="G41" s="27">
        <f>IFERROR(IF($B41="","",INDEX('DMIC DMS Commissioning-master'!$U$6:$U$65,MATCH($B41,'DMIC DMS Commissioning-master'!$B$6:$B$65,0))),"")</f>
        <v/>
      </c>
      <c r="H41" s="28">
        <f>IFERROR(IF($B41="","",IF(INDEX('Commissioning Readiness'!$N$6:$N$65,MATCH($B41,'Commissioning Readiness'!$B$6:$B$65,0))=0,"",INDEX('Commissioning Readiness'!$N$6:$N$65,MATCH($B41,'Commissioning Readiness'!$B$6:$B$65,0)))),"")</f>
        <v/>
      </c>
      <c r="I41" s="26">
        <f>IF(OR($B41="",$H41=""),"",$H41-TODAY())</f>
        <v/>
      </c>
      <c r="J41" s="26">
        <f>IFERROR(IF($B41="","",'DMIC List - master'!P33),"")</f>
        <v/>
      </c>
      <c r="K41" s="26">
        <f>IFERROR(IF($B41="","",'DMIC List - master'!Q33),"")</f>
        <v/>
      </c>
      <c r="L41" s="26">
        <f>IFERROR(IF($B41="","",'DMIC List - master'!U33),"")</f>
        <v/>
      </c>
      <c r="M41" s="26">
        <f>IF($B41="","",IF(OR($G41&lt;&gt;""),IF(OR($G41&gt;=0.6,AND($I41&lt;&gt;"",$I41&lt;0)),"Critical",IF(OR($G41&gt;=0.3,AND($I41&lt;&gt;"",$I41&gt;=0,$I41&lt;=60)),"Watch","On track")),"No data"))</f>
        <v/>
      </c>
    </row>
    <row r="42">
      <c r="B42" s="23">
        <f>IFERROR(IF('DMIC List - master'!B34="","",'DMIC List - master'!B34),"")</f>
        <v/>
      </c>
      <c r="C42" s="23">
        <f>IFERROR(IF($B42="","",'DMIC List - master'!C34),"")</f>
        <v/>
      </c>
      <c r="D42" s="23">
        <f>IFERROR(IF($B42="","",'DMIC List - master'!D34),"")</f>
        <v/>
      </c>
      <c r="E42" s="23">
        <f>IFERROR(IF($B42="","",'DMIC List - master'!E34),"")</f>
        <v/>
      </c>
      <c r="F42" s="23">
        <f>IFERROR(IF($B42="","",IF(INDEX('DMIC DMS Commissioning-master'!$O$6:$O$65,MATCH($B42,'DMIC DMS Commissioning-master'!$B$6:$B$65,0))=0,"",INDEX('DMIC DMS Commissioning-master'!$O$6:$O$65,MATCH($B42,'DMIC DMS Commissioning-master'!$B$6:$B$65,0)))),"")</f>
        <v/>
      </c>
      <c r="G42" s="24">
        <f>IFERROR(IF($B42="","",INDEX('DMIC DMS Commissioning-master'!$U$6:$U$65,MATCH($B42,'DMIC DMS Commissioning-master'!$B$6:$B$65,0))),"")</f>
        <v/>
      </c>
      <c r="H42" s="25">
        <f>IFERROR(IF($B42="","",IF(INDEX('Commissioning Readiness'!$N$6:$N$65,MATCH($B42,'Commissioning Readiness'!$B$6:$B$65,0))=0,"",INDEX('Commissioning Readiness'!$N$6:$N$65,MATCH($B42,'Commissioning Readiness'!$B$6:$B$65,0)))),"")</f>
        <v/>
      </c>
      <c r="I42" s="23">
        <f>IF(OR($B42="",$H42=""),"",$H42-TODAY())</f>
        <v/>
      </c>
      <c r="J42" s="23">
        <f>IFERROR(IF($B42="","",'DMIC List - master'!P34),"")</f>
        <v/>
      </c>
      <c r="K42" s="23">
        <f>IFERROR(IF($B42="","",'DMIC List - master'!Q34),"")</f>
        <v/>
      </c>
      <c r="L42" s="23">
        <f>IFERROR(IF($B42="","",'DMIC List - master'!U34),"")</f>
        <v/>
      </c>
      <c r="M42" s="23">
        <f>IF($B42="","",IF(OR($G42&lt;&gt;""),IF(OR($G42&gt;=0.6,AND($I42&lt;&gt;"",$I42&lt;0)),"Critical",IF(OR($G42&gt;=0.3,AND($I42&lt;&gt;"",$I42&gt;=0,$I42&lt;=60)),"Watch","On track")),"No data"))</f>
        <v/>
      </c>
    </row>
    <row r="43">
      <c r="B43" s="26">
        <f>IFERROR(IF('DMIC List - master'!B35="","",'DMIC List - master'!B35),"")</f>
        <v/>
      </c>
      <c r="C43" s="26">
        <f>IFERROR(IF($B43="","",'DMIC List - master'!C35),"")</f>
        <v/>
      </c>
      <c r="D43" s="26">
        <f>IFERROR(IF($B43="","",'DMIC List - master'!D35),"")</f>
        <v/>
      </c>
      <c r="E43" s="26">
        <f>IFERROR(IF($B43="","",'DMIC List - master'!E35),"")</f>
        <v/>
      </c>
      <c r="F43" s="26">
        <f>IFERROR(IF($B43="","",IF(INDEX('DMIC DMS Commissioning-master'!$O$6:$O$65,MATCH($B43,'DMIC DMS Commissioning-master'!$B$6:$B$65,0))=0,"",INDEX('DMIC DMS Commissioning-master'!$O$6:$O$65,MATCH($B43,'DMIC DMS Commissioning-master'!$B$6:$B$65,0)))),"")</f>
        <v/>
      </c>
      <c r="G43" s="27">
        <f>IFERROR(IF($B43="","",INDEX('DMIC DMS Commissioning-master'!$U$6:$U$65,MATCH($B43,'DMIC DMS Commissioning-master'!$B$6:$B$65,0))),"")</f>
        <v/>
      </c>
      <c r="H43" s="28">
        <f>IFERROR(IF($B43="","",IF(INDEX('Commissioning Readiness'!$N$6:$N$65,MATCH($B43,'Commissioning Readiness'!$B$6:$B$65,0))=0,"",INDEX('Commissioning Readiness'!$N$6:$N$65,MATCH($B43,'Commissioning Readiness'!$B$6:$B$65,0)))),"")</f>
        <v/>
      </c>
      <c r="I43" s="26">
        <f>IF(OR($B43="",$H43=""),"",$H43-TODAY())</f>
        <v/>
      </c>
      <c r="J43" s="26">
        <f>IFERROR(IF($B43="","",'DMIC List - master'!P35),"")</f>
        <v/>
      </c>
      <c r="K43" s="26">
        <f>IFERROR(IF($B43="","",'DMIC List - master'!Q35),"")</f>
        <v/>
      </c>
      <c r="L43" s="26">
        <f>IFERROR(IF($B43="","",'DMIC List - master'!U35),"")</f>
        <v/>
      </c>
      <c r="M43" s="26">
        <f>IF($B43="","",IF(OR($G43&lt;&gt;""),IF(OR($G43&gt;=0.6,AND($I43&lt;&gt;"",$I43&lt;0)),"Critical",IF(OR($G43&gt;=0.3,AND($I43&lt;&gt;"",$I43&gt;=0,$I43&lt;=60)),"Watch","On track")),"No data"))</f>
        <v/>
      </c>
    </row>
    <row r="44">
      <c r="B44" s="23">
        <f>IFERROR(IF('DMIC List - master'!B36="","",'DMIC List - master'!B36),"")</f>
        <v/>
      </c>
      <c r="C44" s="23">
        <f>IFERROR(IF($B44="","",'DMIC List - master'!C36),"")</f>
        <v/>
      </c>
      <c r="D44" s="23">
        <f>IFERROR(IF($B44="","",'DMIC List - master'!D36),"")</f>
        <v/>
      </c>
      <c r="E44" s="23">
        <f>IFERROR(IF($B44="","",'DMIC List - master'!E36),"")</f>
        <v/>
      </c>
      <c r="F44" s="23">
        <f>IFERROR(IF($B44="","",IF(INDEX('DMIC DMS Commissioning-master'!$O$6:$O$65,MATCH($B44,'DMIC DMS Commissioning-master'!$B$6:$B$65,0))=0,"",INDEX('DMIC DMS Commissioning-master'!$O$6:$O$65,MATCH($B44,'DMIC DMS Commissioning-master'!$B$6:$B$65,0)))),"")</f>
        <v/>
      </c>
      <c r="G44" s="24">
        <f>IFERROR(IF($B44="","",INDEX('DMIC DMS Commissioning-master'!$U$6:$U$65,MATCH($B44,'DMIC DMS Commissioning-master'!$B$6:$B$65,0))),"")</f>
        <v/>
      </c>
      <c r="H44" s="25">
        <f>IFERROR(IF($B44="","",IF(INDEX('Commissioning Readiness'!$N$6:$N$65,MATCH($B44,'Commissioning Readiness'!$B$6:$B$65,0))=0,"",INDEX('Commissioning Readiness'!$N$6:$N$65,MATCH($B44,'Commissioning Readiness'!$B$6:$B$65,0)))),"")</f>
        <v/>
      </c>
      <c r="I44" s="23">
        <f>IF(OR($B44="",$H44=""),"",$H44-TODAY())</f>
        <v/>
      </c>
      <c r="J44" s="23">
        <f>IFERROR(IF($B44="","",'DMIC List - master'!P36),"")</f>
        <v/>
      </c>
      <c r="K44" s="23">
        <f>IFERROR(IF($B44="","",'DMIC List - master'!Q36),"")</f>
        <v/>
      </c>
      <c r="L44" s="23">
        <f>IFERROR(IF($B44="","",'DMIC List - master'!U36),"")</f>
        <v/>
      </c>
      <c r="M44" s="23">
        <f>IF($B44="","",IF(OR($G44&lt;&gt;""),IF(OR($G44&gt;=0.6,AND($I44&lt;&gt;"",$I44&lt;0)),"Critical",IF(OR($G44&gt;=0.3,AND($I44&lt;&gt;"",$I44&gt;=0,$I44&lt;=60)),"Watch","On track")),"No data"))</f>
        <v/>
      </c>
    </row>
    <row r="45">
      <c r="B45" s="26">
        <f>IFERROR(IF('DMIC List - master'!B37="","",'DMIC List - master'!B37),"")</f>
        <v/>
      </c>
      <c r="C45" s="26">
        <f>IFERROR(IF($B45="","",'DMIC List - master'!C37),"")</f>
        <v/>
      </c>
      <c r="D45" s="26">
        <f>IFERROR(IF($B45="","",'DMIC List - master'!D37),"")</f>
        <v/>
      </c>
      <c r="E45" s="26">
        <f>IFERROR(IF($B45="","",'DMIC List - master'!E37),"")</f>
        <v/>
      </c>
      <c r="F45" s="26">
        <f>IFERROR(IF($B45="","",IF(INDEX('DMIC DMS Commissioning-master'!$O$6:$O$65,MATCH($B45,'DMIC DMS Commissioning-master'!$B$6:$B$65,0))=0,"",INDEX('DMIC DMS Commissioning-master'!$O$6:$O$65,MATCH($B45,'DMIC DMS Commissioning-master'!$B$6:$B$65,0)))),"")</f>
        <v/>
      </c>
      <c r="G45" s="27">
        <f>IFERROR(IF($B45="","",INDEX('DMIC DMS Commissioning-master'!$U$6:$U$65,MATCH($B45,'DMIC DMS Commissioning-master'!$B$6:$B$65,0))),"")</f>
        <v/>
      </c>
      <c r="H45" s="28">
        <f>IFERROR(IF($B45="","",IF(INDEX('Commissioning Readiness'!$N$6:$N$65,MATCH($B45,'Commissioning Readiness'!$B$6:$B$65,0))=0,"",INDEX('Commissioning Readiness'!$N$6:$N$65,MATCH($B45,'Commissioning Readiness'!$B$6:$B$65,0)))),"")</f>
        <v/>
      </c>
      <c r="I45" s="26">
        <f>IF(OR($B45="",$H45=""),"",$H45-TODAY())</f>
        <v/>
      </c>
      <c r="J45" s="26">
        <f>IFERROR(IF($B45="","",'DMIC List - master'!P37),"")</f>
        <v/>
      </c>
      <c r="K45" s="26">
        <f>IFERROR(IF($B45="","",'DMIC List - master'!Q37),"")</f>
        <v/>
      </c>
      <c r="L45" s="26">
        <f>IFERROR(IF($B45="","",'DMIC List - master'!U37),"")</f>
        <v/>
      </c>
      <c r="M45" s="26">
        <f>IF($B45="","",IF(OR($G45&lt;&gt;""),IF(OR($G45&gt;=0.6,AND($I45&lt;&gt;"",$I45&lt;0)),"Critical",IF(OR($G45&gt;=0.3,AND($I45&lt;&gt;"",$I45&gt;=0,$I45&lt;=60)),"Watch","On track")),"No data"))</f>
        <v/>
      </c>
    </row>
    <row r="46">
      <c r="B46" s="23">
        <f>IFERROR(IF('DMIC List - master'!B38="","",'DMIC List - master'!B38),"")</f>
        <v/>
      </c>
      <c r="C46" s="23">
        <f>IFERROR(IF($B46="","",'DMIC List - master'!C38),"")</f>
        <v/>
      </c>
      <c r="D46" s="23">
        <f>IFERROR(IF($B46="","",'DMIC List - master'!D38),"")</f>
        <v/>
      </c>
      <c r="E46" s="23">
        <f>IFERROR(IF($B46="","",'DMIC List - master'!E38),"")</f>
        <v/>
      </c>
      <c r="F46" s="23">
        <f>IFERROR(IF($B46="","",IF(INDEX('DMIC DMS Commissioning-master'!$O$6:$O$65,MATCH($B46,'DMIC DMS Commissioning-master'!$B$6:$B$65,0))=0,"",INDEX('DMIC DMS Commissioning-master'!$O$6:$O$65,MATCH($B46,'DMIC DMS Commissioning-master'!$B$6:$B$65,0)))),"")</f>
        <v/>
      </c>
      <c r="G46" s="24">
        <f>IFERROR(IF($B46="","",INDEX('DMIC DMS Commissioning-master'!$U$6:$U$65,MATCH($B46,'DMIC DMS Commissioning-master'!$B$6:$B$65,0))),"")</f>
        <v/>
      </c>
      <c r="H46" s="25">
        <f>IFERROR(IF($B46="","",IF(INDEX('Commissioning Readiness'!$N$6:$N$65,MATCH($B46,'Commissioning Readiness'!$B$6:$B$65,0))=0,"",INDEX('Commissioning Readiness'!$N$6:$N$65,MATCH($B46,'Commissioning Readiness'!$B$6:$B$65,0)))),"")</f>
        <v/>
      </c>
      <c r="I46" s="23">
        <f>IF(OR($B46="",$H46=""),"",$H46-TODAY())</f>
        <v/>
      </c>
      <c r="J46" s="23">
        <f>IFERROR(IF($B46="","",'DMIC List - master'!P38),"")</f>
        <v/>
      </c>
      <c r="K46" s="23">
        <f>IFERROR(IF($B46="","",'DMIC List - master'!Q38),"")</f>
        <v/>
      </c>
      <c r="L46" s="23">
        <f>IFERROR(IF($B46="","",'DMIC List - master'!U38),"")</f>
        <v/>
      </c>
      <c r="M46" s="23">
        <f>IF($B46="","",IF(OR($G46&lt;&gt;""),IF(OR($G46&gt;=0.6,AND($I46&lt;&gt;"",$I46&lt;0)),"Critical",IF(OR($G46&gt;=0.3,AND($I46&lt;&gt;"",$I46&gt;=0,$I46&lt;=60)),"Watch","On track")),"No data"))</f>
        <v/>
      </c>
    </row>
    <row r="47">
      <c r="B47" s="26">
        <f>IFERROR(IF('DMIC List - master'!B39="","",'DMIC List - master'!B39),"")</f>
        <v/>
      </c>
      <c r="C47" s="26">
        <f>IFERROR(IF($B47="","",'DMIC List - master'!C39),"")</f>
        <v/>
      </c>
      <c r="D47" s="26">
        <f>IFERROR(IF($B47="","",'DMIC List - master'!D39),"")</f>
        <v/>
      </c>
      <c r="E47" s="26">
        <f>IFERROR(IF($B47="","",'DMIC List - master'!E39),"")</f>
        <v/>
      </c>
      <c r="F47" s="26">
        <f>IFERROR(IF($B47="","",IF(INDEX('DMIC DMS Commissioning-master'!$O$6:$O$65,MATCH($B47,'DMIC DMS Commissioning-master'!$B$6:$B$65,0))=0,"",INDEX('DMIC DMS Commissioning-master'!$O$6:$O$65,MATCH($B47,'DMIC DMS Commissioning-master'!$B$6:$B$65,0)))),"")</f>
        <v/>
      </c>
      <c r="G47" s="27">
        <f>IFERROR(IF($B47="","",INDEX('DMIC DMS Commissioning-master'!$U$6:$U$65,MATCH($B47,'DMIC DMS Commissioning-master'!$B$6:$B$65,0))),"")</f>
        <v/>
      </c>
      <c r="H47" s="28">
        <f>IFERROR(IF($B47="","",IF(INDEX('Commissioning Readiness'!$N$6:$N$65,MATCH($B47,'Commissioning Readiness'!$B$6:$B$65,0))=0,"",INDEX('Commissioning Readiness'!$N$6:$N$65,MATCH($B47,'Commissioning Readiness'!$B$6:$B$65,0)))),"")</f>
        <v/>
      </c>
      <c r="I47" s="26">
        <f>IF(OR($B47="",$H47=""),"",$H47-TODAY())</f>
        <v/>
      </c>
      <c r="J47" s="26">
        <f>IFERROR(IF($B47="","",'DMIC List - master'!P39),"")</f>
        <v/>
      </c>
      <c r="K47" s="26">
        <f>IFERROR(IF($B47="","",'DMIC List - master'!Q39),"")</f>
        <v/>
      </c>
      <c r="L47" s="26">
        <f>IFERROR(IF($B47="","",'DMIC List - master'!U39),"")</f>
        <v/>
      </c>
      <c r="M47" s="26">
        <f>IF($B47="","",IF(OR($G47&lt;&gt;""),IF(OR($G47&gt;=0.6,AND($I47&lt;&gt;"",$I47&lt;0)),"Critical",IF(OR($G47&gt;=0.3,AND($I47&lt;&gt;"",$I47&gt;=0,$I47&lt;=60)),"Watch","On track")),"No data"))</f>
        <v/>
      </c>
    </row>
    <row r="48">
      <c r="B48" s="23">
        <f>IFERROR(IF('DMIC List - master'!B40="","",'DMIC List - master'!B40),"")</f>
        <v/>
      </c>
      <c r="C48" s="23">
        <f>IFERROR(IF($B48="","",'DMIC List - master'!C40),"")</f>
        <v/>
      </c>
      <c r="D48" s="23">
        <f>IFERROR(IF($B48="","",'DMIC List - master'!D40),"")</f>
        <v/>
      </c>
      <c r="E48" s="23">
        <f>IFERROR(IF($B48="","",'DMIC List - master'!E40),"")</f>
        <v/>
      </c>
      <c r="F48" s="23">
        <f>IFERROR(IF($B48="","",IF(INDEX('DMIC DMS Commissioning-master'!$O$6:$O$65,MATCH($B48,'DMIC DMS Commissioning-master'!$B$6:$B$65,0))=0,"",INDEX('DMIC DMS Commissioning-master'!$O$6:$O$65,MATCH($B48,'DMIC DMS Commissioning-master'!$B$6:$B$65,0)))),"")</f>
        <v/>
      </c>
      <c r="G48" s="24">
        <f>IFERROR(IF($B48="","",INDEX('DMIC DMS Commissioning-master'!$U$6:$U$65,MATCH($B48,'DMIC DMS Commissioning-master'!$B$6:$B$65,0))),"")</f>
        <v/>
      </c>
      <c r="H48" s="25">
        <f>IFERROR(IF($B48="","",IF(INDEX('Commissioning Readiness'!$N$6:$N$65,MATCH($B48,'Commissioning Readiness'!$B$6:$B$65,0))=0,"",INDEX('Commissioning Readiness'!$N$6:$N$65,MATCH($B48,'Commissioning Readiness'!$B$6:$B$65,0)))),"")</f>
        <v/>
      </c>
      <c r="I48" s="23">
        <f>IF(OR($B48="",$H48=""),"",$H48-TODAY())</f>
        <v/>
      </c>
      <c r="J48" s="23">
        <f>IFERROR(IF($B48="","",'DMIC List - master'!P40),"")</f>
        <v/>
      </c>
      <c r="K48" s="23">
        <f>IFERROR(IF($B48="","",'DMIC List - master'!Q40),"")</f>
        <v/>
      </c>
      <c r="L48" s="23">
        <f>IFERROR(IF($B48="","",'DMIC List - master'!U40),"")</f>
        <v/>
      </c>
      <c r="M48" s="23">
        <f>IF($B48="","",IF(OR($G48&lt;&gt;""),IF(OR($G48&gt;=0.6,AND($I48&lt;&gt;"",$I48&lt;0)),"Critical",IF(OR($G48&gt;=0.3,AND($I48&lt;&gt;"",$I48&gt;=0,$I48&lt;=60)),"Watch","On track")),"No data"))</f>
        <v/>
      </c>
    </row>
    <row r="49">
      <c r="B49" s="26">
        <f>IFERROR(IF('DMIC List - master'!B41="","",'DMIC List - master'!B41),"")</f>
        <v/>
      </c>
      <c r="C49" s="26">
        <f>IFERROR(IF($B49="","",'DMIC List - master'!C41),"")</f>
        <v/>
      </c>
      <c r="D49" s="26">
        <f>IFERROR(IF($B49="","",'DMIC List - master'!D41),"")</f>
        <v/>
      </c>
      <c r="E49" s="26">
        <f>IFERROR(IF($B49="","",'DMIC List - master'!E41),"")</f>
        <v/>
      </c>
      <c r="F49" s="26">
        <f>IFERROR(IF($B49="","",IF(INDEX('DMIC DMS Commissioning-master'!$O$6:$O$65,MATCH($B49,'DMIC DMS Commissioning-master'!$B$6:$B$65,0))=0,"",INDEX('DMIC DMS Commissioning-master'!$O$6:$O$65,MATCH($B49,'DMIC DMS Commissioning-master'!$B$6:$B$65,0)))),"")</f>
        <v/>
      </c>
      <c r="G49" s="27">
        <f>IFERROR(IF($B49="","",INDEX('DMIC DMS Commissioning-master'!$U$6:$U$65,MATCH($B49,'DMIC DMS Commissioning-master'!$B$6:$B$65,0))),"")</f>
        <v/>
      </c>
      <c r="H49" s="28">
        <f>IFERROR(IF($B49="","",IF(INDEX('Commissioning Readiness'!$N$6:$N$65,MATCH($B49,'Commissioning Readiness'!$B$6:$B$65,0))=0,"",INDEX('Commissioning Readiness'!$N$6:$N$65,MATCH($B49,'Commissioning Readiness'!$B$6:$B$65,0)))),"")</f>
        <v/>
      </c>
      <c r="I49" s="26">
        <f>IF(OR($B49="",$H49=""),"",$H49-TODAY())</f>
        <v/>
      </c>
      <c r="J49" s="26">
        <f>IFERROR(IF($B49="","",'DMIC List - master'!P41),"")</f>
        <v/>
      </c>
      <c r="K49" s="26">
        <f>IFERROR(IF($B49="","",'DMIC List - master'!Q41),"")</f>
        <v/>
      </c>
      <c r="L49" s="26">
        <f>IFERROR(IF($B49="","",'DMIC List - master'!U41),"")</f>
        <v/>
      </c>
      <c r="M49" s="26">
        <f>IF($B49="","",IF(OR($G49&lt;&gt;""),IF(OR($G49&gt;=0.6,AND($I49&lt;&gt;"",$I49&lt;0)),"Critical",IF(OR($G49&gt;=0.3,AND($I49&lt;&gt;"",$I49&gt;=0,$I49&lt;=60)),"Watch","On track")),"No data"))</f>
        <v/>
      </c>
    </row>
    <row r="50">
      <c r="B50" s="23">
        <f>IFERROR(IF('DMIC List - master'!B42="","",'DMIC List - master'!B42),"")</f>
        <v/>
      </c>
      <c r="C50" s="23">
        <f>IFERROR(IF($B50="","",'DMIC List - master'!C42),"")</f>
        <v/>
      </c>
      <c r="D50" s="23">
        <f>IFERROR(IF($B50="","",'DMIC List - master'!D42),"")</f>
        <v/>
      </c>
      <c r="E50" s="23">
        <f>IFERROR(IF($B50="","",'DMIC List - master'!E42),"")</f>
        <v/>
      </c>
      <c r="F50" s="23">
        <f>IFERROR(IF($B50="","",IF(INDEX('DMIC DMS Commissioning-master'!$O$6:$O$65,MATCH($B50,'DMIC DMS Commissioning-master'!$B$6:$B$65,0))=0,"",INDEX('DMIC DMS Commissioning-master'!$O$6:$O$65,MATCH($B50,'DMIC DMS Commissioning-master'!$B$6:$B$65,0)))),"")</f>
        <v/>
      </c>
      <c r="G50" s="24">
        <f>IFERROR(IF($B50="","",INDEX('DMIC DMS Commissioning-master'!$U$6:$U$65,MATCH($B50,'DMIC DMS Commissioning-master'!$B$6:$B$65,0))),"")</f>
        <v/>
      </c>
      <c r="H50" s="25">
        <f>IFERROR(IF($B50="","",IF(INDEX('Commissioning Readiness'!$N$6:$N$65,MATCH($B50,'Commissioning Readiness'!$B$6:$B$65,0))=0,"",INDEX('Commissioning Readiness'!$N$6:$N$65,MATCH($B50,'Commissioning Readiness'!$B$6:$B$65,0)))),"")</f>
        <v/>
      </c>
      <c r="I50" s="23">
        <f>IF(OR($B50="",$H50=""),"",$H50-TODAY())</f>
        <v/>
      </c>
      <c r="J50" s="23">
        <f>IFERROR(IF($B50="","",'DMIC List - master'!P42),"")</f>
        <v/>
      </c>
      <c r="K50" s="23">
        <f>IFERROR(IF($B50="","",'DMIC List - master'!Q42),"")</f>
        <v/>
      </c>
      <c r="L50" s="23">
        <f>IFERROR(IF($B50="","",'DMIC List - master'!U42),"")</f>
        <v/>
      </c>
      <c r="M50" s="23">
        <f>IF($B50="","",IF(OR($G50&lt;&gt;""),IF(OR($G50&gt;=0.6,AND($I50&lt;&gt;"",$I50&lt;0)),"Critical",IF(OR($G50&gt;=0.3,AND($I50&lt;&gt;"",$I50&gt;=0,$I50&lt;=60)),"Watch","On track")),"No data"))</f>
        <v/>
      </c>
    </row>
    <row r="51">
      <c r="B51" s="26">
        <f>IFERROR(IF('DMIC List - master'!B43="","",'DMIC List - master'!B43),"")</f>
        <v/>
      </c>
      <c r="C51" s="26">
        <f>IFERROR(IF($B51="","",'DMIC List - master'!C43),"")</f>
        <v/>
      </c>
      <c r="D51" s="26">
        <f>IFERROR(IF($B51="","",'DMIC List - master'!D43),"")</f>
        <v/>
      </c>
      <c r="E51" s="26">
        <f>IFERROR(IF($B51="","",'DMIC List - master'!E43),"")</f>
        <v/>
      </c>
      <c r="F51" s="26">
        <f>IFERROR(IF($B51="","",IF(INDEX('DMIC DMS Commissioning-master'!$O$6:$O$65,MATCH($B51,'DMIC DMS Commissioning-master'!$B$6:$B$65,0))=0,"",INDEX('DMIC DMS Commissioning-master'!$O$6:$O$65,MATCH($B51,'DMIC DMS Commissioning-master'!$B$6:$B$65,0)))),"")</f>
        <v/>
      </c>
      <c r="G51" s="27">
        <f>IFERROR(IF($B51="","",INDEX('DMIC DMS Commissioning-master'!$U$6:$U$65,MATCH($B51,'DMIC DMS Commissioning-master'!$B$6:$B$65,0))),"")</f>
        <v/>
      </c>
      <c r="H51" s="28">
        <f>IFERROR(IF($B51="","",IF(INDEX('Commissioning Readiness'!$N$6:$N$65,MATCH($B51,'Commissioning Readiness'!$B$6:$B$65,0))=0,"",INDEX('Commissioning Readiness'!$N$6:$N$65,MATCH($B51,'Commissioning Readiness'!$B$6:$B$65,0)))),"")</f>
        <v/>
      </c>
      <c r="I51" s="26">
        <f>IF(OR($B51="",$H51=""),"",$H51-TODAY())</f>
        <v/>
      </c>
      <c r="J51" s="26">
        <f>IFERROR(IF($B51="","",'DMIC List - master'!P43),"")</f>
        <v/>
      </c>
      <c r="K51" s="26">
        <f>IFERROR(IF($B51="","",'DMIC List - master'!Q43),"")</f>
        <v/>
      </c>
      <c r="L51" s="26">
        <f>IFERROR(IF($B51="","",'DMIC List - master'!U43),"")</f>
        <v/>
      </c>
      <c r="M51" s="26">
        <f>IF($B51="","",IF(OR($G51&lt;&gt;""),IF(OR($G51&gt;=0.6,AND($I51&lt;&gt;"",$I51&lt;0)),"Critical",IF(OR($G51&gt;=0.3,AND($I51&lt;&gt;"",$I51&gt;=0,$I51&lt;=60)),"Watch","On track")),"No data"))</f>
        <v/>
      </c>
    </row>
    <row r="52">
      <c r="B52" s="23">
        <f>IFERROR(IF('DMIC List - master'!B44="","",'DMIC List - master'!B44),"")</f>
        <v/>
      </c>
      <c r="C52" s="23">
        <f>IFERROR(IF($B52="","",'DMIC List - master'!C44),"")</f>
        <v/>
      </c>
      <c r="D52" s="23">
        <f>IFERROR(IF($B52="","",'DMIC List - master'!D44),"")</f>
        <v/>
      </c>
      <c r="E52" s="23">
        <f>IFERROR(IF($B52="","",'DMIC List - master'!E44),"")</f>
        <v/>
      </c>
      <c r="F52" s="23">
        <f>IFERROR(IF($B52="","",IF(INDEX('DMIC DMS Commissioning-master'!$O$6:$O$65,MATCH($B52,'DMIC DMS Commissioning-master'!$B$6:$B$65,0))=0,"",INDEX('DMIC DMS Commissioning-master'!$O$6:$O$65,MATCH($B52,'DMIC DMS Commissioning-master'!$B$6:$B$65,0)))),"")</f>
        <v/>
      </c>
      <c r="G52" s="24">
        <f>IFERROR(IF($B52="","",INDEX('DMIC DMS Commissioning-master'!$U$6:$U$65,MATCH($B52,'DMIC DMS Commissioning-master'!$B$6:$B$65,0))),"")</f>
        <v/>
      </c>
      <c r="H52" s="25">
        <f>IFERROR(IF($B52="","",IF(INDEX('Commissioning Readiness'!$N$6:$N$65,MATCH($B52,'Commissioning Readiness'!$B$6:$B$65,0))=0,"",INDEX('Commissioning Readiness'!$N$6:$N$65,MATCH($B52,'Commissioning Readiness'!$B$6:$B$65,0)))),"")</f>
        <v/>
      </c>
      <c r="I52" s="23">
        <f>IF(OR($B52="",$H52=""),"",$H52-TODAY())</f>
        <v/>
      </c>
      <c r="J52" s="23">
        <f>IFERROR(IF($B52="","",'DMIC List - master'!P44),"")</f>
        <v/>
      </c>
      <c r="K52" s="23">
        <f>IFERROR(IF($B52="","",'DMIC List - master'!Q44),"")</f>
        <v/>
      </c>
      <c r="L52" s="23">
        <f>IFERROR(IF($B52="","",'DMIC List - master'!U44),"")</f>
        <v/>
      </c>
      <c r="M52" s="23">
        <f>IF($B52="","",IF(OR($G52&lt;&gt;""),IF(OR($G52&gt;=0.6,AND($I52&lt;&gt;"",$I52&lt;0)),"Critical",IF(OR($G52&gt;=0.3,AND($I52&lt;&gt;"",$I52&gt;=0,$I52&lt;=60)),"Watch","On track")),"No data"))</f>
        <v/>
      </c>
    </row>
    <row r="53">
      <c r="B53" s="26">
        <f>IFERROR(IF('DMIC List - master'!B45="","",'DMIC List - master'!B45),"")</f>
        <v/>
      </c>
      <c r="C53" s="26">
        <f>IFERROR(IF($B53="","",'DMIC List - master'!C45),"")</f>
        <v/>
      </c>
      <c r="D53" s="26">
        <f>IFERROR(IF($B53="","",'DMIC List - master'!D45),"")</f>
        <v/>
      </c>
      <c r="E53" s="26">
        <f>IFERROR(IF($B53="","",'DMIC List - master'!E45),"")</f>
        <v/>
      </c>
      <c r="F53" s="26">
        <f>IFERROR(IF($B53="","",IF(INDEX('DMIC DMS Commissioning-master'!$O$6:$O$65,MATCH($B53,'DMIC DMS Commissioning-master'!$B$6:$B$65,0))=0,"",INDEX('DMIC DMS Commissioning-master'!$O$6:$O$65,MATCH($B53,'DMIC DMS Commissioning-master'!$B$6:$B$65,0)))),"")</f>
        <v/>
      </c>
      <c r="G53" s="27">
        <f>IFERROR(IF($B53="","",INDEX('DMIC DMS Commissioning-master'!$U$6:$U$65,MATCH($B53,'DMIC DMS Commissioning-master'!$B$6:$B$65,0))),"")</f>
        <v/>
      </c>
      <c r="H53" s="28">
        <f>IFERROR(IF($B53="","",IF(INDEX('Commissioning Readiness'!$N$6:$N$65,MATCH($B53,'Commissioning Readiness'!$B$6:$B$65,0))=0,"",INDEX('Commissioning Readiness'!$N$6:$N$65,MATCH($B53,'Commissioning Readiness'!$B$6:$B$65,0)))),"")</f>
        <v/>
      </c>
      <c r="I53" s="26">
        <f>IF(OR($B53="",$H53=""),"",$H53-TODAY())</f>
        <v/>
      </c>
      <c r="J53" s="26">
        <f>IFERROR(IF($B53="","",'DMIC List - master'!P45),"")</f>
        <v/>
      </c>
      <c r="K53" s="26">
        <f>IFERROR(IF($B53="","",'DMIC List - master'!Q45),"")</f>
        <v/>
      </c>
      <c r="L53" s="26">
        <f>IFERROR(IF($B53="","",'DMIC List - master'!U45),"")</f>
        <v/>
      </c>
      <c r="M53" s="26">
        <f>IF($B53="","",IF(OR($G53&lt;&gt;""),IF(OR($G53&gt;=0.6,AND($I53&lt;&gt;"",$I53&lt;0)),"Critical",IF(OR($G53&gt;=0.3,AND($I53&lt;&gt;"",$I53&gt;=0,$I53&lt;=60)),"Watch","On track")),"No data"))</f>
        <v/>
      </c>
    </row>
    <row r="54">
      <c r="B54" s="23">
        <f>IFERROR(IF('DMIC List - master'!B46="","",'DMIC List - master'!B46),"")</f>
        <v/>
      </c>
      <c r="C54" s="23">
        <f>IFERROR(IF($B54="","",'DMIC List - master'!C46),"")</f>
        <v/>
      </c>
      <c r="D54" s="23">
        <f>IFERROR(IF($B54="","",'DMIC List - master'!D46),"")</f>
        <v/>
      </c>
      <c r="E54" s="23">
        <f>IFERROR(IF($B54="","",'DMIC List - master'!E46),"")</f>
        <v/>
      </c>
      <c r="F54" s="23">
        <f>IFERROR(IF($B54="","",IF(INDEX('DMIC DMS Commissioning-master'!$O$6:$O$65,MATCH($B54,'DMIC DMS Commissioning-master'!$B$6:$B$65,0))=0,"",INDEX('DMIC DMS Commissioning-master'!$O$6:$O$65,MATCH($B54,'DMIC DMS Commissioning-master'!$B$6:$B$65,0)))),"")</f>
        <v/>
      </c>
      <c r="G54" s="24">
        <f>IFERROR(IF($B54="","",INDEX('DMIC DMS Commissioning-master'!$U$6:$U$65,MATCH($B54,'DMIC DMS Commissioning-master'!$B$6:$B$65,0))),"")</f>
        <v/>
      </c>
      <c r="H54" s="25">
        <f>IFERROR(IF($B54="","",IF(INDEX('Commissioning Readiness'!$N$6:$N$65,MATCH($B54,'Commissioning Readiness'!$B$6:$B$65,0))=0,"",INDEX('Commissioning Readiness'!$N$6:$N$65,MATCH($B54,'Commissioning Readiness'!$B$6:$B$65,0)))),"")</f>
        <v/>
      </c>
      <c r="I54" s="23">
        <f>IF(OR($B54="",$H54=""),"",$H54-TODAY())</f>
        <v/>
      </c>
      <c r="J54" s="23">
        <f>IFERROR(IF($B54="","",'DMIC List - master'!P46),"")</f>
        <v/>
      </c>
      <c r="K54" s="23">
        <f>IFERROR(IF($B54="","",'DMIC List - master'!Q46),"")</f>
        <v/>
      </c>
      <c r="L54" s="23">
        <f>IFERROR(IF($B54="","",'DMIC List - master'!U46),"")</f>
        <v/>
      </c>
      <c r="M54" s="23">
        <f>IF($B54="","",IF(OR($G54&lt;&gt;""),IF(OR($G54&gt;=0.6,AND($I54&lt;&gt;"",$I54&lt;0)),"Critical",IF(OR($G54&gt;=0.3,AND($I54&lt;&gt;"",$I54&gt;=0,$I54&lt;=60)),"Watch","On track")),"No data"))</f>
        <v/>
      </c>
    </row>
    <row r="55">
      <c r="B55" s="26">
        <f>IFERROR(IF('DMIC List - master'!B47="","",'DMIC List - master'!B47),"")</f>
        <v/>
      </c>
      <c r="C55" s="26">
        <f>IFERROR(IF($B55="","",'DMIC List - master'!C47),"")</f>
        <v/>
      </c>
      <c r="D55" s="26">
        <f>IFERROR(IF($B55="","",'DMIC List - master'!D47),"")</f>
        <v/>
      </c>
      <c r="E55" s="26">
        <f>IFERROR(IF($B55="","",'DMIC List - master'!E47),"")</f>
        <v/>
      </c>
      <c r="F55" s="26">
        <f>IFERROR(IF($B55="","",IF(INDEX('DMIC DMS Commissioning-master'!$O$6:$O$65,MATCH($B55,'DMIC DMS Commissioning-master'!$B$6:$B$65,0))=0,"",INDEX('DMIC DMS Commissioning-master'!$O$6:$O$65,MATCH($B55,'DMIC DMS Commissioning-master'!$B$6:$B$65,0)))),"")</f>
        <v/>
      </c>
      <c r="G55" s="27">
        <f>IFERROR(IF($B55="","",INDEX('DMIC DMS Commissioning-master'!$U$6:$U$65,MATCH($B55,'DMIC DMS Commissioning-master'!$B$6:$B$65,0))),"")</f>
        <v/>
      </c>
      <c r="H55" s="28">
        <f>IFERROR(IF($B55="","",IF(INDEX('Commissioning Readiness'!$N$6:$N$65,MATCH($B55,'Commissioning Readiness'!$B$6:$B$65,0))=0,"",INDEX('Commissioning Readiness'!$N$6:$N$65,MATCH($B55,'Commissioning Readiness'!$B$6:$B$65,0)))),"")</f>
        <v/>
      </c>
      <c r="I55" s="26">
        <f>IF(OR($B55="",$H55=""),"",$H55-TODAY())</f>
        <v/>
      </c>
      <c r="J55" s="26">
        <f>IFERROR(IF($B55="","",'DMIC List - master'!P47),"")</f>
        <v/>
      </c>
      <c r="K55" s="26">
        <f>IFERROR(IF($B55="","",'DMIC List - master'!Q47),"")</f>
        <v/>
      </c>
      <c r="L55" s="26">
        <f>IFERROR(IF($B55="","",'DMIC List - master'!U47),"")</f>
        <v/>
      </c>
      <c r="M55" s="26">
        <f>IF($B55="","",IF(OR($G55&lt;&gt;""),IF(OR($G55&gt;=0.6,AND($I55&lt;&gt;"",$I55&lt;0)),"Critical",IF(OR($G55&gt;=0.3,AND($I55&lt;&gt;"",$I55&gt;=0,$I55&lt;=60)),"Watch","On track")),"No data"))</f>
        <v/>
      </c>
    </row>
    <row r="56">
      <c r="B56" s="23">
        <f>IFERROR(IF('DMIC List - master'!B48="","",'DMIC List - master'!B48),"")</f>
        <v/>
      </c>
      <c r="C56" s="23">
        <f>IFERROR(IF($B56="","",'DMIC List - master'!C48),"")</f>
        <v/>
      </c>
      <c r="D56" s="23">
        <f>IFERROR(IF($B56="","",'DMIC List - master'!D48),"")</f>
        <v/>
      </c>
      <c r="E56" s="23">
        <f>IFERROR(IF($B56="","",'DMIC List - master'!E48),"")</f>
        <v/>
      </c>
      <c r="F56" s="23">
        <f>IFERROR(IF($B56="","",IF(INDEX('DMIC DMS Commissioning-master'!$O$6:$O$65,MATCH($B56,'DMIC DMS Commissioning-master'!$B$6:$B$65,0))=0,"",INDEX('DMIC DMS Commissioning-master'!$O$6:$O$65,MATCH($B56,'DMIC DMS Commissioning-master'!$B$6:$B$65,0)))),"")</f>
        <v/>
      </c>
      <c r="G56" s="24">
        <f>IFERROR(IF($B56="","",INDEX('DMIC DMS Commissioning-master'!$U$6:$U$65,MATCH($B56,'DMIC DMS Commissioning-master'!$B$6:$B$65,0))),"")</f>
        <v/>
      </c>
      <c r="H56" s="25">
        <f>IFERROR(IF($B56="","",IF(INDEX('Commissioning Readiness'!$N$6:$N$65,MATCH($B56,'Commissioning Readiness'!$B$6:$B$65,0))=0,"",INDEX('Commissioning Readiness'!$N$6:$N$65,MATCH($B56,'Commissioning Readiness'!$B$6:$B$65,0)))),"")</f>
        <v/>
      </c>
      <c r="I56" s="23">
        <f>IF(OR($B56="",$H56=""),"",$H56-TODAY())</f>
        <v/>
      </c>
      <c r="J56" s="23">
        <f>IFERROR(IF($B56="","",'DMIC List - master'!P48),"")</f>
        <v/>
      </c>
      <c r="K56" s="23">
        <f>IFERROR(IF($B56="","",'DMIC List - master'!Q48),"")</f>
        <v/>
      </c>
      <c r="L56" s="23">
        <f>IFERROR(IF($B56="","",'DMIC List - master'!U48),"")</f>
        <v/>
      </c>
      <c r="M56" s="23">
        <f>IF($B56="","",IF(OR($G56&lt;&gt;""),IF(OR($G56&gt;=0.6,AND($I56&lt;&gt;"",$I56&lt;0)),"Critical",IF(OR($G56&gt;=0.3,AND($I56&lt;&gt;"",$I56&gt;=0,$I56&lt;=60)),"Watch","On track")),"No data"))</f>
        <v/>
      </c>
    </row>
    <row r="57">
      <c r="B57" s="26">
        <f>IFERROR(IF('DMIC List - master'!B49="","",'DMIC List - master'!B49),"")</f>
        <v/>
      </c>
      <c r="C57" s="26">
        <f>IFERROR(IF($B57="","",'DMIC List - master'!C49),"")</f>
        <v/>
      </c>
      <c r="D57" s="26">
        <f>IFERROR(IF($B57="","",'DMIC List - master'!D49),"")</f>
        <v/>
      </c>
      <c r="E57" s="26">
        <f>IFERROR(IF($B57="","",'DMIC List - master'!E49),"")</f>
        <v/>
      </c>
      <c r="F57" s="26">
        <f>IFERROR(IF($B57="","",IF(INDEX('DMIC DMS Commissioning-master'!$O$6:$O$65,MATCH($B57,'DMIC DMS Commissioning-master'!$B$6:$B$65,0))=0,"",INDEX('DMIC DMS Commissioning-master'!$O$6:$O$65,MATCH($B57,'DMIC DMS Commissioning-master'!$B$6:$B$65,0)))),"")</f>
        <v/>
      </c>
      <c r="G57" s="27">
        <f>IFERROR(IF($B57="","",INDEX('DMIC DMS Commissioning-master'!$U$6:$U$65,MATCH($B57,'DMIC DMS Commissioning-master'!$B$6:$B$65,0))),"")</f>
        <v/>
      </c>
      <c r="H57" s="28">
        <f>IFERROR(IF($B57="","",IF(INDEX('Commissioning Readiness'!$N$6:$N$65,MATCH($B57,'Commissioning Readiness'!$B$6:$B$65,0))=0,"",INDEX('Commissioning Readiness'!$N$6:$N$65,MATCH($B57,'Commissioning Readiness'!$B$6:$B$65,0)))),"")</f>
        <v/>
      </c>
      <c r="I57" s="26">
        <f>IF(OR($B57="",$H57=""),"",$H57-TODAY())</f>
        <v/>
      </c>
      <c r="J57" s="26">
        <f>IFERROR(IF($B57="","",'DMIC List - master'!P49),"")</f>
        <v/>
      </c>
      <c r="K57" s="26">
        <f>IFERROR(IF($B57="","",'DMIC List - master'!Q49),"")</f>
        <v/>
      </c>
      <c r="L57" s="26">
        <f>IFERROR(IF($B57="","",'DMIC List - master'!U49),"")</f>
        <v/>
      </c>
      <c r="M57" s="26">
        <f>IF($B57="","",IF(OR($G57&lt;&gt;""),IF(OR($G57&gt;=0.6,AND($I57&lt;&gt;"",$I57&lt;0)),"Critical",IF(OR($G57&gt;=0.3,AND($I57&lt;&gt;"",$I57&gt;=0,$I57&lt;=60)),"Watch","On track")),"No data"))</f>
        <v/>
      </c>
    </row>
    <row r="58">
      <c r="B58" s="23">
        <f>IFERROR(IF('DMIC List - master'!B50="","",'DMIC List - master'!B50),"")</f>
        <v/>
      </c>
      <c r="C58" s="23">
        <f>IFERROR(IF($B58="","",'DMIC List - master'!C50),"")</f>
        <v/>
      </c>
      <c r="D58" s="23">
        <f>IFERROR(IF($B58="","",'DMIC List - master'!D50),"")</f>
        <v/>
      </c>
      <c r="E58" s="23">
        <f>IFERROR(IF($B58="","",'DMIC List - master'!E50),"")</f>
        <v/>
      </c>
      <c r="F58" s="23">
        <f>IFERROR(IF($B58="","",IF(INDEX('DMIC DMS Commissioning-master'!$O$6:$O$65,MATCH($B58,'DMIC DMS Commissioning-master'!$B$6:$B$65,0))=0,"",INDEX('DMIC DMS Commissioning-master'!$O$6:$O$65,MATCH($B58,'DMIC DMS Commissioning-master'!$B$6:$B$65,0)))),"")</f>
        <v/>
      </c>
      <c r="G58" s="24">
        <f>IFERROR(IF($B58="","",INDEX('DMIC DMS Commissioning-master'!$U$6:$U$65,MATCH($B58,'DMIC DMS Commissioning-master'!$B$6:$B$65,0))),"")</f>
        <v/>
      </c>
      <c r="H58" s="25">
        <f>IFERROR(IF($B58="","",IF(INDEX('Commissioning Readiness'!$N$6:$N$65,MATCH($B58,'Commissioning Readiness'!$B$6:$B$65,0))=0,"",INDEX('Commissioning Readiness'!$N$6:$N$65,MATCH($B58,'Commissioning Readiness'!$B$6:$B$65,0)))),"")</f>
        <v/>
      </c>
      <c r="I58" s="23">
        <f>IF(OR($B58="",$H58=""),"",$H58-TODAY())</f>
        <v/>
      </c>
      <c r="J58" s="23">
        <f>IFERROR(IF($B58="","",'DMIC List - master'!P50),"")</f>
        <v/>
      </c>
      <c r="K58" s="23">
        <f>IFERROR(IF($B58="","",'DMIC List - master'!Q50),"")</f>
        <v/>
      </c>
      <c r="L58" s="23">
        <f>IFERROR(IF($B58="","",'DMIC List - master'!U50),"")</f>
        <v/>
      </c>
      <c r="M58" s="23">
        <f>IF($B58="","",IF(OR($G58&lt;&gt;""),IF(OR($G58&gt;=0.6,AND($I58&lt;&gt;"",$I58&lt;0)),"Critical",IF(OR($G58&gt;=0.3,AND($I58&lt;&gt;"",$I58&gt;=0,$I58&lt;=60)),"Watch","On track")),"No data"))</f>
        <v/>
      </c>
    </row>
    <row r="59">
      <c r="B59" s="26">
        <f>IFERROR(IF('DMIC List - master'!B51="","",'DMIC List - master'!B51),"")</f>
        <v/>
      </c>
      <c r="C59" s="26">
        <f>IFERROR(IF($B59="","",'DMIC List - master'!C51),"")</f>
        <v/>
      </c>
      <c r="D59" s="26">
        <f>IFERROR(IF($B59="","",'DMIC List - master'!D51),"")</f>
        <v/>
      </c>
      <c r="E59" s="26">
        <f>IFERROR(IF($B59="","",'DMIC List - master'!E51),"")</f>
        <v/>
      </c>
      <c r="F59" s="26">
        <f>IFERROR(IF($B59="","",IF(INDEX('DMIC DMS Commissioning-master'!$O$6:$O$65,MATCH($B59,'DMIC DMS Commissioning-master'!$B$6:$B$65,0))=0,"",INDEX('DMIC DMS Commissioning-master'!$O$6:$O$65,MATCH($B59,'DMIC DMS Commissioning-master'!$B$6:$B$65,0)))),"")</f>
        <v/>
      </c>
      <c r="G59" s="27">
        <f>IFERROR(IF($B59="","",INDEX('DMIC DMS Commissioning-master'!$U$6:$U$65,MATCH($B59,'DMIC DMS Commissioning-master'!$B$6:$B$65,0))),"")</f>
        <v/>
      </c>
      <c r="H59" s="28">
        <f>IFERROR(IF($B59="","",IF(INDEX('Commissioning Readiness'!$N$6:$N$65,MATCH($B59,'Commissioning Readiness'!$B$6:$B$65,0))=0,"",INDEX('Commissioning Readiness'!$N$6:$N$65,MATCH($B59,'Commissioning Readiness'!$B$6:$B$65,0)))),"")</f>
        <v/>
      </c>
      <c r="I59" s="26">
        <f>IF(OR($B59="",$H59=""),"",$H59-TODAY())</f>
        <v/>
      </c>
      <c r="J59" s="26">
        <f>IFERROR(IF($B59="","",'DMIC List - master'!P51),"")</f>
        <v/>
      </c>
      <c r="K59" s="26">
        <f>IFERROR(IF($B59="","",'DMIC List - master'!Q51),"")</f>
        <v/>
      </c>
      <c r="L59" s="26">
        <f>IFERROR(IF($B59="","",'DMIC List - master'!U51),"")</f>
        <v/>
      </c>
      <c r="M59" s="26">
        <f>IF($B59="","",IF(OR($G59&lt;&gt;""),IF(OR($G59&gt;=0.6,AND($I59&lt;&gt;"",$I59&lt;0)),"Critical",IF(OR($G59&gt;=0.3,AND($I59&lt;&gt;"",$I59&gt;=0,$I59&lt;=60)),"Watch","On track")),"No data"))</f>
        <v/>
      </c>
    </row>
    <row r="60">
      <c r="B60" s="23">
        <f>IFERROR(IF('DMIC List - master'!B52="","",'DMIC List - master'!B52),"")</f>
        <v/>
      </c>
      <c r="C60" s="23">
        <f>IFERROR(IF($B60="","",'DMIC List - master'!C52),"")</f>
        <v/>
      </c>
      <c r="D60" s="23">
        <f>IFERROR(IF($B60="","",'DMIC List - master'!D52),"")</f>
        <v/>
      </c>
      <c r="E60" s="23">
        <f>IFERROR(IF($B60="","",'DMIC List - master'!E52),"")</f>
        <v/>
      </c>
      <c r="F60" s="23">
        <f>IFERROR(IF($B60="","",IF(INDEX('DMIC DMS Commissioning-master'!$O$6:$O$65,MATCH($B60,'DMIC DMS Commissioning-master'!$B$6:$B$65,0))=0,"",INDEX('DMIC DMS Commissioning-master'!$O$6:$O$65,MATCH($B60,'DMIC DMS Commissioning-master'!$B$6:$B$65,0)))),"")</f>
        <v/>
      </c>
      <c r="G60" s="24">
        <f>IFERROR(IF($B60="","",INDEX('DMIC DMS Commissioning-master'!$U$6:$U$65,MATCH($B60,'DMIC DMS Commissioning-master'!$B$6:$B$65,0))),"")</f>
        <v/>
      </c>
      <c r="H60" s="25">
        <f>IFERROR(IF($B60="","",IF(INDEX('Commissioning Readiness'!$N$6:$N$65,MATCH($B60,'Commissioning Readiness'!$B$6:$B$65,0))=0,"",INDEX('Commissioning Readiness'!$N$6:$N$65,MATCH($B60,'Commissioning Readiness'!$B$6:$B$65,0)))),"")</f>
        <v/>
      </c>
      <c r="I60" s="23">
        <f>IF(OR($B60="",$H60=""),"",$H60-TODAY())</f>
        <v/>
      </c>
      <c r="J60" s="23">
        <f>IFERROR(IF($B60="","",'DMIC List - master'!P52),"")</f>
        <v/>
      </c>
      <c r="K60" s="23">
        <f>IFERROR(IF($B60="","",'DMIC List - master'!Q52),"")</f>
        <v/>
      </c>
      <c r="L60" s="23">
        <f>IFERROR(IF($B60="","",'DMIC List - master'!U52),"")</f>
        <v/>
      </c>
      <c r="M60" s="23">
        <f>IF($B60="","",IF(OR($G60&lt;&gt;""),IF(OR($G60&gt;=0.6,AND($I60&lt;&gt;"",$I60&lt;0)),"Critical",IF(OR($G60&gt;=0.3,AND($I60&lt;&gt;"",$I60&gt;=0,$I60&lt;=60)),"Watch","On track")),"No data"))</f>
        <v/>
      </c>
    </row>
    <row r="61">
      <c r="B61" s="26">
        <f>IFERROR(IF('DMIC List - master'!B53="","",'DMIC List - master'!B53),"")</f>
        <v/>
      </c>
      <c r="C61" s="26">
        <f>IFERROR(IF($B61="","",'DMIC List - master'!C53),"")</f>
        <v/>
      </c>
      <c r="D61" s="26">
        <f>IFERROR(IF($B61="","",'DMIC List - master'!D53),"")</f>
        <v/>
      </c>
      <c r="E61" s="26">
        <f>IFERROR(IF($B61="","",'DMIC List - master'!E53),"")</f>
        <v/>
      </c>
      <c r="F61" s="26">
        <f>IFERROR(IF($B61="","",IF(INDEX('DMIC DMS Commissioning-master'!$O$6:$O$65,MATCH($B61,'DMIC DMS Commissioning-master'!$B$6:$B$65,0))=0,"",INDEX('DMIC DMS Commissioning-master'!$O$6:$O$65,MATCH($B61,'DMIC DMS Commissioning-master'!$B$6:$B$65,0)))),"")</f>
        <v/>
      </c>
      <c r="G61" s="27">
        <f>IFERROR(IF($B61="","",INDEX('DMIC DMS Commissioning-master'!$U$6:$U$65,MATCH($B61,'DMIC DMS Commissioning-master'!$B$6:$B$65,0))),"")</f>
        <v/>
      </c>
      <c r="H61" s="28">
        <f>IFERROR(IF($B61="","",IF(INDEX('Commissioning Readiness'!$N$6:$N$65,MATCH($B61,'Commissioning Readiness'!$B$6:$B$65,0))=0,"",INDEX('Commissioning Readiness'!$N$6:$N$65,MATCH($B61,'Commissioning Readiness'!$B$6:$B$65,0)))),"")</f>
        <v/>
      </c>
      <c r="I61" s="26">
        <f>IF(OR($B61="",$H61=""),"",$H61-TODAY())</f>
        <v/>
      </c>
      <c r="J61" s="26">
        <f>IFERROR(IF($B61="","",'DMIC List - master'!P53),"")</f>
        <v/>
      </c>
      <c r="K61" s="26">
        <f>IFERROR(IF($B61="","",'DMIC List - master'!Q53),"")</f>
        <v/>
      </c>
      <c r="L61" s="26">
        <f>IFERROR(IF($B61="","",'DMIC List - master'!U53),"")</f>
        <v/>
      </c>
      <c r="M61" s="26">
        <f>IF($B61="","",IF(OR($G61&lt;&gt;""),IF(OR($G61&gt;=0.6,AND($I61&lt;&gt;"",$I61&lt;0)),"Critical",IF(OR($G61&gt;=0.3,AND($I61&lt;&gt;"",$I61&gt;=0,$I61&lt;=60)),"Watch","On track")),"No data"))</f>
        <v/>
      </c>
    </row>
    <row r="62">
      <c r="B62" s="23">
        <f>IFERROR(IF('DMIC List - master'!B54="","",'DMIC List - master'!B54),"")</f>
        <v/>
      </c>
      <c r="C62" s="23">
        <f>IFERROR(IF($B62="","",'DMIC List - master'!C54),"")</f>
        <v/>
      </c>
      <c r="D62" s="23">
        <f>IFERROR(IF($B62="","",'DMIC List - master'!D54),"")</f>
        <v/>
      </c>
      <c r="E62" s="23">
        <f>IFERROR(IF($B62="","",'DMIC List - master'!E54),"")</f>
        <v/>
      </c>
      <c r="F62" s="23">
        <f>IFERROR(IF($B62="","",IF(INDEX('DMIC DMS Commissioning-master'!$O$6:$O$65,MATCH($B62,'DMIC DMS Commissioning-master'!$B$6:$B$65,0))=0,"",INDEX('DMIC DMS Commissioning-master'!$O$6:$O$65,MATCH($B62,'DMIC DMS Commissioning-master'!$B$6:$B$65,0)))),"")</f>
        <v/>
      </c>
      <c r="G62" s="24">
        <f>IFERROR(IF($B62="","",INDEX('DMIC DMS Commissioning-master'!$U$6:$U$65,MATCH($B62,'DMIC DMS Commissioning-master'!$B$6:$B$65,0))),"")</f>
        <v/>
      </c>
      <c r="H62" s="25">
        <f>IFERROR(IF($B62="","",IF(INDEX('Commissioning Readiness'!$N$6:$N$65,MATCH($B62,'Commissioning Readiness'!$B$6:$B$65,0))=0,"",INDEX('Commissioning Readiness'!$N$6:$N$65,MATCH($B62,'Commissioning Readiness'!$B$6:$B$65,0)))),"")</f>
        <v/>
      </c>
      <c r="I62" s="23">
        <f>IF(OR($B62="",$H62=""),"",$H62-TODAY())</f>
        <v/>
      </c>
      <c r="J62" s="23">
        <f>IFERROR(IF($B62="","",'DMIC List - master'!P54),"")</f>
        <v/>
      </c>
      <c r="K62" s="23">
        <f>IFERROR(IF($B62="","",'DMIC List - master'!Q54),"")</f>
        <v/>
      </c>
      <c r="L62" s="23">
        <f>IFERROR(IF($B62="","",'DMIC List - master'!U54),"")</f>
        <v/>
      </c>
      <c r="M62" s="23">
        <f>IF($B62="","",IF(OR($G62&lt;&gt;""),IF(OR($G62&gt;=0.6,AND($I62&lt;&gt;"",$I62&lt;0)),"Critical",IF(OR($G62&gt;=0.3,AND($I62&lt;&gt;"",$I62&gt;=0,$I62&lt;=60)),"Watch","On track")),"No data"))</f>
        <v/>
      </c>
    </row>
    <row r="63">
      <c r="B63" s="26">
        <f>IFERROR(IF('DMIC List - master'!B55="","",'DMIC List - master'!B55),"")</f>
        <v/>
      </c>
      <c r="C63" s="26">
        <f>IFERROR(IF($B63="","",'DMIC List - master'!C55),"")</f>
        <v/>
      </c>
      <c r="D63" s="26">
        <f>IFERROR(IF($B63="","",'DMIC List - master'!D55),"")</f>
        <v/>
      </c>
      <c r="E63" s="26">
        <f>IFERROR(IF($B63="","",'DMIC List - master'!E55),"")</f>
        <v/>
      </c>
      <c r="F63" s="26">
        <f>IFERROR(IF($B63="","",IF(INDEX('DMIC DMS Commissioning-master'!$O$6:$O$65,MATCH($B63,'DMIC DMS Commissioning-master'!$B$6:$B$65,0))=0,"",INDEX('DMIC DMS Commissioning-master'!$O$6:$O$65,MATCH($B63,'DMIC DMS Commissioning-master'!$B$6:$B$65,0)))),"")</f>
        <v/>
      </c>
      <c r="G63" s="27">
        <f>IFERROR(IF($B63="","",INDEX('DMIC DMS Commissioning-master'!$U$6:$U$65,MATCH($B63,'DMIC DMS Commissioning-master'!$B$6:$B$65,0))),"")</f>
        <v/>
      </c>
      <c r="H63" s="28">
        <f>IFERROR(IF($B63="","",IF(INDEX('Commissioning Readiness'!$N$6:$N$65,MATCH($B63,'Commissioning Readiness'!$B$6:$B$65,0))=0,"",INDEX('Commissioning Readiness'!$N$6:$N$65,MATCH($B63,'Commissioning Readiness'!$B$6:$B$65,0)))),"")</f>
        <v/>
      </c>
      <c r="I63" s="26">
        <f>IF(OR($B63="",$H63=""),"",$H63-TODAY())</f>
        <v/>
      </c>
      <c r="J63" s="26">
        <f>IFERROR(IF($B63="","",'DMIC List - master'!P55),"")</f>
        <v/>
      </c>
      <c r="K63" s="26">
        <f>IFERROR(IF($B63="","",'DMIC List - master'!Q55),"")</f>
        <v/>
      </c>
      <c r="L63" s="26">
        <f>IFERROR(IF($B63="","",'DMIC List - master'!U55),"")</f>
        <v/>
      </c>
      <c r="M63" s="26">
        <f>IF($B63="","",IF(OR($G63&lt;&gt;""),IF(OR($G63&gt;=0.6,AND($I63&lt;&gt;"",$I63&lt;0)),"Critical",IF(OR($G63&gt;=0.3,AND($I63&lt;&gt;"",$I63&gt;=0,$I63&lt;=60)),"Watch","On track")),"No data"))</f>
        <v/>
      </c>
    </row>
    <row r="64">
      <c r="B64" s="23">
        <f>IFERROR(IF('DMIC List - master'!B56="","",'DMIC List - master'!B56),"")</f>
        <v/>
      </c>
      <c r="C64" s="23">
        <f>IFERROR(IF($B64="","",'DMIC List - master'!C56),"")</f>
        <v/>
      </c>
      <c r="D64" s="23">
        <f>IFERROR(IF($B64="","",'DMIC List - master'!D56),"")</f>
        <v/>
      </c>
      <c r="E64" s="23">
        <f>IFERROR(IF($B64="","",'DMIC List - master'!E56),"")</f>
        <v/>
      </c>
      <c r="F64" s="23">
        <f>IFERROR(IF($B64="","",IF(INDEX('DMIC DMS Commissioning-master'!$O$6:$O$65,MATCH($B64,'DMIC DMS Commissioning-master'!$B$6:$B$65,0))=0,"",INDEX('DMIC DMS Commissioning-master'!$O$6:$O$65,MATCH($B64,'DMIC DMS Commissioning-master'!$B$6:$B$65,0)))),"")</f>
        <v/>
      </c>
      <c r="G64" s="24">
        <f>IFERROR(IF($B64="","",INDEX('DMIC DMS Commissioning-master'!$U$6:$U$65,MATCH($B64,'DMIC DMS Commissioning-master'!$B$6:$B$65,0))),"")</f>
        <v/>
      </c>
      <c r="H64" s="25">
        <f>IFERROR(IF($B64="","",IF(INDEX('Commissioning Readiness'!$N$6:$N$65,MATCH($B64,'Commissioning Readiness'!$B$6:$B$65,0))=0,"",INDEX('Commissioning Readiness'!$N$6:$N$65,MATCH($B64,'Commissioning Readiness'!$B$6:$B$65,0)))),"")</f>
        <v/>
      </c>
      <c r="I64" s="23">
        <f>IF(OR($B64="",$H64=""),"",$H64-TODAY())</f>
        <v/>
      </c>
      <c r="J64" s="23">
        <f>IFERROR(IF($B64="","",'DMIC List - master'!P56),"")</f>
        <v/>
      </c>
      <c r="K64" s="23">
        <f>IFERROR(IF($B64="","",'DMIC List - master'!Q56),"")</f>
        <v/>
      </c>
      <c r="L64" s="23">
        <f>IFERROR(IF($B64="","",'DMIC List - master'!U56),"")</f>
        <v/>
      </c>
      <c r="M64" s="23">
        <f>IF($B64="","",IF(OR($G64&lt;&gt;""),IF(OR($G64&gt;=0.6,AND($I64&lt;&gt;"",$I64&lt;0)),"Critical",IF(OR($G64&gt;=0.3,AND($I64&lt;&gt;"",$I64&gt;=0,$I64&lt;=60)),"Watch","On track")),"No data"))</f>
        <v/>
      </c>
    </row>
    <row r="65">
      <c r="B65" s="26">
        <f>IFERROR(IF('DMIC List - master'!B57="","",'DMIC List - master'!B57),"")</f>
        <v/>
      </c>
      <c r="C65" s="26">
        <f>IFERROR(IF($B65="","",'DMIC List - master'!C57),"")</f>
        <v/>
      </c>
      <c r="D65" s="26">
        <f>IFERROR(IF($B65="","",'DMIC List - master'!D57),"")</f>
        <v/>
      </c>
      <c r="E65" s="26">
        <f>IFERROR(IF($B65="","",'DMIC List - master'!E57),"")</f>
        <v/>
      </c>
      <c r="F65" s="26">
        <f>IFERROR(IF($B65="","",IF(INDEX('DMIC DMS Commissioning-master'!$O$6:$O$65,MATCH($B65,'DMIC DMS Commissioning-master'!$B$6:$B$65,0))=0,"",INDEX('DMIC DMS Commissioning-master'!$O$6:$O$65,MATCH($B65,'DMIC DMS Commissioning-master'!$B$6:$B$65,0)))),"")</f>
        <v/>
      </c>
      <c r="G65" s="27">
        <f>IFERROR(IF($B65="","",INDEX('DMIC DMS Commissioning-master'!$U$6:$U$65,MATCH($B65,'DMIC DMS Commissioning-master'!$B$6:$B$65,0))),"")</f>
        <v/>
      </c>
      <c r="H65" s="28">
        <f>IFERROR(IF($B65="","",IF(INDEX('Commissioning Readiness'!$N$6:$N$65,MATCH($B65,'Commissioning Readiness'!$B$6:$B$65,0))=0,"",INDEX('Commissioning Readiness'!$N$6:$N$65,MATCH($B65,'Commissioning Readiness'!$B$6:$B$65,0)))),"")</f>
        <v/>
      </c>
      <c r="I65" s="26">
        <f>IF(OR($B65="",$H65=""),"",$H65-TODAY())</f>
        <v/>
      </c>
      <c r="J65" s="26">
        <f>IFERROR(IF($B65="","",'DMIC List - master'!P57),"")</f>
        <v/>
      </c>
      <c r="K65" s="26">
        <f>IFERROR(IF($B65="","",'DMIC List - master'!Q57),"")</f>
        <v/>
      </c>
      <c r="L65" s="26">
        <f>IFERROR(IF($B65="","",'DMIC List - master'!U57),"")</f>
        <v/>
      </c>
      <c r="M65" s="26">
        <f>IF($B65="","",IF(OR($G65&lt;&gt;""),IF(OR($G65&gt;=0.6,AND($I65&lt;&gt;"",$I65&lt;0)),"Critical",IF(OR($G65&gt;=0.3,AND($I65&lt;&gt;"",$I65&gt;=0,$I65&lt;=60)),"Watch","On track")),"No data"))</f>
        <v/>
      </c>
    </row>
    <row r="66">
      <c r="B66" s="23">
        <f>IFERROR(IF('DMIC List - master'!B58="","",'DMIC List - master'!B58),"")</f>
        <v/>
      </c>
      <c r="C66" s="23">
        <f>IFERROR(IF($B66="","",'DMIC List - master'!C58),"")</f>
        <v/>
      </c>
      <c r="D66" s="23">
        <f>IFERROR(IF($B66="","",'DMIC List - master'!D58),"")</f>
        <v/>
      </c>
      <c r="E66" s="23">
        <f>IFERROR(IF($B66="","",'DMIC List - master'!E58),"")</f>
        <v/>
      </c>
      <c r="F66" s="23">
        <f>IFERROR(IF($B66="","",IF(INDEX('DMIC DMS Commissioning-master'!$O$6:$O$65,MATCH($B66,'DMIC DMS Commissioning-master'!$B$6:$B$65,0))=0,"",INDEX('DMIC DMS Commissioning-master'!$O$6:$O$65,MATCH($B66,'DMIC DMS Commissioning-master'!$B$6:$B$65,0)))),"")</f>
        <v/>
      </c>
      <c r="G66" s="24">
        <f>IFERROR(IF($B66="","",INDEX('DMIC DMS Commissioning-master'!$U$6:$U$65,MATCH($B66,'DMIC DMS Commissioning-master'!$B$6:$B$65,0))),"")</f>
        <v/>
      </c>
      <c r="H66" s="25">
        <f>IFERROR(IF($B66="","",IF(INDEX('Commissioning Readiness'!$N$6:$N$65,MATCH($B66,'Commissioning Readiness'!$B$6:$B$65,0))=0,"",INDEX('Commissioning Readiness'!$N$6:$N$65,MATCH($B66,'Commissioning Readiness'!$B$6:$B$65,0)))),"")</f>
        <v/>
      </c>
      <c r="I66" s="23">
        <f>IF(OR($B66="",$H66=""),"",$H66-TODAY())</f>
        <v/>
      </c>
      <c r="J66" s="23">
        <f>IFERROR(IF($B66="","",'DMIC List - master'!P58),"")</f>
        <v/>
      </c>
      <c r="K66" s="23">
        <f>IFERROR(IF($B66="","",'DMIC List - master'!Q58),"")</f>
        <v/>
      </c>
      <c r="L66" s="23">
        <f>IFERROR(IF($B66="","",'DMIC List - master'!U58),"")</f>
        <v/>
      </c>
      <c r="M66" s="23">
        <f>IF($B66="","",IF(OR($G66&lt;&gt;""),IF(OR($G66&gt;=0.6,AND($I66&lt;&gt;"",$I66&lt;0)),"Critical",IF(OR($G66&gt;=0.3,AND($I66&lt;&gt;"",$I66&gt;=0,$I66&lt;=60)),"Watch","On track")),"No data"))</f>
        <v/>
      </c>
    </row>
    <row r="67">
      <c r="B67" s="26">
        <f>IFERROR(IF('DMIC List - master'!B59="","",'DMIC List - master'!B59),"")</f>
        <v/>
      </c>
      <c r="C67" s="26">
        <f>IFERROR(IF($B67="","",'DMIC List - master'!C59),"")</f>
        <v/>
      </c>
      <c r="D67" s="26">
        <f>IFERROR(IF($B67="","",'DMIC List - master'!D59),"")</f>
        <v/>
      </c>
      <c r="E67" s="26">
        <f>IFERROR(IF($B67="","",'DMIC List - master'!E59),"")</f>
        <v/>
      </c>
      <c r="F67" s="26">
        <f>IFERROR(IF($B67="","",IF(INDEX('DMIC DMS Commissioning-master'!$O$6:$O$65,MATCH($B67,'DMIC DMS Commissioning-master'!$B$6:$B$65,0))=0,"",INDEX('DMIC DMS Commissioning-master'!$O$6:$O$65,MATCH($B67,'DMIC DMS Commissioning-master'!$B$6:$B$65,0)))),"")</f>
        <v/>
      </c>
      <c r="G67" s="27">
        <f>IFERROR(IF($B67="","",INDEX('DMIC DMS Commissioning-master'!$U$6:$U$65,MATCH($B67,'DMIC DMS Commissioning-master'!$B$6:$B$65,0))),"")</f>
        <v/>
      </c>
      <c r="H67" s="28">
        <f>IFERROR(IF($B67="","",IF(INDEX('Commissioning Readiness'!$N$6:$N$65,MATCH($B67,'Commissioning Readiness'!$B$6:$B$65,0))=0,"",INDEX('Commissioning Readiness'!$N$6:$N$65,MATCH($B67,'Commissioning Readiness'!$B$6:$B$65,0)))),"")</f>
        <v/>
      </c>
      <c r="I67" s="26">
        <f>IF(OR($B67="",$H67=""),"",$H67-TODAY())</f>
        <v/>
      </c>
      <c r="J67" s="26">
        <f>IFERROR(IF($B67="","",'DMIC List - master'!P59),"")</f>
        <v/>
      </c>
      <c r="K67" s="26">
        <f>IFERROR(IF($B67="","",'DMIC List - master'!Q59),"")</f>
        <v/>
      </c>
      <c r="L67" s="26">
        <f>IFERROR(IF($B67="","",'DMIC List - master'!U59),"")</f>
        <v/>
      </c>
      <c r="M67" s="26">
        <f>IF($B67="","",IF(OR($G67&lt;&gt;""),IF(OR($G67&gt;=0.6,AND($I67&lt;&gt;"",$I67&lt;0)),"Critical",IF(OR($G67&gt;=0.3,AND($I67&lt;&gt;"",$I67&gt;=0,$I67&lt;=60)),"Watch","On track")),"No data"))</f>
        <v/>
      </c>
    </row>
    <row r="68">
      <c r="B68" s="23">
        <f>IFERROR(IF('DMIC List - master'!B60="","",'DMIC List - master'!B60),"")</f>
        <v/>
      </c>
      <c r="C68" s="23">
        <f>IFERROR(IF($B68="","",'DMIC List - master'!C60),"")</f>
        <v/>
      </c>
      <c r="D68" s="23">
        <f>IFERROR(IF($B68="","",'DMIC List - master'!D60),"")</f>
        <v/>
      </c>
      <c r="E68" s="23">
        <f>IFERROR(IF($B68="","",'DMIC List - master'!E60),"")</f>
        <v/>
      </c>
      <c r="F68" s="23">
        <f>IFERROR(IF($B68="","",IF(INDEX('DMIC DMS Commissioning-master'!$O$6:$O$65,MATCH($B68,'DMIC DMS Commissioning-master'!$B$6:$B$65,0))=0,"",INDEX('DMIC DMS Commissioning-master'!$O$6:$O$65,MATCH($B68,'DMIC DMS Commissioning-master'!$B$6:$B$65,0)))),"")</f>
        <v/>
      </c>
      <c r="G68" s="24">
        <f>IFERROR(IF($B68="","",INDEX('DMIC DMS Commissioning-master'!$U$6:$U$65,MATCH($B68,'DMIC DMS Commissioning-master'!$B$6:$B$65,0))),"")</f>
        <v/>
      </c>
      <c r="H68" s="25">
        <f>IFERROR(IF($B68="","",IF(INDEX('Commissioning Readiness'!$N$6:$N$65,MATCH($B68,'Commissioning Readiness'!$B$6:$B$65,0))=0,"",INDEX('Commissioning Readiness'!$N$6:$N$65,MATCH($B68,'Commissioning Readiness'!$B$6:$B$65,0)))),"")</f>
        <v/>
      </c>
      <c r="I68" s="23">
        <f>IF(OR($B68="",$H68=""),"",$H68-TODAY())</f>
        <v/>
      </c>
      <c r="J68" s="23">
        <f>IFERROR(IF($B68="","",'DMIC List - master'!P60),"")</f>
        <v/>
      </c>
      <c r="K68" s="23">
        <f>IFERROR(IF($B68="","",'DMIC List - master'!Q60),"")</f>
        <v/>
      </c>
      <c r="L68" s="23">
        <f>IFERROR(IF($B68="","",'DMIC List - master'!U60),"")</f>
        <v/>
      </c>
      <c r="M68" s="23">
        <f>IF($B68="","",IF(OR($G68&lt;&gt;""),IF(OR($G68&gt;=0.6,AND($I68&lt;&gt;"",$I68&lt;0)),"Critical",IF(OR($G68&gt;=0.3,AND($I68&lt;&gt;"",$I68&gt;=0,$I68&lt;=60)),"Watch","On track")),"No data"))</f>
        <v/>
      </c>
    </row>
    <row r="69">
      <c r="B69" s="26">
        <f>IFERROR(IF('DMIC List - master'!B61="","",'DMIC List - master'!B61),"")</f>
        <v/>
      </c>
      <c r="C69" s="26">
        <f>IFERROR(IF($B69="","",'DMIC List - master'!C61),"")</f>
        <v/>
      </c>
      <c r="D69" s="26">
        <f>IFERROR(IF($B69="","",'DMIC List - master'!D61),"")</f>
        <v/>
      </c>
      <c r="E69" s="26">
        <f>IFERROR(IF($B69="","",'DMIC List - master'!E61),"")</f>
        <v/>
      </c>
      <c r="F69" s="26">
        <f>IFERROR(IF($B69="","",IF(INDEX('DMIC DMS Commissioning-master'!$O$6:$O$65,MATCH($B69,'DMIC DMS Commissioning-master'!$B$6:$B$65,0))=0,"",INDEX('DMIC DMS Commissioning-master'!$O$6:$O$65,MATCH($B69,'DMIC DMS Commissioning-master'!$B$6:$B$65,0)))),"")</f>
        <v/>
      </c>
      <c r="G69" s="27">
        <f>IFERROR(IF($B69="","",INDEX('DMIC DMS Commissioning-master'!$U$6:$U$65,MATCH($B69,'DMIC DMS Commissioning-master'!$B$6:$B$65,0))),"")</f>
        <v/>
      </c>
      <c r="H69" s="28">
        <f>IFERROR(IF($B69="","",IF(INDEX('Commissioning Readiness'!$N$6:$N$65,MATCH($B69,'Commissioning Readiness'!$B$6:$B$65,0))=0,"",INDEX('Commissioning Readiness'!$N$6:$N$65,MATCH($B69,'Commissioning Readiness'!$B$6:$B$65,0)))),"")</f>
        <v/>
      </c>
      <c r="I69" s="26">
        <f>IF(OR($B69="",$H69=""),"",$H69-TODAY())</f>
        <v/>
      </c>
      <c r="J69" s="26">
        <f>IFERROR(IF($B69="","",'DMIC List - master'!P61),"")</f>
        <v/>
      </c>
      <c r="K69" s="26">
        <f>IFERROR(IF($B69="","",'DMIC List - master'!Q61),"")</f>
        <v/>
      </c>
      <c r="L69" s="26">
        <f>IFERROR(IF($B69="","",'DMIC List - master'!U61),"")</f>
        <v/>
      </c>
      <c r="M69" s="26">
        <f>IF($B69="","",IF(OR($G69&lt;&gt;""),IF(OR($G69&gt;=0.6,AND($I69&lt;&gt;"",$I69&lt;0)),"Critical",IF(OR($G69&gt;=0.3,AND($I69&lt;&gt;"",$I69&gt;=0,$I69&lt;=60)),"Watch","On track")),"No data"))</f>
        <v/>
      </c>
    </row>
    <row r="70">
      <c r="B70" s="23">
        <f>IFERROR(IF('DMIC List - master'!B62="","",'DMIC List - master'!B62),"")</f>
        <v/>
      </c>
      <c r="C70" s="23">
        <f>IFERROR(IF($B70="","",'DMIC List - master'!C62),"")</f>
        <v/>
      </c>
      <c r="D70" s="23">
        <f>IFERROR(IF($B70="","",'DMIC List - master'!D62),"")</f>
        <v/>
      </c>
      <c r="E70" s="23">
        <f>IFERROR(IF($B70="","",'DMIC List - master'!E62),"")</f>
        <v/>
      </c>
      <c r="F70" s="23">
        <f>IFERROR(IF($B70="","",IF(INDEX('DMIC DMS Commissioning-master'!$O$6:$O$65,MATCH($B70,'DMIC DMS Commissioning-master'!$B$6:$B$65,0))=0,"",INDEX('DMIC DMS Commissioning-master'!$O$6:$O$65,MATCH($B70,'DMIC DMS Commissioning-master'!$B$6:$B$65,0)))),"")</f>
        <v/>
      </c>
      <c r="G70" s="24">
        <f>IFERROR(IF($B70="","",INDEX('DMIC DMS Commissioning-master'!$U$6:$U$65,MATCH($B70,'DMIC DMS Commissioning-master'!$B$6:$B$65,0))),"")</f>
        <v/>
      </c>
      <c r="H70" s="25">
        <f>IFERROR(IF($B70="","",IF(INDEX('Commissioning Readiness'!$N$6:$N$65,MATCH($B70,'Commissioning Readiness'!$B$6:$B$65,0))=0,"",INDEX('Commissioning Readiness'!$N$6:$N$65,MATCH($B70,'Commissioning Readiness'!$B$6:$B$65,0)))),"")</f>
        <v/>
      </c>
      <c r="I70" s="23">
        <f>IF(OR($B70="",$H70=""),"",$H70-TODAY())</f>
        <v/>
      </c>
      <c r="J70" s="23">
        <f>IFERROR(IF($B70="","",'DMIC List - master'!P62),"")</f>
        <v/>
      </c>
      <c r="K70" s="23">
        <f>IFERROR(IF($B70="","",'DMIC List - master'!Q62),"")</f>
        <v/>
      </c>
      <c r="L70" s="23">
        <f>IFERROR(IF($B70="","",'DMIC List - master'!U62),"")</f>
        <v/>
      </c>
      <c r="M70" s="23">
        <f>IF($B70="","",IF(OR($G70&lt;&gt;""),IF(OR($G70&gt;=0.6,AND($I70&lt;&gt;"",$I70&lt;0)),"Critical",IF(OR($G70&gt;=0.3,AND($I70&lt;&gt;"",$I70&gt;=0,$I70&lt;=60)),"Watch","On track")),"No data"))</f>
        <v/>
      </c>
    </row>
    <row r="71">
      <c r="B71" s="26">
        <f>IFERROR(IF('DMIC List - master'!B63="","",'DMIC List - master'!B63),"")</f>
        <v/>
      </c>
      <c r="C71" s="26">
        <f>IFERROR(IF($B71="","",'DMIC List - master'!C63),"")</f>
        <v/>
      </c>
      <c r="D71" s="26">
        <f>IFERROR(IF($B71="","",'DMIC List - master'!D63),"")</f>
        <v/>
      </c>
      <c r="E71" s="26">
        <f>IFERROR(IF($B71="","",'DMIC List - master'!E63),"")</f>
        <v/>
      </c>
      <c r="F71" s="26">
        <f>IFERROR(IF($B71="","",IF(INDEX('DMIC DMS Commissioning-master'!$O$6:$O$65,MATCH($B71,'DMIC DMS Commissioning-master'!$B$6:$B$65,0))=0,"",INDEX('DMIC DMS Commissioning-master'!$O$6:$O$65,MATCH($B71,'DMIC DMS Commissioning-master'!$B$6:$B$65,0)))),"")</f>
        <v/>
      </c>
      <c r="G71" s="27">
        <f>IFERROR(IF($B71="","",INDEX('DMIC DMS Commissioning-master'!$U$6:$U$65,MATCH($B71,'DMIC DMS Commissioning-master'!$B$6:$B$65,0))),"")</f>
        <v/>
      </c>
      <c r="H71" s="28">
        <f>IFERROR(IF($B71="","",IF(INDEX('Commissioning Readiness'!$N$6:$N$65,MATCH($B71,'Commissioning Readiness'!$B$6:$B$65,0))=0,"",INDEX('Commissioning Readiness'!$N$6:$N$65,MATCH($B71,'Commissioning Readiness'!$B$6:$B$65,0)))),"")</f>
        <v/>
      </c>
      <c r="I71" s="26">
        <f>IF(OR($B71="",$H71=""),"",$H71-TODAY())</f>
        <v/>
      </c>
      <c r="J71" s="26">
        <f>IFERROR(IF($B71="","",'DMIC List - master'!P63),"")</f>
        <v/>
      </c>
      <c r="K71" s="26">
        <f>IFERROR(IF($B71="","",'DMIC List - master'!Q63),"")</f>
        <v/>
      </c>
      <c r="L71" s="26">
        <f>IFERROR(IF($B71="","",'DMIC List - master'!U63),"")</f>
        <v/>
      </c>
      <c r="M71" s="26">
        <f>IF($B71="","",IF(OR($G71&lt;&gt;""),IF(OR($G71&gt;=0.6,AND($I71&lt;&gt;"",$I71&lt;0)),"Critical",IF(OR($G71&gt;=0.3,AND($I71&lt;&gt;"",$I71&gt;=0,$I71&lt;=60)),"Watch","On track")),"No data"))</f>
        <v/>
      </c>
    </row>
    <row r="72">
      <c r="B72" s="23">
        <f>IFERROR(IF('DMIC List - master'!B64="","",'DMIC List - master'!B64),"")</f>
        <v/>
      </c>
      <c r="C72" s="23">
        <f>IFERROR(IF($B72="","",'DMIC List - master'!C64),"")</f>
        <v/>
      </c>
      <c r="D72" s="23">
        <f>IFERROR(IF($B72="","",'DMIC List - master'!D64),"")</f>
        <v/>
      </c>
      <c r="E72" s="23">
        <f>IFERROR(IF($B72="","",'DMIC List - master'!E64),"")</f>
        <v/>
      </c>
      <c r="F72" s="23">
        <f>IFERROR(IF($B72="","",IF(INDEX('DMIC DMS Commissioning-master'!$O$6:$O$65,MATCH($B72,'DMIC DMS Commissioning-master'!$B$6:$B$65,0))=0,"",INDEX('DMIC DMS Commissioning-master'!$O$6:$O$65,MATCH($B72,'DMIC DMS Commissioning-master'!$B$6:$B$65,0)))),"")</f>
        <v/>
      </c>
      <c r="G72" s="24">
        <f>IFERROR(IF($B72="","",INDEX('DMIC DMS Commissioning-master'!$U$6:$U$65,MATCH($B72,'DMIC DMS Commissioning-master'!$B$6:$B$65,0))),"")</f>
        <v/>
      </c>
      <c r="H72" s="25">
        <f>IFERROR(IF($B72="","",IF(INDEX('Commissioning Readiness'!$N$6:$N$65,MATCH($B72,'Commissioning Readiness'!$B$6:$B$65,0))=0,"",INDEX('Commissioning Readiness'!$N$6:$N$65,MATCH($B72,'Commissioning Readiness'!$B$6:$B$65,0)))),"")</f>
        <v/>
      </c>
      <c r="I72" s="23">
        <f>IF(OR($B72="",$H72=""),"",$H72-TODAY())</f>
        <v/>
      </c>
      <c r="J72" s="23">
        <f>IFERROR(IF($B72="","",'DMIC List - master'!P64),"")</f>
        <v/>
      </c>
      <c r="K72" s="23">
        <f>IFERROR(IF($B72="","",'DMIC List - master'!Q64),"")</f>
        <v/>
      </c>
      <c r="L72" s="23">
        <f>IFERROR(IF($B72="","",'DMIC List - master'!U64),"")</f>
        <v/>
      </c>
      <c r="M72" s="23">
        <f>IF($B72="","",IF(OR($G72&lt;&gt;""),IF(OR($G72&gt;=0.6,AND($I72&lt;&gt;"",$I72&lt;0)),"Critical",IF(OR($G72&gt;=0.3,AND($I72&lt;&gt;"",$I72&gt;=0,$I72&lt;=60)),"Watch","On track")),"No data"))</f>
        <v/>
      </c>
    </row>
    <row r="73">
      <c r="B73" s="26">
        <f>IFERROR(IF('DMIC List - master'!B65="","",'DMIC List - master'!B65),"")</f>
        <v/>
      </c>
      <c r="C73" s="26">
        <f>IFERROR(IF($B73="","",'DMIC List - master'!C65),"")</f>
        <v/>
      </c>
      <c r="D73" s="26">
        <f>IFERROR(IF($B73="","",'DMIC List - master'!D65),"")</f>
        <v/>
      </c>
      <c r="E73" s="26">
        <f>IFERROR(IF($B73="","",'DMIC List - master'!E65),"")</f>
        <v/>
      </c>
      <c r="F73" s="26">
        <f>IFERROR(IF($B73="","",IF(INDEX('DMIC DMS Commissioning-master'!$O$6:$O$65,MATCH($B73,'DMIC DMS Commissioning-master'!$B$6:$B$65,0))=0,"",INDEX('DMIC DMS Commissioning-master'!$O$6:$O$65,MATCH($B73,'DMIC DMS Commissioning-master'!$B$6:$B$65,0)))),"")</f>
        <v/>
      </c>
      <c r="G73" s="27">
        <f>IFERROR(IF($B73="","",INDEX('DMIC DMS Commissioning-master'!$U$6:$U$65,MATCH($B73,'DMIC DMS Commissioning-master'!$B$6:$B$65,0))),"")</f>
        <v/>
      </c>
      <c r="H73" s="28">
        <f>IFERROR(IF($B73="","",IF(INDEX('Commissioning Readiness'!$N$6:$N$65,MATCH($B73,'Commissioning Readiness'!$B$6:$B$65,0))=0,"",INDEX('Commissioning Readiness'!$N$6:$N$65,MATCH($B73,'Commissioning Readiness'!$B$6:$B$65,0)))),"")</f>
        <v/>
      </c>
      <c r="I73" s="26">
        <f>IF(OR($B73="",$H73=""),"",$H73-TODAY())</f>
        <v/>
      </c>
      <c r="J73" s="26">
        <f>IFERROR(IF($B73="","",'DMIC List - master'!P65),"")</f>
        <v/>
      </c>
      <c r="K73" s="26">
        <f>IFERROR(IF($B73="","",'DMIC List - master'!Q65),"")</f>
        <v/>
      </c>
      <c r="L73" s="26">
        <f>IFERROR(IF($B73="","",'DMIC List - master'!U65),"")</f>
        <v/>
      </c>
      <c r="M73" s="26">
        <f>IF($B73="","",IF(OR($G73&lt;&gt;""),IF(OR($G73&gt;=0.6,AND($I73&lt;&gt;"",$I73&lt;0)),"Critical",IF(OR($G73&gt;=0.3,AND($I73&lt;&gt;"",$I73&gt;=0,$I73&lt;=60)),"Watch","On track")),"No data"))</f>
        <v/>
      </c>
    </row>
  </sheetData>
  <mergeCells count="9">
    <mergeCell ref="D8:E8"/>
    <mergeCell ref="D6:E6"/>
    <mergeCell ref="B6:C6"/>
    <mergeCell ref="H6:I6"/>
    <mergeCell ref="N7:O10"/>
    <mergeCell ref="F6:G6"/>
    <mergeCell ref="H8:I8"/>
    <mergeCell ref="B8:C8"/>
    <mergeCell ref="F8:G8"/>
  </mergeCells>
  <conditionalFormatting sqref="D5:E10">
    <cfRule type="expression" priority="1" dxfId="0">
      <formula>$D$8&gt;=0.6</formula>
    </cfRule>
    <cfRule type="expression" priority="2" dxfId="1">
      <formula>AND($D$8&gt;=0.3,$D$8&lt;0.6)</formula>
    </cfRule>
    <cfRule type="expression" priority="3" dxfId="2">
      <formula>$D$8&lt;0.3</formula>
    </cfRule>
  </conditionalFormatting>
  <conditionalFormatting sqref="D5:E5">
    <cfRule type="expression" priority="4" dxfId="3">
      <formula>$D$8&gt;=0.6</formula>
    </cfRule>
    <cfRule type="expression" priority="5" dxfId="4">
      <formula>AND($D$8&gt;=0.3,$D$8&lt;0.6)</formula>
    </cfRule>
    <cfRule type="expression" priority="6" dxfId="5">
      <formula>$D$8&lt;0.3</formula>
    </cfRule>
  </conditionalFormatting>
  <conditionalFormatting sqref="D8:E8">
    <cfRule type="cellIs" priority="7" operator="greaterThanOrEqual" dxfId="6">
      <formula>0.6</formula>
    </cfRule>
    <cfRule type="expression" priority="8" dxfId="7">
      <formula>AND($D$8&gt;=0.3,$D$8&lt;0.6)</formula>
    </cfRule>
    <cfRule type="expression" priority="9" dxfId="8">
      <formula>$D$8&lt;0.3</formula>
    </cfRule>
  </conditionalFormatting>
  <conditionalFormatting sqref="G14:G73">
    <cfRule type="expression" priority="10" dxfId="9">
      <formula>AND($G14&lt;&gt;"",$G14&gt;=0.6)</formula>
    </cfRule>
    <cfRule type="expression" priority="11" dxfId="10">
      <formula>AND($G14&lt;&gt;"",$G14&gt;=0.3,$G14&lt;0.6)</formula>
    </cfRule>
    <cfRule type="expression" priority="12" dxfId="11">
      <formula>AND($G14&lt;&gt;"",$G14&lt;0.3)</formula>
    </cfRule>
  </conditionalFormatting>
  <conditionalFormatting sqref="I14:I73">
    <cfRule type="expression" priority="13" dxfId="9">
      <formula>AND($I14&lt;&gt;"",$I14&lt;0)</formula>
    </cfRule>
    <cfRule type="expression" priority="14" dxfId="10">
      <formula>AND($I14&lt;&gt;"",$I14&gt;=0,$I14&lt;=60)</formula>
    </cfRule>
  </conditionalFormatting>
  <conditionalFormatting sqref="M14:M73">
    <cfRule type="expression" priority="15" dxfId="9">
      <formula>$M14="Critical"</formula>
    </cfRule>
    <cfRule type="expression" priority="16" dxfId="10">
      <formula>$M14="Watch"</formula>
    </cfRule>
    <cfRule type="expression" priority="17" dxfId="11">
      <formula>$M14="On track"</formula>
    </cfRule>
    <cfRule type="expression" priority="18" dxfId="12">
      <formula>$M14="No data"</formula>
    </cfRule>
  </conditionalFormatting>
  <dataValidations count="1">
    <dataValidation sqref="O5" showDropDown="0" showInputMessage="0" showErrorMessage="0" allowBlank="1" type="list">
      <formula1>=CONTRACT_ID</formula1>
    </dataValidation>
  </dataValidations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6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24" customWidth="1" min="5" max="5"/>
    <col width="17" customWidth="1" min="6" max="6"/>
    <col width="17" customWidth="1" min="7" max="7"/>
    <col width="17" customWidth="1" min="8" max="8"/>
    <col width="17" customWidth="1" min="9" max="9"/>
    <col width="3.6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3.6" customWidth="1" min="22" max="22"/>
    <col width="17" customWidth="1" min="23" max="23"/>
  </cols>
  <sheetData>
    <row r="1"/>
    <row r="2">
      <c r="B2" s="1" t="inlineStr">
        <is>
          <t>Contracts</t>
        </is>
      </c>
    </row>
    <row r="3">
      <c r="B3" s="4" t="inlineStr">
        <is>
          <t>Single source of truth — contract identity and key personnel. Every other tab looks this up, never retypes it.</t>
        </is>
      </c>
    </row>
    <row r="4" ht="22" customHeight="1">
      <c r="B4" s="29" t="inlineStr">
        <is>
          <t>Contract Information</t>
        </is>
      </c>
      <c r="C4" s="29" t="n"/>
      <c r="D4" s="29" t="n"/>
      <c r="E4" s="29" t="n"/>
      <c r="F4" s="29" t="n"/>
      <c r="G4" s="29" t="n"/>
      <c r="H4" s="29" t="n"/>
      <c r="I4" s="29" t="n"/>
      <c r="J4" s="30" t="n"/>
      <c r="K4" s="31" t="inlineStr">
        <is>
          <t>Key Personnel</t>
        </is>
      </c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0" t="n"/>
      <c r="W4" s="32" t="inlineStr">
        <is>
          <t>Notes</t>
        </is>
      </c>
    </row>
    <row r="5" ht="40" customHeight="1">
      <c r="B5" s="33" t="inlineStr">
        <is>
          <t>Contract Number</t>
        </is>
      </c>
      <c r="C5" s="33" t="inlineStr">
        <is>
          <t>Area</t>
        </is>
      </c>
      <c r="D5" s="33" t="inlineStr">
        <is>
          <t>Contractor</t>
        </is>
      </c>
      <c r="E5" s="33" t="inlineStr">
        <is>
          <t>Description</t>
        </is>
      </c>
      <c r="F5" s="33" t="inlineStr">
        <is>
          <t>Programme</t>
        </is>
      </c>
      <c r="G5" s="33" t="inlineStr">
        <is>
          <t>Contract Type</t>
        </is>
      </c>
      <c r="H5" s="33" t="inlineStr">
        <is>
          <t>Contract Form</t>
        </is>
      </c>
      <c r="I5" s="33" t="inlineStr">
        <is>
          <t>Contractor Commissioning Level</t>
        </is>
      </c>
      <c r="J5" s="30" t="n"/>
      <c r="K5" s="34" t="inlineStr">
        <is>
          <t>Delivery Manager</t>
        </is>
      </c>
      <c r="L5" s="34" t="inlineStr">
        <is>
          <t>Senior Project Manager</t>
        </is>
      </c>
      <c r="M5" s="34" t="inlineStr">
        <is>
          <t>PM / APM</t>
        </is>
      </c>
      <c r="N5" s="34" t="inlineStr">
        <is>
          <t>Commercial Lead</t>
        </is>
      </c>
      <c r="O5" s="34" t="inlineStr">
        <is>
          <t>Commercial Manager</t>
        </is>
      </c>
      <c r="P5" s="34" t="inlineStr">
        <is>
          <t>Commissioning Engineer</t>
        </is>
      </c>
      <c r="Q5" s="34" t="inlineStr">
        <is>
          <t>Commissioning Manager</t>
        </is>
      </c>
      <c r="R5" s="34" t="inlineStr">
        <is>
          <t>Quality Management Lead</t>
        </is>
      </c>
      <c r="S5" s="34" t="inlineStr">
        <is>
          <t>Contractor Project Director / Manager</t>
        </is>
      </c>
      <c r="T5" s="34" t="inlineStr">
        <is>
          <t>Contractor Construction / Site Manager</t>
        </is>
      </c>
      <c r="U5" s="34" t="inlineStr">
        <is>
          <t>DMIC Co-ordinator</t>
        </is>
      </c>
      <c r="V5" s="30" t="n"/>
      <c r="W5" s="35" t="inlineStr">
        <is>
          <t>Notes</t>
        </is>
      </c>
    </row>
    <row r="6">
      <c r="B6" s="23" t="inlineStr">
        <is>
          <t>UK-EX01</t>
        </is>
      </c>
      <c r="C6" s="23" t="inlineStr">
        <is>
          <t>Nuclear Island</t>
        </is>
      </c>
      <c r="D6" s="23" t="inlineStr">
        <is>
          <t>REEL (formerly NFM)</t>
        </is>
      </c>
      <c r="E6" s="23" t="inlineStr">
        <is>
          <t>Airlocks</t>
        </is>
      </c>
      <c r="F6" s="23" t="inlineStr">
        <is>
          <t>FH&amp;L</t>
        </is>
      </c>
      <c r="G6" s="23" t="inlineStr">
        <is>
          <t>FIDIC - DMIC</t>
        </is>
      </c>
      <c r="H6" s="23" t="inlineStr">
        <is>
          <t>Two-Stage</t>
        </is>
      </c>
      <c r="I6" s="23" t="inlineStr">
        <is>
          <t>Full</t>
        </is>
      </c>
      <c r="K6" s="23" t="inlineStr">
        <is>
          <t>David Munro</t>
        </is>
      </c>
      <c r="L6" s="23" t="inlineStr">
        <is>
          <t>Keith Nailard</t>
        </is>
      </c>
      <c r="M6" s="23" t="inlineStr">
        <is>
          <t>James Fayemiwo</t>
        </is>
      </c>
      <c r="N6" s="23" t="inlineStr">
        <is>
          <t>John Gallagher</t>
        </is>
      </c>
      <c r="O6" s="23" t="inlineStr">
        <is>
          <t>John Gallagher</t>
        </is>
      </c>
      <c r="P6" s="23" t="inlineStr">
        <is>
          <t>Adrian Kraemer</t>
        </is>
      </c>
      <c r="Q6" s="23" t="inlineStr">
        <is>
          <t>Feng Liu</t>
        </is>
      </c>
      <c r="R6" s="23" t="inlineStr">
        <is>
          <t>Priya Anand</t>
        </is>
      </c>
      <c r="S6" s="23" t="inlineStr">
        <is>
          <t>Kevin McDevitt</t>
        </is>
      </c>
      <c r="T6" s="23" t="inlineStr">
        <is>
          <t>Leigh Yule</t>
        </is>
      </c>
      <c r="U6" s="23" t="inlineStr">
        <is>
          <t>Sofia Marchetti</t>
        </is>
      </c>
      <c r="W6" s="23" t="n"/>
    </row>
    <row r="7">
      <c r="B7" s="26" t="inlineStr">
        <is>
          <t>UK-EX02</t>
        </is>
      </c>
      <c r="C7" s="26" t="inlineStr">
        <is>
          <t>Conventional Island and BOP</t>
        </is>
      </c>
      <c r="D7" s="26" t="inlineStr">
        <is>
          <t>APCO</t>
        </is>
      </c>
      <c r="E7" s="26" t="inlineStr">
        <is>
          <t>Polar Crane</t>
        </is>
      </c>
      <c r="F7" s="26" t="inlineStr">
        <is>
          <t>FH&amp;L</t>
        </is>
      </c>
      <c r="G7" s="26" t="inlineStr">
        <is>
          <t>FIDIC - DMIC</t>
        </is>
      </c>
      <c r="H7" s="26" t="inlineStr">
        <is>
          <t>Single-Stage</t>
        </is>
      </c>
      <c r="I7" s="26" t="inlineStr">
        <is>
          <t>Partial</t>
        </is>
      </c>
      <c r="K7" s="26" t="inlineStr">
        <is>
          <t>David Munro</t>
        </is>
      </c>
      <c r="L7" s="26" t="inlineStr">
        <is>
          <t>Keith Nailard</t>
        </is>
      </c>
      <c r="M7" s="26" t="inlineStr">
        <is>
          <t>Simon Stacey</t>
        </is>
      </c>
      <c r="N7" s="26" t="inlineStr">
        <is>
          <t>John Gallagher</t>
        </is>
      </c>
      <c r="O7" s="26" t="inlineStr">
        <is>
          <t>Richard Brown</t>
        </is>
      </c>
      <c r="P7" s="26" t="inlineStr">
        <is>
          <t>Richard Brown</t>
        </is>
      </c>
      <c r="Q7" s="26" t="inlineStr">
        <is>
          <t>Leigh Yule</t>
        </is>
      </c>
      <c r="R7" s="26" t="inlineStr">
        <is>
          <t>Priya Anand</t>
        </is>
      </c>
      <c r="S7" s="26" t="inlineStr">
        <is>
          <t>Kevin McDevitt</t>
        </is>
      </c>
      <c r="T7" s="26" t="inlineStr">
        <is>
          <t>Leigh Yule</t>
        </is>
      </c>
      <c r="U7" s="26" t="inlineStr">
        <is>
          <t>Sofia Marchetti</t>
        </is>
      </c>
      <c r="W7" s="26" t="n"/>
    </row>
    <row r="8">
      <c r="B8" s="23" t="inlineStr">
        <is>
          <t>UK-EX03</t>
        </is>
      </c>
      <c r="C8" s="23" t="inlineStr">
        <is>
          <t>Site Wide / I&amp;C</t>
        </is>
      </c>
      <c r="D8" s="23" t="inlineStr">
        <is>
          <t>Balfour Beatty</t>
        </is>
      </c>
      <c r="E8" s="23" t="inlineStr">
        <is>
          <t>Control Systems Integration</t>
        </is>
      </c>
      <c r="F8" s="23" t="inlineStr">
        <is>
          <t>I&amp;C</t>
        </is>
      </c>
      <c r="G8" s="23" t="inlineStr">
        <is>
          <t>NEC4</t>
        </is>
      </c>
      <c r="H8" s="23" t="inlineStr">
        <is>
          <t>Two-Stage</t>
        </is>
      </c>
      <c r="I8" s="23" t="inlineStr">
        <is>
          <t>Support Only</t>
        </is>
      </c>
      <c r="K8" s="23" t="inlineStr">
        <is>
          <t>David Munro</t>
        </is>
      </c>
      <c r="L8" s="23" t="inlineStr">
        <is>
          <t>Keith Nailard</t>
        </is>
      </c>
      <c r="M8" s="23" t="inlineStr">
        <is>
          <t>Stuart Cameron</t>
        </is>
      </c>
      <c r="N8" s="23" t="inlineStr">
        <is>
          <t>John Gallagher</t>
        </is>
      </c>
      <c r="O8" s="23" t="inlineStr">
        <is>
          <t>Gustavo Aguilar</t>
        </is>
      </c>
      <c r="P8" s="23" t="inlineStr">
        <is>
          <t>Samuel Everett</t>
        </is>
      </c>
      <c r="Q8" s="23" t="inlineStr">
        <is>
          <t>Leigh Yule</t>
        </is>
      </c>
      <c r="R8" s="23" t="inlineStr">
        <is>
          <t>Priya Anand</t>
        </is>
      </c>
      <c r="S8" s="23" t="inlineStr">
        <is>
          <t>Kevin McDevitt</t>
        </is>
      </c>
      <c r="T8" s="23" t="inlineStr">
        <is>
          <t>Leigh Yule</t>
        </is>
      </c>
      <c r="U8" s="23" t="inlineStr">
        <is>
          <t>Sofia Marchetti</t>
        </is>
      </c>
      <c r="W8" s="23" t="n"/>
    </row>
    <row r="9">
      <c r="B9" s="26" t="n"/>
      <c r="C9" s="26" t="n"/>
      <c r="D9" s="26" t="n"/>
      <c r="E9" s="26" t="n"/>
      <c r="F9" s="26" t="n"/>
      <c r="G9" s="26" t="n"/>
      <c r="H9" s="26" t="n"/>
      <c r="I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W9" s="26" t="n"/>
    </row>
    <row r="10">
      <c r="B10" s="23" t="n"/>
      <c r="C10" s="23" t="n"/>
      <c r="D10" s="23" t="n"/>
      <c r="E10" s="23" t="n"/>
      <c r="F10" s="23" t="n"/>
      <c r="G10" s="23" t="n"/>
      <c r="H10" s="23" t="n"/>
      <c r="I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W10" s="23" t="n"/>
    </row>
    <row r="11">
      <c r="B11" s="26" t="n"/>
      <c r="C11" s="26" t="n"/>
      <c r="D11" s="26" t="n"/>
      <c r="E11" s="26" t="n"/>
      <c r="F11" s="26" t="n"/>
      <c r="G11" s="26" t="n"/>
      <c r="H11" s="26" t="n"/>
      <c r="I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W11" s="26" t="n"/>
    </row>
    <row r="12">
      <c r="B12" s="23" t="n"/>
      <c r="C12" s="23" t="n"/>
      <c r="D12" s="23" t="n"/>
      <c r="E12" s="23" t="n"/>
      <c r="F12" s="23" t="n"/>
      <c r="G12" s="23" t="n"/>
      <c r="H12" s="23" t="n"/>
      <c r="I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W12" s="23" t="n"/>
    </row>
    <row r="13">
      <c r="B13" s="26" t="n"/>
      <c r="C13" s="26" t="n"/>
      <c r="D13" s="26" t="n"/>
      <c r="E13" s="26" t="n"/>
      <c r="F13" s="26" t="n"/>
      <c r="G13" s="26" t="n"/>
      <c r="H13" s="26" t="n"/>
      <c r="I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W13" s="26" t="n"/>
    </row>
    <row r="14">
      <c r="B14" s="23" t="n"/>
      <c r="C14" s="23" t="n"/>
      <c r="D14" s="23" t="n"/>
      <c r="E14" s="23" t="n"/>
      <c r="F14" s="23" t="n"/>
      <c r="G14" s="23" t="n"/>
      <c r="H14" s="23" t="n"/>
      <c r="I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W14" s="23" t="n"/>
    </row>
    <row r="15">
      <c r="B15" s="26" t="n"/>
      <c r="C15" s="26" t="n"/>
      <c r="D15" s="26" t="n"/>
      <c r="E15" s="26" t="n"/>
      <c r="F15" s="26" t="n"/>
      <c r="G15" s="26" t="n"/>
      <c r="H15" s="26" t="n"/>
      <c r="I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W15" s="26" t="n"/>
    </row>
    <row r="16">
      <c r="B16" s="23" t="n"/>
      <c r="C16" s="23" t="n"/>
      <c r="D16" s="23" t="n"/>
      <c r="E16" s="23" t="n"/>
      <c r="F16" s="23" t="n"/>
      <c r="G16" s="23" t="n"/>
      <c r="H16" s="23" t="n"/>
      <c r="I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W16" s="23" t="n"/>
    </row>
    <row r="17">
      <c r="B17" s="26" t="n"/>
      <c r="C17" s="26" t="n"/>
      <c r="D17" s="26" t="n"/>
      <c r="E17" s="26" t="n"/>
      <c r="F17" s="26" t="n"/>
      <c r="G17" s="26" t="n"/>
      <c r="H17" s="26" t="n"/>
      <c r="I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W17" s="26" t="n"/>
    </row>
    <row r="18">
      <c r="B18" s="23" t="n"/>
      <c r="C18" s="23" t="n"/>
      <c r="D18" s="23" t="n"/>
      <c r="E18" s="23" t="n"/>
      <c r="F18" s="23" t="n"/>
      <c r="G18" s="23" t="n"/>
      <c r="H18" s="23" t="n"/>
      <c r="I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W18" s="23" t="n"/>
    </row>
    <row r="19">
      <c r="B19" s="26" t="n"/>
      <c r="C19" s="26" t="n"/>
      <c r="D19" s="26" t="n"/>
      <c r="E19" s="26" t="n"/>
      <c r="F19" s="26" t="n"/>
      <c r="G19" s="26" t="n"/>
      <c r="H19" s="26" t="n"/>
      <c r="I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W19" s="26" t="n"/>
    </row>
    <row r="20">
      <c r="B20" s="23" t="n"/>
      <c r="C20" s="23" t="n"/>
      <c r="D20" s="23" t="n"/>
      <c r="E20" s="23" t="n"/>
      <c r="F20" s="23" t="n"/>
      <c r="G20" s="23" t="n"/>
      <c r="H20" s="23" t="n"/>
      <c r="I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W20" s="23" t="n"/>
    </row>
    <row r="21">
      <c r="B21" s="26" t="n"/>
      <c r="C21" s="26" t="n"/>
      <c r="D21" s="26" t="n"/>
      <c r="E21" s="26" t="n"/>
      <c r="F21" s="26" t="n"/>
      <c r="G21" s="26" t="n"/>
      <c r="H21" s="26" t="n"/>
      <c r="I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W21" s="26" t="n"/>
    </row>
    <row r="22">
      <c r="B22" s="23" t="n"/>
      <c r="C22" s="23" t="n"/>
      <c r="D22" s="23" t="n"/>
      <c r="E22" s="23" t="n"/>
      <c r="F22" s="23" t="n"/>
      <c r="G22" s="23" t="n"/>
      <c r="H22" s="23" t="n"/>
      <c r="I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W22" s="23" t="n"/>
    </row>
    <row r="23">
      <c r="B23" s="26" t="n"/>
      <c r="C23" s="26" t="n"/>
      <c r="D23" s="26" t="n"/>
      <c r="E23" s="26" t="n"/>
      <c r="F23" s="26" t="n"/>
      <c r="G23" s="26" t="n"/>
      <c r="H23" s="26" t="n"/>
      <c r="I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W23" s="26" t="n"/>
    </row>
    <row r="24">
      <c r="B24" s="23" t="n"/>
      <c r="C24" s="23" t="n"/>
      <c r="D24" s="23" t="n"/>
      <c r="E24" s="23" t="n"/>
      <c r="F24" s="23" t="n"/>
      <c r="G24" s="23" t="n"/>
      <c r="H24" s="23" t="n"/>
      <c r="I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W24" s="23" t="n"/>
    </row>
    <row r="25">
      <c r="B25" s="26" t="n"/>
      <c r="C25" s="26" t="n"/>
      <c r="D25" s="26" t="n"/>
      <c r="E25" s="26" t="n"/>
      <c r="F25" s="26" t="n"/>
      <c r="G25" s="26" t="n"/>
      <c r="H25" s="26" t="n"/>
      <c r="I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W25" s="26" t="n"/>
    </row>
    <row r="26">
      <c r="B26" s="23" t="n"/>
      <c r="C26" s="23" t="n"/>
      <c r="D26" s="23" t="n"/>
      <c r="E26" s="23" t="n"/>
      <c r="F26" s="23" t="n"/>
      <c r="G26" s="23" t="n"/>
      <c r="H26" s="23" t="n"/>
      <c r="I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W26" s="23" t="n"/>
    </row>
    <row r="27">
      <c r="B27" s="26" t="n"/>
      <c r="C27" s="26" t="n"/>
      <c r="D27" s="26" t="n"/>
      <c r="E27" s="26" t="n"/>
      <c r="F27" s="26" t="n"/>
      <c r="G27" s="26" t="n"/>
      <c r="H27" s="26" t="n"/>
      <c r="I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W27" s="26" t="n"/>
    </row>
    <row r="28">
      <c r="B28" s="23" t="n"/>
      <c r="C28" s="23" t="n"/>
      <c r="D28" s="23" t="n"/>
      <c r="E28" s="23" t="n"/>
      <c r="F28" s="23" t="n"/>
      <c r="G28" s="23" t="n"/>
      <c r="H28" s="23" t="n"/>
      <c r="I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W28" s="23" t="n"/>
    </row>
    <row r="29">
      <c r="B29" s="26" t="n"/>
      <c r="C29" s="26" t="n"/>
      <c r="D29" s="26" t="n"/>
      <c r="E29" s="26" t="n"/>
      <c r="F29" s="26" t="n"/>
      <c r="G29" s="26" t="n"/>
      <c r="H29" s="26" t="n"/>
      <c r="I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W29" s="26" t="n"/>
    </row>
    <row r="30">
      <c r="B30" s="23" t="n"/>
      <c r="C30" s="23" t="n"/>
      <c r="D30" s="23" t="n"/>
      <c r="E30" s="23" t="n"/>
      <c r="F30" s="23" t="n"/>
      <c r="G30" s="23" t="n"/>
      <c r="H30" s="23" t="n"/>
      <c r="I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W30" s="23" t="n"/>
    </row>
    <row r="31">
      <c r="B31" s="26" t="n"/>
      <c r="C31" s="26" t="n"/>
      <c r="D31" s="26" t="n"/>
      <c r="E31" s="26" t="n"/>
      <c r="F31" s="26" t="n"/>
      <c r="G31" s="26" t="n"/>
      <c r="H31" s="26" t="n"/>
      <c r="I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W31" s="26" t="n"/>
    </row>
    <row r="32">
      <c r="B32" s="23" t="n"/>
      <c r="C32" s="23" t="n"/>
      <c r="D32" s="23" t="n"/>
      <c r="E32" s="23" t="n"/>
      <c r="F32" s="23" t="n"/>
      <c r="G32" s="23" t="n"/>
      <c r="H32" s="23" t="n"/>
      <c r="I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W32" s="23" t="n"/>
    </row>
    <row r="33">
      <c r="B33" s="26" t="n"/>
      <c r="C33" s="26" t="n"/>
      <c r="D33" s="26" t="n"/>
      <c r="E33" s="26" t="n"/>
      <c r="F33" s="26" t="n"/>
      <c r="G33" s="26" t="n"/>
      <c r="H33" s="26" t="n"/>
      <c r="I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W33" s="26" t="n"/>
    </row>
    <row r="34">
      <c r="B34" s="23" t="n"/>
      <c r="C34" s="23" t="n"/>
      <c r="D34" s="23" t="n"/>
      <c r="E34" s="23" t="n"/>
      <c r="F34" s="23" t="n"/>
      <c r="G34" s="23" t="n"/>
      <c r="H34" s="23" t="n"/>
      <c r="I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W34" s="23" t="n"/>
    </row>
    <row r="35">
      <c r="B35" s="26" t="n"/>
      <c r="C35" s="26" t="n"/>
      <c r="D35" s="26" t="n"/>
      <c r="E35" s="26" t="n"/>
      <c r="F35" s="26" t="n"/>
      <c r="G35" s="26" t="n"/>
      <c r="H35" s="26" t="n"/>
      <c r="I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W35" s="26" t="n"/>
    </row>
    <row r="36">
      <c r="B36" s="23" t="n"/>
      <c r="C36" s="23" t="n"/>
      <c r="D36" s="23" t="n"/>
      <c r="E36" s="23" t="n"/>
      <c r="F36" s="23" t="n"/>
      <c r="G36" s="23" t="n"/>
      <c r="H36" s="23" t="n"/>
      <c r="I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W36" s="23" t="n"/>
    </row>
    <row r="37">
      <c r="B37" s="26" t="n"/>
      <c r="C37" s="26" t="n"/>
      <c r="D37" s="26" t="n"/>
      <c r="E37" s="26" t="n"/>
      <c r="F37" s="26" t="n"/>
      <c r="G37" s="26" t="n"/>
      <c r="H37" s="26" t="n"/>
      <c r="I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W37" s="26" t="n"/>
    </row>
    <row r="38">
      <c r="B38" s="23" t="n"/>
      <c r="C38" s="23" t="n"/>
      <c r="D38" s="23" t="n"/>
      <c r="E38" s="23" t="n"/>
      <c r="F38" s="23" t="n"/>
      <c r="G38" s="23" t="n"/>
      <c r="H38" s="23" t="n"/>
      <c r="I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W38" s="23" t="n"/>
    </row>
    <row r="39">
      <c r="B39" s="26" t="n"/>
      <c r="C39" s="26" t="n"/>
      <c r="D39" s="26" t="n"/>
      <c r="E39" s="26" t="n"/>
      <c r="F39" s="26" t="n"/>
      <c r="G39" s="26" t="n"/>
      <c r="H39" s="26" t="n"/>
      <c r="I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W39" s="26" t="n"/>
    </row>
    <row r="40">
      <c r="B40" s="23" t="n"/>
      <c r="C40" s="23" t="n"/>
      <c r="D40" s="23" t="n"/>
      <c r="E40" s="23" t="n"/>
      <c r="F40" s="23" t="n"/>
      <c r="G40" s="23" t="n"/>
      <c r="H40" s="23" t="n"/>
      <c r="I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W40" s="23" t="n"/>
    </row>
    <row r="41">
      <c r="B41" s="26" t="n"/>
      <c r="C41" s="26" t="n"/>
      <c r="D41" s="26" t="n"/>
      <c r="E41" s="26" t="n"/>
      <c r="F41" s="26" t="n"/>
      <c r="G41" s="26" t="n"/>
      <c r="H41" s="26" t="n"/>
      <c r="I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W41" s="26" t="n"/>
    </row>
    <row r="42">
      <c r="B42" s="23" t="n"/>
      <c r="C42" s="23" t="n"/>
      <c r="D42" s="23" t="n"/>
      <c r="E42" s="23" t="n"/>
      <c r="F42" s="23" t="n"/>
      <c r="G42" s="23" t="n"/>
      <c r="H42" s="23" t="n"/>
      <c r="I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W42" s="23" t="n"/>
    </row>
    <row r="43">
      <c r="B43" s="26" t="n"/>
      <c r="C43" s="26" t="n"/>
      <c r="D43" s="26" t="n"/>
      <c r="E43" s="26" t="n"/>
      <c r="F43" s="26" t="n"/>
      <c r="G43" s="26" t="n"/>
      <c r="H43" s="26" t="n"/>
      <c r="I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W43" s="26" t="n"/>
    </row>
    <row r="44">
      <c r="B44" s="23" t="n"/>
      <c r="C44" s="23" t="n"/>
      <c r="D44" s="23" t="n"/>
      <c r="E44" s="23" t="n"/>
      <c r="F44" s="23" t="n"/>
      <c r="G44" s="23" t="n"/>
      <c r="H44" s="23" t="n"/>
      <c r="I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W44" s="23" t="n"/>
    </row>
    <row r="45">
      <c r="B45" s="26" t="n"/>
      <c r="C45" s="26" t="n"/>
      <c r="D45" s="26" t="n"/>
      <c r="E45" s="26" t="n"/>
      <c r="F45" s="26" t="n"/>
      <c r="G45" s="26" t="n"/>
      <c r="H45" s="26" t="n"/>
      <c r="I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W45" s="26" t="n"/>
    </row>
    <row r="46">
      <c r="B46" s="23" t="n"/>
      <c r="C46" s="23" t="n"/>
      <c r="D46" s="23" t="n"/>
      <c r="E46" s="23" t="n"/>
      <c r="F46" s="23" t="n"/>
      <c r="G46" s="23" t="n"/>
      <c r="H46" s="23" t="n"/>
      <c r="I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W46" s="23" t="n"/>
    </row>
    <row r="47">
      <c r="B47" s="26" t="n"/>
      <c r="C47" s="26" t="n"/>
      <c r="D47" s="26" t="n"/>
      <c r="E47" s="26" t="n"/>
      <c r="F47" s="26" t="n"/>
      <c r="G47" s="26" t="n"/>
      <c r="H47" s="26" t="n"/>
      <c r="I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W47" s="26" t="n"/>
    </row>
    <row r="48">
      <c r="B48" s="23" t="n"/>
      <c r="C48" s="23" t="n"/>
      <c r="D48" s="23" t="n"/>
      <c r="E48" s="23" t="n"/>
      <c r="F48" s="23" t="n"/>
      <c r="G48" s="23" t="n"/>
      <c r="H48" s="23" t="n"/>
      <c r="I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W48" s="23" t="n"/>
    </row>
    <row r="49">
      <c r="B49" s="26" t="n"/>
      <c r="C49" s="26" t="n"/>
      <c r="D49" s="26" t="n"/>
      <c r="E49" s="26" t="n"/>
      <c r="F49" s="26" t="n"/>
      <c r="G49" s="26" t="n"/>
      <c r="H49" s="26" t="n"/>
      <c r="I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W49" s="26" t="n"/>
    </row>
    <row r="50">
      <c r="B50" s="23" t="n"/>
      <c r="C50" s="23" t="n"/>
      <c r="D50" s="23" t="n"/>
      <c r="E50" s="23" t="n"/>
      <c r="F50" s="23" t="n"/>
      <c r="G50" s="23" t="n"/>
      <c r="H50" s="23" t="n"/>
      <c r="I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W50" s="23" t="n"/>
    </row>
    <row r="51">
      <c r="B51" s="26" t="n"/>
      <c r="C51" s="26" t="n"/>
      <c r="D51" s="26" t="n"/>
      <c r="E51" s="26" t="n"/>
      <c r="F51" s="26" t="n"/>
      <c r="G51" s="26" t="n"/>
      <c r="H51" s="26" t="n"/>
      <c r="I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W51" s="26" t="n"/>
    </row>
    <row r="52">
      <c r="B52" s="23" t="n"/>
      <c r="C52" s="23" t="n"/>
      <c r="D52" s="23" t="n"/>
      <c r="E52" s="23" t="n"/>
      <c r="F52" s="23" t="n"/>
      <c r="G52" s="23" t="n"/>
      <c r="H52" s="23" t="n"/>
      <c r="I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W52" s="23" t="n"/>
    </row>
    <row r="53">
      <c r="B53" s="26" t="n"/>
      <c r="C53" s="26" t="n"/>
      <c r="D53" s="26" t="n"/>
      <c r="E53" s="26" t="n"/>
      <c r="F53" s="26" t="n"/>
      <c r="G53" s="26" t="n"/>
      <c r="H53" s="26" t="n"/>
      <c r="I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W53" s="26" t="n"/>
    </row>
    <row r="54">
      <c r="B54" s="23" t="n"/>
      <c r="C54" s="23" t="n"/>
      <c r="D54" s="23" t="n"/>
      <c r="E54" s="23" t="n"/>
      <c r="F54" s="23" t="n"/>
      <c r="G54" s="23" t="n"/>
      <c r="H54" s="23" t="n"/>
      <c r="I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W54" s="23" t="n"/>
    </row>
    <row r="55">
      <c r="B55" s="26" t="n"/>
      <c r="C55" s="26" t="n"/>
      <c r="D55" s="26" t="n"/>
      <c r="E55" s="26" t="n"/>
      <c r="F55" s="26" t="n"/>
      <c r="G55" s="26" t="n"/>
      <c r="H55" s="26" t="n"/>
      <c r="I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W55" s="26" t="n"/>
    </row>
    <row r="56">
      <c r="B56" s="23" t="n"/>
      <c r="C56" s="23" t="n"/>
      <c r="D56" s="23" t="n"/>
      <c r="E56" s="23" t="n"/>
      <c r="F56" s="23" t="n"/>
      <c r="G56" s="23" t="n"/>
      <c r="H56" s="23" t="n"/>
      <c r="I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W56" s="23" t="n"/>
    </row>
    <row r="57">
      <c r="B57" s="26" t="n"/>
      <c r="C57" s="26" t="n"/>
      <c r="D57" s="26" t="n"/>
      <c r="E57" s="26" t="n"/>
      <c r="F57" s="26" t="n"/>
      <c r="G57" s="26" t="n"/>
      <c r="H57" s="26" t="n"/>
      <c r="I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W57" s="26" t="n"/>
    </row>
    <row r="58">
      <c r="B58" s="23" t="n"/>
      <c r="C58" s="23" t="n"/>
      <c r="D58" s="23" t="n"/>
      <c r="E58" s="23" t="n"/>
      <c r="F58" s="23" t="n"/>
      <c r="G58" s="23" t="n"/>
      <c r="H58" s="23" t="n"/>
      <c r="I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W58" s="23" t="n"/>
    </row>
    <row r="59">
      <c r="B59" s="26" t="n"/>
      <c r="C59" s="26" t="n"/>
      <c r="D59" s="26" t="n"/>
      <c r="E59" s="26" t="n"/>
      <c r="F59" s="26" t="n"/>
      <c r="G59" s="26" t="n"/>
      <c r="H59" s="26" t="n"/>
      <c r="I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W59" s="26" t="n"/>
    </row>
    <row r="60">
      <c r="B60" s="23" t="n"/>
      <c r="C60" s="23" t="n"/>
      <c r="D60" s="23" t="n"/>
      <c r="E60" s="23" t="n"/>
      <c r="F60" s="23" t="n"/>
      <c r="G60" s="23" t="n"/>
      <c r="H60" s="23" t="n"/>
      <c r="I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W60" s="23" t="n"/>
    </row>
    <row r="61">
      <c r="B61" s="26" t="n"/>
      <c r="C61" s="26" t="n"/>
      <c r="D61" s="26" t="n"/>
      <c r="E61" s="26" t="n"/>
      <c r="F61" s="26" t="n"/>
      <c r="G61" s="26" t="n"/>
      <c r="H61" s="26" t="n"/>
      <c r="I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W61" s="26" t="n"/>
    </row>
    <row r="62">
      <c r="B62" s="23" t="n"/>
      <c r="C62" s="23" t="n"/>
      <c r="D62" s="23" t="n"/>
      <c r="E62" s="23" t="n"/>
      <c r="F62" s="23" t="n"/>
      <c r="G62" s="23" t="n"/>
      <c r="H62" s="23" t="n"/>
      <c r="I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W62" s="23" t="n"/>
    </row>
    <row r="63">
      <c r="B63" s="26" t="n"/>
      <c r="C63" s="26" t="n"/>
      <c r="D63" s="26" t="n"/>
      <c r="E63" s="26" t="n"/>
      <c r="F63" s="26" t="n"/>
      <c r="G63" s="26" t="n"/>
      <c r="H63" s="26" t="n"/>
      <c r="I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W63" s="26" t="n"/>
    </row>
    <row r="64">
      <c r="B64" s="23" t="n"/>
      <c r="C64" s="23" t="n"/>
      <c r="D64" s="23" t="n"/>
      <c r="E64" s="23" t="n"/>
      <c r="F64" s="23" t="n"/>
      <c r="G64" s="23" t="n"/>
      <c r="H64" s="23" t="n"/>
      <c r="I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W64" s="23" t="n"/>
    </row>
    <row r="65">
      <c r="B65" s="26" t="n"/>
      <c r="C65" s="26" t="n"/>
      <c r="D65" s="26" t="n"/>
      <c r="E65" s="26" t="n"/>
      <c r="F65" s="26" t="n"/>
      <c r="G65" s="26" t="n"/>
      <c r="H65" s="26" t="n"/>
      <c r="I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W65" s="26" t="n"/>
    </row>
  </sheetData>
  <mergeCells count="2">
    <mergeCell ref="K4:U4"/>
    <mergeCell ref="B4:I4"/>
  </mergeCells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24" customWidth="1" min="5" max="5"/>
    <col width="3.6" customWidth="1" min="6" max="6"/>
    <col width="16" customWidth="1" min="7" max="7"/>
    <col width="16" customWidth="1" min="8" max="8"/>
    <col width="16" customWidth="1" min="9" max="9"/>
    <col width="3.6" customWidth="1" min="10" max="10"/>
    <col width="16" customWidth="1" min="11" max="11"/>
    <col width="16" customWidth="1" min="12" max="12"/>
    <col width="20" customWidth="1" min="13" max="13"/>
    <col width="16" customWidth="1" min="14" max="14"/>
    <col width="20" customWidth="1" min="15" max="15"/>
    <col width="16" customWidth="1" min="16" max="16"/>
    <col width="16" customWidth="1" min="17" max="17"/>
    <col width="3.6" customWidth="1" min="18" max="18"/>
    <col width="16" customWidth="1" min="19" max="19"/>
    <col width="16" customWidth="1" min="20" max="20"/>
    <col width="3.6" customWidth="1" min="21" max="21"/>
    <col width="16" customWidth="1" min="22" max="22"/>
    <col width="16" customWidth="1" min="23" max="23"/>
    <col width="20" customWidth="1" min="24" max="24"/>
    <col width="3.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3.6" customWidth="1" min="32" max="32"/>
    <col width="16" customWidth="1" min="33" max="33"/>
  </cols>
  <sheetData>
    <row r="1"/>
    <row r="2">
      <c r="B2" s="1" t="inlineStr">
        <is>
          <t>Schedule &amp; Status</t>
        </is>
      </c>
      <c r="O2" s="2" t="inlineStr">
        <is>
          <t>Today's Date:</t>
        </is>
      </c>
      <c r="P2" s="3">
        <f>TODAY()</f>
        <v/>
      </c>
    </row>
    <row r="3">
      <c r="B3" s="4" t="inlineStr">
        <is>
          <t>Contract Number, contractor and key personnel are live look-ups from Contracts — never retyped here.</t>
        </is>
      </c>
    </row>
    <row r="4" ht="22" customHeight="1">
      <c r="B4" s="29" t="inlineStr">
        <is>
          <t>Contract Information</t>
        </is>
      </c>
      <c r="C4" s="29" t="n"/>
      <c r="D4" s="29" t="n"/>
      <c r="E4" s="29" t="n"/>
      <c r="F4" s="30" t="n"/>
      <c r="G4" s="31" t="inlineStr">
        <is>
          <t>Key Personnel</t>
        </is>
      </c>
      <c r="H4" s="31" t="n"/>
      <c r="I4" s="31" t="n"/>
      <c r="J4" s="30" t="n"/>
      <c r="K4" s="36" t="inlineStr">
        <is>
          <t>Schedule</t>
        </is>
      </c>
      <c r="L4" s="36" t="n"/>
      <c r="M4" s="36" t="n"/>
      <c r="N4" s="36" t="n"/>
      <c r="O4" s="36" t="n"/>
      <c r="P4" s="36" t="n"/>
      <c r="Q4" s="36" t="n"/>
      <c r="R4" s="30" t="n"/>
      <c r="S4" s="37" t="inlineStr">
        <is>
          <t>DMIC Kick-off</t>
        </is>
      </c>
      <c r="T4" s="37" t="n"/>
      <c r="U4" s="30" t="n"/>
      <c r="V4" s="38" t="inlineStr">
        <is>
          <t>Commissioning Contract Status</t>
        </is>
      </c>
      <c r="W4" s="38" t="n"/>
      <c r="X4" s="38" t="n"/>
      <c r="Y4" s="30" t="n"/>
      <c r="Z4" s="39" t="inlineStr">
        <is>
          <t>Software</t>
        </is>
      </c>
      <c r="AA4" s="39" t="n"/>
      <c r="AB4" s="39" t="n"/>
      <c r="AC4" s="39" t="n"/>
      <c r="AD4" s="39" t="n"/>
      <c r="AE4" s="39" t="n"/>
      <c r="AF4" s="30" t="n"/>
    </row>
    <row r="5" ht="40" customHeight="1">
      <c r="B5" s="33" t="inlineStr">
        <is>
          <t>Contract Number</t>
        </is>
      </c>
      <c r="C5" s="33" t="inlineStr">
        <is>
          <t>Area</t>
        </is>
      </c>
      <c r="D5" s="33" t="inlineStr">
        <is>
          <t>Contractor</t>
        </is>
      </c>
      <c r="E5" s="33" t="inlineStr">
        <is>
          <t>Description</t>
        </is>
      </c>
      <c r="F5" s="30" t="n"/>
      <c r="G5" s="34" t="inlineStr">
        <is>
          <t>Commissioning Engineer</t>
        </is>
      </c>
      <c r="H5" s="34" t="inlineStr">
        <is>
          <t>Commissioning Manager</t>
        </is>
      </c>
      <c r="I5" s="34" t="inlineStr">
        <is>
          <t>DMIC Co-ordinator</t>
        </is>
      </c>
      <c r="J5" s="30" t="n"/>
      <c r="K5" s="40" t="inlineStr">
        <is>
          <t>First Date - as per P6 Schedule</t>
        </is>
      </c>
      <c r="L5" s="40" t="inlineStr">
        <is>
          <t>Date Changes (editable)</t>
        </is>
      </c>
      <c r="M5" s="40" t="inlineStr">
        <is>
          <t>Driver / Comment</t>
        </is>
      </c>
      <c r="N5" s="40" t="inlineStr">
        <is>
          <t>Next Phase Date (if in flight)</t>
        </is>
      </c>
      <c r="O5" s="40" t="inlineStr">
        <is>
          <t>Driver</t>
        </is>
      </c>
      <c r="P5" s="40" t="inlineStr">
        <is>
          <t>T - X Months</t>
        </is>
      </c>
      <c r="Q5" s="40" t="inlineStr">
        <is>
          <t>Schedule in P6</t>
        </is>
      </c>
      <c r="R5" s="30" t="n"/>
      <c r="S5" s="41" t="inlineStr">
        <is>
          <t>T-18 Kick-off Meeting Date (Incl. PM &amp; Comm.)</t>
        </is>
      </c>
      <c r="T5" s="41" t="inlineStr">
        <is>
          <t>T-12 Kick-off Meeting Date (Contractor)</t>
        </is>
      </c>
      <c r="U5" s="30" t="n"/>
      <c r="V5" s="42" t="inlineStr">
        <is>
          <t>Appendix 4 Revision
CBL100100449</t>
        </is>
      </c>
      <c r="W5" s="42" t="inlineStr">
        <is>
          <t>Appendix 4 - contract specific</t>
        </is>
      </c>
      <c r="X5" s="42" t="inlineStr">
        <is>
          <t>Appendix 4 Comments</t>
        </is>
      </c>
      <c r="Y5" s="30" t="n"/>
      <c r="Z5" s="43" t="inlineStr">
        <is>
          <t>NCRs on Switch</t>
        </is>
      </c>
      <c r="AA5" s="43" t="inlineStr">
        <is>
          <t>FCRs on Switch</t>
        </is>
      </c>
      <c r="AB5" s="43" t="inlineStr">
        <is>
          <t>Sonims</t>
        </is>
      </c>
      <c r="AC5" s="43" t="inlineStr">
        <is>
          <t>Open Points</t>
        </is>
      </c>
      <c r="AD5" s="43" t="inlineStr">
        <is>
          <t>TMDs</t>
        </is>
      </c>
      <c r="AE5" s="43" t="inlineStr">
        <is>
          <t>Standards &amp; Expectations Day</t>
        </is>
      </c>
      <c r="AF5" s="30" t="n"/>
      <c r="AG5" s="44" t="inlineStr">
        <is>
          <t>Applicable System Codes</t>
        </is>
      </c>
    </row>
    <row r="6">
      <c r="B6" s="23">
        <f>IF('DMIC List - master'!B6="","",'DMIC List - master'!B6)</f>
        <v/>
      </c>
      <c r="C6" s="23">
        <f>IFERROR(IF(INDEX('DMIC List - master'!$C:$C,MATCH($B6,CONTRACT_ID,0)+5)="","",INDEX('DMIC List - master'!$C:$C,MATCH($B6,CONTRACT_ID,0)+5)),"")</f>
        <v/>
      </c>
      <c r="D6" s="23">
        <f>IFERROR(IF(INDEX('DMIC List - master'!$D:$D,MATCH($B6,CONTRACT_ID,0)+5)="","",INDEX('DMIC List - master'!$D:$D,MATCH($B6,CONTRACT_ID,0)+5)),"")</f>
        <v/>
      </c>
      <c r="E6" s="23">
        <f>IFERROR(IF(INDEX('DMIC List - master'!$E:$E,MATCH($B6,CONTRACT_ID,0)+5)="","",INDEX('DMIC List - master'!$E:$E,MATCH($B6,CONTRACT_ID,0)+5)),"")</f>
        <v/>
      </c>
      <c r="G6" s="23">
        <f>IFERROR(IF(INDEX('DMIC List - master'!$P:$P,MATCH($B6,CONTRACT_ID,0)+5)="","",INDEX('DMIC List - master'!$P:$P,MATCH($B6,CONTRACT_ID,0)+5)),"")</f>
        <v/>
      </c>
      <c r="H6" s="23">
        <f>IFERROR(IF(INDEX('DMIC List - master'!$Q:$Q,MATCH($B6,CONTRACT_ID,0)+5)="","",INDEX('DMIC List - master'!$Q:$Q,MATCH($B6,CONTRACT_ID,0)+5)),"")</f>
        <v/>
      </c>
      <c r="I6" s="23">
        <f>IFERROR(IF(INDEX('DMIC List - master'!$U:$U,MATCH($B6,CONTRACT_ID,0)+5)="","",INDEX('DMIC List - master'!$U:$U,MATCH($B6,CONTRACT_ID,0)+5)),"")</f>
        <v/>
      </c>
      <c r="K6" s="25" t="n">
        <v>46447</v>
      </c>
      <c r="L6" s="25" t="n"/>
      <c r="M6" s="23" t="n"/>
      <c r="N6" s="25" t="n">
        <v>46492</v>
      </c>
      <c r="O6" s="23" t="inlineStr">
        <is>
          <t>Next Phase kick-off</t>
        </is>
      </c>
      <c r="P6" s="45">
        <f>IFERROR(IF($B6="","",IF(N6&lt;&gt;"",(N6-$P$2)/30,IF(K6&lt;&gt;"",(K6-$P$2)/30,""))),"")</f>
        <v/>
      </c>
      <c r="Q6" s="23" t="n"/>
      <c r="S6" s="25" t="n">
        <v>45944</v>
      </c>
      <c r="T6" s="25" t="n">
        <v>46127</v>
      </c>
      <c r="V6" s="23" t="n"/>
      <c r="W6" s="23" t="n"/>
      <c r="X6" s="23" t="n"/>
      <c r="Z6" s="23" t="n"/>
      <c r="AA6" s="23" t="n"/>
      <c r="AB6" s="23" t="n"/>
      <c r="AC6" s="23" t="n"/>
      <c r="AD6" s="23" t="n"/>
      <c r="AE6" s="23" t="n"/>
      <c r="AG6" s="23">
        <f>IFERROR(IF($B6="","",IF(INDEX('DMIC DMS Commissioning-master'!$Z$6:$Z$65,MATCH($B6,'DMIC DMS Commissioning-master'!$B$6:$B$65,0))=0,"",INDEX('DMIC DMS Commissioning-master'!$Z$6:$Z$65,MATCH($B6,'DMIC DMS Commissioning-master'!$B$6:$B$65,0)))),"")</f>
        <v/>
      </c>
    </row>
    <row r="7">
      <c r="B7" s="26">
        <f>IF('DMIC List - master'!B7="","",'DMIC List - master'!B7)</f>
        <v/>
      </c>
      <c r="C7" s="26">
        <f>IFERROR(IF(INDEX('DMIC List - master'!$C:$C,MATCH($B7,CONTRACT_ID,0)+5)="","",INDEX('DMIC List - master'!$C:$C,MATCH($B7,CONTRACT_ID,0)+5)),"")</f>
        <v/>
      </c>
      <c r="D7" s="26">
        <f>IFERROR(IF(INDEX('DMIC List - master'!$D:$D,MATCH($B7,CONTRACT_ID,0)+5)="","",INDEX('DMIC List - master'!$D:$D,MATCH($B7,CONTRACT_ID,0)+5)),"")</f>
        <v/>
      </c>
      <c r="E7" s="26">
        <f>IFERROR(IF(INDEX('DMIC List - master'!$E:$E,MATCH($B7,CONTRACT_ID,0)+5)="","",INDEX('DMIC List - master'!$E:$E,MATCH($B7,CONTRACT_ID,0)+5)),"")</f>
        <v/>
      </c>
      <c r="G7" s="26">
        <f>IFERROR(IF(INDEX('DMIC List - master'!$P:$P,MATCH($B7,CONTRACT_ID,0)+5)="","",INDEX('DMIC List - master'!$P:$P,MATCH($B7,CONTRACT_ID,0)+5)),"")</f>
        <v/>
      </c>
      <c r="H7" s="26">
        <f>IFERROR(IF(INDEX('DMIC List - master'!$Q:$Q,MATCH($B7,CONTRACT_ID,0)+5)="","",INDEX('DMIC List - master'!$Q:$Q,MATCH($B7,CONTRACT_ID,0)+5)),"")</f>
        <v/>
      </c>
      <c r="I7" s="26">
        <f>IFERROR(IF(INDEX('DMIC List - master'!$U:$U,MATCH($B7,CONTRACT_ID,0)+5)="","",INDEX('DMIC List - master'!$U:$U,MATCH($B7,CONTRACT_ID,0)+5)),"")</f>
        <v/>
      </c>
      <c r="K7" s="28" t="n">
        <v>46327</v>
      </c>
      <c r="L7" s="28" t="n"/>
      <c r="M7" s="26" t="n"/>
      <c r="N7" s="28" t="n">
        <v>46297</v>
      </c>
      <c r="O7" s="26" t="inlineStr">
        <is>
          <t>T-12 kick-off overdue</t>
        </is>
      </c>
      <c r="P7" s="46">
        <f>IFERROR(IF($B7="","",IF(N7&lt;&gt;"",(N7-$P$2)/30,IF(K7&lt;&gt;"",(K7-$P$2)/30,""))),"")</f>
        <v/>
      </c>
      <c r="Q7" s="26" t="n"/>
      <c r="S7" s="28" t="n">
        <v>45749</v>
      </c>
      <c r="T7" s="28" t="n">
        <v>45932</v>
      </c>
      <c r="V7" s="26" t="n"/>
      <c r="W7" s="26" t="n"/>
      <c r="X7" s="26" t="n"/>
      <c r="Z7" s="26" t="n"/>
      <c r="AA7" s="26" t="n"/>
      <c r="AB7" s="26" t="n"/>
      <c r="AC7" s="26" t="n"/>
      <c r="AD7" s="26" t="n"/>
      <c r="AE7" s="26" t="n"/>
      <c r="AG7" s="26">
        <f>IFERROR(IF($B7="","",IF(INDEX('DMIC DMS Commissioning-master'!$Z$6:$Z$65,MATCH($B7,'DMIC DMS Commissioning-master'!$B$6:$B$65,0))=0,"",INDEX('DMIC DMS Commissioning-master'!$Z$6:$Z$65,MATCH($B7,'DMIC DMS Commissioning-master'!$B$6:$B$65,0)))),"")</f>
        <v/>
      </c>
    </row>
    <row r="8">
      <c r="B8" s="23">
        <f>IF('DMIC List - master'!B8="","",'DMIC List - master'!B8)</f>
        <v/>
      </c>
      <c r="C8" s="23">
        <f>IFERROR(IF(INDEX('DMIC List - master'!$C:$C,MATCH($B8,CONTRACT_ID,0)+5)="","",INDEX('DMIC List - master'!$C:$C,MATCH($B8,CONTRACT_ID,0)+5)),"")</f>
        <v/>
      </c>
      <c r="D8" s="23">
        <f>IFERROR(IF(INDEX('DMIC List - master'!$D:$D,MATCH($B8,CONTRACT_ID,0)+5)="","",INDEX('DMIC List - master'!$D:$D,MATCH($B8,CONTRACT_ID,0)+5)),"")</f>
        <v/>
      </c>
      <c r="E8" s="23">
        <f>IFERROR(IF(INDEX('DMIC List - master'!$E:$E,MATCH($B8,CONTRACT_ID,0)+5)="","",INDEX('DMIC List - master'!$E:$E,MATCH($B8,CONTRACT_ID,0)+5)),"")</f>
        <v/>
      </c>
      <c r="G8" s="23">
        <f>IFERROR(IF(INDEX('DMIC List - master'!$P:$P,MATCH($B8,CONTRACT_ID,0)+5)="","",INDEX('DMIC List - master'!$P:$P,MATCH($B8,CONTRACT_ID,0)+5)),"")</f>
        <v/>
      </c>
      <c r="H8" s="23">
        <f>IFERROR(IF(INDEX('DMIC List - master'!$Q:$Q,MATCH($B8,CONTRACT_ID,0)+5)="","",INDEX('DMIC List - master'!$Q:$Q,MATCH($B8,CONTRACT_ID,0)+5)),"")</f>
        <v/>
      </c>
      <c r="I8" s="23">
        <f>IFERROR(IF(INDEX('DMIC List - master'!$U:$U,MATCH($B8,CONTRACT_ID,0)+5)="","",INDEX('DMIC List - master'!$U:$U,MATCH($B8,CONTRACT_ID,0)+5)),"")</f>
        <v/>
      </c>
      <c r="K8" s="25" t="n">
        <v>46631</v>
      </c>
      <c r="L8" s="25" t="n"/>
      <c r="M8" s="23" t="n"/>
      <c r="N8" s="25" t="n">
        <v>46295</v>
      </c>
      <c r="O8" s="23" t="inlineStr">
        <is>
          <t>Standards &amp; Expectations Day booked</t>
        </is>
      </c>
      <c r="P8" s="45">
        <f>IFERROR(IF($B8="","",IF(N8&lt;&gt;"",(N8-$P$2)/30,IF(K8&lt;&gt;"",(K8-$P$2)/30,""))),"")</f>
        <v/>
      </c>
      <c r="Q8" s="23" t="n"/>
      <c r="S8" s="25" t="n">
        <v>45747</v>
      </c>
      <c r="T8" s="25" t="n">
        <v>45930</v>
      </c>
      <c r="V8" s="23" t="n"/>
      <c r="W8" s="23" t="n"/>
      <c r="X8" s="23" t="n"/>
      <c r="Z8" s="23" t="n"/>
      <c r="AA8" s="23" t="n"/>
      <c r="AB8" s="23" t="n"/>
      <c r="AC8" s="23" t="n"/>
      <c r="AD8" s="23" t="n"/>
      <c r="AE8" s="23" t="n"/>
      <c r="AG8" s="23">
        <f>IFERROR(IF($B8="","",IF(INDEX('DMIC DMS Commissioning-master'!$Z$6:$Z$65,MATCH($B8,'DMIC DMS Commissioning-master'!$B$6:$B$65,0))=0,"",INDEX('DMIC DMS Commissioning-master'!$Z$6:$Z$65,MATCH($B8,'DMIC DMS Commissioning-master'!$B$6:$B$65,0)))),"")</f>
        <v/>
      </c>
    </row>
    <row r="9">
      <c r="B9" s="26">
        <f>IF('DMIC List - master'!B9="","",'DMIC List - master'!B9)</f>
        <v/>
      </c>
      <c r="C9" s="26">
        <f>IFERROR(IF(INDEX('DMIC List - master'!$C:$C,MATCH($B9,CONTRACT_ID,0)+5)="","",INDEX('DMIC List - master'!$C:$C,MATCH($B9,CONTRACT_ID,0)+5)),"")</f>
        <v/>
      </c>
      <c r="D9" s="26">
        <f>IFERROR(IF(INDEX('DMIC List - master'!$D:$D,MATCH($B9,CONTRACT_ID,0)+5)="","",INDEX('DMIC List - master'!$D:$D,MATCH($B9,CONTRACT_ID,0)+5)),"")</f>
        <v/>
      </c>
      <c r="E9" s="26">
        <f>IFERROR(IF(INDEX('DMIC List - master'!$E:$E,MATCH($B9,CONTRACT_ID,0)+5)="","",INDEX('DMIC List - master'!$E:$E,MATCH($B9,CONTRACT_ID,0)+5)),"")</f>
        <v/>
      </c>
      <c r="G9" s="26">
        <f>IFERROR(IF(INDEX('DMIC List - master'!$P:$P,MATCH($B9,CONTRACT_ID,0)+5)="","",INDEX('DMIC List - master'!$P:$P,MATCH($B9,CONTRACT_ID,0)+5)),"")</f>
        <v/>
      </c>
      <c r="H9" s="26">
        <f>IFERROR(IF(INDEX('DMIC List - master'!$Q:$Q,MATCH($B9,CONTRACT_ID,0)+5)="","",INDEX('DMIC List - master'!$Q:$Q,MATCH($B9,CONTRACT_ID,0)+5)),"")</f>
        <v/>
      </c>
      <c r="I9" s="26">
        <f>IFERROR(IF(INDEX('DMIC List - master'!$U:$U,MATCH($B9,CONTRACT_ID,0)+5)="","",INDEX('DMIC List - master'!$U:$U,MATCH($B9,CONTRACT_ID,0)+5)),"")</f>
        <v/>
      </c>
      <c r="K9" s="28" t="n"/>
      <c r="L9" s="28" t="n"/>
      <c r="M9" s="26" t="n"/>
      <c r="N9" s="28" t="n"/>
      <c r="O9" s="26" t="n"/>
      <c r="P9" s="46">
        <f>IFERROR(IF($B9="","",IF(N9&lt;&gt;"",(N9-$P$2)/30,IF(K9&lt;&gt;"",(K9-$P$2)/30,""))),"")</f>
        <v/>
      </c>
      <c r="Q9" s="26" t="n"/>
      <c r="S9" s="28" t="n"/>
      <c r="T9" s="28" t="n"/>
      <c r="V9" s="26" t="n"/>
      <c r="W9" s="26" t="n"/>
      <c r="X9" s="26" t="n"/>
      <c r="Z9" s="26" t="n"/>
      <c r="AA9" s="26" t="n"/>
      <c r="AB9" s="26" t="n"/>
      <c r="AC9" s="26" t="n"/>
      <c r="AD9" s="26" t="n"/>
      <c r="AE9" s="26" t="n"/>
      <c r="AG9" s="26">
        <f>IFERROR(IF($B9="","",IF(INDEX('DMIC DMS Commissioning-master'!$Z$6:$Z$65,MATCH($B9,'DMIC DMS Commissioning-master'!$B$6:$B$65,0))=0,"",INDEX('DMIC DMS Commissioning-master'!$Z$6:$Z$65,MATCH($B9,'DMIC DMS Commissioning-master'!$B$6:$B$65,0)))),"")</f>
        <v/>
      </c>
    </row>
    <row r="10">
      <c r="B10" s="23">
        <f>IF('DMIC List - master'!B10="","",'DMIC List - master'!B10)</f>
        <v/>
      </c>
      <c r="C10" s="23">
        <f>IFERROR(IF(INDEX('DMIC List - master'!$C:$C,MATCH($B10,CONTRACT_ID,0)+5)="","",INDEX('DMIC List - master'!$C:$C,MATCH($B10,CONTRACT_ID,0)+5)),"")</f>
        <v/>
      </c>
      <c r="D10" s="23">
        <f>IFERROR(IF(INDEX('DMIC List - master'!$D:$D,MATCH($B10,CONTRACT_ID,0)+5)="","",INDEX('DMIC List - master'!$D:$D,MATCH($B10,CONTRACT_ID,0)+5)),"")</f>
        <v/>
      </c>
      <c r="E10" s="23">
        <f>IFERROR(IF(INDEX('DMIC List - master'!$E:$E,MATCH($B10,CONTRACT_ID,0)+5)="","",INDEX('DMIC List - master'!$E:$E,MATCH($B10,CONTRACT_ID,0)+5)),"")</f>
        <v/>
      </c>
      <c r="G10" s="23">
        <f>IFERROR(IF(INDEX('DMIC List - master'!$P:$P,MATCH($B10,CONTRACT_ID,0)+5)="","",INDEX('DMIC List - master'!$P:$P,MATCH($B10,CONTRACT_ID,0)+5)),"")</f>
        <v/>
      </c>
      <c r="H10" s="23">
        <f>IFERROR(IF(INDEX('DMIC List - master'!$Q:$Q,MATCH($B10,CONTRACT_ID,0)+5)="","",INDEX('DMIC List - master'!$Q:$Q,MATCH($B10,CONTRACT_ID,0)+5)),"")</f>
        <v/>
      </c>
      <c r="I10" s="23">
        <f>IFERROR(IF(INDEX('DMIC List - master'!$U:$U,MATCH($B10,CONTRACT_ID,0)+5)="","",INDEX('DMIC List - master'!$U:$U,MATCH($B10,CONTRACT_ID,0)+5)),"")</f>
        <v/>
      </c>
      <c r="K10" s="25" t="n"/>
      <c r="L10" s="25" t="n"/>
      <c r="M10" s="23" t="n"/>
      <c r="N10" s="25" t="n"/>
      <c r="O10" s="23" t="n"/>
      <c r="P10" s="45">
        <f>IFERROR(IF($B10="","",IF(N10&lt;&gt;"",(N10-$P$2)/30,IF(K10&lt;&gt;"",(K10-$P$2)/30,""))),"")</f>
        <v/>
      </c>
      <c r="Q10" s="23" t="n"/>
      <c r="S10" s="25" t="n"/>
      <c r="T10" s="25" t="n"/>
      <c r="V10" s="23" t="n"/>
      <c r="W10" s="23" t="n"/>
      <c r="X10" s="23" t="n"/>
      <c r="Z10" s="23" t="n"/>
      <c r="AA10" s="23" t="n"/>
      <c r="AB10" s="23" t="n"/>
      <c r="AC10" s="23" t="n"/>
      <c r="AD10" s="23" t="n"/>
      <c r="AE10" s="23" t="n"/>
      <c r="AG10" s="23">
        <f>IFERROR(IF($B10="","",IF(INDEX('DMIC DMS Commissioning-master'!$Z$6:$Z$65,MATCH($B10,'DMIC DMS Commissioning-master'!$B$6:$B$65,0))=0,"",INDEX('DMIC DMS Commissioning-master'!$Z$6:$Z$65,MATCH($B10,'DMIC DMS Commissioning-master'!$B$6:$B$65,0)))),"")</f>
        <v/>
      </c>
    </row>
    <row r="11">
      <c r="B11" s="26">
        <f>IF('DMIC List - master'!B11="","",'DMIC List - master'!B11)</f>
        <v/>
      </c>
      <c r="C11" s="26">
        <f>IFERROR(IF(INDEX('DMIC List - master'!$C:$C,MATCH($B11,CONTRACT_ID,0)+5)="","",INDEX('DMIC List - master'!$C:$C,MATCH($B11,CONTRACT_ID,0)+5)),"")</f>
        <v/>
      </c>
      <c r="D11" s="26">
        <f>IFERROR(IF(INDEX('DMIC List - master'!$D:$D,MATCH($B11,CONTRACT_ID,0)+5)="","",INDEX('DMIC List - master'!$D:$D,MATCH($B11,CONTRACT_ID,0)+5)),"")</f>
        <v/>
      </c>
      <c r="E11" s="26">
        <f>IFERROR(IF(INDEX('DMIC List - master'!$E:$E,MATCH($B11,CONTRACT_ID,0)+5)="","",INDEX('DMIC List - master'!$E:$E,MATCH($B11,CONTRACT_ID,0)+5)),"")</f>
        <v/>
      </c>
      <c r="G11" s="26">
        <f>IFERROR(IF(INDEX('DMIC List - master'!$P:$P,MATCH($B11,CONTRACT_ID,0)+5)="","",INDEX('DMIC List - master'!$P:$P,MATCH($B11,CONTRACT_ID,0)+5)),"")</f>
        <v/>
      </c>
      <c r="H11" s="26">
        <f>IFERROR(IF(INDEX('DMIC List - master'!$Q:$Q,MATCH($B11,CONTRACT_ID,0)+5)="","",INDEX('DMIC List - master'!$Q:$Q,MATCH($B11,CONTRACT_ID,0)+5)),"")</f>
        <v/>
      </c>
      <c r="I11" s="26">
        <f>IFERROR(IF(INDEX('DMIC List - master'!$U:$U,MATCH($B11,CONTRACT_ID,0)+5)="","",INDEX('DMIC List - master'!$U:$U,MATCH($B11,CONTRACT_ID,0)+5)),"")</f>
        <v/>
      </c>
      <c r="K11" s="28" t="n"/>
      <c r="L11" s="28" t="n"/>
      <c r="M11" s="26" t="n"/>
      <c r="N11" s="28" t="n"/>
      <c r="O11" s="26" t="n"/>
      <c r="P11" s="46">
        <f>IFERROR(IF($B11="","",IF(N11&lt;&gt;"",(N11-$P$2)/30,IF(K11&lt;&gt;"",(K11-$P$2)/30,""))),"")</f>
        <v/>
      </c>
      <c r="Q11" s="26" t="n"/>
      <c r="S11" s="28" t="n"/>
      <c r="T11" s="28" t="n"/>
      <c r="V11" s="26" t="n"/>
      <c r="W11" s="26" t="n"/>
      <c r="X11" s="26" t="n"/>
      <c r="Z11" s="26" t="n"/>
      <c r="AA11" s="26" t="n"/>
      <c r="AB11" s="26" t="n"/>
      <c r="AC11" s="26" t="n"/>
      <c r="AD11" s="26" t="n"/>
      <c r="AE11" s="26" t="n"/>
      <c r="AG11" s="26">
        <f>IFERROR(IF($B11="","",IF(INDEX('DMIC DMS Commissioning-master'!$Z$6:$Z$65,MATCH($B11,'DMIC DMS Commissioning-master'!$B$6:$B$65,0))=0,"",INDEX('DMIC DMS Commissioning-master'!$Z$6:$Z$65,MATCH($B11,'DMIC DMS Commissioning-master'!$B$6:$B$65,0)))),"")</f>
        <v/>
      </c>
    </row>
    <row r="12">
      <c r="B12" s="23">
        <f>IF('DMIC List - master'!B12="","",'DMIC List - master'!B12)</f>
        <v/>
      </c>
      <c r="C12" s="23">
        <f>IFERROR(IF(INDEX('DMIC List - master'!$C:$C,MATCH($B12,CONTRACT_ID,0)+5)="","",INDEX('DMIC List - master'!$C:$C,MATCH($B12,CONTRACT_ID,0)+5)),"")</f>
        <v/>
      </c>
      <c r="D12" s="23">
        <f>IFERROR(IF(INDEX('DMIC List - master'!$D:$D,MATCH($B12,CONTRACT_ID,0)+5)="","",INDEX('DMIC List - master'!$D:$D,MATCH($B12,CONTRACT_ID,0)+5)),"")</f>
        <v/>
      </c>
      <c r="E12" s="23">
        <f>IFERROR(IF(INDEX('DMIC List - master'!$E:$E,MATCH($B12,CONTRACT_ID,0)+5)="","",INDEX('DMIC List - master'!$E:$E,MATCH($B12,CONTRACT_ID,0)+5)),"")</f>
        <v/>
      </c>
      <c r="G12" s="23">
        <f>IFERROR(IF(INDEX('DMIC List - master'!$P:$P,MATCH($B12,CONTRACT_ID,0)+5)="","",INDEX('DMIC List - master'!$P:$P,MATCH($B12,CONTRACT_ID,0)+5)),"")</f>
        <v/>
      </c>
      <c r="H12" s="23">
        <f>IFERROR(IF(INDEX('DMIC List - master'!$Q:$Q,MATCH($B12,CONTRACT_ID,0)+5)="","",INDEX('DMIC List - master'!$Q:$Q,MATCH($B12,CONTRACT_ID,0)+5)),"")</f>
        <v/>
      </c>
      <c r="I12" s="23">
        <f>IFERROR(IF(INDEX('DMIC List - master'!$U:$U,MATCH($B12,CONTRACT_ID,0)+5)="","",INDEX('DMIC List - master'!$U:$U,MATCH($B12,CONTRACT_ID,0)+5)),"")</f>
        <v/>
      </c>
      <c r="K12" s="25" t="n"/>
      <c r="L12" s="25" t="n"/>
      <c r="M12" s="23" t="n"/>
      <c r="N12" s="25" t="n"/>
      <c r="O12" s="23" t="n"/>
      <c r="P12" s="45">
        <f>IFERROR(IF($B12="","",IF(N12&lt;&gt;"",(N12-$P$2)/30,IF(K12&lt;&gt;"",(K12-$P$2)/30,""))),"")</f>
        <v/>
      </c>
      <c r="Q12" s="23" t="n"/>
      <c r="S12" s="25" t="n"/>
      <c r="T12" s="25" t="n"/>
      <c r="V12" s="23" t="n"/>
      <c r="W12" s="23" t="n"/>
      <c r="X12" s="23" t="n"/>
      <c r="Z12" s="23" t="n"/>
      <c r="AA12" s="23" t="n"/>
      <c r="AB12" s="23" t="n"/>
      <c r="AC12" s="23" t="n"/>
      <c r="AD12" s="23" t="n"/>
      <c r="AE12" s="23" t="n"/>
      <c r="AG12" s="23">
        <f>IFERROR(IF($B12="","",IF(INDEX('DMIC DMS Commissioning-master'!$Z$6:$Z$65,MATCH($B12,'DMIC DMS Commissioning-master'!$B$6:$B$65,0))=0,"",INDEX('DMIC DMS Commissioning-master'!$Z$6:$Z$65,MATCH($B12,'DMIC DMS Commissioning-master'!$B$6:$B$65,0)))),"")</f>
        <v/>
      </c>
    </row>
    <row r="13">
      <c r="B13" s="26">
        <f>IF('DMIC List - master'!B13="","",'DMIC List - master'!B13)</f>
        <v/>
      </c>
      <c r="C13" s="26">
        <f>IFERROR(IF(INDEX('DMIC List - master'!$C:$C,MATCH($B13,CONTRACT_ID,0)+5)="","",INDEX('DMIC List - master'!$C:$C,MATCH($B13,CONTRACT_ID,0)+5)),"")</f>
        <v/>
      </c>
      <c r="D13" s="26">
        <f>IFERROR(IF(INDEX('DMIC List - master'!$D:$D,MATCH($B13,CONTRACT_ID,0)+5)="","",INDEX('DMIC List - master'!$D:$D,MATCH($B13,CONTRACT_ID,0)+5)),"")</f>
        <v/>
      </c>
      <c r="E13" s="26">
        <f>IFERROR(IF(INDEX('DMIC List - master'!$E:$E,MATCH($B13,CONTRACT_ID,0)+5)="","",INDEX('DMIC List - master'!$E:$E,MATCH($B13,CONTRACT_ID,0)+5)),"")</f>
        <v/>
      </c>
      <c r="G13" s="26">
        <f>IFERROR(IF(INDEX('DMIC List - master'!$P:$P,MATCH($B13,CONTRACT_ID,0)+5)="","",INDEX('DMIC List - master'!$P:$P,MATCH($B13,CONTRACT_ID,0)+5)),"")</f>
        <v/>
      </c>
      <c r="H13" s="26">
        <f>IFERROR(IF(INDEX('DMIC List - master'!$Q:$Q,MATCH($B13,CONTRACT_ID,0)+5)="","",INDEX('DMIC List - master'!$Q:$Q,MATCH($B13,CONTRACT_ID,0)+5)),"")</f>
        <v/>
      </c>
      <c r="I13" s="26">
        <f>IFERROR(IF(INDEX('DMIC List - master'!$U:$U,MATCH($B13,CONTRACT_ID,0)+5)="","",INDEX('DMIC List - master'!$U:$U,MATCH($B13,CONTRACT_ID,0)+5)),"")</f>
        <v/>
      </c>
      <c r="K13" s="28" t="n"/>
      <c r="L13" s="28" t="n"/>
      <c r="M13" s="26" t="n"/>
      <c r="N13" s="28" t="n"/>
      <c r="O13" s="26" t="n"/>
      <c r="P13" s="46">
        <f>IFERROR(IF($B13="","",IF(N13&lt;&gt;"",(N13-$P$2)/30,IF(K13&lt;&gt;"",(K13-$P$2)/30,""))),"")</f>
        <v/>
      </c>
      <c r="Q13" s="26" t="n"/>
      <c r="S13" s="28" t="n"/>
      <c r="T13" s="28" t="n"/>
      <c r="V13" s="26" t="n"/>
      <c r="W13" s="26" t="n"/>
      <c r="X13" s="26" t="n"/>
      <c r="Z13" s="26" t="n"/>
      <c r="AA13" s="26" t="n"/>
      <c r="AB13" s="26" t="n"/>
      <c r="AC13" s="26" t="n"/>
      <c r="AD13" s="26" t="n"/>
      <c r="AE13" s="26" t="n"/>
      <c r="AG13" s="26">
        <f>IFERROR(IF($B13="","",IF(INDEX('DMIC DMS Commissioning-master'!$Z$6:$Z$65,MATCH($B13,'DMIC DMS Commissioning-master'!$B$6:$B$65,0))=0,"",INDEX('DMIC DMS Commissioning-master'!$Z$6:$Z$65,MATCH($B13,'DMIC DMS Commissioning-master'!$B$6:$B$65,0)))),"")</f>
        <v/>
      </c>
    </row>
    <row r="14">
      <c r="B14" s="23">
        <f>IF('DMIC List - master'!B14="","",'DMIC List - master'!B14)</f>
        <v/>
      </c>
      <c r="C14" s="23">
        <f>IFERROR(IF(INDEX('DMIC List - master'!$C:$C,MATCH($B14,CONTRACT_ID,0)+5)="","",INDEX('DMIC List - master'!$C:$C,MATCH($B14,CONTRACT_ID,0)+5)),"")</f>
        <v/>
      </c>
      <c r="D14" s="23">
        <f>IFERROR(IF(INDEX('DMIC List - master'!$D:$D,MATCH($B14,CONTRACT_ID,0)+5)="","",INDEX('DMIC List - master'!$D:$D,MATCH($B14,CONTRACT_ID,0)+5)),"")</f>
        <v/>
      </c>
      <c r="E14" s="23">
        <f>IFERROR(IF(INDEX('DMIC List - master'!$E:$E,MATCH($B14,CONTRACT_ID,0)+5)="","",INDEX('DMIC List - master'!$E:$E,MATCH($B14,CONTRACT_ID,0)+5)),"")</f>
        <v/>
      </c>
      <c r="G14" s="23">
        <f>IFERROR(IF(INDEX('DMIC List - master'!$P:$P,MATCH($B14,CONTRACT_ID,0)+5)="","",INDEX('DMIC List - master'!$P:$P,MATCH($B14,CONTRACT_ID,0)+5)),"")</f>
        <v/>
      </c>
      <c r="H14" s="23">
        <f>IFERROR(IF(INDEX('DMIC List - master'!$Q:$Q,MATCH($B14,CONTRACT_ID,0)+5)="","",INDEX('DMIC List - master'!$Q:$Q,MATCH($B14,CONTRACT_ID,0)+5)),"")</f>
        <v/>
      </c>
      <c r="I14" s="23">
        <f>IFERROR(IF(INDEX('DMIC List - master'!$U:$U,MATCH($B14,CONTRACT_ID,0)+5)="","",INDEX('DMIC List - master'!$U:$U,MATCH($B14,CONTRACT_ID,0)+5)),"")</f>
        <v/>
      </c>
      <c r="K14" s="25" t="n"/>
      <c r="L14" s="25" t="n"/>
      <c r="M14" s="23" t="n"/>
      <c r="N14" s="25" t="n"/>
      <c r="O14" s="23" t="n"/>
      <c r="P14" s="45">
        <f>IFERROR(IF($B14="","",IF(N14&lt;&gt;"",(N14-$P$2)/30,IF(K14&lt;&gt;"",(K14-$P$2)/30,""))),"")</f>
        <v/>
      </c>
      <c r="Q14" s="23" t="n"/>
      <c r="S14" s="25" t="n"/>
      <c r="T14" s="25" t="n"/>
      <c r="V14" s="23" t="n"/>
      <c r="W14" s="23" t="n"/>
      <c r="X14" s="23" t="n"/>
      <c r="Z14" s="23" t="n"/>
      <c r="AA14" s="23" t="n"/>
      <c r="AB14" s="23" t="n"/>
      <c r="AC14" s="23" t="n"/>
      <c r="AD14" s="23" t="n"/>
      <c r="AE14" s="23" t="n"/>
      <c r="AG14" s="23">
        <f>IFERROR(IF($B14="","",IF(INDEX('DMIC DMS Commissioning-master'!$Z$6:$Z$65,MATCH($B14,'DMIC DMS Commissioning-master'!$B$6:$B$65,0))=0,"",INDEX('DMIC DMS Commissioning-master'!$Z$6:$Z$65,MATCH($B14,'DMIC DMS Commissioning-master'!$B$6:$B$65,0)))),"")</f>
        <v/>
      </c>
    </row>
    <row r="15">
      <c r="B15" s="26">
        <f>IF('DMIC List - master'!B15="","",'DMIC List - master'!B15)</f>
        <v/>
      </c>
      <c r="C15" s="26">
        <f>IFERROR(IF(INDEX('DMIC List - master'!$C:$C,MATCH($B15,CONTRACT_ID,0)+5)="","",INDEX('DMIC List - master'!$C:$C,MATCH($B15,CONTRACT_ID,0)+5)),"")</f>
        <v/>
      </c>
      <c r="D15" s="26">
        <f>IFERROR(IF(INDEX('DMIC List - master'!$D:$D,MATCH($B15,CONTRACT_ID,0)+5)="","",INDEX('DMIC List - master'!$D:$D,MATCH($B15,CONTRACT_ID,0)+5)),"")</f>
        <v/>
      </c>
      <c r="E15" s="26">
        <f>IFERROR(IF(INDEX('DMIC List - master'!$E:$E,MATCH($B15,CONTRACT_ID,0)+5)="","",INDEX('DMIC List - master'!$E:$E,MATCH($B15,CONTRACT_ID,0)+5)),"")</f>
        <v/>
      </c>
      <c r="G15" s="26">
        <f>IFERROR(IF(INDEX('DMIC List - master'!$P:$P,MATCH($B15,CONTRACT_ID,0)+5)="","",INDEX('DMIC List - master'!$P:$P,MATCH($B15,CONTRACT_ID,0)+5)),"")</f>
        <v/>
      </c>
      <c r="H15" s="26">
        <f>IFERROR(IF(INDEX('DMIC List - master'!$Q:$Q,MATCH($B15,CONTRACT_ID,0)+5)="","",INDEX('DMIC List - master'!$Q:$Q,MATCH($B15,CONTRACT_ID,0)+5)),"")</f>
        <v/>
      </c>
      <c r="I15" s="26">
        <f>IFERROR(IF(INDEX('DMIC List - master'!$U:$U,MATCH($B15,CONTRACT_ID,0)+5)="","",INDEX('DMIC List - master'!$U:$U,MATCH($B15,CONTRACT_ID,0)+5)),"")</f>
        <v/>
      </c>
      <c r="K15" s="28" t="n"/>
      <c r="L15" s="28" t="n"/>
      <c r="M15" s="26" t="n"/>
      <c r="N15" s="28" t="n"/>
      <c r="O15" s="26" t="n"/>
      <c r="P15" s="46">
        <f>IFERROR(IF($B15="","",IF(N15&lt;&gt;"",(N15-$P$2)/30,IF(K15&lt;&gt;"",(K15-$P$2)/30,""))),"")</f>
        <v/>
      </c>
      <c r="Q15" s="26" t="n"/>
      <c r="S15" s="28" t="n"/>
      <c r="T15" s="28" t="n"/>
      <c r="V15" s="26" t="n"/>
      <c r="W15" s="26" t="n"/>
      <c r="X15" s="26" t="n"/>
      <c r="Z15" s="26" t="n"/>
      <c r="AA15" s="26" t="n"/>
      <c r="AB15" s="26" t="n"/>
      <c r="AC15" s="26" t="n"/>
      <c r="AD15" s="26" t="n"/>
      <c r="AE15" s="26" t="n"/>
      <c r="AG15" s="26">
        <f>IFERROR(IF($B15="","",IF(INDEX('DMIC DMS Commissioning-master'!$Z$6:$Z$65,MATCH($B15,'DMIC DMS Commissioning-master'!$B$6:$B$65,0))=0,"",INDEX('DMIC DMS Commissioning-master'!$Z$6:$Z$65,MATCH($B15,'DMIC DMS Commissioning-master'!$B$6:$B$65,0)))),"")</f>
        <v/>
      </c>
    </row>
    <row r="16">
      <c r="B16" s="23">
        <f>IF('DMIC List - master'!B16="","",'DMIC List - master'!B16)</f>
        <v/>
      </c>
      <c r="C16" s="23">
        <f>IFERROR(IF(INDEX('DMIC List - master'!$C:$C,MATCH($B16,CONTRACT_ID,0)+5)="","",INDEX('DMIC List - master'!$C:$C,MATCH($B16,CONTRACT_ID,0)+5)),"")</f>
        <v/>
      </c>
      <c r="D16" s="23">
        <f>IFERROR(IF(INDEX('DMIC List - master'!$D:$D,MATCH($B16,CONTRACT_ID,0)+5)="","",INDEX('DMIC List - master'!$D:$D,MATCH($B16,CONTRACT_ID,0)+5)),"")</f>
        <v/>
      </c>
      <c r="E16" s="23">
        <f>IFERROR(IF(INDEX('DMIC List - master'!$E:$E,MATCH($B16,CONTRACT_ID,0)+5)="","",INDEX('DMIC List - master'!$E:$E,MATCH($B16,CONTRACT_ID,0)+5)),"")</f>
        <v/>
      </c>
      <c r="G16" s="23">
        <f>IFERROR(IF(INDEX('DMIC List - master'!$P:$P,MATCH($B16,CONTRACT_ID,0)+5)="","",INDEX('DMIC List - master'!$P:$P,MATCH($B16,CONTRACT_ID,0)+5)),"")</f>
        <v/>
      </c>
      <c r="H16" s="23">
        <f>IFERROR(IF(INDEX('DMIC List - master'!$Q:$Q,MATCH($B16,CONTRACT_ID,0)+5)="","",INDEX('DMIC List - master'!$Q:$Q,MATCH($B16,CONTRACT_ID,0)+5)),"")</f>
        <v/>
      </c>
      <c r="I16" s="23">
        <f>IFERROR(IF(INDEX('DMIC List - master'!$U:$U,MATCH($B16,CONTRACT_ID,0)+5)="","",INDEX('DMIC List - master'!$U:$U,MATCH($B16,CONTRACT_ID,0)+5)),"")</f>
        <v/>
      </c>
      <c r="K16" s="25" t="n"/>
      <c r="L16" s="25" t="n"/>
      <c r="M16" s="23" t="n"/>
      <c r="N16" s="25" t="n"/>
      <c r="O16" s="23" t="n"/>
      <c r="P16" s="45">
        <f>IFERROR(IF($B16="","",IF(N16&lt;&gt;"",(N16-$P$2)/30,IF(K16&lt;&gt;"",(K16-$P$2)/30,""))),"")</f>
        <v/>
      </c>
      <c r="Q16" s="23" t="n"/>
      <c r="S16" s="25" t="n"/>
      <c r="T16" s="25" t="n"/>
      <c r="V16" s="23" t="n"/>
      <c r="W16" s="23" t="n"/>
      <c r="X16" s="23" t="n"/>
      <c r="Z16" s="23" t="n"/>
      <c r="AA16" s="23" t="n"/>
      <c r="AB16" s="23" t="n"/>
      <c r="AC16" s="23" t="n"/>
      <c r="AD16" s="23" t="n"/>
      <c r="AE16" s="23" t="n"/>
      <c r="AG16" s="23">
        <f>IFERROR(IF($B16="","",IF(INDEX('DMIC DMS Commissioning-master'!$Z$6:$Z$65,MATCH($B16,'DMIC DMS Commissioning-master'!$B$6:$B$65,0))=0,"",INDEX('DMIC DMS Commissioning-master'!$Z$6:$Z$65,MATCH($B16,'DMIC DMS Commissioning-master'!$B$6:$B$65,0)))),"")</f>
        <v/>
      </c>
    </row>
    <row r="17">
      <c r="B17" s="26">
        <f>IF('DMIC List - master'!B17="","",'DMIC List - master'!B17)</f>
        <v/>
      </c>
      <c r="C17" s="26">
        <f>IFERROR(IF(INDEX('DMIC List - master'!$C:$C,MATCH($B17,CONTRACT_ID,0)+5)="","",INDEX('DMIC List - master'!$C:$C,MATCH($B17,CONTRACT_ID,0)+5)),"")</f>
        <v/>
      </c>
      <c r="D17" s="26">
        <f>IFERROR(IF(INDEX('DMIC List - master'!$D:$D,MATCH($B17,CONTRACT_ID,0)+5)="","",INDEX('DMIC List - master'!$D:$D,MATCH($B17,CONTRACT_ID,0)+5)),"")</f>
        <v/>
      </c>
      <c r="E17" s="26">
        <f>IFERROR(IF(INDEX('DMIC List - master'!$E:$E,MATCH($B17,CONTRACT_ID,0)+5)="","",INDEX('DMIC List - master'!$E:$E,MATCH($B17,CONTRACT_ID,0)+5)),"")</f>
        <v/>
      </c>
      <c r="G17" s="26">
        <f>IFERROR(IF(INDEX('DMIC List - master'!$P:$P,MATCH($B17,CONTRACT_ID,0)+5)="","",INDEX('DMIC List - master'!$P:$P,MATCH($B17,CONTRACT_ID,0)+5)),"")</f>
        <v/>
      </c>
      <c r="H17" s="26">
        <f>IFERROR(IF(INDEX('DMIC List - master'!$Q:$Q,MATCH($B17,CONTRACT_ID,0)+5)="","",INDEX('DMIC List - master'!$Q:$Q,MATCH($B17,CONTRACT_ID,0)+5)),"")</f>
        <v/>
      </c>
      <c r="I17" s="26">
        <f>IFERROR(IF(INDEX('DMIC List - master'!$U:$U,MATCH($B17,CONTRACT_ID,0)+5)="","",INDEX('DMIC List - master'!$U:$U,MATCH($B17,CONTRACT_ID,0)+5)),"")</f>
        <v/>
      </c>
      <c r="K17" s="28" t="n"/>
      <c r="L17" s="28" t="n"/>
      <c r="M17" s="26" t="n"/>
      <c r="N17" s="28" t="n"/>
      <c r="O17" s="26" t="n"/>
      <c r="P17" s="46">
        <f>IFERROR(IF($B17="","",IF(N17&lt;&gt;"",(N17-$P$2)/30,IF(K17&lt;&gt;"",(K17-$P$2)/30,""))),"")</f>
        <v/>
      </c>
      <c r="Q17" s="26" t="n"/>
      <c r="S17" s="28" t="n"/>
      <c r="T17" s="28" t="n"/>
      <c r="V17" s="26" t="n"/>
      <c r="W17" s="26" t="n"/>
      <c r="X17" s="26" t="n"/>
      <c r="Z17" s="26" t="n"/>
      <c r="AA17" s="26" t="n"/>
      <c r="AB17" s="26" t="n"/>
      <c r="AC17" s="26" t="n"/>
      <c r="AD17" s="26" t="n"/>
      <c r="AE17" s="26" t="n"/>
      <c r="AG17" s="26">
        <f>IFERROR(IF($B17="","",IF(INDEX('DMIC DMS Commissioning-master'!$Z$6:$Z$65,MATCH($B17,'DMIC DMS Commissioning-master'!$B$6:$B$65,0))=0,"",INDEX('DMIC DMS Commissioning-master'!$Z$6:$Z$65,MATCH($B17,'DMIC DMS Commissioning-master'!$B$6:$B$65,0)))),"")</f>
        <v/>
      </c>
    </row>
    <row r="18">
      <c r="B18" s="23">
        <f>IF('DMIC List - master'!B18="","",'DMIC List - master'!B18)</f>
        <v/>
      </c>
      <c r="C18" s="23">
        <f>IFERROR(IF(INDEX('DMIC List - master'!$C:$C,MATCH($B18,CONTRACT_ID,0)+5)="","",INDEX('DMIC List - master'!$C:$C,MATCH($B18,CONTRACT_ID,0)+5)),"")</f>
        <v/>
      </c>
      <c r="D18" s="23">
        <f>IFERROR(IF(INDEX('DMIC List - master'!$D:$D,MATCH($B18,CONTRACT_ID,0)+5)="","",INDEX('DMIC List - master'!$D:$D,MATCH($B18,CONTRACT_ID,0)+5)),"")</f>
        <v/>
      </c>
      <c r="E18" s="23">
        <f>IFERROR(IF(INDEX('DMIC List - master'!$E:$E,MATCH($B18,CONTRACT_ID,0)+5)="","",INDEX('DMIC List - master'!$E:$E,MATCH($B18,CONTRACT_ID,0)+5)),"")</f>
        <v/>
      </c>
      <c r="G18" s="23">
        <f>IFERROR(IF(INDEX('DMIC List - master'!$P:$P,MATCH($B18,CONTRACT_ID,0)+5)="","",INDEX('DMIC List - master'!$P:$P,MATCH($B18,CONTRACT_ID,0)+5)),"")</f>
        <v/>
      </c>
      <c r="H18" s="23">
        <f>IFERROR(IF(INDEX('DMIC List - master'!$Q:$Q,MATCH($B18,CONTRACT_ID,0)+5)="","",INDEX('DMIC List - master'!$Q:$Q,MATCH($B18,CONTRACT_ID,0)+5)),"")</f>
        <v/>
      </c>
      <c r="I18" s="23">
        <f>IFERROR(IF(INDEX('DMIC List - master'!$U:$U,MATCH($B18,CONTRACT_ID,0)+5)="","",INDEX('DMIC List - master'!$U:$U,MATCH($B18,CONTRACT_ID,0)+5)),"")</f>
        <v/>
      </c>
      <c r="K18" s="25" t="n"/>
      <c r="L18" s="25" t="n"/>
      <c r="M18" s="23" t="n"/>
      <c r="N18" s="25" t="n"/>
      <c r="O18" s="23" t="n"/>
      <c r="P18" s="45">
        <f>IFERROR(IF($B18="","",IF(N18&lt;&gt;"",(N18-$P$2)/30,IF(K18&lt;&gt;"",(K18-$P$2)/30,""))),"")</f>
        <v/>
      </c>
      <c r="Q18" s="23" t="n"/>
      <c r="S18" s="25" t="n"/>
      <c r="T18" s="25" t="n"/>
      <c r="V18" s="23" t="n"/>
      <c r="W18" s="23" t="n"/>
      <c r="X18" s="23" t="n"/>
      <c r="Z18" s="23" t="n"/>
      <c r="AA18" s="23" t="n"/>
      <c r="AB18" s="23" t="n"/>
      <c r="AC18" s="23" t="n"/>
      <c r="AD18" s="23" t="n"/>
      <c r="AE18" s="23" t="n"/>
      <c r="AG18" s="23">
        <f>IFERROR(IF($B18="","",IF(INDEX('DMIC DMS Commissioning-master'!$Z$6:$Z$65,MATCH($B18,'DMIC DMS Commissioning-master'!$B$6:$B$65,0))=0,"",INDEX('DMIC DMS Commissioning-master'!$Z$6:$Z$65,MATCH($B18,'DMIC DMS Commissioning-master'!$B$6:$B$65,0)))),"")</f>
        <v/>
      </c>
    </row>
    <row r="19">
      <c r="B19" s="26">
        <f>IF('DMIC List - master'!B19="","",'DMIC List - master'!B19)</f>
        <v/>
      </c>
      <c r="C19" s="26">
        <f>IFERROR(IF(INDEX('DMIC List - master'!$C:$C,MATCH($B19,CONTRACT_ID,0)+5)="","",INDEX('DMIC List - master'!$C:$C,MATCH($B19,CONTRACT_ID,0)+5)),"")</f>
        <v/>
      </c>
      <c r="D19" s="26">
        <f>IFERROR(IF(INDEX('DMIC List - master'!$D:$D,MATCH($B19,CONTRACT_ID,0)+5)="","",INDEX('DMIC List - master'!$D:$D,MATCH($B19,CONTRACT_ID,0)+5)),"")</f>
        <v/>
      </c>
      <c r="E19" s="26">
        <f>IFERROR(IF(INDEX('DMIC List - master'!$E:$E,MATCH($B19,CONTRACT_ID,0)+5)="","",INDEX('DMIC List - master'!$E:$E,MATCH($B19,CONTRACT_ID,0)+5)),"")</f>
        <v/>
      </c>
      <c r="G19" s="26">
        <f>IFERROR(IF(INDEX('DMIC List - master'!$P:$P,MATCH($B19,CONTRACT_ID,0)+5)="","",INDEX('DMIC List - master'!$P:$P,MATCH($B19,CONTRACT_ID,0)+5)),"")</f>
        <v/>
      </c>
      <c r="H19" s="26">
        <f>IFERROR(IF(INDEX('DMIC List - master'!$Q:$Q,MATCH($B19,CONTRACT_ID,0)+5)="","",INDEX('DMIC List - master'!$Q:$Q,MATCH($B19,CONTRACT_ID,0)+5)),"")</f>
        <v/>
      </c>
      <c r="I19" s="26">
        <f>IFERROR(IF(INDEX('DMIC List - master'!$U:$U,MATCH($B19,CONTRACT_ID,0)+5)="","",INDEX('DMIC List - master'!$U:$U,MATCH($B19,CONTRACT_ID,0)+5)),"")</f>
        <v/>
      </c>
      <c r="K19" s="28" t="n"/>
      <c r="L19" s="28" t="n"/>
      <c r="M19" s="26" t="n"/>
      <c r="N19" s="28" t="n"/>
      <c r="O19" s="26" t="n"/>
      <c r="P19" s="46">
        <f>IFERROR(IF($B19="","",IF(N19&lt;&gt;"",(N19-$P$2)/30,IF(K19&lt;&gt;"",(K19-$P$2)/30,""))),"")</f>
        <v/>
      </c>
      <c r="Q19" s="26" t="n"/>
      <c r="S19" s="28" t="n"/>
      <c r="T19" s="28" t="n"/>
      <c r="V19" s="26" t="n"/>
      <c r="W19" s="26" t="n"/>
      <c r="X19" s="26" t="n"/>
      <c r="Z19" s="26" t="n"/>
      <c r="AA19" s="26" t="n"/>
      <c r="AB19" s="26" t="n"/>
      <c r="AC19" s="26" t="n"/>
      <c r="AD19" s="26" t="n"/>
      <c r="AE19" s="26" t="n"/>
      <c r="AG19" s="26">
        <f>IFERROR(IF($B19="","",IF(INDEX('DMIC DMS Commissioning-master'!$Z$6:$Z$65,MATCH($B19,'DMIC DMS Commissioning-master'!$B$6:$B$65,0))=0,"",INDEX('DMIC DMS Commissioning-master'!$Z$6:$Z$65,MATCH($B19,'DMIC DMS Commissioning-master'!$B$6:$B$65,0)))),"")</f>
        <v/>
      </c>
    </row>
    <row r="20">
      <c r="B20" s="23">
        <f>IF('DMIC List - master'!B20="","",'DMIC List - master'!B20)</f>
        <v/>
      </c>
      <c r="C20" s="23">
        <f>IFERROR(IF(INDEX('DMIC List - master'!$C:$C,MATCH($B20,CONTRACT_ID,0)+5)="","",INDEX('DMIC List - master'!$C:$C,MATCH($B20,CONTRACT_ID,0)+5)),"")</f>
        <v/>
      </c>
      <c r="D20" s="23">
        <f>IFERROR(IF(INDEX('DMIC List - master'!$D:$D,MATCH($B20,CONTRACT_ID,0)+5)="","",INDEX('DMIC List - master'!$D:$D,MATCH($B20,CONTRACT_ID,0)+5)),"")</f>
        <v/>
      </c>
      <c r="E20" s="23">
        <f>IFERROR(IF(INDEX('DMIC List - master'!$E:$E,MATCH($B20,CONTRACT_ID,0)+5)="","",INDEX('DMIC List - master'!$E:$E,MATCH($B20,CONTRACT_ID,0)+5)),"")</f>
        <v/>
      </c>
      <c r="G20" s="23">
        <f>IFERROR(IF(INDEX('DMIC List - master'!$P:$P,MATCH($B20,CONTRACT_ID,0)+5)="","",INDEX('DMIC List - master'!$P:$P,MATCH($B20,CONTRACT_ID,0)+5)),"")</f>
        <v/>
      </c>
      <c r="H20" s="23">
        <f>IFERROR(IF(INDEX('DMIC List - master'!$Q:$Q,MATCH($B20,CONTRACT_ID,0)+5)="","",INDEX('DMIC List - master'!$Q:$Q,MATCH($B20,CONTRACT_ID,0)+5)),"")</f>
        <v/>
      </c>
      <c r="I20" s="23">
        <f>IFERROR(IF(INDEX('DMIC List - master'!$U:$U,MATCH($B20,CONTRACT_ID,0)+5)="","",INDEX('DMIC List - master'!$U:$U,MATCH($B20,CONTRACT_ID,0)+5)),"")</f>
        <v/>
      </c>
      <c r="K20" s="25" t="n"/>
      <c r="L20" s="25" t="n"/>
      <c r="M20" s="23" t="n"/>
      <c r="N20" s="25" t="n"/>
      <c r="O20" s="23" t="n"/>
      <c r="P20" s="45">
        <f>IFERROR(IF($B20="","",IF(N20&lt;&gt;"",(N20-$P$2)/30,IF(K20&lt;&gt;"",(K20-$P$2)/30,""))),"")</f>
        <v/>
      </c>
      <c r="Q20" s="23" t="n"/>
      <c r="S20" s="25" t="n"/>
      <c r="T20" s="25" t="n"/>
      <c r="V20" s="23" t="n"/>
      <c r="W20" s="23" t="n"/>
      <c r="X20" s="23" t="n"/>
      <c r="Z20" s="23" t="n"/>
      <c r="AA20" s="23" t="n"/>
      <c r="AB20" s="23" t="n"/>
      <c r="AC20" s="23" t="n"/>
      <c r="AD20" s="23" t="n"/>
      <c r="AE20" s="23" t="n"/>
      <c r="AG20" s="23">
        <f>IFERROR(IF($B20="","",IF(INDEX('DMIC DMS Commissioning-master'!$Z$6:$Z$65,MATCH($B20,'DMIC DMS Commissioning-master'!$B$6:$B$65,0))=0,"",INDEX('DMIC DMS Commissioning-master'!$Z$6:$Z$65,MATCH($B20,'DMIC DMS Commissioning-master'!$B$6:$B$65,0)))),"")</f>
        <v/>
      </c>
    </row>
    <row r="21">
      <c r="B21" s="26">
        <f>IF('DMIC List - master'!B21="","",'DMIC List - master'!B21)</f>
        <v/>
      </c>
      <c r="C21" s="26">
        <f>IFERROR(IF(INDEX('DMIC List - master'!$C:$C,MATCH($B21,CONTRACT_ID,0)+5)="","",INDEX('DMIC List - master'!$C:$C,MATCH($B21,CONTRACT_ID,0)+5)),"")</f>
        <v/>
      </c>
      <c r="D21" s="26">
        <f>IFERROR(IF(INDEX('DMIC List - master'!$D:$D,MATCH($B21,CONTRACT_ID,0)+5)="","",INDEX('DMIC List - master'!$D:$D,MATCH($B21,CONTRACT_ID,0)+5)),"")</f>
        <v/>
      </c>
      <c r="E21" s="26">
        <f>IFERROR(IF(INDEX('DMIC List - master'!$E:$E,MATCH($B21,CONTRACT_ID,0)+5)="","",INDEX('DMIC List - master'!$E:$E,MATCH($B21,CONTRACT_ID,0)+5)),"")</f>
        <v/>
      </c>
      <c r="G21" s="26">
        <f>IFERROR(IF(INDEX('DMIC List - master'!$P:$P,MATCH($B21,CONTRACT_ID,0)+5)="","",INDEX('DMIC List - master'!$P:$P,MATCH($B21,CONTRACT_ID,0)+5)),"")</f>
        <v/>
      </c>
      <c r="H21" s="26">
        <f>IFERROR(IF(INDEX('DMIC List - master'!$Q:$Q,MATCH($B21,CONTRACT_ID,0)+5)="","",INDEX('DMIC List - master'!$Q:$Q,MATCH($B21,CONTRACT_ID,0)+5)),"")</f>
        <v/>
      </c>
      <c r="I21" s="26">
        <f>IFERROR(IF(INDEX('DMIC List - master'!$U:$U,MATCH($B21,CONTRACT_ID,0)+5)="","",INDEX('DMIC List - master'!$U:$U,MATCH($B21,CONTRACT_ID,0)+5)),"")</f>
        <v/>
      </c>
      <c r="K21" s="28" t="n"/>
      <c r="L21" s="28" t="n"/>
      <c r="M21" s="26" t="n"/>
      <c r="N21" s="28" t="n"/>
      <c r="O21" s="26" t="n"/>
      <c r="P21" s="46">
        <f>IFERROR(IF($B21="","",IF(N21&lt;&gt;"",(N21-$P$2)/30,IF(K21&lt;&gt;"",(K21-$P$2)/30,""))),"")</f>
        <v/>
      </c>
      <c r="Q21" s="26" t="n"/>
      <c r="S21" s="28" t="n"/>
      <c r="T21" s="28" t="n"/>
      <c r="V21" s="26" t="n"/>
      <c r="W21" s="26" t="n"/>
      <c r="X21" s="26" t="n"/>
      <c r="Z21" s="26" t="n"/>
      <c r="AA21" s="26" t="n"/>
      <c r="AB21" s="26" t="n"/>
      <c r="AC21" s="26" t="n"/>
      <c r="AD21" s="26" t="n"/>
      <c r="AE21" s="26" t="n"/>
      <c r="AG21" s="26">
        <f>IFERROR(IF($B21="","",IF(INDEX('DMIC DMS Commissioning-master'!$Z$6:$Z$65,MATCH($B21,'DMIC DMS Commissioning-master'!$B$6:$B$65,0))=0,"",INDEX('DMIC DMS Commissioning-master'!$Z$6:$Z$65,MATCH($B21,'DMIC DMS Commissioning-master'!$B$6:$B$65,0)))),"")</f>
        <v/>
      </c>
    </row>
    <row r="22">
      <c r="B22" s="23">
        <f>IF('DMIC List - master'!B22="","",'DMIC List - master'!B22)</f>
        <v/>
      </c>
      <c r="C22" s="23">
        <f>IFERROR(IF(INDEX('DMIC List - master'!$C:$C,MATCH($B22,CONTRACT_ID,0)+5)="","",INDEX('DMIC List - master'!$C:$C,MATCH($B22,CONTRACT_ID,0)+5)),"")</f>
        <v/>
      </c>
      <c r="D22" s="23">
        <f>IFERROR(IF(INDEX('DMIC List - master'!$D:$D,MATCH($B22,CONTRACT_ID,0)+5)="","",INDEX('DMIC List - master'!$D:$D,MATCH($B22,CONTRACT_ID,0)+5)),"")</f>
        <v/>
      </c>
      <c r="E22" s="23">
        <f>IFERROR(IF(INDEX('DMIC List - master'!$E:$E,MATCH($B22,CONTRACT_ID,0)+5)="","",INDEX('DMIC List - master'!$E:$E,MATCH($B22,CONTRACT_ID,0)+5)),"")</f>
        <v/>
      </c>
      <c r="G22" s="23">
        <f>IFERROR(IF(INDEX('DMIC List - master'!$P:$P,MATCH($B22,CONTRACT_ID,0)+5)="","",INDEX('DMIC List - master'!$P:$P,MATCH($B22,CONTRACT_ID,0)+5)),"")</f>
        <v/>
      </c>
      <c r="H22" s="23">
        <f>IFERROR(IF(INDEX('DMIC List - master'!$Q:$Q,MATCH($B22,CONTRACT_ID,0)+5)="","",INDEX('DMIC List - master'!$Q:$Q,MATCH($B22,CONTRACT_ID,0)+5)),"")</f>
        <v/>
      </c>
      <c r="I22" s="23">
        <f>IFERROR(IF(INDEX('DMIC List - master'!$U:$U,MATCH($B22,CONTRACT_ID,0)+5)="","",INDEX('DMIC List - master'!$U:$U,MATCH($B22,CONTRACT_ID,0)+5)),"")</f>
        <v/>
      </c>
      <c r="K22" s="25" t="n"/>
      <c r="L22" s="25" t="n"/>
      <c r="M22" s="23" t="n"/>
      <c r="N22" s="25" t="n"/>
      <c r="O22" s="23" t="n"/>
      <c r="P22" s="45">
        <f>IFERROR(IF($B22="","",IF(N22&lt;&gt;"",(N22-$P$2)/30,IF(K22&lt;&gt;"",(K22-$P$2)/30,""))),"")</f>
        <v/>
      </c>
      <c r="Q22" s="23" t="n"/>
      <c r="S22" s="25" t="n"/>
      <c r="T22" s="25" t="n"/>
      <c r="V22" s="23" t="n"/>
      <c r="W22" s="23" t="n"/>
      <c r="X22" s="23" t="n"/>
      <c r="Z22" s="23" t="n"/>
      <c r="AA22" s="23" t="n"/>
      <c r="AB22" s="23" t="n"/>
      <c r="AC22" s="23" t="n"/>
      <c r="AD22" s="23" t="n"/>
      <c r="AE22" s="23" t="n"/>
      <c r="AG22" s="23">
        <f>IFERROR(IF($B22="","",IF(INDEX('DMIC DMS Commissioning-master'!$Z$6:$Z$65,MATCH($B22,'DMIC DMS Commissioning-master'!$B$6:$B$65,0))=0,"",INDEX('DMIC DMS Commissioning-master'!$Z$6:$Z$65,MATCH($B22,'DMIC DMS Commissioning-master'!$B$6:$B$65,0)))),"")</f>
        <v/>
      </c>
    </row>
    <row r="23">
      <c r="B23" s="26">
        <f>IF('DMIC List - master'!B23="","",'DMIC List - master'!B23)</f>
        <v/>
      </c>
      <c r="C23" s="26">
        <f>IFERROR(IF(INDEX('DMIC List - master'!$C:$C,MATCH($B23,CONTRACT_ID,0)+5)="","",INDEX('DMIC List - master'!$C:$C,MATCH($B23,CONTRACT_ID,0)+5)),"")</f>
        <v/>
      </c>
      <c r="D23" s="26">
        <f>IFERROR(IF(INDEX('DMIC List - master'!$D:$D,MATCH($B23,CONTRACT_ID,0)+5)="","",INDEX('DMIC List - master'!$D:$D,MATCH($B23,CONTRACT_ID,0)+5)),"")</f>
        <v/>
      </c>
      <c r="E23" s="26">
        <f>IFERROR(IF(INDEX('DMIC List - master'!$E:$E,MATCH($B23,CONTRACT_ID,0)+5)="","",INDEX('DMIC List - master'!$E:$E,MATCH($B23,CONTRACT_ID,0)+5)),"")</f>
        <v/>
      </c>
      <c r="G23" s="26">
        <f>IFERROR(IF(INDEX('DMIC List - master'!$P:$P,MATCH($B23,CONTRACT_ID,0)+5)="","",INDEX('DMIC List - master'!$P:$P,MATCH($B23,CONTRACT_ID,0)+5)),"")</f>
        <v/>
      </c>
      <c r="H23" s="26">
        <f>IFERROR(IF(INDEX('DMIC List - master'!$Q:$Q,MATCH($B23,CONTRACT_ID,0)+5)="","",INDEX('DMIC List - master'!$Q:$Q,MATCH($B23,CONTRACT_ID,0)+5)),"")</f>
        <v/>
      </c>
      <c r="I23" s="26">
        <f>IFERROR(IF(INDEX('DMIC List - master'!$U:$U,MATCH($B23,CONTRACT_ID,0)+5)="","",INDEX('DMIC List - master'!$U:$U,MATCH($B23,CONTRACT_ID,0)+5)),"")</f>
        <v/>
      </c>
      <c r="K23" s="28" t="n"/>
      <c r="L23" s="28" t="n"/>
      <c r="M23" s="26" t="n"/>
      <c r="N23" s="28" t="n"/>
      <c r="O23" s="26" t="n"/>
      <c r="P23" s="46">
        <f>IFERROR(IF($B23="","",IF(N23&lt;&gt;"",(N23-$P$2)/30,IF(K23&lt;&gt;"",(K23-$P$2)/30,""))),"")</f>
        <v/>
      </c>
      <c r="Q23" s="26" t="n"/>
      <c r="S23" s="28" t="n"/>
      <c r="T23" s="28" t="n"/>
      <c r="V23" s="26" t="n"/>
      <c r="W23" s="26" t="n"/>
      <c r="X23" s="26" t="n"/>
      <c r="Z23" s="26" t="n"/>
      <c r="AA23" s="26" t="n"/>
      <c r="AB23" s="26" t="n"/>
      <c r="AC23" s="26" t="n"/>
      <c r="AD23" s="26" t="n"/>
      <c r="AE23" s="26" t="n"/>
      <c r="AG23" s="26">
        <f>IFERROR(IF($B23="","",IF(INDEX('DMIC DMS Commissioning-master'!$Z$6:$Z$65,MATCH($B23,'DMIC DMS Commissioning-master'!$B$6:$B$65,0))=0,"",INDEX('DMIC DMS Commissioning-master'!$Z$6:$Z$65,MATCH($B23,'DMIC DMS Commissioning-master'!$B$6:$B$65,0)))),"")</f>
        <v/>
      </c>
    </row>
    <row r="24">
      <c r="B24" s="23">
        <f>IF('DMIC List - master'!B24="","",'DMIC List - master'!B24)</f>
        <v/>
      </c>
      <c r="C24" s="23">
        <f>IFERROR(IF(INDEX('DMIC List - master'!$C:$C,MATCH($B24,CONTRACT_ID,0)+5)="","",INDEX('DMIC List - master'!$C:$C,MATCH($B24,CONTRACT_ID,0)+5)),"")</f>
        <v/>
      </c>
      <c r="D24" s="23">
        <f>IFERROR(IF(INDEX('DMIC List - master'!$D:$D,MATCH($B24,CONTRACT_ID,0)+5)="","",INDEX('DMIC List - master'!$D:$D,MATCH($B24,CONTRACT_ID,0)+5)),"")</f>
        <v/>
      </c>
      <c r="E24" s="23">
        <f>IFERROR(IF(INDEX('DMIC List - master'!$E:$E,MATCH($B24,CONTRACT_ID,0)+5)="","",INDEX('DMIC List - master'!$E:$E,MATCH($B24,CONTRACT_ID,0)+5)),"")</f>
        <v/>
      </c>
      <c r="G24" s="23">
        <f>IFERROR(IF(INDEX('DMIC List - master'!$P:$P,MATCH($B24,CONTRACT_ID,0)+5)="","",INDEX('DMIC List - master'!$P:$P,MATCH($B24,CONTRACT_ID,0)+5)),"")</f>
        <v/>
      </c>
      <c r="H24" s="23">
        <f>IFERROR(IF(INDEX('DMIC List - master'!$Q:$Q,MATCH($B24,CONTRACT_ID,0)+5)="","",INDEX('DMIC List - master'!$Q:$Q,MATCH($B24,CONTRACT_ID,0)+5)),"")</f>
        <v/>
      </c>
      <c r="I24" s="23">
        <f>IFERROR(IF(INDEX('DMIC List - master'!$U:$U,MATCH($B24,CONTRACT_ID,0)+5)="","",INDEX('DMIC List - master'!$U:$U,MATCH($B24,CONTRACT_ID,0)+5)),"")</f>
        <v/>
      </c>
      <c r="K24" s="25" t="n"/>
      <c r="L24" s="25" t="n"/>
      <c r="M24" s="23" t="n"/>
      <c r="N24" s="25" t="n"/>
      <c r="O24" s="23" t="n"/>
      <c r="P24" s="45">
        <f>IFERROR(IF($B24="","",IF(N24&lt;&gt;"",(N24-$P$2)/30,IF(K24&lt;&gt;"",(K24-$P$2)/30,""))),"")</f>
        <v/>
      </c>
      <c r="Q24" s="23" t="n"/>
      <c r="S24" s="25" t="n"/>
      <c r="T24" s="25" t="n"/>
      <c r="V24" s="23" t="n"/>
      <c r="W24" s="23" t="n"/>
      <c r="X24" s="23" t="n"/>
      <c r="Z24" s="23" t="n"/>
      <c r="AA24" s="23" t="n"/>
      <c r="AB24" s="23" t="n"/>
      <c r="AC24" s="23" t="n"/>
      <c r="AD24" s="23" t="n"/>
      <c r="AE24" s="23" t="n"/>
      <c r="AG24" s="23">
        <f>IFERROR(IF($B24="","",IF(INDEX('DMIC DMS Commissioning-master'!$Z$6:$Z$65,MATCH($B24,'DMIC DMS Commissioning-master'!$B$6:$B$65,0))=0,"",INDEX('DMIC DMS Commissioning-master'!$Z$6:$Z$65,MATCH($B24,'DMIC DMS Commissioning-master'!$B$6:$B$65,0)))),"")</f>
        <v/>
      </c>
    </row>
    <row r="25">
      <c r="B25" s="26">
        <f>IF('DMIC List - master'!B25="","",'DMIC List - master'!B25)</f>
        <v/>
      </c>
      <c r="C25" s="26">
        <f>IFERROR(IF(INDEX('DMIC List - master'!$C:$C,MATCH($B25,CONTRACT_ID,0)+5)="","",INDEX('DMIC List - master'!$C:$C,MATCH($B25,CONTRACT_ID,0)+5)),"")</f>
        <v/>
      </c>
      <c r="D25" s="26">
        <f>IFERROR(IF(INDEX('DMIC List - master'!$D:$D,MATCH($B25,CONTRACT_ID,0)+5)="","",INDEX('DMIC List - master'!$D:$D,MATCH($B25,CONTRACT_ID,0)+5)),"")</f>
        <v/>
      </c>
      <c r="E25" s="26">
        <f>IFERROR(IF(INDEX('DMIC List - master'!$E:$E,MATCH($B25,CONTRACT_ID,0)+5)="","",INDEX('DMIC List - master'!$E:$E,MATCH($B25,CONTRACT_ID,0)+5)),"")</f>
        <v/>
      </c>
      <c r="G25" s="26">
        <f>IFERROR(IF(INDEX('DMIC List - master'!$P:$P,MATCH($B25,CONTRACT_ID,0)+5)="","",INDEX('DMIC List - master'!$P:$P,MATCH($B25,CONTRACT_ID,0)+5)),"")</f>
        <v/>
      </c>
      <c r="H25" s="26">
        <f>IFERROR(IF(INDEX('DMIC List - master'!$Q:$Q,MATCH($B25,CONTRACT_ID,0)+5)="","",INDEX('DMIC List - master'!$Q:$Q,MATCH($B25,CONTRACT_ID,0)+5)),"")</f>
        <v/>
      </c>
      <c r="I25" s="26">
        <f>IFERROR(IF(INDEX('DMIC List - master'!$U:$U,MATCH($B25,CONTRACT_ID,0)+5)="","",INDEX('DMIC List - master'!$U:$U,MATCH($B25,CONTRACT_ID,0)+5)),"")</f>
        <v/>
      </c>
      <c r="K25" s="28" t="n"/>
      <c r="L25" s="28" t="n"/>
      <c r="M25" s="26" t="n"/>
      <c r="N25" s="28" t="n"/>
      <c r="O25" s="26" t="n"/>
      <c r="P25" s="46">
        <f>IFERROR(IF($B25="","",IF(N25&lt;&gt;"",(N25-$P$2)/30,IF(K25&lt;&gt;"",(K25-$P$2)/30,""))),"")</f>
        <v/>
      </c>
      <c r="Q25" s="26" t="n"/>
      <c r="S25" s="28" t="n"/>
      <c r="T25" s="28" t="n"/>
      <c r="V25" s="26" t="n"/>
      <c r="W25" s="26" t="n"/>
      <c r="X25" s="26" t="n"/>
      <c r="Z25" s="26" t="n"/>
      <c r="AA25" s="26" t="n"/>
      <c r="AB25" s="26" t="n"/>
      <c r="AC25" s="26" t="n"/>
      <c r="AD25" s="26" t="n"/>
      <c r="AE25" s="26" t="n"/>
      <c r="AG25" s="26">
        <f>IFERROR(IF($B25="","",IF(INDEX('DMIC DMS Commissioning-master'!$Z$6:$Z$65,MATCH($B25,'DMIC DMS Commissioning-master'!$B$6:$B$65,0))=0,"",INDEX('DMIC DMS Commissioning-master'!$Z$6:$Z$65,MATCH($B25,'DMIC DMS Commissioning-master'!$B$6:$B$65,0)))),"")</f>
        <v/>
      </c>
    </row>
    <row r="26">
      <c r="B26" s="23">
        <f>IF('DMIC List - master'!B26="","",'DMIC List - master'!B26)</f>
        <v/>
      </c>
      <c r="C26" s="23">
        <f>IFERROR(IF(INDEX('DMIC List - master'!$C:$C,MATCH($B26,CONTRACT_ID,0)+5)="","",INDEX('DMIC List - master'!$C:$C,MATCH($B26,CONTRACT_ID,0)+5)),"")</f>
        <v/>
      </c>
      <c r="D26" s="23">
        <f>IFERROR(IF(INDEX('DMIC List - master'!$D:$D,MATCH($B26,CONTRACT_ID,0)+5)="","",INDEX('DMIC List - master'!$D:$D,MATCH($B26,CONTRACT_ID,0)+5)),"")</f>
        <v/>
      </c>
      <c r="E26" s="23">
        <f>IFERROR(IF(INDEX('DMIC List - master'!$E:$E,MATCH($B26,CONTRACT_ID,0)+5)="","",INDEX('DMIC List - master'!$E:$E,MATCH($B26,CONTRACT_ID,0)+5)),"")</f>
        <v/>
      </c>
      <c r="G26" s="23">
        <f>IFERROR(IF(INDEX('DMIC List - master'!$P:$P,MATCH($B26,CONTRACT_ID,0)+5)="","",INDEX('DMIC List - master'!$P:$P,MATCH($B26,CONTRACT_ID,0)+5)),"")</f>
        <v/>
      </c>
      <c r="H26" s="23">
        <f>IFERROR(IF(INDEX('DMIC List - master'!$Q:$Q,MATCH($B26,CONTRACT_ID,0)+5)="","",INDEX('DMIC List - master'!$Q:$Q,MATCH($B26,CONTRACT_ID,0)+5)),"")</f>
        <v/>
      </c>
      <c r="I26" s="23">
        <f>IFERROR(IF(INDEX('DMIC List - master'!$U:$U,MATCH($B26,CONTRACT_ID,0)+5)="","",INDEX('DMIC List - master'!$U:$U,MATCH($B26,CONTRACT_ID,0)+5)),"")</f>
        <v/>
      </c>
      <c r="K26" s="25" t="n"/>
      <c r="L26" s="25" t="n"/>
      <c r="M26" s="23" t="n"/>
      <c r="N26" s="25" t="n"/>
      <c r="O26" s="23" t="n"/>
      <c r="P26" s="45">
        <f>IFERROR(IF($B26="","",IF(N26&lt;&gt;"",(N26-$P$2)/30,IF(K26&lt;&gt;"",(K26-$P$2)/30,""))),"")</f>
        <v/>
      </c>
      <c r="Q26" s="23" t="n"/>
      <c r="S26" s="25" t="n"/>
      <c r="T26" s="25" t="n"/>
      <c r="V26" s="23" t="n"/>
      <c r="W26" s="23" t="n"/>
      <c r="X26" s="23" t="n"/>
      <c r="Z26" s="23" t="n"/>
      <c r="AA26" s="23" t="n"/>
      <c r="AB26" s="23" t="n"/>
      <c r="AC26" s="23" t="n"/>
      <c r="AD26" s="23" t="n"/>
      <c r="AE26" s="23" t="n"/>
      <c r="AG26" s="23">
        <f>IFERROR(IF($B26="","",IF(INDEX('DMIC DMS Commissioning-master'!$Z$6:$Z$65,MATCH($B26,'DMIC DMS Commissioning-master'!$B$6:$B$65,0))=0,"",INDEX('DMIC DMS Commissioning-master'!$Z$6:$Z$65,MATCH($B26,'DMIC DMS Commissioning-master'!$B$6:$B$65,0)))),"")</f>
        <v/>
      </c>
    </row>
    <row r="27">
      <c r="B27" s="26">
        <f>IF('DMIC List - master'!B27="","",'DMIC List - master'!B27)</f>
        <v/>
      </c>
      <c r="C27" s="26">
        <f>IFERROR(IF(INDEX('DMIC List - master'!$C:$C,MATCH($B27,CONTRACT_ID,0)+5)="","",INDEX('DMIC List - master'!$C:$C,MATCH($B27,CONTRACT_ID,0)+5)),"")</f>
        <v/>
      </c>
      <c r="D27" s="26">
        <f>IFERROR(IF(INDEX('DMIC List - master'!$D:$D,MATCH($B27,CONTRACT_ID,0)+5)="","",INDEX('DMIC List - master'!$D:$D,MATCH($B27,CONTRACT_ID,0)+5)),"")</f>
        <v/>
      </c>
      <c r="E27" s="26">
        <f>IFERROR(IF(INDEX('DMIC List - master'!$E:$E,MATCH($B27,CONTRACT_ID,0)+5)="","",INDEX('DMIC List - master'!$E:$E,MATCH($B27,CONTRACT_ID,0)+5)),"")</f>
        <v/>
      </c>
      <c r="G27" s="26">
        <f>IFERROR(IF(INDEX('DMIC List - master'!$P:$P,MATCH($B27,CONTRACT_ID,0)+5)="","",INDEX('DMIC List - master'!$P:$P,MATCH($B27,CONTRACT_ID,0)+5)),"")</f>
        <v/>
      </c>
      <c r="H27" s="26">
        <f>IFERROR(IF(INDEX('DMIC List - master'!$Q:$Q,MATCH($B27,CONTRACT_ID,0)+5)="","",INDEX('DMIC List - master'!$Q:$Q,MATCH($B27,CONTRACT_ID,0)+5)),"")</f>
        <v/>
      </c>
      <c r="I27" s="26">
        <f>IFERROR(IF(INDEX('DMIC List - master'!$U:$U,MATCH($B27,CONTRACT_ID,0)+5)="","",INDEX('DMIC List - master'!$U:$U,MATCH($B27,CONTRACT_ID,0)+5)),"")</f>
        <v/>
      </c>
      <c r="K27" s="28" t="n"/>
      <c r="L27" s="28" t="n"/>
      <c r="M27" s="26" t="n"/>
      <c r="N27" s="28" t="n"/>
      <c r="O27" s="26" t="n"/>
      <c r="P27" s="46">
        <f>IFERROR(IF($B27="","",IF(N27&lt;&gt;"",(N27-$P$2)/30,IF(K27&lt;&gt;"",(K27-$P$2)/30,""))),"")</f>
        <v/>
      </c>
      <c r="Q27" s="26" t="n"/>
      <c r="S27" s="28" t="n"/>
      <c r="T27" s="28" t="n"/>
      <c r="V27" s="26" t="n"/>
      <c r="W27" s="26" t="n"/>
      <c r="X27" s="26" t="n"/>
      <c r="Z27" s="26" t="n"/>
      <c r="AA27" s="26" t="n"/>
      <c r="AB27" s="26" t="n"/>
      <c r="AC27" s="26" t="n"/>
      <c r="AD27" s="26" t="n"/>
      <c r="AE27" s="26" t="n"/>
      <c r="AG27" s="26">
        <f>IFERROR(IF($B27="","",IF(INDEX('DMIC DMS Commissioning-master'!$Z$6:$Z$65,MATCH($B27,'DMIC DMS Commissioning-master'!$B$6:$B$65,0))=0,"",INDEX('DMIC DMS Commissioning-master'!$Z$6:$Z$65,MATCH($B27,'DMIC DMS Commissioning-master'!$B$6:$B$65,0)))),"")</f>
        <v/>
      </c>
    </row>
    <row r="28">
      <c r="B28" s="23">
        <f>IF('DMIC List - master'!B28="","",'DMIC List - master'!B28)</f>
        <v/>
      </c>
      <c r="C28" s="23">
        <f>IFERROR(IF(INDEX('DMIC List - master'!$C:$C,MATCH($B28,CONTRACT_ID,0)+5)="","",INDEX('DMIC List - master'!$C:$C,MATCH($B28,CONTRACT_ID,0)+5)),"")</f>
        <v/>
      </c>
      <c r="D28" s="23">
        <f>IFERROR(IF(INDEX('DMIC List - master'!$D:$D,MATCH($B28,CONTRACT_ID,0)+5)="","",INDEX('DMIC List - master'!$D:$D,MATCH($B28,CONTRACT_ID,0)+5)),"")</f>
        <v/>
      </c>
      <c r="E28" s="23">
        <f>IFERROR(IF(INDEX('DMIC List - master'!$E:$E,MATCH($B28,CONTRACT_ID,0)+5)="","",INDEX('DMIC List - master'!$E:$E,MATCH($B28,CONTRACT_ID,0)+5)),"")</f>
        <v/>
      </c>
      <c r="G28" s="23">
        <f>IFERROR(IF(INDEX('DMIC List - master'!$P:$P,MATCH($B28,CONTRACT_ID,0)+5)="","",INDEX('DMIC List - master'!$P:$P,MATCH($B28,CONTRACT_ID,0)+5)),"")</f>
        <v/>
      </c>
      <c r="H28" s="23">
        <f>IFERROR(IF(INDEX('DMIC List - master'!$Q:$Q,MATCH($B28,CONTRACT_ID,0)+5)="","",INDEX('DMIC List - master'!$Q:$Q,MATCH($B28,CONTRACT_ID,0)+5)),"")</f>
        <v/>
      </c>
      <c r="I28" s="23">
        <f>IFERROR(IF(INDEX('DMIC List - master'!$U:$U,MATCH($B28,CONTRACT_ID,0)+5)="","",INDEX('DMIC List - master'!$U:$U,MATCH($B28,CONTRACT_ID,0)+5)),"")</f>
        <v/>
      </c>
      <c r="K28" s="25" t="n"/>
      <c r="L28" s="25" t="n"/>
      <c r="M28" s="23" t="n"/>
      <c r="N28" s="25" t="n"/>
      <c r="O28" s="23" t="n"/>
      <c r="P28" s="45">
        <f>IFERROR(IF($B28="","",IF(N28&lt;&gt;"",(N28-$P$2)/30,IF(K28&lt;&gt;"",(K28-$P$2)/30,""))),"")</f>
        <v/>
      </c>
      <c r="Q28" s="23" t="n"/>
      <c r="S28" s="25" t="n"/>
      <c r="T28" s="25" t="n"/>
      <c r="V28" s="23" t="n"/>
      <c r="W28" s="23" t="n"/>
      <c r="X28" s="23" t="n"/>
      <c r="Z28" s="23" t="n"/>
      <c r="AA28" s="23" t="n"/>
      <c r="AB28" s="23" t="n"/>
      <c r="AC28" s="23" t="n"/>
      <c r="AD28" s="23" t="n"/>
      <c r="AE28" s="23" t="n"/>
      <c r="AG28" s="23">
        <f>IFERROR(IF($B28="","",IF(INDEX('DMIC DMS Commissioning-master'!$Z$6:$Z$65,MATCH($B28,'DMIC DMS Commissioning-master'!$B$6:$B$65,0))=0,"",INDEX('DMIC DMS Commissioning-master'!$Z$6:$Z$65,MATCH($B28,'DMIC DMS Commissioning-master'!$B$6:$B$65,0)))),"")</f>
        <v/>
      </c>
    </row>
    <row r="29">
      <c r="B29" s="26">
        <f>IF('DMIC List - master'!B29="","",'DMIC List - master'!B29)</f>
        <v/>
      </c>
      <c r="C29" s="26">
        <f>IFERROR(IF(INDEX('DMIC List - master'!$C:$C,MATCH($B29,CONTRACT_ID,0)+5)="","",INDEX('DMIC List - master'!$C:$C,MATCH($B29,CONTRACT_ID,0)+5)),"")</f>
        <v/>
      </c>
      <c r="D29" s="26">
        <f>IFERROR(IF(INDEX('DMIC List - master'!$D:$D,MATCH($B29,CONTRACT_ID,0)+5)="","",INDEX('DMIC List - master'!$D:$D,MATCH($B29,CONTRACT_ID,0)+5)),"")</f>
        <v/>
      </c>
      <c r="E29" s="26">
        <f>IFERROR(IF(INDEX('DMIC List - master'!$E:$E,MATCH($B29,CONTRACT_ID,0)+5)="","",INDEX('DMIC List - master'!$E:$E,MATCH($B29,CONTRACT_ID,0)+5)),"")</f>
        <v/>
      </c>
      <c r="G29" s="26">
        <f>IFERROR(IF(INDEX('DMIC List - master'!$P:$P,MATCH($B29,CONTRACT_ID,0)+5)="","",INDEX('DMIC List - master'!$P:$P,MATCH($B29,CONTRACT_ID,0)+5)),"")</f>
        <v/>
      </c>
      <c r="H29" s="26">
        <f>IFERROR(IF(INDEX('DMIC List - master'!$Q:$Q,MATCH($B29,CONTRACT_ID,0)+5)="","",INDEX('DMIC List - master'!$Q:$Q,MATCH($B29,CONTRACT_ID,0)+5)),"")</f>
        <v/>
      </c>
      <c r="I29" s="26">
        <f>IFERROR(IF(INDEX('DMIC List - master'!$U:$U,MATCH($B29,CONTRACT_ID,0)+5)="","",INDEX('DMIC List - master'!$U:$U,MATCH($B29,CONTRACT_ID,0)+5)),"")</f>
        <v/>
      </c>
      <c r="K29" s="28" t="n"/>
      <c r="L29" s="28" t="n"/>
      <c r="M29" s="26" t="n"/>
      <c r="N29" s="28" t="n"/>
      <c r="O29" s="26" t="n"/>
      <c r="P29" s="46">
        <f>IFERROR(IF($B29="","",IF(N29&lt;&gt;"",(N29-$P$2)/30,IF(K29&lt;&gt;"",(K29-$P$2)/30,""))),"")</f>
        <v/>
      </c>
      <c r="Q29" s="26" t="n"/>
      <c r="S29" s="28" t="n"/>
      <c r="T29" s="28" t="n"/>
      <c r="V29" s="26" t="n"/>
      <c r="W29" s="26" t="n"/>
      <c r="X29" s="26" t="n"/>
      <c r="Z29" s="26" t="n"/>
      <c r="AA29" s="26" t="n"/>
      <c r="AB29" s="26" t="n"/>
      <c r="AC29" s="26" t="n"/>
      <c r="AD29" s="26" t="n"/>
      <c r="AE29" s="26" t="n"/>
      <c r="AG29" s="26">
        <f>IFERROR(IF($B29="","",IF(INDEX('DMIC DMS Commissioning-master'!$Z$6:$Z$65,MATCH($B29,'DMIC DMS Commissioning-master'!$B$6:$B$65,0))=0,"",INDEX('DMIC DMS Commissioning-master'!$Z$6:$Z$65,MATCH($B29,'DMIC DMS Commissioning-master'!$B$6:$B$65,0)))),"")</f>
        <v/>
      </c>
    </row>
    <row r="30">
      <c r="B30" s="23">
        <f>IF('DMIC List - master'!B30="","",'DMIC List - master'!B30)</f>
        <v/>
      </c>
      <c r="C30" s="23">
        <f>IFERROR(IF(INDEX('DMIC List - master'!$C:$C,MATCH($B30,CONTRACT_ID,0)+5)="","",INDEX('DMIC List - master'!$C:$C,MATCH($B30,CONTRACT_ID,0)+5)),"")</f>
        <v/>
      </c>
      <c r="D30" s="23">
        <f>IFERROR(IF(INDEX('DMIC List - master'!$D:$D,MATCH($B30,CONTRACT_ID,0)+5)="","",INDEX('DMIC List - master'!$D:$D,MATCH($B30,CONTRACT_ID,0)+5)),"")</f>
        <v/>
      </c>
      <c r="E30" s="23">
        <f>IFERROR(IF(INDEX('DMIC List - master'!$E:$E,MATCH($B30,CONTRACT_ID,0)+5)="","",INDEX('DMIC List - master'!$E:$E,MATCH($B30,CONTRACT_ID,0)+5)),"")</f>
        <v/>
      </c>
      <c r="G30" s="23">
        <f>IFERROR(IF(INDEX('DMIC List - master'!$P:$P,MATCH($B30,CONTRACT_ID,0)+5)="","",INDEX('DMIC List - master'!$P:$P,MATCH($B30,CONTRACT_ID,0)+5)),"")</f>
        <v/>
      </c>
      <c r="H30" s="23">
        <f>IFERROR(IF(INDEX('DMIC List - master'!$Q:$Q,MATCH($B30,CONTRACT_ID,0)+5)="","",INDEX('DMIC List - master'!$Q:$Q,MATCH($B30,CONTRACT_ID,0)+5)),"")</f>
        <v/>
      </c>
      <c r="I30" s="23">
        <f>IFERROR(IF(INDEX('DMIC List - master'!$U:$U,MATCH($B30,CONTRACT_ID,0)+5)="","",INDEX('DMIC List - master'!$U:$U,MATCH($B30,CONTRACT_ID,0)+5)),"")</f>
        <v/>
      </c>
      <c r="K30" s="25" t="n"/>
      <c r="L30" s="25" t="n"/>
      <c r="M30" s="23" t="n"/>
      <c r="N30" s="25" t="n"/>
      <c r="O30" s="23" t="n"/>
      <c r="P30" s="45">
        <f>IFERROR(IF($B30="","",IF(N30&lt;&gt;"",(N30-$P$2)/30,IF(K30&lt;&gt;"",(K30-$P$2)/30,""))),"")</f>
        <v/>
      </c>
      <c r="Q30" s="23" t="n"/>
      <c r="S30" s="25" t="n"/>
      <c r="T30" s="25" t="n"/>
      <c r="V30" s="23" t="n"/>
      <c r="W30" s="23" t="n"/>
      <c r="X30" s="23" t="n"/>
      <c r="Z30" s="23" t="n"/>
      <c r="AA30" s="23" t="n"/>
      <c r="AB30" s="23" t="n"/>
      <c r="AC30" s="23" t="n"/>
      <c r="AD30" s="23" t="n"/>
      <c r="AE30" s="23" t="n"/>
      <c r="AG30" s="23">
        <f>IFERROR(IF($B30="","",IF(INDEX('DMIC DMS Commissioning-master'!$Z$6:$Z$65,MATCH($B30,'DMIC DMS Commissioning-master'!$B$6:$B$65,0))=0,"",INDEX('DMIC DMS Commissioning-master'!$Z$6:$Z$65,MATCH($B30,'DMIC DMS Commissioning-master'!$B$6:$B$65,0)))),"")</f>
        <v/>
      </c>
    </row>
    <row r="31">
      <c r="B31" s="26">
        <f>IF('DMIC List - master'!B31="","",'DMIC List - master'!B31)</f>
        <v/>
      </c>
      <c r="C31" s="26">
        <f>IFERROR(IF(INDEX('DMIC List - master'!$C:$C,MATCH($B31,CONTRACT_ID,0)+5)="","",INDEX('DMIC List - master'!$C:$C,MATCH($B31,CONTRACT_ID,0)+5)),"")</f>
        <v/>
      </c>
      <c r="D31" s="26">
        <f>IFERROR(IF(INDEX('DMIC List - master'!$D:$D,MATCH($B31,CONTRACT_ID,0)+5)="","",INDEX('DMIC List - master'!$D:$D,MATCH($B31,CONTRACT_ID,0)+5)),"")</f>
        <v/>
      </c>
      <c r="E31" s="26">
        <f>IFERROR(IF(INDEX('DMIC List - master'!$E:$E,MATCH($B31,CONTRACT_ID,0)+5)="","",INDEX('DMIC List - master'!$E:$E,MATCH($B31,CONTRACT_ID,0)+5)),"")</f>
        <v/>
      </c>
      <c r="G31" s="26">
        <f>IFERROR(IF(INDEX('DMIC List - master'!$P:$P,MATCH($B31,CONTRACT_ID,0)+5)="","",INDEX('DMIC List - master'!$P:$P,MATCH($B31,CONTRACT_ID,0)+5)),"")</f>
        <v/>
      </c>
      <c r="H31" s="26">
        <f>IFERROR(IF(INDEX('DMIC List - master'!$Q:$Q,MATCH($B31,CONTRACT_ID,0)+5)="","",INDEX('DMIC List - master'!$Q:$Q,MATCH($B31,CONTRACT_ID,0)+5)),"")</f>
        <v/>
      </c>
      <c r="I31" s="26">
        <f>IFERROR(IF(INDEX('DMIC List - master'!$U:$U,MATCH($B31,CONTRACT_ID,0)+5)="","",INDEX('DMIC List - master'!$U:$U,MATCH($B31,CONTRACT_ID,0)+5)),"")</f>
        <v/>
      </c>
      <c r="K31" s="28" t="n"/>
      <c r="L31" s="28" t="n"/>
      <c r="M31" s="26" t="n"/>
      <c r="N31" s="28" t="n"/>
      <c r="O31" s="26" t="n"/>
      <c r="P31" s="46">
        <f>IFERROR(IF($B31="","",IF(N31&lt;&gt;"",(N31-$P$2)/30,IF(K31&lt;&gt;"",(K31-$P$2)/30,""))),"")</f>
        <v/>
      </c>
      <c r="Q31" s="26" t="n"/>
      <c r="S31" s="28" t="n"/>
      <c r="T31" s="28" t="n"/>
      <c r="V31" s="26" t="n"/>
      <c r="W31" s="26" t="n"/>
      <c r="X31" s="26" t="n"/>
      <c r="Z31" s="26" t="n"/>
      <c r="AA31" s="26" t="n"/>
      <c r="AB31" s="26" t="n"/>
      <c r="AC31" s="26" t="n"/>
      <c r="AD31" s="26" t="n"/>
      <c r="AE31" s="26" t="n"/>
      <c r="AG31" s="26">
        <f>IFERROR(IF($B31="","",IF(INDEX('DMIC DMS Commissioning-master'!$Z$6:$Z$65,MATCH($B31,'DMIC DMS Commissioning-master'!$B$6:$B$65,0))=0,"",INDEX('DMIC DMS Commissioning-master'!$Z$6:$Z$65,MATCH($B31,'DMIC DMS Commissioning-master'!$B$6:$B$65,0)))),"")</f>
        <v/>
      </c>
    </row>
    <row r="32">
      <c r="B32" s="23">
        <f>IF('DMIC List - master'!B32="","",'DMIC List - master'!B32)</f>
        <v/>
      </c>
      <c r="C32" s="23">
        <f>IFERROR(IF(INDEX('DMIC List - master'!$C:$C,MATCH($B32,CONTRACT_ID,0)+5)="","",INDEX('DMIC List - master'!$C:$C,MATCH($B32,CONTRACT_ID,0)+5)),"")</f>
        <v/>
      </c>
      <c r="D32" s="23">
        <f>IFERROR(IF(INDEX('DMIC List - master'!$D:$D,MATCH($B32,CONTRACT_ID,0)+5)="","",INDEX('DMIC List - master'!$D:$D,MATCH($B32,CONTRACT_ID,0)+5)),"")</f>
        <v/>
      </c>
      <c r="E32" s="23">
        <f>IFERROR(IF(INDEX('DMIC List - master'!$E:$E,MATCH($B32,CONTRACT_ID,0)+5)="","",INDEX('DMIC List - master'!$E:$E,MATCH($B32,CONTRACT_ID,0)+5)),"")</f>
        <v/>
      </c>
      <c r="G32" s="23">
        <f>IFERROR(IF(INDEX('DMIC List - master'!$P:$P,MATCH($B32,CONTRACT_ID,0)+5)="","",INDEX('DMIC List - master'!$P:$P,MATCH($B32,CONTRACT_ID,0)+5)),"")</f>
        <v/>
      </c>
      <c r="H32" s="23">
        <f>IFERROR(IF(INDEX('DMIC List - master'!$Q:$Q,MATCH($B32,CONTRACT_ID,0)+5)="","",INDEX('DMIC List - master'!$Q:$Q,MATCH($B32,CONTRACT_ID,0)+5)),"")</f>
        <v/>
      </c>
      <c r="I32" s="23">
        <f>IFERROR(IF(INDEX('DMIC List - master'!$U:$U,MATCH($B32,CONTRACT_ID,0)+5)="","",INDEX('DMIC List - master'!$U:$U,MATCH($B32,CONTRACT_ID,0)+5)),"")</f>
        <v/>
      </c>
      <c r="K32" s="25" t="n"/>
      <c r="L32" s="25" t="n"/>
      <c r="M32" s="23" t="n"/>
      <c r="N32" s="25" t="n"/>
      <c r="O32" s="23" t="n"/>
      <c r="P32" s="45">
        <f>IFERROR(IF($B32="","",IF(N32&lt;&gt;"",(N32-$P$2)/30,IF(K32&lt;&gt;"",(K32-$P$2)/30,""))),"")</f>
        <v/>
      </c>
      <c r="Q32" s="23" t="n"/>
      <c r="S32" s="25" t="n"/>
      <c r="T32" s="25" t="n"/>
      <c r="V32" s="23" t="n"/>
      <c r="W32" s="23" t="n"/>
      <c r="X32" s="23" t="n"/>
      <c r="Z32" s="23" t="n"/>
      <c r="AA32" s="23" t="n"/>
      <c r="AB32" s="23" t="n"/>
      <c r="AC32" s="23" t="n"/>
      <c r="AD32" s="23" t="n"/>
      <c r="AE32" s="23" t="n"/>
      <c r="AG32" s="23">
        <f>IFERROR(IF($B32="","",IF(INDEX('DMIC DMS Commissioning-master'!$Z$6:$Z$65,MATCH($B32,'DMIC DMS Commissioning-master'!$B$6:$B$65,0))=0,"",INDEX('DMIC DMS Commissioning-master'!$Z$6:$Z$65,MATCH($B32,'DMIC DMS Commissioning-master'!$B$6:$B$65,0)))),"")</f>
        <v/>
      </c>
    </row>
    <row r="33">
      <c r="B33" s="26">
        <f>IF('DMIC List - master'!B33="","",'DMIC List - master'!B33)</f>
        <v/>
      </c>
      <c r="C33" s="26">
        <f>IFERROR(IF(INDEX('DMIC List - master'!$C:$C,MATCH($B33,CONTRACT_ID,0)+5)="","",INDEX('DMIC List - master'!$C:$C,MATCH($B33,CONTRACT_ID,0)+5)),"")</f>
        <v/>
      </c>
      <c r="D33" s="26">
        <f>IFERROR(IF(INDEX('DMIC List - master'!$D:$D,MATCH($B33,CONTRACT_ID,0)+5)="","",INDEX('DMIC List - master'!$D:$D,MATCH($B33,CONTRACT_ID,0)+5)),"")</f>
        <v/>
      </c>
      <c r="E33" s="26">
        <f>IFERROR(IF(INDEX('DMIC List - master'!$E:$E,MATCH($B33,CONTRACT_ID,0)+5)="","",INDEX('DMIC List - master'!$E:$E,MATCH($B33,CONTRACT_ID,0)+5)),"")</f>
        <v/>
      </c>
      <c r="G33" s="26">
        <f>IFERROR(IF(INDEX('DMIC List - master'!$P:$P,MATCH($B33,CONTRACT_ID,0)+5)="","",INDEX('DMIC List - master'!$P:$P,MATCH($B33,CONTRACT_ID,0)+5)),"")</f>
        <v/>
      </c>
      <c r="H33" s="26">
        <f>IFERROR(IF(INDEX('DMIC List - master'!$Q:$Q,MATCH($B33,CONTRACT_ID,0)+5)="","",INDEX('DMIC List - master'!$Q:$Q,MATCH($B33,CONTRACT_ID,0)+5)),"")</f>
        <v/>
      </c>
      <c r="I33" s="26">
        <f>IFERROR(IF(INDEX('DMIC List - master'!$U:$U,MATCH($B33,CONTRACT_ID,0)+5)="","",INDEX('DMIC List - master'!$U:$U,MATCH($B33,CONTRACT_ID,0)+5)),"")</f>
        <v/>
      </c>
      <c r="K33" s="28" t="n"/>
      <c r="L33" s="28" t="n"/>
      <c r="M33" s="26" t="n"/>
      <c r="N33" s="28" t="n"/>
      <c r="O33" s="26" t="n"/>
      <c r="P33" s="46">
        <f>IFERROR(IF($B33="","",IF(N33&lt;&gt;"",(N33-$P$2)/30,IF(K33&lt;&gt;"",(K33-$P$2)/30,""))),"")</f>
        <v/>
      </c>
      <c r="Q33" s="26" t="n"/>
      <c r="S33" s="28" t="n"/>
      <c r="T33" s="28" t="n"/>
      <c r="V33" s="26" t="n"/>
      <c r="W33" s="26" t="n"/>
      <c r="X33" s="26" t="n"/>
      <c r="Z33" s="26" t="n"/>
      <c r="AA33" s="26" t="n"/>
      <c r="AB33" s="26" t="n"/>
      <c r="AC33" s="26" t="n"/>
      <c r="AD33" s="26" t="n"/>
      <c r="AE33" s="26" t="n"/>
      <c r="AG33" s="26">
        <f>IFERROR(IF($B33="","",IF(INDEX('DMIC DMS Commissioning-master'!$Z$6:$Z$65,MATCH($B33,'DMIC DMS Commissioning-master'!$B$6:$B$65,0))=0,"",INDEX('DMIC DMS Commissioning-master'!$Z$6:$Z$65,MATCH($B33,'DMIC DMS Commissioning-master'!$B$6:$B$65,0)))),"")</f>
        <v/>
      </c>
    </row>
    <row r="34">
      <c r="B34" s="23">
        <f>IF('DMIC List - master'!B34="","",'DMIC List - master'!B34)</f>
        <v/>
      </c>
      <c r="C34" s="23">
        <f>IFERROR(IF(INDEX('DMIC List - master'!$C:$C,MATCH($B34,CONTRACT_ID,0)+5)="","",INDEX('DMIC List - master'!$C:$C,MATCH($B34,CONTRACT_ID,0)+5)),"")</f>
        <v/>
      </c>
      <c r="D34" s="23">
        <f>IFERROR(IF(INDEX('DMIC List - master'!$D:$D,MATCH($B34,CONTRACT_ID,0)+5)="","",INDEX('DMIC List - master'!$D:$D,MATCH($B34,CONTRACT_ID,0)+5)),"")</f>
        <v/>
      </c>
      <c r="E34" s="23">
        <f>IFERROR(IF(INDEX('DMIC List - master'!$E:$E,MATCH($B34,CONTRACT_ID,0)+5)="","",INDEX('DMIC List - master'!$E:$E,MATCH($B34,CONTRACT_ID,0)+5)),"")</f>
        <v/>
      </c>
      <c r="G34" s="23">
        <f>IFERROR(IF(INDEX('DMIC List - master'!$P:$P,MATCH($B34,CONTRACT_ID,0)+5)="","",INDEX('DMIC List - master'!$P:$P,MATCH($B34,CONTRACT_ID,0)+5)),"")</f>
        <v/>
      </c>
      <c r="H34" s="23">
        <f>IFERROR(IF(INDEX('DMIC List - master'!$Q:$Q,MATCH($B34,CONTRACT_ID,0)+5)="","",INDEX('DMIC List - master'!$Q:$Q,MATCH($B34,CONTRACT_ID,0)+5)),"")</f>
        <v/>
      </c>
      <c r="I34" s="23">
        <f>IFERROR(IF(INDEX('DMIC List - master'!$U:$U,MATCH($B34,CONTRACT_ID,0)+5)="","",INDEX('DMIC List - master'!$U:$U,MATCH($B34,CONTRACT_ID,0)+5)),"")</f>
        <v/>
      </c>
      <c r="K34" s="25" t="n"/>
      <c r="L34" s="25" t="n"/>
      <c r="M34" s="23" t="n"/>
      <c r="N34" s="25" t="n"/>
      <c r="O34" s="23" t="n"/>
      <c r="P34" s="45">
        <f>IFERROR(IF($B34="","",IF(N34&lt;&gt;"",(N34-$P$2)/30,IF(K34&lt;&gt;"",(K34-$P$2)/30,""))),"")</f>
        <v/>
      </c>
      <c r="Q34" s="23" t="n"/>
      <c r="S34" s="25" t="n"/>
      <c r="T34" s="25" t="n"/>
      <c r="V34" s="23" t="n"/>
      <c r="W34" s="23" t="n"/>
      <c r="X34" s="23" t="n"/>
      <c r="Z34" s="23" t="n"/>
      <c r="AA34" s="23" t="n"/>
      <c r="AB34" s="23" t="n"/>
      <c r="AC34" s="23" t="n"/>
      <c r="AD34" s="23" t="n"/>
      <c r="AE34" s="23" t="n"/>
      <c r="AG34" s="23">
        <f>IFERROR(IF($B34="","",IF(INDEX('DMIC DMS Commissioning-master'!$Z$6:$Z$65,MATCH($B34,'DMIC DMS Commissioning-master'!$B$6:$B$65,0))=0,"",INDEX('DMIC DMS Commissioning-master'!$Z$6:$Z$65,MATCH($B34,'DMIC DMS Commissioning-master'!$B$6:$B$65,0)))),"")</f>
        <v/>
      </c>
    </row>
    <row r="35">
      <c r="B35" s="26">
        <f>IF('DMIC List - master'!B35="","",'DMIC List - master'!B35)</f>
        <v/>
      </c>
      <c r="C35" s="26">
        <f>IFERROR(IF(INDEX('DMIC List - master'!$C:$C,MATCH($B35,CONTRACT_ID,0)+5)="","",INDEX('DMIC List - master'!$C:$C,MATCH($B35,CONTRACT_ID,0)+5)),"")</f>
        <v/>
      </c>
      <c r="D35" s="26">
        <f>IFERROR(IF(INDEX('DMIC List - master'!$D:$D,MATCH($B35,CONTRACT_ID,0)+5)="","",INDEX('DMIC List - master'!$D:$D,MATCH($B35,CONTRACT_ID,0)+5)),"")</f>
        <v/>
      </c>
      <c r="E35" s="26">
        <f>IFERROR(IF(INDEX('DMIC List - master'!$E:$E,MATCH($B35,CONTRACT_ID,0)+5)="","",INDEX('DMIC List - master'!$E:$E,MATCH($B35,CONTRACT_ID,0)+5)),"")</f>
        <v/>
      </c>
      <c r="G35" s="26">
        <f>IFERROR(IF(INDEX('DMIC List - master'!$P:$P,MATCH($B35,CONTRACT_ID,0)+5)="","",INDEX('DMIC List - master'!$P:$P,MATCH($B35,CONTRACT_ID,0)+5)),"")</f>
        <v/>
      </c>
      <c r="H35" s="26">
        <f>IFERROR(IF(INDEX('DMIC List - master'!$Q:$Q,MATCH($B35,CONTRACT_ID,0)+5)="","",INDEX('DMIC List - master'!$Q:$Q,MATCH($B35,CONTRACT_ID,0)+5)),"")</f>
        <v/>
      </c>
      <c r="I35" s="26">
        <f>IFERROR(IF(INDEX('DMIC List - master'!$U:$U,MATCH($B35,CONTRACT_ID,0)+5)="","",INDEX('DMIC List - master'!$U:$U,MATCH($B35,CONTRACT_ID,0)+5)),"")</f>
        <v/>
      </c>
      <c r="K35" s="28" t="n"/>
      <c r="L35" s="28" t="n"/>
      <c r="M35" s="26" t="n"/>
      <c r="N35" s="28" t="n"/>
      <c r="O35" s="26" t="n"/>
      <c r="P35" s="46">
        <f>IFERROR(IF($B35="","",IF(N35&lt;&gt;"",(N35-$P$2)/30,IF(K35&lt;&gt;"",(K35-$P$2)/30,""))),"")</f>
        <v/>
      </c>
      <c r="Q35" s="26" t="n"/>
      <c r="S35" s="28" t="n"/>
      <c r="T35" s="28" t="n"/>
      <c r="V35" s="26" t="n"/>
      <c r="W35" s="26" t="n"/>
      <c r="X35" s="26" t="n"/>
      <c r="Z35" s="26" t="n"/>
      <c r="AA35" s="26" t="n"/>
      <c r="AB35" s="26" t="n"/>
      <c r="AC35" s="26" t="n"/>
      <c r="AD35" s="26" t="n"/>
      <c r="AE35" s="26" t="n"/>
      <c r="AG35" s="26">
        <f>IFERROR(IF($B35="","",IF(INDEX('DMIC DMS Commissioning-master'!$Z$6:$Z$65,MATCH($B35,'DMIC DMS Commissioning-master'!$B$6:$B$65,0))=0,"",INDEX('DMIC DMS Commissioning-master'!$Z$6:$Z$65,MATCH($B35,'DMIC DMS Commissioning-master'!$B$6:$B$65,0)))),"")</f>
        <v/>
      </c>
    </row>
    <row r="36">
      <c r="B36" s="23">
        <f>IF('DMIC List - master'!B36="","",'DMIC List - master'!B36)</f>
        <v/>
      </c>
      <c r="C36" s="23">
        <f>IFERROR(IF(INDEX('DMIC List - master'!$C:$C,MATCH($B36,CONTRACT_ID,0)+5)="","",INDEX('DMIC List - master'!$C:$C,MATCH($B36,CONTRACT_ID,0)+5)),"")</f>
        <v/>
      </c>
      <c r="D36" s="23">
        <f>IFERROR(IF(INDEX('DMIC List - master'!$D:$D,MATCH($B36,CONTRACT_ID,0)+5)="","",INDEX('DMIC List - master'!$D:$D,MATCH($B36,CONTRACT_ID,0)+5)),"")</f>
        <v/>
      </c>
      <c r="E36" s="23">
        <f>IFERROR(IF(INDEX('DMIC List - master'!$E:$E,MATCH($B36,CONTRACT_ID,0)+5)="","",INDEX('DMIC List - master'!$E:$E,MATCH($B36,CONTRACT_ID,0)+5)),"")</f>
        <v/>
      </c>
      <c r="G36" s="23">
        <f>IFERROR(IF(INDEX('DMIC List - master'!$P:$P,MATCH($B36,CONTRACT_ID,0)+5)="","",INDEX('DMIC List - master'!$P:$P,MATCH($B36,CONTRACT_ID,0)+5)),"")</f>
        <v/>
      </c>
      <c r="H36" s="23">
        <f>IFERROR(IF(INDEX('DMIC List - master'!$Q:$Q,MATCH($B36,CONTRACT_ID,0)+5)="","",INDEX('DMIC List - master'!$Q:$Q,MATCH($B36,CONTRACT_ID,0)+5)),"")</f>
        <v/>
      </c>
      <c r="I36" s="23">
        <f>IFERROR(IF(INDEX('DMIC List - master'!$U:$U,MATCH($B36,CONTRACT_ID,0)+5)="","",INDEX('DMIC List - master'!$U:$U,MATCH($B36,CONTRACT_ID,0)+5)),"")</f>
        <v/>
      </c>
      <c r="K36" s="25" t="n"/>
      <c r="L36" s="25" t="n"/>
      <c r="M36" s="23" t="n"/>
      <c r="N36" s="25" t="n"/>
      <c r="O36" s="23" t="n"/>
      <c r="P36" s="45">
        <f>IFERROR(IF($B36="","",IF(N36&lt;&gt;"",(N36-$P$2)/30,IF(K36&lt;&gt;"",(K36-$P$2)/30,""))),"")</f>
        <v/>
      </c>
      <c r="Q36" s="23" t="n"/>
      <c r="S36" s="25" t="n"/>
      <c r="T36" s="25" t="n"/>
      <c r="V36" s="23" t="n"/>
      <c r="W36" s="23" t="n"/>
      <c r="X36" s="23" t="n"/>
      <c r="Z36" s="23" t="n"/>
      <c r="AA36" s="23" t="n"/>
      <c r="AB36" s="23" t="n"/>
      <c r="AC36" s="23" t="n"/>
      <c r="AD36" s="23" t="n"/>
      <c r="AE36" s="23" t="n"/>
      <c r="AG36" s="23">
        <f>IFERROR(IF($B36="","",IF(INDEX('DMIC DMS Commissioning-master'!$Z$6:$Z$65,MATCH($B36,'DMIC DMS Commissioning-master'!$B$6:$B$65,0))=0,"",INDEX('DMIC DMS Commissioning-master'!$Z$6:$Z$65,MATCH($B36,'DMIC DMS Commissioning-master'!$B$6:$B$65,0)))),"")</f>
        <v/>
      </c>
    </row>
    <row r="37">
      <c r="B37" s="26">
        <f>IF('DMIC List - master'!B37="","",'DMIC List - master'!B37)</f>
        <v/>
      </c>
      <c r="C37" s="26">
        <f>IFERROR(IF(INDEX('DMIC List - master'!$C:$C,MATCH($B37,CONTRACT_ID,0)+5)="","",INDEX('DMIC List - master'!$C:$C,MATCH($B37,CONTRACT_ID,0)+5)),"")</f>
        <v/>
      </c>
      <c r="D37" s="26">
        <f>IFERROR(IF(INDEX('DMIC List - master'!$D:$D,MATCH($B37,CONTRACT_ID,0)+5)="","",INDEX('DMIC List - master'!$D:$D,MATCH($B37,CONTRACT_ID,0)+5)),"")</f>
        <v/>
      </c>
      <c r="E37" s="26">
        <f>IFERROR(IF(INDEX('DMIC List - master'!$E:$E,MATCH($B37,CONTRACT_ID,0)+5)="","",INDEX('DMIC List - master'!$E:$E,MATCH($B37,CONTRACT_ID,0)+5)),"")</f>
        <v/>
      </c>
      <c r="G37" s="26">
        <f>IFERROR(IF(INDEX('DMIC List - master'!$P:$P,MATCH($B37,CONTRACT_ID,0)+5)="","",INDEX('DMIC List - master'!$P:$P,MATCH($B37,CONTRACT_ID,0)+5)),"")</f>
        <v/>
      </c>
      <c r="H37" s="26">
        <f>IFERROR(IF(INDEX('DMIC List - master'!$Q:$Q,MATCH($B37,CONTRACT_ID,0)+5)="","",INDEX('DMIC List - master'!$Q:$Q,MATCH($B37,CONTRACT_ID,0)+5)),"")</f>
        <v/>
      </c>
      <c r="I37" s="26">
        <f>IFERROR(IF(INDEX('DMIC List - master'!$U:$U,MATCH($B37,CONTRACT_ID,0)+5)="","",INDEX('DMIC List - master'!$U:$U,MATCH($B37,CONTRACT_ID,0)+5)),"")</f>
        <v/>
      </c>
      <c r="K37" s="28" t="n"/>
      <c r="L37" s="28" t="n"/>
      <c r="M37" s="26" t="n"/>
      <c r="N37" s="28" t="n"/>
      <c r="O37" s="26" t="n"/>
      <c r="P37" s="46">
        <f>IFERROR(IF($B37="","",IF(N37&lt;&gt;"",(N37-$P$2)/30,IF(K37&lt;&gt;"",(K37-$P$2)/30,""))),"")</f>
        <v/>
      </c>
      <c r="Q37" s="26" t="n"/>
      <c r="S37" s="28" t="n"/>
      <c r="T37" s="28" t="n"/>
      <c r="V37" s="26" t="n"/>
      <c r="W37" s="26" t="n"/>
      <c r="X37" s="26" t="n"/>
      <c r="Z37" s="26" t="n"/>
      <c r="AA37" s="26" t="n"/>
      <c r="AB37" s="26" t="n"/>
      <c r="AC37" s="26" t="n"/>
      <c r="AD37" s="26" t="n"/>
      <c r="AE37" s="26" t="n"/>
      <c r="AG37" s="26">
        <f>IFERROR(IF($B37="","",IF(INDEX('DMIC DMS Commissioning-master'!$Z$6:$Z$65,MATCH($B37,'DMIC DMS Commissioning-master'!$B$6:$B$65,0))=0,"",INDEX('DMIC DMS Commissioning-master'!$Z$6:$Z$65,MATCH($B37,'DMIC DMS Commissioning-master'!$B$6:$B$65,0)))),"")</f>
        <v/>
      </c>
    </row>
    <row r="38">
      <c r="B38" s="23">
        <f>IF('DMIC List - master'!B38="","",'DMIC List - master'!B38)</f>
        <v/>
      </c>
      <c r="C38" s="23">
        <f>IFERROR(IF(INDEX('DMIC List - master'!$C:$C,MATCH($B38,CONTRACT_ID,0)+5)="","",INDEX('DMIC List - master'!$C:$C,MATCH($B38,CONTRACT_ID,0)+5)),"")</f>
        <v/>
      </c>
      <c r="D38" s="23">
        <f>IFERROR(IF(INDEX('DMIC List - master'!$D:$D,MATCH($B38,CONTRACT_ID,0)+5)="","",INDEX('DMIC List - master'!$D:$D,MATCH($B38,CONTRACT_ID,0)+5)),"")</f>
        <v/>
      </c>
      <c r="E38" s="23">
        <f>IFERROR(IF(INDEX('DMIC List - master'!$E:$E,MATCH($B38,CONTRACT_ID,0)+5)="","",INDEX('DMIC List - master'!$E:$E,MATCH($B38,CONTRACT_ID,0)+5)),"")</f>
        <v/>
      </c>
      <c r="G38" s="23">
        <f>IFERROR(IF(INDEX('DMIC List - master'!$P:$P,MATCH($B38,CONTRACT_ID,0)+5)="","",INDEX('DMIC List - master'!$P:$P,MATCH($B38,CONTRACT_ID,0)+5)),"")</f>
        <v/>
      </c>
      <c r="H38" s="23">
        <f>IFERROR(IF(INDEX('DMIC List - master'!$Q:$Q,MATCH($B38,CONTRACT_ID,0)+5)="","",INDEX('DMIC List - master'!$Q:$Q,MATCH($B38,CONTRACT_ID,0)+5)),"")</f>
        <v/>
      </c>
      <c r="I38" s="23">
        <f>IFERROR(IF(INDEX('DMIC List - master'!$U:$U,MATCH($B38,CONTRACT_ID,0)+5)="","",INDEX('DMIC List - master'!$U:$U,MATCH($B38,CONTRACT_ID,0)+5)),"")</f>
        <v/>
      </c>
      <c r="K38" s="25" t="n"/>
      <c r="L38" s="25" t="n"/>
      <c r="M38" s="23" t="n"/>
      <c r="N38" s="25" t="n"/>
      <c r="O38" s="23" t="n"/>
      <c r="P38" s="45">
        <f>IFERROR(IF($B38="","",IF(N38&lt;&gt;"",(N38-$P$2)/30,IF(K38&lt;&gt;"",(K38-$P$2)/30,""))),"")</f>
        <v/>
      </c>
      <c r="Q38" s="23" t="n"/>
      <c r="S38" s="25" t="n"/>
      <c r="T38" s="25" t="n"/>
      <c r="V38" s="23" t="n"/>
      <c r="W38" s="23" t="n"/>
      <c r="X38" s="23" t="n"/>
      <c r="Z38" s="23" t="n"/>
      <c r="AA38" s="23" t="n"/>
      <c r="AB38" s="23" t="n"/>
      <c r="AC38" s="23" t="n"/>
      <c r="AD38" s="23" t="n"/>
      <c r="AE38" s="23" t="n"/>
      <c r="AG38" s="23">
        <f>IFERROR(IF($B38="","",IF(INDEX('DMIC DMS Commissioning-master'!$Z$6:$Z$65,MATCH($B38,'DMIC DMS Commissioning-master'!$B$6:$B$65,0))=0,"",INDEX('DMIC DMS Commissioning-master'!$Z$6:$Z$65,MATCH($B38,'DMIC DMS Commissioning-master'!$B$6:$B$65,0)))),"")</f>
        <v/>
      </c>
    </row>
    <row r="39">
      <c r="B39" s="26">
        <f>IF('DMIC List - master'!B39="","",'DMIC List - master'!B39)</f>
        <v/>
      </c>
      <c r="C39" s="26">
        <f>IFERROR(IF(INDEX('DMIC List - master'!$C:$C,MATCH($B39,CONTRACT_ID,0)+5)="","",INDEX('DMIC List - master'!$C:$C,MATCH($B39,CONTRACT_ID,0)+5)),"")</f>
        <v/>
      </c>
      <c r="D39" s="26">
        <f>IFERROR(IF(INDEX('DMIC List - master'!$D:$D,MATCH($B39,CONTRACT_ID,0)+5)="","",INDEX('DMIC List - master'!$D:$D,MATCH($B39,CONTRACT_ID,0)+5)),"")</f>
        <v/>
      </c>
      <c r="E39" s="26">
        <f>IFERROR(IF(INDEX('DMIC List - master'!$E:$E,MATCH($B39,CONTRACT_ID,0)+5)="","",INDEX('DMIC List - master'!$E:$E,MATCH($B39,CONTRACT_ID,0)+5)),"")</f>
        <v/>
      </c>
      <c r="G39" s="26">
        <f>IFERROR(IF(INDEX('DMIC List - master'!$P:$P,MATCH($B39,CONTRACT_ID,0)+5)="","",INDEX('DMIC List - master'!$P:$P,MATCH($B39,CONTRACT_ID,0)+5)),"")</f>
        <v/>
      </c>
      <c r="H39" s="26">
        <f>IFERROR(IF(INDEX('DMIC List - master'!$Q:$Q,MATCH($B39,CONTRACT_ID,0)+5)="","",INDEX('DMIC List - master'!$Q:$Q,MATCH($B39,CONTRACT_ID,0)+5)),"")</f>
        <v/>
      </c>
      <c r="I39" s="26">
        <f>IFERROR(IF(INDEX('DMIC List - master'!$U:$U,MATCH($B39,CONTRACT_ID,0)+5)="","",INDEX('DMIC List - master'!$U:$U,MATCH($B39,CONTRACT_ID,0)+5)),"")</f>
        <v/>
      </c>
      <c r="K39" s="28" t="n"/>
      <c r="L39" s="28" t="n"/>
      <c r="M39" s="26" t="n"/>
      <c r="N39" s="28" t="n"/>
      <c r="O39" s="26" t="n"/>
      <c r="P39" s="46">
        <f>IFERROR(IF($B39="","",IF(N39&lt;&gt;"",(N39-$P$2)/30,IF(K39&lt;&gt;"",(K39-$P$2)/30,""))),"")</f>
        <v/>
      </c>
      <c r="Q39" s="26" t="n"/>
      <c r="S39" s="28" t="n"/>
      <c r="T39" s="28" t="n"/>
      <c r="V39" s="26" t="n"/>
      <c r="W39" s="26" t="n"/>
      <c r="X39" s="26" t="n"/>
      <c r="Z39" s="26" t="n"/>
      <c r="AA39" s="26" t="n"/>
      <c r="AB39" s="26" t="n"/>
      <c r="AC39" s="26" t="n"/>
      <c r="AD39" s="26" t="n"/>
      <c r="AE39" s="26" t="n"/>
      <c r="AG39" s="26">
        <f>IFERROR(IF($B39="","",IF(INDEX('DMIC DMS Commissioning-master'!$Z$6:$Z$65,MATCH($B39,'DMIC DMS Commissioning-master'!$B$6:$B$65,0))=0,"",INDEX('DMIC DMS Commissioning-master'!$Z$6:$Z$65,MATCH($B39,'DMIC DMS Commissioning-master'!$B$6:$B$65,0)))),"")</f>
        <v/>
      </c>
    </row>
    <row r="40">
      <c r="B40" s="23">
        <f>IF('DMIC List - master'!B40="","",'DMIC List - master'!B40)</f>
        <v/>
      </c>
      <c r="C40" s="23">
        <f>IFERROR(IF(INDEX('DMIC List - master'!$C:$C,MATCH($B40,CONTRACT_ID,0)+5)="","",INDEX('DMIC List - master'!$C:$C,MATCH($B40,CONTRACT_ID,0)+5)),"")</f>
        <v/>
      </c>
      <c r="D40" s="23">
        <f>IFERROR(IF(INDEX('DMIC List - master'!$D:$D,MATCH($B40,CONTRACT_ID,0)+5)="","",INDEX('DMIC List - master'!$D:$D,MATCH($B40,CONTRACT_ID,0)+5)),"")</f>
        <v/>
      </c>
      <c r="E40" s="23">
        <f>IFERROR(IF(INDEX('DMIC List - master'!$E:$E,MATCH($B40,CONTRACT_ID,0)+5)="","",INDEX('DMIC List - master'!$E:$E,MATCH($B40,CONTRACT_ID,0)+5)),"")</f>
        <v/>
      </c>
      <c r="G40" s="23">
        <f>IFERROR(IF(INDEX('DMIC List - master'!$P:$P,MATCH($B40,CONTRACT_ID,0)+5)="","",INDEX('DMIC List - master'!$P:$P,MATCH($B40,CONTRACT_ID,0)+5)),"")</f>
        <v/>
      </c>
      <c r="H40" s="23">
        <f>IFERROR(IF(INDEX('DMIC List - master'!$Q:$Q,MATCH($B40,CONTRACT_ID,0)+5)="","",INDEX('DMIC List - master'!$Q:$Q,MATCH($B40,CONTRACT_ID,0)+5)),"")</f>
        <v/>
      </c>
      <c r="I40" s="23">
        <f>IFERROR(IF(INDEX('DMIC List - master'!$U:$U,MATCH($B40,CONTRACT_ID,0)+5)="","",INDEX('DMIC List - master'!$U:$U,MATCH($B40,CONTRACT_ID,0)+5)),"")</f>
        <v/>
      </c>
      <c r="K40" s="25" t="n"/>
      <c r="L40" s="25" t="n"/>
      <c r="M40" s="23" t="n"/>
      <c r="N40" s="25" t="n"/>
      <c r="O40" s="23" t="n"/>
      <c r="P40" s="45">
        <f>IFERROR(IF($B40="","",IF(N40&lt;&gt;"",(N40-$P$2)/30,IF(K40&lt;&gt;"",(K40-$P$2)/30,""))),"")</f>
        <v/>
      </c>
      <c r="Q40" s="23" t="n"/>
      <c r="S40" s="25" t="n"/>
      <c r="T40" s="25" t="n"/>
      <c r="V40" s="23" t="n"/>
      <c r="W40" s="23" t="n"/>
      <c r="X40" s="23" t="n"/>
      <c r="Z40" s="23" t="n"/>
      <c r="AA40" s="23" t="n"/>
      <c r="AB40" s="23" t="n"/>
      <c r="AC40" s="23" t="n"/>
      <c r="AD40" s="23" t="n"/>
      <c r="AE40" s="23" t="n"/>
      <c r="AG40" s="23">
        <f>IFERROR(IF($B40="","",IF(INDEX('DMIC DMS Commissioning-master'!$Z$6:$Z$65,MATCH($B40,'DMIC DMS Commissioning-master'!$B$6:$B$65,0))=0,"",INDEX('DMIC DMS Commissioning-master'!$Z$6:$Z$65,MATCH($B40,'DMIC DMS Commissioning-master'!$B$6:$B$65,0)))),"")</f>
        <v/>
      </c>
    </row>
    <row r="41">
      <c r="B41" s="26">
        <f>IF('DMIC List - master'!B41="","",'DMIC List - master'!B41)</f>
        <v/>
      </c>
      <c r="C41" s="26">
        <f>IFERROR(IF(INDEX('DMIC List - master'!$C:$C,MATCH($B41,CONTRACT_ID,0)+5)="","",INDEX('DMIC List - master'!$C:$C,MATCH($B41,CONTRACT_ID,0)+5)),"")</f>
        <v/>
      </c>
      <c r="D41" s="26">
        <f>IFERROR(IF(INDEX('DMIC List - master'!$D:$D,MATCH($B41,CONTRACT_ID,0)+5)="","",INDEX('DMIC List - master'!$D:$D,MATCH($B41,CONTRACT_ID,0)+5)),"")</f>
        <v/>
      </c>
      <c r="E41" s="26">
        <f>IFERROR(IF(INDEX('DMIC List - master'!$E:$E,MATCH($B41,CONTRACT_ID,0)+5)="","",INDEX('DMIC List - master'!$E:$E,MATCH($B41,CONTRACT_ID,0)+5)),"")</f>
        <v/>
      </c>
      <c r="G41" s="26">
        <f>IFERROR(IF(INDEX('DMIC List - master'!$P:$P,MATCH($B41,CONTRACT_ID,0)+5)="","",INDEX('DMIC List - master'!$P:$P,MATCH($B41,CONTRACT_ID,0)+5)),"")</f>
        <v/>
      </c>
      <c r="H41" s="26">
        <f>IFERROR(IF(INDEX('DMIC List - master'!$Q:$Q,MATCH($B41,CONTRACT_ID,0)+5)="","",INDEX('DMIC List - master'!$Q:$Q,MATCH($B41,CONTRACT_ID,0)+5)),"")</f>
        <v/>
      </c>
      <c r="I41" s="26">
        <f>IFERROR(IF(INDEX('DMIC List - master'!$U:$U,MATCH($B41,CONTRACT_ID,0)+5)="","",INDEX('DMIC List - master'!$U:$U,MATCH($B41,CONTRACT_ID,0)+5)),"")</f>
        <v/>
      </c>
      <c r="K41" s="28" t="n"/>
      <c r="L41" s="28" t="n"/>
      <c r="M41" s="26" t="n"/>
      <c r="N41" s="28" t="n"/>
      <c r="O41" s="26" t="n"/>
      <c r="P41" s="46">
        <f>IFERROR(IF($B41="","",IF(N41&lt;&gt;"",(N41-$P$2)/30,IF(K41&lt;&gt;"",(K41-$P$2)/30,""))),"")</f>
        <v/>
      </c>
      <c r="Q41" s="26" t="n"/>
      <c r="S41" s="28" t="n"/>
      <c r="T41" s="28" t="n"/>
      <c r="V41" s="26" t="n"/>
      <c r="W41" s="26" t="n"/>
      <c r="X41" s="26" t="n"/>
      <c r="Z41" s="26" t="n"/>
      <c r="AA41" s="26" t="n"/>
      <c r="AB41" s="26" t="n"/>
      <c r="AC41" s="26" t="n"/>
      <c r="AD41" s="26" t="n"/>
      <c r="AE41" s="26" t="n"/>
      <c r="AG41" s="26">
        <f>IFERROR(IF($B41="","",IF(INDEX('DMIC DMS Commissioning-master'!$Z$6:$Z$65,MATCH($B41,'DMIC DMS Commissioning-master'!$B$6:$B$65,0))=0,"",INDEX('DMIC DMS Commissioning-master'!$Z$6:$Z$65,MATCH($B41,'DMIC DMS Commissioning-master'!$B$6:$B$65,0)))),"")</f>
        <v/>
      </c>
    </row>
    <row r="42">
      <c r="B42" s="23">
        <f>IF('DMIC List - master'!B42="","",'DMIC List - master'!B42)</f>
        <v/>
      </c>
      <c r="C42" s="23">
        <f>IFERROR(IF(INDEX('DMIC List - master'!$C:$C,MATCH($B42,CONTRACT_ID,0)+5)="","",INDEX('DMIC List - master'!$C:$C,MATCH($B42,CONTRACT_ID,0)+5)),"")</f>
        <v/>
      </c>
      <c r="D42" s="23">
        <f>IFERROR(IF(INDEX('DMIC List - master'!$D:$D,MATCH($B42,CONTRACT_ID,0)+5)="","",INDEX('DMIC List - master'!$D:$D,MATCH($B42,CONTRACT_ID,0)+5)),"")</f>
        <v/>
      </c>
      <c r="E42" s="23">
        <f>IFERROR(IF(INDEX('DMIC List - master'!$E:$E,MATCH($B42,CONTRACT_ID,0)+5)="","",INDEX('DMIC List - master'!$E:$E,MATCH($B42,CONTRACT_ID,0)+5)),"")</f>
        <v/>
      </c>
      <c r="G42" s="23">
        <f>IFERROR(IF(INDEX('DMIC List - master'!$P:$P,MATCH($B42,CONTRACT_ID,0)+5)="","",INDEX('DMIC List - master'!$P:$P,MATCH($B42,CONTRACT_ID,0)+5)),"")</f>
        <v/>
      </c>
      <c r="H42" s="23">
        <f>IFERROR(IF(INDEX('DMIC List - master'!$Q:$Q,MATCH($B42,CONTRACT_ID,0)+5)="","",INDEX('DMIC List - master'!$Q:$Q,MATCH($B42,CONTRACT_ID,0)+5)),"")</f>
        <v/>
      </c>
      <c r="I42" s="23">
        <f>IFERROR(IF(INDEX('DMIC List - master'!$U:$U,MATCH($B42,CONTRACT_ID,0)+5)="","",INDEX('DMIC List - master'!$U:$U,MATCH($B42,CONTRACT_ID,0)+5)),"")</f>
        <v/>
      </c>
      <c r="K42" s="25" t="n"/>
      <c r="L42" s="25" t="n"/>
      <c r="M42" s="23" t="n"/>
      <c r="N42" s="25" t="n"/>
      <c r="O42" s="23" t="n"/>
      <c r="P42" s="45">
        <f>IFERROR(IF($B42="","",IF(N42&lt;&gt;"",(N42-$P$2)/30,IF(K42&lt;&gt;"",(K42-$P$2)/30,""))),"")</f>
        <v/>
      </c>
      <c r="Q42" s="23" t="n"/>
      <c r="S42" s="25" t="n"/>
      <c r="T42" s="25" t="n"/>
      <c r="V42" s="23" t="n"/>
      <c r="W42" s="23" t="n"/>
      <c r="X42" s="23" t="n"/>
      <c r="Z42" s="23" t="n"/>
      <c r="AA42" s="23" t="n"/>
      <c r="AB42" s="23" t="n"/>
      <c r="AC42" s="23" t="n"/>
      <c r="AD42" s="23" t="n"/>
      <c r="AE42" s="23" t="n"/>
      <c r="AG42" s="23">
        <f>IFERROR(IF($B42="","",IF(INDEX('DMIC DMS Commissioning-master'!$Z$6:$Z$65,MATCH($B42,'DMIC DMS Commissioning-master'!$B$6:$B$65,0))=0,"",INDEX('DMIC DMS Commissioning-master'!$Z$6:$Z$65,MATCH($B42,'DMIC DMS Commissioning-master'!$B$6:$B$65,0)))),"")</f>
        <v/>
      </c>
    </row>
    <row r="43">
      <c r="B43" s="26">
        <f>IF('DMIC List - master'!B43="","",'DMIC List - master'!B43)</f>
        <v/>
      </c>
      <c r="C43" s="26">
        <f>IFERROR(IF(INDEX('DMIC List - master'!$C:$C,MATCH($B43,CONTRACT_ID,0)+5)="","",INDEX('DMIC List - master'!$C:$C,MATCH($B43,CONTRACT_ID,0)+5)),"")</f>
        <v/>
      </c>
      <c r="D43" s="26">
        <f>IFERROR(IF(INDEX('DMIC List - master'!$D:$D,MATCH($B43,CONTRACT_ID,0)+5)="","",INDEX('DMIC List - master'!$D:$D,MATCH($B43,CONTRACT_ID,0)+5)),"")</f>
        <v/>
      </c>
      <c r="E43" s="26">
        <f>IFERROR(IF(INDEX('DMIC List - master'!$E:$E,MATCH($B43,CONTRACT_ID,0)+5)="","",INDEX('DMIC List - master'!$E:$E,MATCH($B43,CONTRACT_ID,0)+5)),"")</f>
        <v/>
      </c>
      <c r="G43" s="26">
        <f>IFERROR(IF(INDEX('DMIC List - master'!$P:$P,MATCH($B43,CONTRACT_ID,0)+5)="","",INDEX('DMIC List - master'!$P:$P,MATCH($B43,CONTRACT_ID,0)+5)),"")</f>
        <v/>
      </c>
      <c r="H43" s="26">
        <f>IFERROR(IF(INDEX('DMIC List - master'!$Q:$Q,MATCH($B43,CONTRACT_ID,0)+5)="","",INDEX('DMIC List - master'!$Q:$Q,MATCH($B43,CONTRACT_ID,0)+5)),"")</f>
        <v/>
      </c>
      <c r="I43" s="26">
        <f>IFERROR(IF(INDEX('DMIC List - master'!$U:$U,MATCH($B43,CONTRACT_ID,0)+5)="","",INDEX('DMIC List - master'!$U:$U,MATCH($B43,CONTRACT_ID,0)+5)),"")</f>
        <v/>
      </c>
      <c r="K43" s="28" t="n"/>
      <c r="L43" s="28" t="n"/>
      <c r="M43" s="26" t="n"/>
      <c r="N43" s="28" t="n"/>
      <c r="O43" s="26" t="n"/>
      <c r="P43" s="46">
        <f>IFERROR(IF($B43="","",IF(N43&lt;&gt;"",(N43-$P$2)/30,IF(K43&lt;&gt;"",(K43-$P$2)/30,""))),"")</f>
        <v/>
      </c>
      <c r="Q43" s="26" t="n"/>
      <c r="S43" s="28" t="n"/>
      <c r="T43" s="28" t="n"/>
      <c r="V43" s="26" t="n"/>
      <c r="W43" s="26" t="n"/>
      <c r="X43" s="26" t="n"/>
      <c r="Z43" s="26" t="n"/>
      <c r="AA43" s="26" t="n"/>
      <c r="AB43" s="26" t="n"/>
      <c r="AC43" s="26" t="n"/>
      <c r="AD43" s="26" t="n"/>
      <c r="AE43" s="26" t="n"/>
      <c r="AG43" s="26">
        <f>IFERROR(IF($B43="","",IF(INDEX('DMIC DMS Commissioning-master'!$Z$6:$Z$65,MATCH($B43,'DMIC DMS Commissioning-master'!$B$6:$B$65,0))=0,"",INDEX('DMIC DMS Commissioning-master'!$Z$6:$Z$65,MATCH($B43,'DMIC DMS Commissioning-master'!$B$6:$B$65,0)))),"")</f>
        <v/>
      </c>
    </row>
    <row r="44">
      <c r="B44" s="23">
        <f>IF('DMIC List - master'!B44="","",'DMIC List - master'!B44)</f>
        <v/>
      </c>
      <c r="C44" s="23">
        <f>IFERROR(IF(INDEX('DMIC List - master'!$C:$C,MATCH($B44,CONTRACT_ID,0)+5)="","",INDEX('DMIC List - master'!$C:$C,MATCH($B44,CONTRACT_ID,0)+5)),"")</f>
        <v/>
      </c>
      <c r="D44" s="23">
        <f>IFERROR(IF(INDEX('DMIC List - master'!$D:$D,MATCH($B44,CONTRACT_ID,0)+5)="","",INDEX('DMIC List - master'!$D:$D,MATCH($B44,CONTRACT_ID,0)+5)),"")</f>
        <v/>
      </c>
      <c r="E44" s="23">
        <f>IFERROR(IF(INDEX('DMIC List - master'!$E:$E,MATCH($B44,CONTRACT_ID,0)+5)="","",INDEX('DMIC List - master'!$E:$E,MATCH($B44,CONTRACT_ID,0)+5)),"")</f>
        <v/>
      </c>
      <c r="G44" s="23">
        <f>IFERROR(IF(INDEX('DMIC List - master'!$P:$P,MATCH($B44,CONTRACT_ID,0)+5)="","",INDEX('DMIC List - master'!$P:$P,MATCH($B44,CONTRACT_ID,0)+5)),"")</f>
        <v/>
      </c>
      <c r="H44" s="23">
        <f>IFERROR(IF(INDEX('DMIC List - master'!$Q:$Q,MATCH($B44,CONTRACT_ID,0)+5)="","",INDEX('DMIC List - master'!$Q:$Q,MATCH($B44,CONTRACT_ID,0)+5)),"")</f>
        <v/>
      </c>
      <c r="I44" s="23">
        <f>IFERROR(IF(INDEX('DMIC List - master'!$U:$U,MATCH($B44,CONTRACT_ID,0)+5)="","",INDEX('DMIC List - master'!$U:$U,MATCH($B44,CONTRACT_ID,0)+5)),"")</f>
        <v/>
      </c>
      <c r="K44" s="25" t="n"/>
      <c r="L44" s="25" t="n"/>
      <c r="M44" s="23" t="n"/>
      <c r="N44" s="25" t="n"/>
      <c r="O44" s="23" t="n"/>
      <c r="P44" s="45">
        <f>IFERROR(IF($B44="","",IF(N44&lt;&gt;"",(N44-$P$2)/30,IF(K44&lt;&gt;"",(K44-$P$2)/30,""))),"")</f>
        <v/>
      </c>
      <c r="Q44" s="23" t="n"/>
      <c r="S44" s="25" t="n"/>
      <c r="T44" s="25" t="n"/>
      <c r="V44" s="23" t="n"/>
      <c r="W44" s="23" t="n"/>
      <c r="X44" s="23" t="n"/>
      <c r="Z44" s="23" t="n"/>
      <c r="AA44" s="23" t="n"/>
      <c r="AB44" s="23" t="n"/>
      <c r="AC44" s="23" t="n"/>
      <c r="AD44" s="23" t="n"/>
      <c r="AE44" s="23" t="n"/>
      <c r="AG44" s="23">
        <f>IFERROR(IF($B44="","",IF(INDEX('DMIC DMS Commissioning-master'!$Z$6:$Z$65,MATCH($B44,'DMIC DMS Commissioning-master'!$B$6:$B$65,0))=0,"",INDEX('DMIC DMS Commissioning-master'!$Z$6:$Z$65,MATCH($B44,'DMIC DMS Commissioning-master'!$B$6:$B$65,0)))),"")</f>
        <v/>
      </c>
    </row>
    <row r="45">
      <c r="B45" s="26">
        <f>IF('DMIC List - master'!B45="","",'DMIC List - master'!B45)</f>
        <v/>
      </c>
      <c r="C45" s="26">
        <f>IFERROR(IF(INDEX('DMIC List - master'!$C:$C,MATCH($B45,CONTRACT_ID,0)+5)="","",INDEX('DMIC List - master'!$C:$C,MATCH($B45,CONTRACT_ID,0)+5)),"")</f>
        <v/>
      </c>
      <c r="D45" s="26">
        <f>IFERROR(IF(INDEX('DMIC List - master'!$D:$D,MATCH($B45,CONTRACT_ID,0)+5)="","",INDEX('DMIC List - master'!$D:$D,MATCH($B45,CONTRACT_ID,0)+5)),"")</f>
        <v/>
      </c>
      <c r="E45" s="26">
        <f>IFERROR(IF(INDEX('DMIC List - master'!$E:$E,MATCH($B45,CONTRACT_ID,0)+5)="","",INDEX('DMIC List - master'!$E:$E,MATCH($B45,CONTRACT_ID,0)+5)),"")</f>
        <v/>
      </c>
      <c r="G45" s="26">
        <f>IFERROR(IF(INDEX('DMIC List - master'!$P:$P,MATCH($B45,CONTRACT_ID,0)+5)="","",INDEX('DMIC List - master'!$P:$P,MATCH($B45,CONTRACT_ID,0)+5)),"")</f>
        <v/>
      </c>
      <c r="H45" s="26">
        <f>IFERROR(IF(INDEX('DMIC List - master'!$Q:$Q,MATCH($B45,CONTRACT_ID,0)+5)="","",INDEX('DMIC List - master'!$Q:$Q,MATCH($B45,CONTRACT_ID,0)+5)),"")</f>
        <v/>
      </c>
      <c r="I45" s="26">
        <f>IFERROR(IF(INDEX('DMIC List - master'!$U:$U,MATCH($B45,CONTRACT_ID,0)+5)="","",INDEX('DMIC List - master'!$U:$U,MATCH($B45,CONTRACT_ID,0)+5)),"")</f>
        <v/>
      </c>
      <c r="K45" s="28" t="n"/>
      <c r="L45" s="28" t="n"/>
      <c r="M45" s="26" t="n"/>
      <c r="N45" s="28" t="n"/>
      <c r="O45" s="26" t="n"/>
      <c r="P45" s="46">
        <f>IFERROR(IF($B45="","",IF(N45&lt;&gt;"",(N45-$P$2)/30,IF(K45&lt;&gt;"",(K45-$P$2)/30,""))),"")</f>
        <v/>
      </c>
      <c r="Q45" s="26" t="n"/>
      <c r="S45" s="28" t="n"/>
      <c r="T45" s="28" t="n"/>
      <c r="V45" s="26" t="n"/>
      <c r="W45" s="26" t="n"/>
      <c r="X45" s="26" t="n"/>
      <c r="Z45" s="26" t="n"/>
      <c r="AA45" s="26" t="n"/>
      <c r="AB45" s="26" t="n"/>
      <c r="AC45" s="26" t="n"/>
      <c r="AD45" s="26" t="n"/>
      <c r="AE45" s="26" t="n"/>
      <c r="AG45" s="26">
        <f>IFERROR(IF($B45="","",IF(INDEX('DMIC DMS Commissioning-master'!$Z$6:$Z$65,MATCH($B45,'DMIC DMS Commissioning-master'!$B$6:$B$65,0))=0,"",INDEX('DMIC DMS Commissioning-master'!$Z$6:$Z$65,MATCH($B45,'DMIC DMS Commissioning-master'!$B$6:$B$65,0)))),"")</f>
        <v/>
      </c>
    </row>
    <row r="46">
      <c r="B46" s="23">
        <f>IF('DMIC List - master'!B46="","",'DMIC List - master'!B46)</f>
        <v/>
      </c>
      <c r="C46" s="23">
        <f>IFERROR(IF(INDEX('DMIC List - master'!$C:$C,MATCH($B46,CONTRACT_ID,0)+5)="","",INDEX('DMIC List - master'!$C:$C,MATCH($B46,CONTRACT_ID,0)+5)),"")</f>
        <v/>
      </c>
      <c r="D46" s="23">
        <f>IFERROR(IF(INDEX('DMIC List - master'!$D:$D,MATCH($B46,CONTRACT_ID,0)+5)="","",INDEX('DMIC List - master'!$D:$D,MATCH($B46,CONTRACT_ID,0)+5)),"")</f>
        <v/>
      </c>
      <c r="E46" s="23">
        <f>IFERROR(IF(INDEX('DMIC List - master'!$E:$E,MATCH($B46,CONTRACT_ID,0)+5)="","",INDEX('DMIC List - master'!$E:$E,MATCH($B46,CONTRACT_ID,0)+5)),"")</f>
        <v/>
      </c>
      <c r="G46" s="23">
        <f>IFERROR(IF(INDEX('DMIC List - master'!$P:$P,MATCH($B46,CONTRACT_ID,0)+5)="","",INDEX('DMIC List - master'!$P:$P,MATCH($B46,CONTRACT_ID,0)+5)),"")</f>
        <v/>
      </c>
      <c r="H46" s="23">
        <f>IFERROR(IF(INDEX('DMIC List - master'!$Q:$Q,MATCH($B46,CONTRACT_ID,0)+5)="","",INDEX('DMIC List - master'!$Q:$Q,MATCH($B46,CONTRACT_ID,0)+5)),"")</f>
        <v/>
      </c>
      <c r="I46" s="23">
        <f>IFERROR(IF(INDEX('DMIC List - master'!$U:$U,MATCH($B46,CONTRACT_ID,0)+5)="","",INDEX('DMIC List - master'!$U:$U,MATCH($B46,CONTRACT_ID,0)+5)),"")</f>
        <v/>
      </c>
      <c r="K46" s="25" t="n"/>
      <c r="L46" s="25" t="n"/>
      <c r="M46" s="23" t="n"/>
      <c r="N46" s="25" t="n"/>
      <c r="O46" s="23" t="n"/>
      <c r="P46" s="45">
        <f>IFERROR(IF($B46="","",IF(N46&lt;&gt;"",(N46-$P$2)/30,IF(K46&lt;&gt;"",(K46-$P$2)/30,""))),"")</f>
        <v/>
      </c>
      <c r="Q46" s="23" t="n"/>
      <c r="S46" s="25" t="n"/>
      <c r="T46" s="25" t="n"/>
      <c r="V46" s="23" t="n"/>
      <c r="W46" s="23" t="n"/>
      <c r="X46" s="23" t="n"/>
      <c r="Z46" s="23" t="n"/>
      <c r="AA46" s="23" t="n"/>
      <c r="AB46" s="23" t="n"/>
      <c r="AC46" s="23" t="n"/>
      <c r="AD46" s="23" t="n"/>
      <c r="AE46" s="23" t="n"/>
      <c r="AG46" s="23">
        <f>IFERROR(IF($B46="","",IF(INDEX('DMIC DMS Commissioning-master'!$Z$6:$Z$65,MATCH($B46,'DMIC DMS Commissioning-master'!$B$6:$B$65,0))=0,"",INDEX('DMIC DMS Commissioning-master'!$Z$6:$Z$65,MATCH($B46,'DMIC DMS Commissioning-master'!$B$6:$B$65,0)))),"")</f>
        <v/>
      </c>
    </row>
    <row r="47">
      <c r="B47" s="26">
        <f>IF('DMIC List - master'!B47="","",'DMIC List - master'!B47)</f>
        <v/>
      </c>
      <c r="C47" s="26">
        <f>IFERROR(IF(INDEX('DMIC List - master'!$C:$C,MATCH($B47,CONTRACT_ID,0)+5)="","",INDEX('DMIC List - master'!$C:$C,MATCH($B47,CONTRACT_ID,0)+5)),"")</f>
        <v/>
      </c>
      <c r="D47" s="26">
        <f>IFERROR(IF(INDEX('DMIC List - master'!$D:$D,MATCH($B47,CONTRACT_ID,0)+5)="","",INDEX('DMIC List - master'!$D:$D,MATCH($B47,CONTRACT_ID,0)+5)),"")</f>
        <v/>
      </c>
      <c r="E47" s="26">
        <f>IFERROR(IF(INDEX('DMIC List - master'!$E:$E,MATCH($B47,CONTRACT_ID,0)+5)="","",INDEX('DMIC List - master'!$E:$E,MATCH($B47,CONTRACT_ID,0)+5)),"")</f>
        <v/>
      </c>
      <c r="G47" s="26">
        <f>IFERROR(IF(INDEX('DMIC List - master'!$P:$P,MATCH($B47,CONTRACT_ID,0)+5)="","",INDEX('DMIC List - master'!$P:$P,MATCH($B47,CONTRACT_ID,0)+5)),"")</f>
        <v/>
      </c>
      <c r="H47" s="26">
        <f>IFERROR(IF(INDEX('DMIC List - master'!$Q:$Q,MATCH($B47,CONTRACT_ID,0)+5)="","",INDEX('DMIC List - master'!$Q:$Q,MATCH($B47,CONTRACT_ID,0)+5)),"")</f>
        <v/>
      </c>
      <c r="I47" s="26">
        <f>IFERROR(IF(INDEX('DMIC List - master'!$U:$U,MATCH($B47,CONTRACT_ID,0)+5)="","",INDEX('DMIC List - master'!$U:$U,MATCH($B47,CONTRACT_ID,0)+5)),"")</f>
        <v/>
      </c>
      <c r="K47" s="28" t="n"/>
      <c r="L47" s="28" t="n"/>
      <c r="M47" s="26" t="n"/>
      <c r="N47" s="28" t="n"/>
      <c r="O47" s="26" t="n"/>
      <c r="P47" s="46">
        <f>IFERROR(IF($B47="","",IF(N47&lt;&gt;"",(N47-$P$2)/30,IF(K47&lt;&gt;"",(K47-$P$2)/30,""))),"")</f>
        <v/>
      </c>
      <c r="Q47" s="26" t="n"/>
      <c r="S47" s="28" t="n"/>
      <c r="T47" s="28" t="n"/>
      <c r="V47" s="26" t="n"/>
      <c r="W47" s="26" t="n"/>
      <c r="X47" s="26" t="n"/>
      <c r="Z47" s="26" t="n"/>
      <c r="AA47" s="26" t="n"/>
      <c r="AB47" s="26" t="n"/>
      <c r="AC47" s="26" t="n"/>
      <c r="AD47" s="26" t="n"/>
      <c r="AE47" s="26" t="n"/>
      <c r="AG47" s="26">
        <f>IFERROR(IF($B47="","",IF(INDEX('DMIC DMS Commissioning-master'!$Z$6:$Z$65,MATCH($B47,'DMIC DMS Commissioning-master'!$B$6:$B$65,0))=0,"",INDEX('DMIC DMS Commissioning-master'!$Z$6:$Z$65,MATCH($B47,'DMIC DMS Commissioning-master'!$B$6:$B$65,0)))),"")</f>
        <v/>
      </c>
    </row>
    <row r="48">
      <c r="B48" s="23">
        <f>IF('DMIC List - master'!B48="","",'DMIC List - master'!B48)</f>
        <v/>
      </c>
      <c r="C48" s="23">
        <f>IFERROR(IF(INDEX('DMIC List - master'!$C:$C,MATCH($B48,CONTRACT_ID,0)+5)="","",INDEX('DMIC List - master'!$C:$C,MATCH($B48,CONTRACT_ID,0)+5)),"")</f>
        <v/>
      </c>
      <c r="D48" s="23">
        <f>IFERROR(IF(INDEX('DMIC List - master'!$D:$D,MATCH($B48,CONTRACT_ID,0)+5)="","",INDEX('DMIC List - master'!$D:$D,MATCH($B48,CONTRACT_ID,0)+5)),"")</f>
        <v/>
      </c>
      <c r="E48" s="23">
        <f>IFERROR(IF(INDEX('DMIC List - master'!$E:$E,MATCH($B48,CONTRACT_ID,0)+5)="","",INDEX('DMIC List - master'!$E:$E,MATCH($B48,CONTRACT_ID,0)+5)),"")</f>
        <v/>
      </c>
      <c r="G48" s="23">
        <f>IFERROR(IF(INDEX('DMIC List - master'!$P:$P,MATCH($B48,CONTRACT_ID,0)+5)="","",INDEX('DMIC List - master'!$P:$P,MATCH($B48,CONTRACT_ID,0)+5)),"")</f>
        <v/>
      </c>
      <c r="H48" s="23">
        <f>IFERROR(IF(INDEX('DMIC List - master'!$Q:$Q,MATCH($B48,CONTRACT_ID,0)+5)="","",INDEX('DMIC List - master'!$Q:$Q,MATCH($B48,CONTRACT_ID,0)+5)),"")</f>
        <v/>
      </c>
      <c r="I48" s="23">
        <f>IFERROR(IF(INDEX('DMIC List - master'!$U:$U,MATCH($B48,CONTRACT_ID,0)+5)="","",INDEX('DMIC List - master'!$U:$U,MATCH($B48,CONTRACT_ID,0)+5)),"")</f>
        <v/>
      </c>
      <c r="K48" s="25" t="n"/>
      <c r="L48" s="25" t="n"/>
      <c r="M48" s="23" t="n"/>
      <c r="N48" s="25" t="n"/>
      <c r="O48" s="23" t="n"/>
      <c r="P48" s="45">
        <f>IFERROR(IF($B48="","",IF(N48&lt;&gt;"",(N48-$P$2)/30,IF(K48&lt;&gt;"",(K48-$P$2)/30,""))),"")</f>
        <v/>
      </c>
      <c r="Q48" s="23" t="n"/>
      <c r="S48" s="25" t="n"/>
      <c r="T48" s="25" t="n"/>
      <c r="V48" s="23" t="n"/>
      <c r="W48" s="23" t="n"/>
      <c r="X48" s="23" t="n"/>
      <c r="Z48" s="23" t="n"/>
      <c r="AA48" s="23" t="n"/>
      <c r="AB48" s="23" t="n"/>
      <c r="AC48" s="23" t="n"/>
      <c r="AD48" s="23" t="n"/>
      <c r="AE48" s="23" t="n"/>
      <c r="AG48" s="23">
        <f>IFERROR(IF($B48="","",IF(INDEX('DMIC DMS Commissioning-master'!$Z$6:$Z$65,MATCH($B48,'DMIC DMS Commissioning-master'!$B$6:$B$65,0))=0,"",INDEX('DMIC DMS Commissioning-master'!$Z$6:$Z$65,MATCH($B48,'DMIC DMS Commissioning-master'!$B$6:$B$65,0)))),"")</f>
        <v/>
      </c>
    </row>
    <row r="49">
      <c r="B49" s="26">
        <f>IF('DMIC List - master'!B49="","",'DMIC List - master'!B49)</f>
        <v/>
      </c>
      <c r="C49" s="26">
        <f>IFERROR(IF(INDEX('DMIC List - master'!$C:$C,MATCH($B49,CONTRACT_ID,0)+5)="","",INDEX('DMIC List - master'!$C:$C,MATCH($B49,CONTRACT_ID,0)+5)),"")</f>
        <v/>
      </c>
      <c r="D49" s="26">
        <f>IFERROR(IF(INDEX('DMIC List - master'!$D:$D,MATCH($B49,CONTRACT_ID,0)+5)="","",INDEX('DMIC List - master'!$D:$D,MATCH($B49,CONTRACT_ID,0)+5)),"")</f>
        <v/>
      </c>
      <c r="E49" s="26">
        <f>IFERROR(IF(INDEX('DMIC List - master'!$E:$E,MATCH($B49,CONTRACT_ID,0)+5)="","",INDEX('DMIC List - master'!$E:$E,MATCH($B49,CONTRACT_ID,0)+5)),"")</f>
        <v/>
      </c>
      <c r="G49" s="26">
        <f>IFERROR(IF(INDEX('DMIC List - master'!$P:$P,MATCH($B49,CONTRACT_ID,0)+5)="","",INDEX('DMIC List - master'!$P:$P,MATCH($B49,CONTRACT_ID,0)+5)),"")</f>
        <v/>
      </c>
      <c r="H49" s="26">
        <f>IFERROR(IF(INDEX('DMIC List - master'!$Q:$Q,MATCH($B49,CONTRACT_ID,0)+5)="","",INDEX('DMIC List - master'!$Q:$Q,MATCH($B49,CONTRACT_ID,0)+5)),"")</f>
        <v/>
      </c>
      <c r="I49" s="26">
        <f>IFERROR(IF(INDEX('DMIC List - master'!$U:$U,MATCH($B49,CONTRACT_ID,0)+5)="","",INDEX('DMIC List - master'!$U:$U,MATCH($B49,CONTRACT_ID,0)+5)),"")</f>
        <v/>
      </c>
      <c r="K49" s="28" t="n"/>
      <c r="L49" s="28" t="n"/>
      <c r="M49" s="26" t="n"/>
      <c r="N49" s="28" t="n"/>
      <c r="O49" s="26" t="n"/>
      <c r="P49" s="46">
        <f>IFERROR(IF($B49="","",IF(N49&lt;&gt;"",(N49-$P$2)/30,IF(K49&lt;&gt;"",(K49-$P$2)/30,""))),"")</f>
        <v/>
      </c>
      <c r="Q49" s="26" t="n"/>
      <c r="S49" s="28" t="n"/>
      <c r="T49" s="28" t="n"/>
      <c r="V49" s="26" t="n"/>
      <c r="W49" s="26" t="n"/>
      <c r="X49" s="26" t="n"/>
      <c r="Z49" s="26" t="n"/>
      <c r="AA49" s="26" t="n"/>
      <c r="AB49" s="26" t="n"/>
      <c r="AC49" s="26" t="n"/>
      <c r="AD49" s="26" t="n"/>
      <c r="AE49" s="26" t="n"/>
      <c r="AG49" s="26">
        <f>IFERROR(IF($B49="","",IF(INDEX('DMIC DMS Commissioning-master'!$Z$6:$Z$65,MATCH($B49,'DMIC DMS Commissioning-master'!$B$6:$B$65,0))=0,"",INDEX('DMIC DMS Commissioning-master'!$Z$6:$Z$65,MATCH($B49,'DMIC DMS Commissioning-master'!$B$6:$B$65,0)))),"")</f>
        <v/>
      </c>
    </row>
    <row r="50">
      <c r="B50" s="23">
        <f>IF('DMIC List - master'!B50="","",'DMIC List - master'!B50)</f>
        <v/>
      </c>
      <c r="C50" s="23">
        <f>IFERROR(IF(INDEX('DMIC List - master'!$C:$C,MATCH($B50,CONTRACT_ID,0)+5)="","",INDEX('DMIC List - master'!$C:$C,MATCH($B50,CONTRACT_ID,0)+5)),"")</f>
        <v/>
      </c>
      <c r="D50" s="23">
        <f>IFERROR(IF(INDEX('DMIC List - master'!$D:$D,MATCH($B50,CONTRACT_ID,0)+5)="","",INDEX('DMIC List - master'!$D:$D,MATCH($B50,CONTRACT_ID,0)+5)),"")</f>
        <v/>
      </c>
      <c r="E50" s="23">
        <f>IFERROR(IF(INDEX('DMIC List - master'!$E:$E,MATCH($B50,CONTRACT_ID,0)+5)="","",INDEX('DMIC List - master'!$E:$E,MATCH($B50,CONTRACT_ID,0)+5)),"")</f>
        <v/>
      </c>
      <c r="G50" s="23">
        <f>IFERROR(IF(INDEX('DMIC List - master'!$P:$P,MATCH($B50,CONTRACT_ID,0)+5)="","",INDEX('DMIC List - master'!$P:$P,MATCH($B50,CONTRACT_ID,0)+5)),"")</f>
        <v/>
      </c>
      <c r="H50" s="23">
        <f>IFERROR(IF(INDEX('DMIC List - master'!$Q:$Q,MATCH($B50,CONTRACT_ID,0)+5)="","",INDEX('DMIC List - master'!$Q:$Q,MATCH($B50,CONTRACT_ID,0)+5)),"")</f>
        <v/>
      </c>
      <c r="I50" s="23">
        <f>IFERROR(IF(INDEX('DMIC List - master'!$U:$U,MATCH($B50,CONTRACT_ID,0)+5)="","",INDEX('DMIC List - master'!$U:$U,MATCH($B50,CONTRACT_ID,0)+5)),"")</f>
        <v/>
      </c>
      <c r="K50" s="25" t="n"/>
      <c r="L50" s="25" t="n"/>
      <c r="M50" s="23" t="n"/>
      <c r="N50" s="25" t="n"/>
      <c r="O50" s="23" t="n"/>
      <c r="P50" s="45">
        <f>IFERROR(IF($B50="","",IF(N50&lt;&gt;"",(N50-$P$2)/30,IF(K50&lt;&gt;"",(K50-$P$2)/30,""))),"")</f>
        <v/>
      </c>
      <c r="Q50" s="23" t="n"/>
      <c r="S50" s="25" t="n"/>
      <c r="T50" s="25" t="n"/>
      <c r="V50" s="23" t="n"/>
      <c r="W50" s="23" t="n"/>
      <c r="X50" s="23" t="n"/>
      <c r="Z50" s="23" t="n"/>
      <c r="AA50" s="23" t="n"/>
      <c r="AB50" s="23" t="n"/>
      <c r="AC50" s="23" t="n"/>
      <c r="AD50" s="23" t="n"/>
      <c r="AE50" s="23" t="n"/>
      <c r="AG50" s="23">
        <f>IFERROR(IF($B50="","",IF(INDEX('DMIC DMS Commissioning-master'!$Z$6:$Z$65,MATCH($B50,'DMIC DMS Commissioning-master'!$B$6:$B$65,0))=0,"",INDEX('DMIC DMS Commissioning-master'!$Z$6:$Z$65,MATCH($B50,'DMIC DMS Commissioning-master'!$B$6:$B$65,0)))),"")</f>
        <v/>
      </c>
    </row>
    <row r="51">
      <c r="B51" s="26">
        <f>IF('DMIC List - master'!B51="","",'DMIC List - master'!B51)</f>
        <v/>
      </c>
      <c r="C51" s="26">
        <f>IFERROR(IF(INDEX('DMIC List - master'!$C:$C,MATCH($B51,CONTRACT_ID,0)+5)="","",INDEX('DMIC List - master'!$C:$C,MATCH($B51,CONTRACT_ID,0)+5)),"")</f>
        <v/>
      </c>
      <c r="D51" s="26">
        <f>IFERROR(IF(INDEX('DMIC List - master'!$D:$D,MATCH($B51,CONTRACT_ID,0)+5)="","",INDEX('DMIC List - master'!$D:$D,MATCH($B51,CONTRACT_ID,0)+5)),"")</f>
        <v/>
      </c>
      <c r="E51" s="26">
        <f>IFERROR(IF(INDEX('DMIC List - master'!$E:$E,MATCH($B51,CONTRACT_ID,0)+5)="","",INDEX('DMIC List - master'!$E:$E,MATCH($B51,CONTRACT_ID,0)+5)),"")</f>
        <v/>
      </c>
      <c r="G51" s="26">
        <f>IFERROR(IF(INDEX('DMIC List - master'!$P:$P,MATCH($B51,CONTRACT_ID,0)+5)="","",INDEX('DMIC List - master'!$P:$P,MATCH($B51,CONTRACT_ID,0)+5)),"")</f>
        <v/>
      </c>
      <c r="H51" s="26">
        <f>IFERROR(IF(INDEX('DMIC List - master'!$Q:$Q,MATCH($B51,CONTRACT_ID,0)+5)="","",INDEX('DMIC List - master'!$Q:$Q,MATCH($B51,CONTRACT_ID,0)+5)),"")</f>
        <v/>
      </c>
      <c r="I51" s="26">
        <f>IFERROR(IF(INDEX('DMIC List - master'!$U:$U,MATCH($B51,CONTRACT_ID,0)+5)="","",INDEX('DMIC List - master'!$U:$U,MATCH($B51,CONTRACT_ID,0)+5)),"")</f>
        <v/>
      </c>
      <c r="K51" s="28" t="n"/>
      <c r="L51" s="28" t="n"/>
      <c r="M51" s="26" t="n"/>
      <c r="N51" s="28" t="n"/>
      <c r="O51" s="26" t="n"/>
      <c r="P51" s="46">
        <f>IFERROR(IF($B51="","",IF(N51&lt;&gt;"",(N51-$P$2)/30,IF(K51&lt;&gt;"",(K51-$P$2)/30,""))),"")</f>
        <v/>
      </c>
      <c r="Q51" s="26" t="n"/>
      <c r="S51" s="28" t="n"/>
      <c r="T51" s="28" t="n"/>
      <c r="V51" s="26" t="n"/>
      <c r="W51" s="26" t="n"/>
      <c r="X51" s="26" t="n"/>
      <c r="Z51" s="26" t="n"/>
      <c r="AA51" s="26" t="n"/>
      <c r="AB51" s="26" t="n"/>
      <c r="AC51" s="26" t="n"/>
      <c r="AD51" s="26" t="n"/>
      <c r="AE51" s="26" t="n"/>
      <c r="AG51" s="26">
        <f>IFERROR(IF($B51="","",IF(INDEX('DMIC DMS Commissioning-master'!$Z$6:$Z$65,MATCH($B51,'DMIC DMS Commissioning-master'!$B$6:$B$65,0))=0,"",INDEX('DMIC DMS Commissioning-master'!$Z$6:$Z$65,MATCH($B51,'DMIC DMS Commissioning-master'!$B$6:$B$65,0)))),"")</f>
        <v/>
      </c>
    </row>
    <row r="52">
      <c r="B52" s="23">
        <f>IF('DMIC List - master'!B52="","",'DMIC List - master'!B52)</f>
        <v/>
      </c>
      <c r="C52" s="23">
        <f>IFERROR(IF(INDEX('DMIC List - master'!$C:$C,MATCH($B52,CONTRACT_ID,0)+5)="","",INDEX('DMIC List - master'!$C:$C,MATCH($B52,CONTRACT_ID,0)+5)),"")</f>
        <v/>
      </c>
      <c r="D52" s="23">
        <f>IFERROR(IF(INDEX('DMIC List - master'!$D:$D,MATCH($B52,CONTRACT_ID,0)+5)="","",INDEX('DMIC List - master'!$D:$D,MATCH($B52,CONTRACT_ID,0)+5)),"")</f>
        <v/>
      </c>
      <c r="E52" s="23">
        <f>IFERROR(IF(INDEX('DMIC List - master'!$E:$E,MATCH($B52,CONTRACT_ID,0)+5)="","",INDEX('DMIC List - master'!$E:$E,MATCH($B52,CONTRACT_ID,0)+5)),"")</f>
        <v/>
      </c>
      <c r="G52" s="23">
        <f>IFERROR(IF(INDEX('DMIC List - master'!$P:$P,MATCH($B52,CONTRACT_ID,0)+5)="","",INDEX('DMIC List - master'!$P:$P,MATCH($B52,CONTRACT_ID,0)+5)),"")</f>
        <v/>
      </c>
      <c r="H52" s="23">
        <f>IFERROR(IF(INDEX('DMIC List - master'!$Q:$Q,MATCH($B52,CONTRACT_ID,0)+5)="","",INDEX('DMIC List - master'!$Q:$Q,MATCH($B52,CONTRACT_ID,0)+5)),"")</f>
        <v/>
      </c>
      <c r="I52" s="23">
        <f>IFERROR(IF(INDEX('DMIC List - master'!$U:$U,MATCH($B52,CONTRACT_ID,0)+5)="","",INDEX('DMIC List - master'!$U:$U,MATCH($B52,CONTRACT_ID,0)+5)),"")</f>
        <v/>
      </c>
      <c r="K52" s="25" t="n"/>
      <c r="L52" s="25" t="n"/>
      <c r="M52" s="23" t="n"/>
      <c r="N52" s="25" t="n"/>
      <c r="O52" s="23" t="n"/>
      <c r="P52" s="45">
        <f>IFERROR(IF($B52="","",IF(N52&lt;&gt;"",(N52-$P$2)/30,IF(K52&lt;&gt;"",(K52-$P$2)/30,""))),"")</f>
        <v/>
      </c>
      <c r="Q52" s="23" t="n"/>
      <c r="S52" s="25" t="n"/>
      <c r="T52" s="25" t="n"/>
      <c r="V52" s="23" t="n"/>
      <c r="W52" s="23" t="n"/>
      <c r="X52" s="23" t="n"/>
      <c r="Z52" s="23" t="n"/>
      <c r="AA52" s="23" t="n"/>
      <c r="AB52" s="23" t="n"/>
      <c r="AC52" s="23" t="n"/>
      <c r="AD52" s="23" t="n"/>
      <c r="AE52" s="23" t="n"/>
      <c r="AG52" s="23">
        <f>IFERROR(IF($B52="","",IF(INDEX('DMIC DMS Commissioning-master'!$Z$6:$Z$65,MATCH($B52,'DMIC DMS Commissioning-master'!$B$6:$B$65,0))=0,"",INDEX('DMIC DMS Commissioning-master'!$Z$6:$Z$65,MATCH($B52,'DMIC DMS Commissioning-master'!$B$6:$B$65,0)))),"")</f>
        <v/>
      </c>
    </row>
    <row r="53">
      <c r="B53" s="26">
        <f>IF('DMIC List - master'!B53="","",'DMIC List - master'!B53)</f>
        <v/>
      </c>
      <c r="C53" s="26">
        <f>IFERROR(IF(INDEX('DMIC List - master'!$C:$C,MATCH($B53,CONTRACT_ID,0)+5)="","",INDEX('DMIC List - master'!$C:$C,MATCH($B53,CONTRACT_ID,0)+5)),"")</f>
        <v/>
      </c>
      <c r="D53" s="26">
        <f>IFERROR(IF(INDEX('DMIC List - master'!$D:$D,MATCH($B53,CONTRACT_ID,0)+5)="","",INDEX('DMIC List - master'!$D:$D,MATCH($B53,CONTRACT_ID,0)+5)),"")</f>
        <v/>
      </c>
      <c r="E53" s="26">
        <f>IFERROR(IF(INDEX('DMIC List - master'!$E:$E,MATCH($B53,CONTRACT_ID,0)+5)="","",INDEX('DMIC List - master'!$E:$E,MATCH($B53,CONTRACT_ID,0)+5)),"")</f>
        <v/>
      </c>
      <c r="G53" s="26">
        <f>IFERROR(IF(INDEX('DMIC List - master'!$P:$P,MATCH($B53,CONTRACT_ID,0)+5)="","",INDEX('DMIC List - master'!$P:$P,MATCH($B53,CONTRACT_ID,0)+5)),"")</f>
        <v/>
      </c>
      <c r="H53" s="26">
        <f>IFERROR(IF(INDEX('DMIC List - master'!$Q:$Q,MATCH($B53,CONTRACT_ID,0)+5)="","",INDEX('DMIC List - master'!$Q:$Q,MATCH($B53,CONTRACT_ID,0)+5)),"")</f>
        <v/>
      </c>
      <c r="I53" s="26">
        <f>IFERROR(IF(INDEX('DMIC List - master'!$U:$U,MATCH($B53,CONTRACT_ID,0)+5)="","",INDEX('DMIC List - master'!$U:$U,MATCH($B53,CONTRACT_ID,0)+5)),"")</f>
        <v/>
      </c>
      <c r="K53" s="28" t="n"/>
      <c r="L53" s="28" t="n"/>
      <c r="M53" s="26" t="n"/>
      <c r="N53" s="28" t="n"/>
      <c r="O53" s="26" t="n"/>
      <c r="P53" s="46">
        <f>IFERROR(IF($B53="","",IF(N53&lt;&gt;"",(N53-$P$2)/30,IF(K53&lt;&gt;"",(K53-$P$2)/30,""))),"")</f>
        <v/>
      </c>
      <c r="Q53" s="26" t="n"/>
      <c r="S53" s="28" t="n"/>
      <c r="T53" s="28" t="n"/>
      <c r="V53" s="26" t="n"/>
      <c r="W53" s="26" t="n"/>
      <c r="X53" s="26" t="n"/>
      <c r="Z53" s="26" t="n"/>
      <c r="AA53" s="26" t="n"/>
      <c r="AB53" s="26" t="n"/>
      <c r="AC53" s="26" t="n"/>
      <c r="AD53" s="26" t="n"/>
      <c r="AE53" s="26" t="n"/>
      <c r="AG53" s="26">
        <f>IFERROR(IF($B53="","",IF(INDEX('DMIC DMS Commissioning-master'!$Z$6:$Z$65,MATCH($B53,'DMIC DMS Commissioning-master'!$B$6:$B$65,0))=0,"",INDEX('DMIC DMS Commissioning-master'!$Z$6:$Z$65,MATCH($B53,'DMIC DMS Commissioning-master'!$B$6:$B$65,0)))),"")</f>
        <v/>
      </c>
    </row>
    <row r="54">
      <c r="B54" s="23">
        <f>IF('DMIC List - master'!B54="","",'DMIC List - master'!B54)</f>
        <v/>
      </c>
      <c r="C54" s="23">
        <f>IFERROR(IF(INDEX('DMIC List - master'!$C:$C,MATCH($B54,CONTRACT_ID,0)+5)="","",INDEX('DMIC List - master'!$C:$C,MATCH($B54,CONTRACT_ID,0)+5)),"")</f>
        <v/>
      </c>
      <c r="D54" s="23">
        <f>IFERROR(IF(INDEX('DMIC List - master'!$D:$D,MATCH($B54,CONTRACT_ID,0)+5)="","",INDEX('DMIC List - master'!$D:$D,MATCH($B54,CONTRACT_ID,0)+5)),"")</f>
        <v/>
      </c>
      <c r="E54" s="23">
        <f>IFERROR(IF(INDEX('DMIC List - master'!$E:$E,MATCH($B54,CONTRACT_ID,0)+5)="","",INDEX('DMIC List - master'!$E:$E,MATCH($B54,CONTRACT_ID,0)+5)),"")</f>
        <v/>
      </c>
      <c r="G54" s="23">
        <f>IFERROR(IF(INDEX('DMIC List - master'!$P:$P,MATCH($B54,CONTRACT_ID,0)+5)="","",INDEX('DMIC List - master'!$P:$P,MATCH($B54,CONTRACT_ID,0)+5)),"")</f>
        <v/>
      </c>
      <c r="H54" s="23">
        <f>IFERROR(IF(INDEX('DMIC List - master'!$Q:$Q,MATCH($B54,CONTRACT_ID,0)+5)="","",INDEX('DMIC List - master'!$Q:$Q,MATCH($B54,CONTRACT_ID,0)+5)),"")</f>
        <v/>
      </c>
      <c r="I54" s="23">
        <f>IFERROR(IF(INDEX('DMIC List - master'!$U:$U,MATCH($B54,CONTRACT_ID,0)+5)="","",INDEX('DMIC List - master'!$U:$U,MATCH($B54,CONTRACT_ID,0)+5)),"")</f>
        <v/>
      </c>
      <c r="K54" s="25" t="n"/>
      <c r="L54" s="25" t="n"/>
      <c r="M54" s="23" t="n"/>
      <c r="N54" s="25" t="n"/>
      <c r="O54" s="23" t="n"/>
      <c r="P54" s="45">
        <f>IFERROR(IF($B54="","",IF(N54&lt;&gt;"",(N54-$P$2)/30,IF(K54&lt;&gt;"",(K54-$P$2)/30,""))),"")</f>
        <v/>
      </c>
      <c r="Q54" s="23" t="n"/>
      <c r="S54" s="25" t="n"/>
      <c r="T54" s="25" t="n"/>
      <c r="V54" s="23" t="n"/>
      <c r="W54" s="23" t="n"/>
      <c r="X54" s="23" t="n"/>
      <c r="Z54" s="23" t="n"/>
      <c r="AA54" s="23" t="n"/>
      <c r="AB54" s="23" t="n"/>
      <c r="AC54" s="23" t="n"/>
      <c r="AD54" s="23" t="n"/>
      <c r="AE54" s="23" t="n"/>
      <c r="AG54" s="23">
        <f>IFERROR(IF($B54="","",IF(INDEX('DMIC DMS Commissioning-master'!$Z$6:$Z$65,MATCH($B54,'DMIC DMS Commissioning-master'!$B$6:$B$65,0))=0,"",INDEX('DMIC DMS Commissioning-master'!$Z$6:$Z$65,MATCH($B54,'DMIC DMS Commissioning-master'!$B$6:$B$65,0)))),"")</f>
        <v/>
      </c>
    </row>
    <row r="55">
      <c r="B55" s="26">
        <f>IF('DMIC List - master'!B55="","",'DMIC List - master'!B55)</f>
        <v/>
      </c>
      <c r="C55" s="26">
        <f>IFERROR(IF(INDEX('DMIC List - master'!$C:$C,MATCH($B55,CONTRACT_ID,0)+5)="","",INDEX('DMIC List - master'!$C:$C,MATCH($B55,CONTRACT_ID,0)+5)),"")</f>
        <v/>
      </c>
      <c r="D55" s="26">
        <f>IFERROR(IF(INDEX('DMIC List - master'!$D:$D,MATCH($B55,CONTRACT_ID,0)+5)="","",INDEX('DMIC List - master'!$D:$D,MATCH($B55,CONTRACT_ID,0)+5)),"")</f>
        <v/>
      </c>
      <c r="E55" s="26">
        <f>IFERROR(IF(INDEX('DMIC List - master'!$E:$E,MATCH($B55,CONTRACT_ID,0)+5)="","",INDEX('DMIC List - master'!$E:$E,MATCH($B55,CONTRACT_ID,0)+5)),"")</f>
        <v/>
      </c>
      <c r="G55" s="26">
        <f>IFERROR(IF(INDEX('DMIC List - master'!$P:$P,MATCH($B55,CONTRACT_ID,0)+5)="","",INDEX('DMIC List - master'!$P:$P,MATCH($B55,CONTRACT_ID,0)+5)),"")</f>
        <v/>
      </c>
      <c r="H55" s="26">
        <f>IFERROR(IF(INDEX('DMIC List - master'!$Q:$Q,MATCH($B55,CONTRACT_ID,0)+5)="","",INDEX('DMIC List - master'!$Q:$Q,MATCH($B55,CONTRACT_ID,0)+5)),"")</f>
        <v/>
      </c>
      <c r="I55" s="26">
        <f>IFERROR(IF(INDEX('DMIC List - master'!$U:$U,MATCH($B55,CONTRACT_ID,0)+5)="","",INDEX('DMIC List - master'!$U:$U,MATCH($B55,CONTRACT_ID,0)+5)),"")</f>
        <v/>
      </c>
      <c r="K55" s="28" t="n"/>
      <c r="L55" s="28" t="n"/>
      <c r="M55" s="26" t="n"/>
      <c r="N55" s="28" t="n"/>
      <c r="O55" s="26" t="n"/>
      <c r="P55" s="46">
        <f>IFERROR(IF($B55="","",IF(N55&lt;&gt;"",(N55-$P$2)/30,IF(K55&lt;&gt;"",(K55-$P$2)/30,""))),"")</f>
        <v/>
      </c>
      <c r="Q55" s="26" t="n"/>
      <c r="S55" s="28" t="n"/>
      <c r="T55" s="28" t="n"/>
      <c r="V55" s="26" t="n"/>
      <c r="W55" s="26" t="n"/>
      <c r="X55" s="26" t="n"/>
      <c r="Z55" s="26" t="n"/>
      <c r="AA55" s="26" t="n"/>
      <c r="AB55" s="26" t="n"/>
      <c r="AC55" s="26" t="n"/>
      <c r="AD55" s="26" t="n"/>
      <c r="AE55" s="26" t="n"/>
      <c r="AG55" s="26">
        <f>IFERROR(IF($B55="","",IF(INDEX('DMIC DMS Commissioning-master'!$Z$6:$Z$65,MATCH($B55,'DMIC DMS Commissioning-master'!$B$6:$B$65,0))=0,"",INDEX('DMIC DMS Commissioning-master'!$Z$6:$Z$65,MATCH($B55,'DMIC DMS Commissioning-master'!$B$6:$B$65,0)))),"")</f>
        <v/>
      </c>
    </row>
    <row r="56">
      <c r="B56" s="23">
        <f>IF('DMIC List - master'!B56="","",'DMIC List - master'!B56)</f>
        <v/>
      </c>
      <c r="C56" s="23">
        <f>IFERROR(IF(INDEX('DMIC List - master'!$C:$C,MATCH($B56,CONTRACT_ID,0)+5)="","",INDEX('DMIC List - master'!$C:$C,MATCH($B56,CONTRACT_ID,0)+5)),"")</f>
        <v/>
      </c>
      <c r="D56" s="23">
        <f>IFERROR(IF(INDEX('DMIC List - master'!$D:$D,MATCH($B56,CONTRACT_ID,0)+5)="","",INDEX('DMIC List - master'!$D:$D,MATCH($B56,CONTRACT_ID,0)+5)),"")</f>
        <v/>
      </c>
      <c r="E56" s="23">
        <f>IFERROR(IF(INDEX('DMIC List - master'!$E:$E,MATCH($B56,CONTRACT_ID,0)+5)="","",INDEX('DMIC List - master'!$E:$E,MATCH($B56,CONTRACT_ID,0)+5)),"")</f>
        <v/>
      </c>
      <c r="G56" s="23">
        <f>IFERROR(IF(INDEX('DMIC List - master'!$P:$P,MATCH($B56,CONTRACT_ID,0)+5)="","",INDEX('DMIC List - master'!$P:$P,MATCH($B56,CONTRACT_ID,0)+5)),"")</f>
        <v/>
      </c>
      <c r="H56" s="23">
        <f>IFERROR(IF(INDEX('DMIC List - master'!$Q:$Q,MATCH($B56,CONTRACT_ID,0)+5)="","",INDEX('DMIC List - master'!$Q:$Q,MATCH($B56,CONTRACT_ID,0)+5)),"")</f>
        <v/>
      </c>
      <c r="I56" s="23">
        <f>IFERROR(IF(INDEX('DMIC List - master'!$U:$U,MATCH($B56,CONTRACT_ID,0)+5)="","",INDEX('DMIC List - master'!$U:$U,MATCH($B56,CONTRACT_ID,0)+5)),"")</f>
        <v/>
      </c>
      <c r="K56" s="25" t="n"/>
      <c r="L56" s="25" t="n"/>
      <c r="M56" s="23" t="n"/>
      <c r="N56" s="25" t="n"/>
      <c r="O56" s="23" t="n"/>
      <c r="P56" s="45">
        <f>IFERROR(IF($B56="","",IF(N56&lt;&gt;"",(N56-$P$2)/30,IF(K56&lt;&gt;"",(K56-$P$2)/30,""))),"")</f>
        <v/>
      </c>
      <c r="Q56" s="23" t="n"/>
      <c r="S56" s="25" t="n"/>
      <c r="T56" s="25" t="n"/>
      <c r="V56" s="23" t="n"/>
      <c r="W56" s="23" t="n"/>
      <c r="X56" s="23" t="n"/>
      <c r="Z56" s="23" t="n"/>
      <c r="AA56" s="23" t="n"/>
      <c r="AB56" s="23" t="n"/>
      <c r="AC56" s="23" t="n"/>
      <c r="AD56" s="23" t="n"/>
      <c r="AE56" s="23" t="n"/>
      <c r="AG56" s="23">
        <f>IFERROR(IF($B56="","",IF(INDEX('DMIC DMS Commissioning-master'!$Z$6:$Z$65,MATCH($B56,'DMIC DMS Commissioning-master'!$B$6:$B$65,0))=0,"",INDEX('DMIC DMS Commissioning-master'!$Z$6:$Z$65,MATCH($B56,'DMIC DMS Commissioning-master'!$B$6:$B$65,0)))),"")</f>
        <v/>
      </c>
    </row>
    <row r="57">
      <c r="B57" s="26">
        <f>IF('DMIC List - master'!B57="","",'DMIC List - master'!B57)</f>
        <v/>
      </c>
      <c r="C57" s="26">
        <f>IFERROR(IF(INDEX('DMIC List - master'!$C:$C,MATCH($B57,CONTRACT_ID,0)+5)="","",INDEX('DMIC List - master'!$C:$C,MATCH($B57,CONTRACT_ID,0)+5)),"")</f>
        <v/>
      </c>
      <c r="D57" s="26">
        <f>IFERROR(IF(INDEX('DMIC List - master'!$D:$D,MATCH($B57,CONTRACT_ID,0)+5)="","",INDEX('DMIC List - master'!$D:$D,MATCH($B57,CONTRACT_ID,0)+5)),"")</f>
        <v/>
      </c>
      <c r="E57" s="26">
        <f>IFERROR(IF(INDEX('DMIC List - master'!$E:$E,MATCH($B57,CONTRACT_ID,0)+5)="","",INDEX('DMIC List - master'!$E:$E,MATCH($B57,CONTRACT_ID,0)+5)),"")</f>
        <v/>
      </c>
      <c r="G57" s="26">
        <f>IFERROR(IF(INDEX('DMIC List - master'!$P:$P,MATCH($B57,CONTRACT_ID,0)+5)="","",INDEX('DMIC List - master'!$P:$P,MATCH($B57,CONTRACT_ID,0)+5)),"")</f>
        <v/>
      </c>
      <c r="H57" s="26">
        <f>IFERROR(IF(INDEX('DMIC List - master'!$Q:$Q,MATCH($B57,CONTRACT_ID,0)+5)="","",INDEX('DMIC List - master'!$Q:$Q,MATCH($B57,CONTRACT_ID,0)+5)),"")</f>
        <v/>
      </c>
      <c r="I57" s="26">
        <f>IFERROR(IF(INDEX('DMIC List - master'!$U:$U,MATCH($B57,CONTRACT_ID,0)+5)="","",INDEX('DMIC List - master'!$U:$U,MATCH($B57,CONTRACT_ID,0)+5)),"")</f>
        <v/>
      </c>
      <c r="K57" s="28" t="n"/>
      <c r="L57" s="28" t="n"/>
      <c r="M57" s="26" t="n"/>
      <c r="N57" s="28" t="n"/>
      <c r="O57" s="26" t="n"/>
      <c r="P57" s="46">
        <f>IFERROR(IF($B57="","",IF(N57&lt;&gt;"",(N57-$P$2)/30,IF(K57&lt;&gt;"",(K57-$P$2)/30,""))),"")</f>
        <v/>
      </c>
      <c r="Q57" s="26" t="n"/>
      <c r="S57" s="28" t="n"/>
      <c r="T57" s="28" t="n"/>
      <c r="V57" s="26" t="n"/>
      <c r="W57" s="26" t="n"/>
      <c r="X57" s="26" t="n"/>
      <c r="Z57" s="26" t="n"/>
      <c r="AA57" s="26" t="n"/>
      <c r="AB57" s="26" t="n"/>
      <c r="AC57" s="26" t="n"/>
      <c r="AD57" s="26" t="n"/>
      <c r="AE57" s="26" t="n"/>
      <c r="AG57" s="26">
        <f>IFERROR(IF($B57="","",IF(INDEX('DMIC DMS Commissioning-master'!$Z$6:$Z$65,MATCH($B57,'DMIC DMS Commissioning-master'!$B$6:$B$65,0))=0,"",INDEX('DMIC DMS Commissioning-master'!$Z$6:$Z$65,MATCH($B57,'DMIC DMS Commissioning-master'!$B$6:$B$65,0)))),"")</f>
        <v/>
      </c>
    </row>
    <row r="58">
      <c r="B58" s="23">
        <f>IF('DMIC List - master'!B58="","",'DMIC List - master'!B58)</f>
        <v/>
      </c>
      <c r="C58" s="23">
        <f>IFERROR(IF(INDEX('DMIC List - master'!$C:$C,MATCH($B58,CONTRACT_ID,0)+5)="","",INDEX('DMIC List - master'!$C:$C,MATCH($B58,CONTRACT_ID,0)+5)),"")</f>
        <v/>
      </c>
      <c r="D58" s="23">
        <f>IFERROR(IF(INDEX('DMIC List - master'!$D:$D,MATCH($B58,CONTRACT_ID,0)+5)="","",INDEX('DMIC List - master'!$D:$D,MATCH($B58,CONTRACT_ID,0)+5)),"")</f>
        <v/>
      </c>
      <c r="E58" s="23">
        <f>IFERROR(IF(INDEX('DMIC List - master'!$E:$E,MATCH($B58,CONTRACT_ID,0)+5)="","",INDEX('DMIC List - master'!$E:$E,MATCH($B58,CONTRACT_ID,0)+5)),"")</f>
        <v/>
      </c>
      <c r="G58" s="23">
        <f>IFERROR(IF(INDEX('DMIC List - master'!$P:$P,MATCH($B58,CONTRACT_ID,0)+5)="","",INDEX('DMIC List - master'!$P:$P,MATCH($B58,CONTRACT_ID,0)+5)),"")</f>
        <v/>
      </c>
      <c r="H58" s="23">
        <f>IFERROR(IF(INDEX('DMIC List - master'!$Q:$Q,MATCH($B58,CONTRACT_ID,0)+5)="","",INDEX('DMIC List - master'!$Q:$Q,MATCH($B58,CONTRACT_ID,0)+5)),"")</f>
        <v/>
      </c>
      <c r="I58" s="23">
        <f>IFERROR(IF(INDEX('DMIC List - master'!$U:$U,MATCH($B58,CONTRACT_ID,0)+5)="","",INDEX('DMIC List - master'!$U:$U,MATCH($B58,CONTRACT_ID,0)+5)),"")</f>
        <v/>
      </c>
      <c r="K58" s="25" t="n"/>
      <c r="L58" s="25" t="n"/>
      <c r="M58" s="23" t="n"/>
      <c r="N58" s="25" t="n"/>
      <c r="O58" s="23" t="n"/>
      <c r="P58" s="45">
        <f>IFERROR(IF($B58="","",IF(N58&lt;&gt;"",(N58-$P$2)/30,IF(K58&lt;&gt;"",(K58-$P$2)/30,""))),"")</f>
        <v/>
      </c>
      <c r="Q58" s="23" t="n"/>
      <c r="S58" s="25" t="n"/>
      <c r="T58" s="25" t="n"/>
      <c r="V58" s="23" t="n"/>
      <c r="W58" s="23" t="n"/>
      <c r="X58" s="23" t="n"/>
      <c r="Z58" s="23" t="n"/>
      <c r="AA58" s="23" t="n"/>
      <c r="AB58" s="23" t="n"/>
      <c r="AC58" s="23" t="n"/>
      <c r="AD58" s="23" t="n"/>
      <c r="AE58" s="23" t="n"/>
      <c r="AG58" s="23">
        <f>IFERROR(IF($B58="","",IF(INDEX('DMIC DMS Commissioning-master'!$Z$6:$Z$65,MATCH($B58,'DMIC DMS Commissioning-master'!$B$6:$B$65,0))=0,"",INDEX('DMIC DMS Commissioning-master'!$Z$6:$Z$65,MATCH($B58,'DMIC DMS Commissioning-master'!$B$6:$B$65,0)))),"")</f>
        <v/>
      </c>
    </row>
    <row r="59">
      <c r="B59" s="26">
        <f>IF('DMIC List - master'!B59="","",'DMIC List - master'!B59)</f>
        <v/>
      </c>
      <c r="C59" s="26">
        <f>IFERROR(IF(INDEX('DMIC List - master'!$C:$C,MATCH($B59,CONTRACT_ID,0)+5)="","",INDEX('DMIC List - master'!$C:$C,MATCH($B59,CONTRACT_ID,0)+5)),"")</f>
        <v/>
      </c>
      <c r="D59" s="26">
        <f>IFERROR(IF(INDEX('DMIC List - master'!$D:$D,MATCH($B59,CONTRACT_ID,0)+5)="","",INDEX('DMIC List - master'!$D:$D,MATCH($B59,CONTRACT_ID,0)+5)),"")</f>
        <v/>
      </c>
      <c r="E59" s="26">
        <f>IFERROR(IF(INDEX('DMIC List - master'!$E:$E,MATCH($B59,CONTRACT_ID,0)+5)="","",INDEX('DMIC List - master'!$E:$E,MATCH($B59,CONTRACT_ID,0)+5)),"")</f>
        <v/>
      </c>
      <c r="G59" s="26">
        <f>IFERROR(IF(INDEX('DMIC List - master'!$P:$P,MATCH($B59,CONTRACT_ID,0)+5)="","",INDEX('DMIC List - master'!$P:$P,MATCH($B59,CONTRACT_ID,0)+5)),"")</f>
        <v/>
      </c>
      <c r="H59" s="26">
        <f>IFERROR(IF(INDEX('DMIC List - master'!$Q:$Q,MATCH($B59,CONTRACT_ID,0)+5)="","",INDEX('DMIC List - master'!$Q:$Q,MATCH($B59,CONTRACT_ID,0)+5)),"")</f>
        <v/>
      </c>
      <c r="I59" s="26">
        <f>IFERROR(IF(INDEX('DMIC List - master'!$U:$U,MATCH($B59,CONTRACT_ID,0)+5)="","",INDEX('DMIC List - master'!$U:$U,MATCH($B59,CONTRACT_ID,0)+5)),"")</f>
        <v/>
      </c>
      <c r="K59" s="28" t="n"/>
      <c r="L59" s="28" t="n"/>
      <c r="M59" s="26" t="n"/>
      <c r="N59" s="28" t="n"/>
      <c r="O59" s="26" t="n"/>
      <c r="P59" s="46">
        <f>IFERROR(IF($B59="","",IF(N59&lt;&gt;"",(N59-$P$2)/30,IF(K59&lt;&gt;"",(K59-$P$2)/30,""))),"")</f>
        <v/>
      </c>
      <c r="Q59" s="26" t="n"/>
      <c r="S59" s="28" t="n"/>
      <c r="T59" s="28" t="n"/>
      <c r="V59" s="26" t="n"/>
      <c r="W59" s="26" t="n"/>
      <c r="X59" s="26" t="n"/>
      <c r="Z59" s="26" t="n"/>
      <c r="AA59" s="26" t="n"/>
      <c r="AB59" s="26" t="n"/>
      <c r="AC59" s="26" t="n"/>
      <c r="AD59" s="26" t="n"/>
      <c r="AE59" s="26" t="n"/>
      <c r="AG59" s="26">
        <f>IFERROR(IF($B59="","",IF(INDEX('DMIC DMS Commissioning-master'!$Z$6:$Z$65,MATCH($B59,'DMIC DMS Commissioning-master'!$B$6:$B$65,0))=0,"",INDEX('DMIC DMS Commissioning-master'!$Z$6:$Z$65,MATCH($B59,'DMIC DMS Commissioning-master'!$B$6:$B$65,0)))),"")</f>
        <v/>
      </c>
    </row>
    <row r="60">
      <c r="B60" s="23">
        <f>IF('DMIC List - master'!B60="","",'DMIC List - master'!B60)</f>
        <v/>
      </c>
      <c r="C60" s="23">
        <f>IFERROR(IF(INDEX('DMIC List - master'!$C:$C,MATCH($B60,CONTRACT_ID,0)+5)="","",INDEX('DMIC List - master'!$C:$C,MATCH($B60,CONTRACT_ID,0)+5)),"")</f>
        <v/>
      </c>
      <c r="D60" s="23">
        <f>IFERROR(IF(INDEX('DMIC List - master'!$D:$D,MATCH($B60,CONTRACT_ID,0)+5)="","",INDEX('DMIC List - master'!$D:$D,MATCH($B60,CONTRACT_ID,0)+5)),"")</f>
        <v/>
      </c>
      <c r="E60" s="23">
        <f>IFERROR(IF(INDEX('DMIC List - master'!$E:$E,MATCH($B60,CONTRACT_ID,0)+5)="","",INDEX('DMIC List - master'!$E:$E,MATCH($B60,CONTRACT_ID,0)+5)),"")</f>
        <v/>
      </c>
      <c r="G60" s="23">
        <f>IFERROR(IF(INDEX('DMIC List - master'!$P:$P,MATCH($B60,CONTRACT_ID,0)+5)="","",INDEX('DMIC List - master'!$P:$P,MATCH($B60,CONTRACT_ID,0)+5)),"")</f>
        <v/>
      </c>
      <c r="H60" s="23">
        <f>IFERROR(IF(INDEX('DMIC List - master'!$Q:$Q,MATCH($B60,CONTRACT_ID,0)+5)="","",INDEX('DMIC List - master'!$Q:$Q,MATCH($B60,CONTRACT_ID,0)+5)),"")</f>
        <v/>
      </c>
      <c r="I60" s="23">
        <f>IFERROR(IF(INDEX('DMIC List - master'!$U:$U,MATCH($B60,CONTRACT_ID,0)+5)="","",INDEX('DMIC List - master'!$U:$U,MATCH($B60,CONTRACT_ID,0)+5)),"")</f>
        <v/>
      </c>
      <c r="K60" s="25" t="n"/>
      <c r="L60" s="25" t="n"/>
      <c r="M60" s="23" t="n"/>
      <c r="N60" s="25" t="n"/>
      <c r="O60" s="23" t="n"/>
      <c r="P60" s="45">
        <f>IFERROR(IF($B60="","",IF(N60&lt;&gt;"",(N60-$P$2)/30,IF(K60&lt;&gt;"",(K60-$P$2)/30,""))),"")</f>
        <v/>
      </c>
      <c r="Q60" s="23" t="n"/>
      <c r="S60" s="25" t="n"/>
      <c r="T60" s="25" t="n"/>
      <c r="V60" s="23" t="n"/>
      <c r="W60" s="23" t="n"/>
      <c r="X60" s="23" t="n"/>
      <c r="Z60" s="23" t="n"/>
      <c r="AA60" s="23" t="n"/>
      <c r="AB60" s="23" t="n"/>
      <c r="AC60" s="23" t="n"/>
      <c r="AD60" s="23" t="n"/>
      <c r="AE60" s="23" t="n"/>
      <c r="AG60" s="23">
        <f>IFERROR(IF($B60="","",IF(INDEX('DMIC DMS Commissioning-master'!$Z$6:$Z$65,MATCH($B60,'DMIC DMS Commissioning-master'!$B$6:$B$65,0))=0,"",INDEX('DMIC DMS Commissioning-master'!$Z$6:$Z$65,MATCH($B60,'DMIC DMS Commissioning-master'!$B$6:$B$65,0)))),"")</f>
        <v/>
      </c>
    </row>
    <row r="61">
      <c r="B61" s="26">
        <f>IF('DMIC List - master'!B61="","",'DMIC List - master'!B61)</f>
        <v/>
      </c>
      <c r="C61" s="26">
        <f>IFERROR(IF(INDEX('DMIC List - master'!$C:$C,MATCH($B61,CONTRACT_ID,0)+5)="","",INDEX('DMIC List - master'!$C:$C,MATCH($B61,CONTRACT_ID,0)+5)),"")</f>
        <v/>
      </c>
      <c r="D61" s="26">
        <f>IFERROR(IF(INDEX('DMIC List - master'!$D:$D,MATCH($B61,CONTRACT_ID,0)+5)="","",INDEX('DMIC List - master'!$D:$D,MATCH($B61,CONTRACT_ID,0)+5)),"")</f>
        <v/>
      </c>
      <c r="E61" s="26">
        <f>IFERROR(IF(INDEX('DMIC List - master'!$E:$E,MATCH($B61,CONTRACT_ID,0)+5)="","",INDEX('DMIC List - master'!$E:$E,MATCH($B61,CONTRACT_ID,0)+5)),"")</f>
        <v/>
      </c>
      <c r="G61" s="26">
        <f>IFERROR(IF(INDEX('DMIC List - master'!$P:$P,MATCH($B61,CONTRACT_ID,0)+5)="","",INDEX('DMIC List - master'!$P:$P,MATCH($B61,CONTRACT_ID,0)+5)),"")</f>
        <v/>
      </c>
      <c r="H61" s="26">
        <f>IFERROR(IF(INDEX('DMIC List - master'!$Q:$Q,MATCH($B61,CONTRACT_ID,0)+5)="","",INDEX('DMIC List - master'!$Q:$Q,MATCH($B61,CONTRACT_ID,0)+5)),"")</f>
        <v/>
      </c>
      <c r="I61" s="26">
        <f>IFERROR(IF(INDEX('DMIC List - master'!$U:$U,MATCH($B61,CONTRACT_ID,0)+5)="","",INDEX('DMIC List - master'!$U:$U,MATCH($B61,CONTRACT_ID,0)+5)),"")</f>
        <v/>
      </c>
      <c r="K61" s="28" t="n"/>
      <c r="L61" s="28" t="n"/>
      <c r="M61" s="26" t="n"/>
      <c r="N61" s="28" t="n"/>
      <c r="O61" s="26" t="n"/>
      <c r="P61" s="46">
        <f>IFERROR(IF($B61="","",IF(N61&lt;&gt;"",(N61-$P$2)/30,IF(K61&lt;&gt;"",(K61-$P$2)/30,""))),"")</f>
        <v/>
      </c>
      <c r="Q61" s="26" t="n"/>
      <c r="S61" s="28" t="n"/>
      <c r="T61" s="28" t="n"/>
      <c r="V61" s="26" t="n"/>
      <c r="W61" s="26" t="n"/>
      <c r="X61" s="26" t="n"/>
      <c r="Z61" s="26" t="n"/>
      <c r="AA61" s="26" t="n"/>
      <c r="AB61" s="26" t="n"/>
      <c r="AC61" s="26" t="n"/>
      <c r="AD61" s="26" t="n"/>
      <c r="AE61" s="26" t="n"/>
      <c r="AG61" s="26">
        <f>IFERROR(IF($B61="","",IF(INDEX('DMIC DMS Commissioning-master'!$Z$6:$Z$65,MATCH($B61,'DMIC DMS Commissioning-master'!$B$6:$B$65,0))=0,"",INDEX('DMIC DMS Commissioning-master'!$Z$6:$Z$65,MATCH($B61,'DMIC DMS Commissioning-master'!$B$6:$B$65,0)))),"")</f>
        <v/>
      </c>
    </row>
    <row r="62">
      <c r="B62" s="23">
        <f>IF('DMIC List - master'!B62="","",'DMIC List - master'!B62)</f>
        <v/>
      </c>
      <c r="C62" s="23">
        <f>IFERROR(IF(INDEX('DMIC List - master'!$C:$C,MATCH($B62,CONTRACT_ID,0)+5)="","",INDEX('DMIC List - master'!$C:$C,MATCH($B62,CONTRACT_ID,0)+5)),"")</f>
        <v/>
      </c>
      <c r="D62" s="23">
        <f>IFERROR(IF(INDEX('DMIC List - master'!$D:$D,MATCH($B62,CONTRACT_ID,0)+5)="","",INDEX('DMIC List - master'!$D:$D,MATCH($B62,CONTRACT_ID,0)+5)),"")</f>
        <v/>
      </c>
      <c r="E62" s="23">
        <f>IFERROR(IF(INDEX('DMIC List - master'!$E:$E,MATCH($B62,CONTRACT_ID,0)+5)="","",INDEX('DMIC List - master'!$E:$E,MATCH($B62,CONTRACT_ID,0)+5)),"")</f>
        <v/>
      </c>
      <c r="G62" s="23">
        <f>IFERROR(IF(INDEX('DMIC List - master'!$P:$P,MATCH($B62,CONTRACT_ID,0)+5)="","",INDEX('DMIC List - master'!$P:$P,MATCH($B62,CONTRACT_ID,0)+5)),"")</f>
        <v/>
      </c>
      <c r="H62" s="23">
        <f>IFERROR(IF(INDEX('DMIC List - master'!$Q:$Q,MATCH($B62,CONTRACT_ID,0)+5)="","",INDEX('DMIC List - master'!$Q:$Q,MATCH($B62,CONTRACT_ID,0)+5)),"")</f>
        <v/>
      </c>
      <c r="I62" s="23">
        <f>IFERROR(IF(INDEX('DMIC List - master'!$U:$U,MATCH($B62,CONTRACT_ID,0)+5)="","",INDEX('DMIC List - master'!$U:$U,MATCH($B62,CONTRACT_ID,0)+5)),"")</f>
        <v/>
      </c>
      <c r="K62" s="25" t="n"/>
      <c r="L62" s="25" t="n"/>
      <c r="M62" s="23" t="n"/>
      <c r="N62" s="25" t="n"/>
      <c r="O62" s="23" t="n"/>
      <c r="P62" s="45">
        <f>IFERROR(IF($B62="","",IF(N62&lt;&gt;"",(N62-$P$2)/30,IF(K62&lt;&gt;"",(K62-$P$2)/30,""))),"")</f>
        <v/>
      </c>
      <c r="Q62" s="23" t="n"/>
      <c r="S62" s="25" t="n"/>
      <c r="T62" s="25" t="n"/>
      <c r="V62" s="23" t="n"/>
      <c r="W62" s="23" t="n"/>
      <c r="X62" s="23" t="n"/>
      <c r="Z62" s="23" t="n"/>
      <c r="AA62" s="23" t="n"/>
      <c r="AB62" s="23" t="n"/>
      <c r="AC62" s="23" t="n"/>
      <c r="AD62" s="23" t="n"/>
      <c r="AE62" s="23" t="n"/>
      <c r="AG62" s="23">
        <f>IFERROR(IF($B62="","",IF(INDEX('DMIC DMS Commissioning-master'!$Z$6:$Z$65,MATCH($B62,'DMIC DMS Commissioning-master'!$B$6:$B$65,0))=0,"",INDEX('DMIC DMS Commissioning-master'!$Z$6:$Z$65,MATCH($B62,'DMIC DMS Commissioning-master'!$B$6:$B$65,0)))),"")</f>
        <v/>
      </c>
    </row>
    <row r="63">
      <c r="B63" s="26">
        <f>IF('DMIC List - master'!B63="","",'DMIC List - master'!B63)</f>
        <v/>
      </c>
      <c r="C63" s="26">
        <f>IFERROR(IF(INDEX('DMIC List - master'!$C:$C,MATCH($B63,CONTRACT_ID,0)+5)="","",INDEX('DMIC List - master'!$C:$C,MATCH($B63,CONTRACT_ID,0)+5)),"")</f>
        <v/>
      </c>
      <c r="D63" s="26">
        <f>IFERROR(IF(INDEX('DMIC List - master'!$D:$D,MATCH($B63,CONTRACT_ID,0)+5)="","",INDEX('DMIC List - master'!$D:$D,MATCH($B63,CONTRACT_ID,0)+5)),"")</f>
        <v/>
      </c>
      <c r="E63" s="26">
        <f>IFERROR(IF(INDEX('DMIC List - master'!$E:$E,MATCH($B63,CONTRACT_ID,0)+5)="","",INDEX('DMIC List - master'!$E:$E,MATCH($B63,CONTRACT_ID,0)+5)),"")</f>
        <v/>
      </c>
      <c r="G63" s="26">
        <f>IFERROR(IF(INDEX('DMIC List - master'!$P:$P,MATCH($B63,CONTRACT_ID,0)+5)="","",INDEX('DMIC List - master'!$P:$P,MATCH($B63,CONTRACT_ID,0)+5)),"")</f>
        <v/>
      </c>
      <c r="H63" s="26">
        <f>IFERROR(IF(INDEX('DMIC List - master'!$Q:$Q,MATCH($B63,CONTRACT_ID,0)+5)="","",INDEX('DMIC List - master'!$Q:$Q,MATCH($B63,CONTRACT_ID,0)+5)),"")</f>
        <v/>
      </c>
      <c r="I63" s="26">
        <f>IFERROR(IF(INDEX('DMIC List - master'!$U:$U,MATCH($B63,CONTRACT_ID,0)+5)="","",INDEX('DMIC List - master'!$U:$U,MATCH($B63,CONTRACT_ID,0)+5)),"")</f>
        <v/>
      </c>
      <c r="K63" s="28" t="n"/>
      <c r="L63" s="28" t="n"/>
      <c r="M63" s="26" t="n"/>
      <c r="N63" s="28" t="n"/>
      <c r="O63" s="26" t="n"/>
      <c r="P63" s="46">
        <f>IFERROR(IF($B63="","",IF(N63&lt;&gt;"",(N63-$P$2)/30,IF(K63&lt;&gt;"",(K63-$P$2)/30,""))),"")</f>
        <v/>
      </c>
      <c r="Q63" s="26" t="n"/>
      <c r="S63" s="28" t="n"/>
      <c r="T63" s="28" t="n"/>
      <c r="V63" s="26" t="n"/>
      <c r="W63" s="26" t="n"/>
      <c r="X63" s="26" t="n"/>
      <c r="Z63" s="26" t="n"/>
      <c r="AA63" s="26" t="n"/>
      <c r="AB63" s="26" t="n"/>
      <c r="AC63" s="26" t="n"/>
      <c r="AD63" s="26" t="n"/>
      <c r="AE63" s="26" t="n"/>
      <c r="AG63" s="26">
        <f>IFERROR(IF($B63="","",IF(INDEX('DMIC DMS Commissioning-master'!$Z$6:$Z$65,MATCH($B63,'DMIC DMS Commissioning-master'!$B$6:$B$65,0))=0,"",INDEX('DMIC DMS Commissioning-master'!$Z$6:$Z$65,MATCH($B63,'DMIC DMS Commissioning-master'!$B$6:$B$65,0)))),"")</f>
        <v/>
      </c>
    </row>
    <row r="64">
      <c r="B64" s="23">
        <f>IF('DMIC List - master'!B64="","",'DMIC List - master'!B64)</f>
        <v/>
      </c>
      <c r="C64" s="23">
        <f>IFERROR(IF(INDEX('DMIC List - master'!$C:$C,MATCH($B64,CONTRACT_ID,0)+5)="","",INDEX('DMIC List - master'!$C:$C,MATCH($B64,CONTRACT_ID,0)+5)),"")</f>
        <v/>
      </c>
      <c r="D64" s="23">
        <f>IFERROR(IF(INDEX('DMIC List - master'!$D:$D,MATCH($B64,CONTRACT_ID,0)+5)="","",INDEX('DMIC List - master'!$D:$D,MATCH($B64,CONTRACT_ID,0)+5)),"")</f>
        <v/>
      </c>
      <c r="E64" s="23">
        <f>IFERROR(IF(INDEX('DMIC List - master'!$E:$E,MATCH($B64,CONTRACT_ID,0)+5)="","",INDEX('DMIC List - master'!$E:$E,MATCH($B64,CONTRACT_ID,0)+5)),"")</f>
        <v/>
      </c>
      <c r="G64" s="23">
        <f>IFERROR(IF(INDEX('DMIC List - master'!$P:$P,MATCH($B64,CONTRACT_ID,0)+5)="","",INDEX('DMIC List - master'!$P:$P,MATCH($B64,CONTRACT_ID,0)+5)),"")</f>
        <v/>
      </c>
      <c r="H64" s="23">
        <f>IFERROR(IF(INDEX('DMIC List - master'!$Q:$Q,MATCH($B64,CONTRACT_ID,0)+5)="","",INDEX('DMIC List - master'!$Q:$Q,MATCH($B64,CONTRACT_ID,0)+5)),"")</f>
        <v/>
      </c>
      <c r="I64" s="23">
        <f>IFERROR(IF(INDEX('DMIC List - master'!$U:$U,MATCH($B64,CONTRACT_ID,0)+5)="","",INDEX('DMIC List - master'!$U:$U,MATCH($B64,CONTRACT_ID,0)+5)),"")</f>
        <v/>
      </c>
      <c r="K64" s="25" t="n"/>
      <c r="L64" s="25" t="n"/>
      <c r="M64" s="23" t="n"/>
      <c r="N64" s="25" t="n"/>
      <c r="O64" s="23" t="n"/>
      <c r="P64" s="45">
        <f>IFERROR(IF($B64="","",IF(N64&lt;&gt;"",(N64-$P$2)/30,IF(K64&lt;&gt;"",(K64-$P$2)/30,""))),"")</f>
        <v/>
      </c>
      <c r="Q64" s="23" t="n"/>
      <c r="S64" s="25" t="n"/>
      <c r="T64" s="25" t="n"/>
      <c r="V64" s="23" t="n"/>
      <c r="W64" s="23" t="n"/>
      <c r="X64" s="23" t="n"/>
      <c r="Z64" s="23" t="n"/>
      <c r="AA64" s="23" t="n"/>
      <c r="AB64" s="23" t="n"/>
      <c r="AC64" s="23" t="n"/>
      <c r="AD64" s="23" t="n"/>
      <c r="AE64" s="23" t="n"/>
      <c r="AG64" s="23">
        <f>IFERROR(IF($B64="","",IF(INDEX('DMIC DMS Commissioning-master'!$Z$6:$Z$65,MATCH($B64,'DMIC DMS Commissioning-master'!$B$6:$B$65,0))=0,"",INDEX('DMIC DMS Commissioning-master'!$Z$6:$Z$65,MATCH($B64,'DMIC DMS Commissioning-master'!$B$6:$B$65,0)))),"")</f>
        <v/>
      </c>
    </row>
    <row r="65">
      <c r="B65" s="26">
        <f>IF('DMIC List - master'!B65="","",'DMIC List - master'!B65)</f>
        <v/>
      </c>
      <c r="C65" s="26">
        <f>IFERROR(IF(INDEX('DMIC List - master'!$C:$C,MATCH($B65,CONTRACT_ID,0)+5)="","",INDEX('DMIC List - master'!$C:$C,MATCH($B65,CONTRACT_ID,0)+5)),"")</f>
        <v/>
      </c>
      <c r="D65" s="26">
        <f>IFERROR(IF(INDEX('DMIC List - master'!$D:$D,MATCH($B65,CONTRACT_ID,0)+5)="","",INDEX('DMIC List - master'!$D:$D,MATCH($B65,CONTRACT_ID,0)+5)),"")</f>
        <v/>
      </c>
      <c r="E65" s="26">
        <f>IFERROR(IF(INDEX('DMIC List - master'!$E:$E,MATCH($B65,CONTRACT_ID,0)+5)="","",INDEX('DMIC List - master'!$E:$E,MATCH($B65,CONTRACT_ID,0)+5)),"")</f>
        <v/>
      </c>
      <c r="G65" s="26">
        <f>IFERROR(IF(INDEX('DMIC List - master'!$P:$P,MATCH($B65,CONTRACT_ID,0)+5)="","",INDEX('DMIC List - master'!$P:$P,MATCH($B65,CONTRACT_ID,0)+5)),"")</f>
        <v/>
      </c>
      <c r="H65" s="26">
        <f>IFERROR(IF(INDEX('DMIC List - master'!$Q:$Q,MATCH($B65,CONTRACT_ID,0)+5)="","",INDEX('DMIC List - master'!$Q:$Q,MATCH($B65,CONTRACT_ID,0)+5)),"")</f>
        <v/>
      </c>
      <c r="I65" s="26">
        <f>IFERROR(IF(INDEX('DMIC List - master'!$U:$U,MATCH($B65,CONTRACT_ID,0)+5)="","",INDEX('DMIC List - master'!$U:$U,MATCH($B65,CONTRACT_ID,0)+5)),"")</f>
        <v/>
      </c>
      <c r="K65" s="28" t="n"/>
      <c r="L65" s="28" t="n"/>
      <c r="M65" s="26" t="n"/>
      <c r="N65" s="28" t="n"/>
      <c r="O65" s="26" t="n"/>
      <c r="P65" s="46">
        <f>IFERROR(IF($B65="","",IF(N65&lt;&gt;"",(N65-$P$2)/30,IF(K65&lt;&gt;"",(K65-$P$2)/30,""))),"")</f>
        <v/>
      </c>
      <c r="Q65" s="26" t="n"/>
      <c r="S65" s="28" t="n"/>
      <c r="T65" s="28" t="n"/>
      <c r="V65" s="26" t="n"/>
      <c r="W65" s="26" t="n"/>
      <c r="X65" s="26" t="n"/>
      <c r="Z65" s="26" t="n"/>
      <c r="AA65" s="26" t="n"/>
      <c r="AB65" s="26" t="n"/>
      <c r="AC65" s="26" t="n"/>
      <c r="AD65" s="26" t="n"/>
      <c r="AE65" s="26" t="n"/>
      <c r="AG65" s="26">
        <f>IFERROR(IF($B65="","",IF(INDEX('DMIC DMS Commissioning-master'!$Z$6:$Z$65,MATCH($B65,'DMIC DMS Commissioning-master'!$B$6:$B$65,0))=0,"",INDEX('DMIC DMS Commissioning-master'!$Z$6:$Z$65,MATCH($B65,'DMIC DMS Commissioning-master'!$B$6:$B$65,0)))),"")</f>
        <v/>
      </c>
    </row>
  </sheetData>
  <mergeCells count="6">
    <mergeCell ref="K4:Q4"/>
    <mergeCell ref="B4:E4"/>
    <mergeCell ref="G4:I4"/>
    <mergeCell ref="V4:X4"/>
    <mergeCell ref="Z4:AE4"/>
    <mergeCell ref="S4:T4"/>
  </mergeCells>
  <conditionalFormatting sqref="V6:V65">
    <cfRule type="cellIs" priority="1" operator="greaterThanOrEqual" dxfId="9">
      <formula>10</formula>
    </cfRule>
  </conditionalFormatting>
  <conditionalFormatting sqref="Z6:Z65">
    <cfRule type="cellIs" priority="2" operator="greaterThanOrEqual" dxfId="9">
      <formula>10</formula>
    </cfRule>
  </conditionalFormatting>
  <conditionalFormatting sqref="W6:W65">
    <cfRule type="cellIs" priority="3" operator="equal" dxfId="9">
      <formula>"X"</formula>
    </cfRule>
    <cfRule type="cellIs" priority="4" operator="equal" dxfId="11">
      <formula>"V"</formula>
    </cfRule>
  </conditionalFormatting>
  <conditionalFormatting sqref="X6:X65">
    <cfRule type="cellIs" priority="5" operator="equal" dxfId="9">
      <formula>"X"</formula>
    </cfRule>
    <cfRule type="cellIs" priority="6" operator="equal" dxfId="11">
      <formula>"V"</formula>
    </cfRule>
  </conditionalFormatting>
  <conditionalFormatting sqref="AA6:AA65">
    <cfRule type="cellIs" priority="7" operator="equal" dxfId="9">
      <formula>"X"</formula>
    </cfRule>
    <cfRule type="cellIs" priority="8" operator="equal" dxfId="11">
      <formula>"V"</formula>
    </cfRule>
  </conditionalFormatting>
  <conditionalFormatting sqref="AB6:AB65">
    <cfRule type="cellIs" priority="9" operator="equal" dxfId="9">
      <formula>"X"</formula>
    </cfRule>
    <cfRule type="cellIs" priority="10" operator="equal" dxfId="11">
      <formula>"V"</formula>
    </cfRule>
  </conditionalFormatting>
  <conditionalFormatting sqref="AC6:AC65">
    <cfRule type="cellIs" priority="11" operator="equal" dxfId="9">
      <formula>"X"</formula>
    </cfRule>
    <cfRule type="cellIs" priority="12" operator="equal" dxfId="11">
      <formula>"V"</formula>
    </cfRule>
  </conditionalFormatting>
  <conditionalFormatting sqref="AD6:AD65">
    <cfRule type="cellIs" priority="13" operator="equal" dxfId="9">
      <formula>"X"</formula>
    </cfRule>
    <cfRule type="cellIs" priority="14" operator="equal" dxfId="11">
      <formula>"V"</formula>
    </cfRule>
  </conditionalFormatting>
  <conditionalFormatting sqref="AE6:AE65">
    <cfRule type="cellIs" priority="15" operator="equal" dxfId="9">
      <formula>"X"</formula>
    </cfRule>
    <cfRule type="cellIs" priority="16" operator="equal" dxfId="11">
      <formula>"V"</formula>
    </cfRule>
  </conditionalFormatting>
  <conditionalFormatting sqref="AG6:AG65">
    <cfRule type="cellIs" priority="17" operator="equal" dxfId="9">
      <formula>"X"</formula>
    </cfRule>
    <cfRule type="cellIs" priority="18" operator="equal" dxfId="11">
      <formula>"V"</formula>
    </cfRule>
  </conditionalFormatting>
  <conditionalFormatting sqref="S6:S65">
    <cfRule type="expression" priority="19" dxfId="13">
      <formula>AND(S6&lt;&gt;"",S6&lt;TODAY())</formula>
    </cfRule>
    <cfRule type="expression" priority="20" dxfId="14">
      <formula>AND(S6&lt;&gt;"",S6&gt;=TODAY(),S6&lt;=TODAY()+60)</formula>
    </cfRule>
  </conditionalFormatting>
  <conditionalFormatting sqref="T6:T65">
    <cfRule type="expression" priority="21" dxfId="13">
      <formula>AND(T6&lt;&gt;"",T6&lt;TODAY())</formula>
    </cfRule>
    <cfRule type="expression" priority="22" dxfId="14">
      <formula>AND(T6&lt;&gt;"",T6&gt;=TODAY(),T6&lt;=TODAY()+60)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6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24" customWidth="1" min="5" max="5"/>
    <col width="3.6" customWidth="1" min="6" max="6"/>
    <col width="16" customWidth="1" min="7" max="7"/>
    <col width="16" customWidth="1" min="8" max="8"/>
    <col width="16" customWidth="1" min="9" max="9"/>
    <col width="3.6" customWidth="1" min="10" max="10"/>
    <col width="16" customWidth="1" min="11" max="11"/>
    <col width="16" customWidth="1" min="12" max="12"/>
    <col width="3.6" customWidth="1" min="13" max="13"/>
    <col width="16" customWidth="1" min="14" max="14"/>
    <col width="16" customWidth="1" min="15" max="15"/>
    <col width="3.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2" customWidth="1" min="22" max="22"/>
    <col width="3.6" customWidth="1" min="23" max="23"/>
    <col width="16" customWidth="1" min="24" max="24"/>
    <col width="24" customWidth="1" min="25" max="25"/>
    <col width="24" customWidth="1" min="26" max="26"/>
  </cols>
  <sheetData>
    <row r="1"/>
    <row r="2">
      <c r="B2" s="1" t="inlineStr">
        <is>
          <t>Risk &amp; Phase</t>
        </is>
      </c>
    </row>
    <row r="3">
      <c r="B3" s="4" t="inlineStr">
        <is>
          <t>Contract identity is a live look-up from Contracts. Total Risk % is calculated from the 4 risk scores.</t>
        </is>
      </c>
    </row>
    <row r="4" ht="22" customHeight="1">
      <c r="B4" s="29" t="inlineStr">
        <is>
          <t>Contract Information</t>
        </is>
      </c>
      <c r="C4" s="29" t="n"/>
      <c r="D4" s="29" t="n"/>
      <c r="E4" s="29" t="n"/>
      <c r="F4" s="30" t="n"/>
      <c r="G4" s="31" t="inlineStr">
        <is>
          <t>Key Personnel</t>
        </is>
      </c>
      <c r="H4" s="31" t="n"/>
      <c r="I4" s="31" t="n"/>
      <c r="J4" s="30" t="n"/>
      <c r="K4" s="37" t="inlineStr">
        <is>
          <t>Capability &amp; Complexity</t>
        </is>
      </c>
      <c r="L4" s="37" t="n"/>
      <c r="M4" s="30" t="n"/>
      <c r="N4" s="36" t="inlineStr">
        <is>
          <t>Phase</t>
        </is>
      </c>
      <c r="O4" s="36" t="n"/>
      <c r="P4" s="30" t="n"/>
      <c r="Q4" s="38" t="inlineStr">
        <is>
          <t>Risk relating to:</t>
        </is>
      </c>
      <c r="R4" s="38" t="n"/>
      <c r="S4" s="38" t="n"/>
      <c r="T4" s="38" t="n"/>
      <c r="U4" s="38" t="n"/>
      <c r="V4" s="38" t="n"/>
      <c r="W4" s="30" t="n"/>
      <c r="X4" s="39" t="inlineStr">
        <is>
          <t>Appendix / Systems</t>
        </is>
      </c>
      <c r="Y4" s="39" t="n"/>
      <c r="Z4" s="39" t="n"/>
    </row>
    <row r="5" ht="40" customHeight="1">
      <c r="B5" s="33" t="inlineStr">
        <is>
          <t>Contract Number</t>
        </is>
      </c>
      <c r="C5" s="33" t="inlineStr">
        <is>
          <t>Area</t>
        </is>
      </c>
      <c r="D5" s="33" t="inlineStr">
        <is>
          <t>Contractor</t>
        </is>
      </c>
      <c r="E5" s="33" t="inlineStr">
        <is>
          <t>Description</t>
        </is>
      </c>
      <c r="F5" s="30" t="n"/>
      <c r="G5" s="34" t="inlineStr">
        <is>
          <t>Commissioning Engineer</t>
        </is>
      </c>
      <c r="H5" s="34" t="inlineStr">
        <is>
          <t>Commissioning Manager</t>
        </is>
      </c>
      <c r="I5" s="34" t="inlineStr">
        <is>
          <t>DMIC Co-ordinator</t>
        </is>
      </c>
      <c r="J5" s="30" t="n"/>
      <c r="K5" s="41" t="inlineStr">
        <is>
          <t>Contractor Capability Rating (10 = highest capability)</t>
        </is>
      </c>
      <c r="L5" s="41" t="inlineStr">
        <is>
          <t>Contract Complexity Rating (10 = most simple)</t>
        </is>
      </c>
      <c r="M5" s="30" t="n"/>
      <c r="N5" s="40" t="inlineStr">
        <is>
          <t>Commissioning Start Date</t>
        </is>
      </c>
      <c r="O5" s="40" t="inlineStr">
        <is>
          <t>Current Phase of Contract</t>
        </is>
      </c>
      <c r="P5" s="30" t="n"/>
      <c r="Q5" s="42" t="inlineStr">
        <is>
          <t>Schedule Risk</t>
        </is>
      </c>
      <c r="R5" s="42" t="inlineStr">
        <is>
          <t>Documentation Risk</t>
        </is>
      </c>
      <c r="S5" s="42" t="inlineStr">
        <is>
          <t>Integration / Collaboration Risk</t>
        </is>
      </c>
      <c r="T5" s="42" t="inlineStr">
        <is>
          <t>Team / Resource Risk</t>
        </is>
      </c>
      <c r="U5" s="42" t="inlineStr">
        <is>
          <t>Total Risk Percentage</t>
        </is>
      </c>
      <c r="V5" s="42" t="inlineStr">
        <is>
          <t>Risk Commentary</t>
        </is>
      </c>
      <c r="W5" s="30" t="n"/>
      <c r="X5" s="43" t="inlineStr">
        <is>
          <t>Appendix 4 Revision</t>
        </is>
      </c>
      <c r="Y5" s="43" t="inlineStr">
        <is>
          <t>Commentary</t>
        </is>
      </c>
      <c r="Z5" s="43" t="inlineStr">
        <is>
          <t>Systems</t>
        </is>
      </c>
    </row>
    <row r="6">
      <c r="B6" s="23">
        <f>IF('DMIC List - master'!B6="","",'DMIC List - master'!B6)</f>
        <v/>
      </c>
      <c r="C6" s="23">
        <f>IFERROR(IF(INDEX('DMIC List - master'!$C:$C,MATCH($B6,CONTRACT_ID,0)+5)="","",INDEX('DMIC List - master'!$C:$C,MATCH($B6,CONTRACT_ID,0)+5)),"")</f>
        <v/>
      </c>
      <c r="D6" s="23">
        <f>IFERROR(IF(INDEX('DMIC List - master'!$D:$D,MATCH($B6,CONTRACT_ID,0)+5)="","",INDEX('DMIC List - master'!$D:$D,MATCH($B6,CONTRACT_ID,0)+5)),"")</f>
        <v/>
      </c>
      <c r="E6" s="23">
        <f>IFERROR(IF(INDEX('DMIC List - master'!$E:$E,MATCH($B6,CONTRACT_ID,0)+5)="","",INDEX('DMIC List - master'!$E:$E,MATCH($B6,CONTRACT_ID,0)+5)),"")</f>
        <v/>
      </c>
      <c r="G6" s="23">
        <f>IFERROR(IF(INDEX('DMIC List - master'!$P:$P,MATCH($B6,CONTRACT_ID,0)+5)="","",INDEX('DMIC List - master'!$P:$P,MATCH($B6,CONTRACT_ID,0)+5)),"")</f>
        <v/>
      </c>
      <c r="H6" s="23">
        <f>IFERROR(IF(INDEX('DMIC List - master'!$Q:$Q,MATCH($B6,CONTRACT_ID,0)+5)="","",INDEX('DMIC List - master'!$Q:$Q,MATCH($B6,CONTRACT_ID,0)+5)),"")</f>
        <v/>
      </c>
      <c r="I6" s="23">
        <f>IFERROR(IF(INDEX('DMIC List - master'!$U:$U,MATCH($B6,CONTRACT_ID,0)+5)="","",INDEX('DMIC List - master'!$U:$U,MATCH($B6,CONTRACT_ID,0)+5)),"")</f>
        <v/>
      </c>
      <c r="K6" s="23">
        <f>IFERROR(IF(OR($B6="",COUNTA(INDEX('Competency&amp;Complexity'!$K:$K,MATCH($B6,CC_CONTRACT_ID,0)+5):INDEX('Competency&amp;Complexity'!$P:$P,MATCH($B6,CC_CONTRACT_ID,0)+5))=0),"",ROUND((COUNTIF(INDEX('Competency&amp;Complexity'!$K:$K,MATCH($B6,CC_CONTRACT_ID,0)+5):INDEX('Competency&amp;Complexity'!$P:$P,MATCH($B6,CC_CONTRACT_ID,0)+5),"High")*2+COUNTIF(INDEX('Competency&amp;Complexity'!$K:$K,MATCH($B6,CC_CONTRACT_ID,0)+5):INDEX('Competency&amp;Complexity'!$P:$P,MATCH($B6,CC_CONTRACT_ID,0)+5),"Medium")*1)/12*10,1)),"")</f>
        <v/>
      </c>
      <c r="L6" s="23">
        <f>IFERROR(IF(OR($B6="",COUNTA(INDEX('Competency&amp;Complexity'!$R:$R,MATCH($B6,CC_CONTRACT_ID,0)+5):INDEX('Competency&amp;Complexity'!$V:$V,MATCH($B6,CC_CONTRACT_ID,0)+5))=0),"",ROUND((COUNTIF(INDEX('Competency&amp;Complexity'!$R:$R,MATCH($B6,CC_CONTRACT_ID,0)+5):INDEX('Competency&amp;Complexity'!$V:$V,MATCH($B6,CC_CONTRACT_ID,0)+5),"Low")*2+COUNTIF(INDEX('Competency&amp;Complexity'!$R:$R,MATCH($B6,CC_CONTRACT_ID,0)+5):INDEX('Competency&amp;Complexity'!$V:$V,MATCH($B6,CC_CONTRACT_ID,0)+5),"Medium")*1)/10*10,1)),"")</f>
        <v/>
      </c>
      <c r="N6" s="25" t="n">
        <v>46447</v>
      </c>
      <c r="O6" s="23" t="inlineStr">
        <is>
          <t>Commissioning Preparation</t>
        </is>
      </c>
      <c r="Q6" s="23" t="n">
        <v>2</v>
      </c>
      <c r="R6" s="23" t="n">
        <v>1</v>
      </c>
      <c r="S6" s="23" t="n">
        <v>2</v>
      </c>
      <c r="T6" s="23" t="n">
        <v>1</v>
      </c>
      <c r="U6" s="24">
        <f>IF($B6="","",IF(COUNT(Q6:T6)=0,"",(Q6+R6+S6+T6)/20))</f>
        <v/>
      </c>
      <c r="V6" s="23" t="n"/>
      <c r="X6" s="23" t="n"/>
      <c r="Y6" s="23" t="n"/>
      <c r="Z6" s="23">
        <f t="array" ref="Z6">IFERROR(TEXTJOIN(", ",TRUE,IF(Systems!$B$6:$B$65=$B6,Systems!$C$6:$C$65,"")),"")</f>
        <v/>
      </c>
    </row>
    <row r="7">
      <c r="B7" s="26">
        <f>IF('DMIC List - master'!B7="","",'DMIC List - master'!B7)</f>
        <v/>
      </c>
      <c r="C7" s="26">
        <f>IFERROR(IF(INDEX('DMIC List - master'!$C:$C,MATCH($B7,CONTRACT_ID,0)+5)="","",INDEX('DMIC List - master'!$C:$C,MATCH($B7,CONTRACT_ID,0)+5)),"")</f>
        <v/>
      </c>
      <c r="D7" s="26">
        <f>IFERROR(IF(INDEX('DMIC List - master'!$D:$D,MATCH($B7,CONTRACT_ID,0)+5)="","",INDEX('DMIC List - master'!$D:$D,MATCH($B7,CONTRACT_ID,0)+5)),"")</f>
        <v/>
      </c>
      <c r="E7" s="26">
        <f>IFERROR(IF(INDEX('DMIC List - master'!$E:$E,MATCH($B7,CONTRACT_ID,0)+5)="","",INDEX('DMIC List - master'!$E:$E,MATCH($B7,CONTRACT_ID,0)+5)),"")</f>
        <v/>
      </c>
      <c r="G7" s="26">
        <f>IFERROR(IF(INDEX('DMIC List - master'!$P:$P,MATCH($B7,CONTRACT_ID,0)+5)="","",INDEX('DMIC List - master'!$P:$P,MATCH($B7,CONTRACT_ID,0)+5)),"")</f>
        <v/>
      </c>
      <c r="H7" s="26">
        <f>IFERROR(IF(INDEX('DMIC List - master'!$Q:$Q,MATCH($B7,CONTRACT_ID,0)+5)="","",INDEX('DMIC List - master'!$Q:$Q,MATCH($B7,CONTRACT_ID,0)+5)),"")</f>
        <v/>
      </c>
      <c r="I7" s="26">
        <f>IFERROR(IF(INDEX('DMIC List - master'!$U:$U,MATCH($B7,CONTRACT_ID,0)+5)="","",INDEX('DMIC List - master'!$U:$U,MATCH($B7,CONTRACT_ID,0)+5)),"")</f>
        <v/>
      </c>
      <c r="K7" s="26">
        <f>IFERROR(IF(OR($B7="",COUNTA(INDEX('Competency&amp;Complexity'!$K:$K,MATCH($B7,CC_CONTRACT_ID,0)+5):INDEX('Competency&amp;Complexity'!$P:$P,MATCH($B7,CC_CONTRACT_ID,0)+5))=0),"",ROUND((COUNTIF(INDEX('Competency&amp;Complexity'!$K:$K,MATCH($B7,CC_CONTRACT_ID,0)+5):INDEX('Competency&amp;Complexity'!$P:$P,MATCH($B7,CC_CONTRACT_ID,0)+5),"High")*2+COUNTIF(INDEX('Competency&amp;Complexity'!$K:$K,MATCH($B7,CC_CONTRACT_ID,0)+5):INDEX('Competency&amp;Complexity'!$P:$P,MATCH($B7,CC_CONTRACT_ID,0)+5),"Medium")*1)/12*10,1)),"")</f>
        <v/>
      </c>
      <c r="L7" s="26">
        <f>IFERROR(IF(OR($B7="",COUNTA(INDEX('Competency&amp;Complexity'!$R:$R,MATCH($B7,CC_CONTRACT_ID,0)+5):INDEX('Competency&amp;Complexity'!$V:$V,MATCH($B7,CC_CONTRACT_ID,0)+5))=0),"",ROUND((COUNTIF(INDEX('Competency&amp;Complexity'!$R:$R,MATCH($B7,CC_CONTRACT_ID,0)+5):INDEX('Competency&amp;Complexity'!$V:$V,MATCH($B7,CC_CONTRACT_ID,0)+5),"Low")*2+COUNTIF(INDEX('Competency&amp;Complexity'!$R:$R,MATCH($B7,CC_CONTRACT_ID,0)+5):INDEX('Competency&amp;Complexity'!$V:$V,MATCH($B7,CC_CONTRACT_ID,0)+5),"Medium")*1)/10*10,1)),"")</f>
        <v/>
      </c>
      <c r="N7" s="28" t="n">
        <v>46327</v>
      </c>
      <c r="O7" s="26" t="inlineStr">
        <is>
          <t>Commissioning</t>
        </is>
      </c>
      <c r="Q7" s="26" t="n">
        <v>4</v>
      </c>
      <c r="R7" s="26" t="n">
        <v>3</v>
      </c>
      <c r="S7" s="26" t="n">
        <v>4</v>
      </c>
      <c r="T7" s="26" t="n">
        <v>3</v>
      </c>
      <c r="U7" s="27">
        <f>IF($B7="","",IF(COUNT(Q7:T7)=0,"",(Q7+R7+S7+T7)/20))</f>
        <v/>
      </c>
      <c r="V7" s="26" t="n"/>
      <c r="X7" s="26" t="n"/>
      <c r="Y7" s="26" t="n"/>
      <c r="Z7" s="26">
        <f t="array" ref="Z7">IFERROR(TEXTJOIN(", ",TRUE,IF(Systems!$B$6:$B$65=$B7,Systems!$C$6:$C$65,"")),"")</f>
        <v/>
      </c>
    </row>
    <row r="8">
      <c r="B8" s="23">
        <f>IF('DMIC List - master'!B8="","",'DMIC List - master'!B8)</f>
        <v/>
      </c>
      <c r="C8" s="23">
        <f>IFERROR(IF(INDEX('DMIC List - master'!$C:$C,MATCH($B8,CONTRACT_ID,0)+5)="","",INDEX('DMIC List - master'!$C:$C,MATCH($B8,CONTRACT_ID,0)+5)),"")</f>
        <v/>
      </c>
      <c r="D8" s="23">
        <f>IFERROR(IF(INDEX('DMIC List - master'!$D:$D,MATCH($B8,CONTRACT_ID,0)+5)="","",INDEX('DMIC List - master'!$D:$D,MATCH($B8,CONTRACT_ID,0)+5)),"")</f>
        <v/>
      </c>
      <c r="E8" s="23">
        <f>IFERROR(IF(INDEX('DMIC List - master'!$E:$E,MATCH($B8,CONTRACT_ID,0)+5)="","",INDEX('DMIC List - master'!$E:$E,MATCH($B8,CONTRACT_ID,0)+5)),"")</f>
        <v/>
      </c>
      <c r="G8" s="23">
        <f>IFERROR(IF(INDEX('DMIC List - master'!$P:$P,MATCH($B8,CONTRACT_ID,0)+5)="","",INDEX('DMIC List - master'!$P:$P,MATCH($B8,CONTRACT_ID,0)+5)),"")</f>
        <v/>
      </c>
      <c r="H8" s="23">
        <f>IFERROR(IF(INDEX('DMIC List - master'!$Q:$Q,MATCH($B8,CONTRACT_ID,0)+5)="","",INDEX('DMIC List - master'!$Q:$Q,MATCH($B8,CONTRACT_ID,0)+5)),"")</f>
        <v/>
      </c>
      <c r="I8" s="23">
        <f>IFERROR(IF(INDEX('DMIC List - master'!$U:$U,MATCH($B8,CONTRACT_ID,0)+5)="","",INDEX('DMIC List - master'!$U:$U,MATCH($B8,CONTRACT_ID,0)+5)),"")</f>
        <v/>
      </c>
      <c r="K8" s="23">
        <f>IFERROR(IF(OR($B8="",COUNTA(INDEX('Competency&amp;Complexity'!$K:$K,MATCH($B8,CC_CONTRACT_ID,0)+5):INDEX('Competency&amp;Complexity'!$P:$P,MATCH($B8,CC_CONTRACT_ID,0)+5))=0),"",ROUND((COUNTIF(INDEX('Competency&amp;Complexity'!$K:$K,MATCH($B8,CC_CONTRACT_ID,0)+5):INDEX('Competency&amp;Complexity'!$P:$P,MATCH($B8,CC_CONTRACT_ID,0)+5),"High")*2+COUNTIF(INDEX('Competency&amp;Complexity'!$K:$K,MATCH($B8,CC_CONTRACT_ID,0)+5):INDEX('Competency&amp;Complexity'!$P:$P,MATCH($B8,CC_CONTRACT_ID,0)+5),"Medium")*1)/12*10,1)),"")</f>
        <v/>
      </c>
      <c r="L8" s="23">
        <f>IFERROR(IF(OR($B8="",COUNTA(INDEX('Competency&amp;Complexity'!$R:$R,MATCH($B8,CC_CONTRACT_ID,0)+5):INDEX('Competency&amp;Complexity'!$V:$V,MATCH($B8,CC_CONTRACT_ID,0)+5))=0),"",ROUND((COUNTIF(INDEX('Competency&amp;Complexity'!$R:$R,MATCH($B8,CC_CONTRACT_ID,0)+5):INDEX('Competency&amp;Complexity'!$V:$V,MATCH($B8,CC_CONTRACT_ID,0)+5),"Low")*2+COUNTIF(INDEX('Competency&amp;Complexity'!$R:$R,MATCH($B8,CC_CONTRACT_ID,0)+5):INDEX('Competency&amp;Complexity'!$V:$V,MATCH($B8,CC_CONTRACT_ID,0)+5),"Medium")*1)/10*10,1)),"")</f>
        <v/>
      </c>
      <c r="N8" s="25" t="n">
        <v>46631</v>
      </c>
      <c r="O8" s="23" t="inlineStr">
        <is>
          <t>Design</t>
        </is>
      </c>
      <c r="Q8" s="23" t="n">
        <v>1</v>
      </c>
      <c r="R8" s="23" t="n">
        <v>1</v>
      </c>
      <c r="S8" s="23" t="n">
        <v>1</v>
      </c>
      <c r="T8" s="23" t="n">
        <v>1</v>
      </c>
      <c r="U8" s="24">
        <f>IF($B8="","",IF(COUNT(Q8:T8)=0,"",(Q8+R8+S8+T8)/20))</f>
        <v/>
      </c>
      <c r="V8" s="23" t="n"/>
      <c r="X8" s="23" t="n"/>
      <c r="Y8" s="23" t="n"/>
      <c r="Z8" s="23">
        <f t="array" ref="Z8">IFERROR(TEXTJOIN(", ",TRUE,IF(Systems!$B$6:$B$65=$B8,Systems!$C$6:$C$65,"")),"")</f>
        <v/>
      </c>
    </row>
    <row r="9">
      <c r="B9" s="26">
        <f>IF('DMIC List - master'!B9="","",'DMIC List - master'!B9)</f>
        <v/>
      </c>
      <c r="C9" s="26">
        <f>IFERROR(IF(INDEX('DMIC List - master'!$C:$C,MATCH($B9,CONTRACT_ID,0)+5)="","",INDEX('DMIC List - master'!$C:$C,MATCH($B9,CONTRACT_ID,0)+5)),"")</f>
        <v/>
      </c>
      <c r="D9" s="26">
        <f>IFERROR(IF(INDEX('DMIC List - master'!$D:$D,MATCH($B9,CONTRACT_ID,0)+5)="","",INDEX('DMIC List - master'!$D:$D,MATCH($B9,CONTRACT_ID,0)+5)),"")</f>
        <v/>
      </c>
      <c r="E9" s="26">
        <f>IFERROR(IF(INDEX('DMIC List - master'!$E:$E,MATCH($B9,CONTRACT_ID,0)+5)="","",INDEX('DMIC List - master'!$E:$E,MATCH($B9,CONTRACT_ID,0)+5)),"")</f>
        <v/>
      </c>
      <c r="G9" s="26">
        <f>IFERROR(IF(INDEX('DMIC List - master'!$P:$P,MATCH($B9,CONTRACT_ID,0)+5)="","",INDEX('DMIC List - master'!$P:$P,MATCH($B9,CONTRACT_ID,0)+5)),"")</f>
        <v/>
      </c>
      <c r="H9" s="26">
        <f>IFERROR(IF(INDEX('DMIC List - master'!$Q:$Q,MATCH($B9,CONTRACT_ID,0)+5)="","",INDEX('DMIC List - master'!$Q:$Q,MATCH($B9,CONTRACT_ID,0)+5)),"")</f>
        <v/>
      </c>
      <c r="I9" s="26">
        <f>IFERROR(IF(INDEX('DMIC List - master'!$U:$U,MATCH($B9,CONTRACT_ID,0)+5)="","",INDEX('DMIC List - master'!$U:$U,MATCH($B9,CONTRACT_ID,0)+5)),"")</f>
        <v/>
      </c>
      <c r="K9" s="26">
        <f>IFERROR(IF(OR($B9="",COUNTA(INDEX('Competency&amp;Complexity'!$K:$K,MATCH($B9,CC_CONTRACT_ID,0)+5):INDEX('Competency&amp;Complexity'!$P:$P,MATCH($B9,CC_CONTRACT_ID,0)+5))=0),"",ROUND((COUNTIF(INDEX('Competency&amp;Complexity'!$K:$K,MATCH($B9,CC_CONTRACT_ID,0)+5):INDEX('Competency&amp;Complexity'!$P:$P,MATCH($B9,CC_CONTRACT_ID,0)+5),"High")*2+COUNTIF(INDEX('Competency&amp;Complexity'!$K:$K,MATCH($B9,CC_CONTRACT_ID,0)+5):INDEX('Competency&amp;Complexity'!$P:$P,MATCH($B9,CC_CONTRACT_ID,0)+5),"Medium")*1)/12*10,1)),"")</f>
        <v/>
      </c>
      <c r="L9" s="26">
        <f>IFERROR(IF(OR($B9="",COUNTA(INDEX('Competency&amp;Complexity'!$R:$R,MATCH($B9,CC_CONTRACT_ID,0)+5):INDEX('Competency&amp;Complexity'!$V:$V,MATCH($B9,CC_CONTRACT_ID,0)+5))=0),"",ROUND((COUNTIF(INDEX('Competency&amp;Complexity'!$R:$R,MATCH($B9,CC_CONTRACT_ID,0)+5):INDEX('Competency&amp;Complexity'!$V:$V,MATCH($B9,CC_CONTRACT_ID,0)+5),"Low")*2+COUNTIF(INDEX('Competency&amp;Complexity'!$R:$R,MATCH($B9,CC_CONTRACT_ID,0)+5):INDEX('Competency&amp;Complexity'!$V:$V,MATCH($B9,CC_CONTRACT_ID,0)+5),"Medium")*1)/10*10,1)),"")</f>
        <v/>
      </c>
      <c r="N9" s="28" t="n"/>
      <c r="O9" s="26" t="n"/>
      <c r="Q9" s="26" t="n"/>
      <c r="R9" s="26" t="n"/>
      <c r="S9" s="26" t="n"/>
      <c r="T9" s="26" t="n"/>
      <c r="U9" s="27">
        <f>IF($B9="","",IF(COUNT(Q9:T9)=0,"",(Q9+R9+S9+T9)/20))</f>
        <v/>
      </c>
      <c r="V9" s="26" t="n"/>
      <c r="X9" s="26" t="n"/>
      <c r="Y9" s="26" t="n"/>
      <c r="Z9" s="26">
        <f t="array" ref="Z9">IFERROR(TEXTJOIN(", ",TRUE,IF(Systems!$B$6:$B$65=$B9,Systems!$C$6:$C$65,"")),"")</f>
        <v/>
      </c>
    </row>
    <row r="10">
      <c r="B10" s="23">
        <f>IF('DMIC List - master'!B10="","",'DMIC List - master'!B10)</f>
        <v/>
      </c>
      <c r="C10" s="23">
        <f>IFERROR(IF(INDEX('DMIC List - master'!$C:$C,MATCH($B10,CONTRACT_ID,0)+5)="","",INDEX('DMIC List - master'!$C:$C,MATCH($B10,CONTRACT_ID,0)+5)),"")</f>
        <v/>
      </c>
      <c r="D10" s="23">
        <f>IFERROR(IF(INDEX('DMIC List - master'!$D:$D,MATCH($B10,CONTRACT_ID,0)+5)="","",INDEX('DMIC List - master'!$D:$D,MATCH($B10,CONTRACT_ID,0)+5)),"")</f>
        <v/>
      </c>
      <c r="E10" s="23">
        <f>IFERROR(IF(INDEX('DMIC List - master'!$E:$E,MATCH($B10,CONTRACT_ID,0)+5)="","",INDEX('DMIC List - master'!$E:$E,MATCH($B10,CONTRACT_ID,0)+5)),"")</f>
        <v/>
      </c>
      <c r="G10" s="23">
        <f>IFERROR(IF(INDEX('DMIC List - master'!$P:$P,MATCH($B10,CONTRACT_ID,0)+5)="","",INDEX('DMIC List - master'!$P:$P,MATCH($B10,CONTRACT_ID,0)+5)),"")</f>
        <v/>
      </c>
      <c r="H10" s="23">
        <f>IFERROR(IF(INDEX('DMIC List - master'!$Q:$Q,MATCH($B10,CONTRACT_ID,0)+5)="","",INDEX('DMIC List - master'!$Q:$Q,MATCH($B10,CONTRACT_ID,0)+5)),"")</f>
        <v/>
      </c>
      <c r="I10" s="23">
        <f>IFERROR(IF(INDEX('DMIC List - master'!$U:$U,MATCH($B10,CONTRACT_ID,0)+5)="","",INDEX('DMIC List - master'!$U:$U,MATCH($B10,CONTRACT_ID,0)+5)),"")</f>
        <v/>
      </c>
      <c r="K10" s="23">
        <f>IFERROR(IF(OR($B10="",COUNTA(INDEX('Competency&amp;Complexity'!$K:$K,MATCH($B10,CC_CONTRACT_ID,0)+5):INDEX('Competency&amp;Complexity'!$P:$P,MATCH($B10,CC_CONTRACT_ID,0)+5))=0),"",ROUND((COUNTIF(INDEX('Competency&amp;Complexity'!$K:$K,MATCH($B10,CC_CONTRACT_ID,0)+5):INDEX('Competency&amp;Complexity'!$P:$P,MATCH($B10,CC_CONTRACT_ID,0)+5),"High")*2+COUNTIF(INDEX('Competency&amp;Complexity'!$K:$K,MATCH($B10,CC_CONTRACT_ID,0)+5):INDEX('Competency&amp;Complexity'!$P:$P,MATCH($B10,CC_CONTRACT_ID,0)+5),"Medium")*1)/12*10,1)),"")</f>
        <v/>
      </c>
      <c r="L10" s="23">
        <f>IFERROR(IF(OR($B10="",COUNTA(INDEX('Competency&amp;Complexity'!$R:$R,MATCH($B10,CC_CONTRACT_ID,0)+5):INDEX('Competency&amp;Complexity'!$V:$V,MATCH($B10,CC_CONTRACT_ID,0)+5))=0),"",ROUND((COUNTIF(INDEX('Competency&amp;Complexity'!$R:$R,MATCH($B10,CC_CONTRACT_ID,0)+5):INDEX('Competency&amp;Complexity'!$V:$V,MATCH($B10,CC_CONTRACT_ID,0)+5),"Low")*2+COUNTIF(INDEX('Competency&amp;Complexity'!$R:$R,MATCH($B10,CC_CONTRACT_ID,0)+5):INDEX('Competency&amp;Complexity'!$V:$V,MATCH($B10,CC_CONTRACT_ID,0)+5),"Medium")*1)/10*10,1)),"")</f>
        <v/>
      </c>
      <c r="N10" s="25" t="n"/>
      <c r="O10" s="23" t="n"/>
      <c r="Q10" s="23" t="n"/>
      <c r="R10" s="23" t="n"/>
      <c r="S10" s="23" t="n"/>
      <c r="T10" s="23" t="n"/>
      <c r="U10" s="24">
        <f>IF($B10="","",IF(COUNT(Q10:T10)=0,"",(Q10+R10+S10+T10)/20))</f>
        <v/>
      </c>
      <c r="V10" s="23" t="n"/>
      <c r="X10" s="23" t="n"/>
      <c r="Y10" s="23" t="n"/>
      <c r="Z10" s="23">
        <f t="array" ref="Z10">IFERROR(TEXTJOIN(", ",TRUE,IF(Systems!$B$6:$B$65=$B10,Systems!$C$6:$C$65,"")),"")</f>
        <v/>
      </c>
    </row>
    <row r="11">
      <c r="B11" s="26">
        <f>IF('DMIC List - master'!B11="","",'DMIC List - master'!B11)</f>
        <v/>
      </c>
      <c r="C11" s="26">
        <f>IFERROR(IF(INDEX('DMIC List - master'!$C:$C,MATCH($B11,CONTRACT_ID,0)+5)="","",INDEX('DMIC List - master'!$C:$C,MATCH($B11,CONTRACT_ID,0)+5)),"")</f>
        <v/>
      </c>
      <c r="D11" s="26">
        <f>IFERROR(IF(INDEX('DMIC List - master'!$D:$D,MATCH($B11,CONTRACT_ID,0)+5)="","",INDEX('DMIC List - master'!$D:$D,MATCH($B11,CONTRACT_ID,0)+5)),"")</f>
        <v/>
      </c>
      <c r="E11" s="26">
        <f>IFERROR(IF(INDEX('DMIC List - master'!$E:$E,MATCH($B11,CONTRACT_ID,0)+5)="","",INDEX('DMIC List - master'!$E:$E,MATCH($B11,CONTRACT_ID,0)+5)),"")</f>
        <v/>
      </c>
      <c r="G11" s="26">
        <f>IFERROR(IF(INDEX('DMIC List - master'!$P:$P,MATCH($B11,CONTRACT_ID,0)+5)="","",INDEX('DMIC List - master'!$P:$P,MATCH($B11,CONTRACT_ID,0)+5)),"")</f>
        <v/>
      </c>
      <c r="H11" s="26">
        <f>IFERROR(IF(INDEX('DMIC List - master'!$Q:$Q,MATCH($B11,CONTRACT_ID,0)+5)="","",INDEX('DMIC List - master'!$Q:$Q,MATCH($B11,CONTRACT_ID,0)+5)),"")</f>
        <v/>
      </c>
      <c r="I11" s="26">
        <f>IFERROR(IF(INDEX('DMIC List - master'!$U:$U,MATCH($B11,CONTRACT_ID,0)+5)="","",INDEX('DMIC List - master'!$U:$U,MATCH($B11,CONTRACT_ID,0)+5)),"")</f>
        <v/>
      </c>
      <c r="K11" s="26">
        <f>IFERROR(IF(OR($B11="",COUNTA(INDEX('Competency&amp;Complexity'!$K:$K,MATCH($B11,CC_CONTRACT_ID,0)+5):INDEX('Competency&amp;Complexity'!$P:$P,MATCH($B11,CC_CONTRACT_ID,0)+5))=0),"",ROUND((COUNTIF(INDEX('Competency&amp;Complexity'!$K:$K,MATCH($B11,CC_CONTRACT_ID,0)+5):INDEX('Competency&amp;Complexity'!$P:$P,MATCH($B11,CC_CONTRACT_ID,0)+5),"High")*2+COUNTIF(INDEX('Competency&amp;Complexity'!$K:$K,MATCH($B11,CC_CONTRACT_ID,0)+5):INDEX('Competency&amp;Complexity'!$P:$P,MATCH($B11,CC_CONTRACT_ID,0)+5),"Medium")*1)/12*10,1)),"")</f>
        <v/>
      </c>
      <c r="L11" s="26">
        <f>IFERROR(IF(OR($B11="",COUNTA(INDEX('Competency&amp;Complexity'!$R:$R,MATCH($B11,CC_CONTRACT_ID,0)+5):INDEX('Competency&amp;Complexity'!$V:$V,MATCH($B11,CC_CONTRACT_ID,0)+5))=0),"",ROUND((COUNTIF(INDEX('Competency&amp;Complexity'!$R:$R,MATCH($B11,CC_CONTRACT_ID,0)+5):INDEX('Competency&amp;Complexity'!$V:$V,MATCH($B11,CC_CONTRACT_ID,0)+5),"Low")*2+COUNTIF(INDEX('Competency&amp;Complexity'!$R:$R,MATCH($B11,CC_CONTRACT_ID,0)+5):INDEX('Competency&amp;Complexity'!$V:$V,MATCH($B11,CC_CONTRACT_ID,0)+5),"Medium")*1)/10*10,1)),"")</f>
        <v/>
      </c>
      <c r="N11" s="28" t="n"/>
      <c r="O11" s="26" t="n"/>
      <c r="Q11" s="26" t="n"/>
      <c r="R11" s="26" t="n"/>
      <c r="S11" s="26" t="n"/>
      <c r="T11" s="26" t="n"/>
      <c r="U11" s="27">
        <f>IF($B11="","",IF(COUNT(Q11:T11)=0,"",(Q11+R11+S11+T11)/20))</f>
        <v/>
      </c>
      <c r="V11" s="26" t="n"/>
      <c r="X11" s="26" t="n"/>
      <c r="Y11" s="26" t="n"/>
      <c r="Z11" s="26">
        <f t="array" ref="Z11">IFERROR(TEXTJOIN(", ",TRUE,IF(Systems!$B$6:$B$65=$B11,Systems!$C$6:$C$65,"")),"")</f>
        <v/>
      </c>
    </row>
    <row r="12">
      <c r="B12" s="23">
        <f>IF('DMIC List - master'!B12="","",'DMIC List - master'!B12)</f>
        <v/>
      </c>
      <c r="C12" s="23">
        <f>IFERROR(IF(INDEX('DMIC List - master'!$C:$C,MATCH($B12,CONTRACT_ID,0)+5)="","",INDEX('DMIC List - master'!$C:$C,MATCH($B12,CONTRACT_ID,0)+5)),"")</f>
        <v/>
      </c>
      <c r="D12" s="23">
        <f>IFERROR(IF(INDEX('DMIC List - master'!$D:$D,MATCH($B12,CONTRACT_ID,0)+5)="","",INDEX('DMIC List - master'!$D:$D,MATCH($B12,CONTRACT_ID,0)+5)),"")</f>
        <v/>
      </c>
      <c r="E12" s="23">
        <f>IFERROR(IF(INDEX('DMIC List - master'!$E:$E,MATCH($B12,CONTRACT_ID,0)+5)="","",INDEX('DMIC List - master'!$E:$E,MATCH($B12,CONTRACT_ID,0)+5)),"")</f>
        <v/>
      </c>
      <c r="G12" s="23">
        <f>IFERROR(IF(INDEX('DMIC List - master'!$P:$P,MATCH($B12,CONTRACT_ID,0)+5)="","",INDEX('DMIC List - master'!$P:$P,MATCH($B12,CONTRACT_ID,0)+5)),"")</f>
        <v/>
      </c>
      <c r="H12" s="23">
        <f>IFERROR(IF(INDEX('DMIC List - master'!$Q:$Q,MATCH($B12,CONTRACT_ID,0)+5)="","",INDEX('DMIC List - master'!$Q:$Q,MATCH($B12,CONTRACT_ID,0)+5)),"")</f>
        <v/>
      </c>
      <c r="I12" s="23">
        <f>IFERROR(IF(INDEX('DMIC List - master'!$U:$U,MATCH($B12,CONTRACT_ID,0)+5)="","",INDEX('DMIC List - master'!$U:$U,MATCH($B12,CONTRACT_ID,0)+5)),"")</f>
        <v/>
      </c>
      <c r="K12" s="23">
        <f>IFERROR(IF(OR($B12="",COUNTA(INDEX('Competency&amp;Complexity'!$K:$K,MATCH($B12,CC_CONTRACT_ID,0)+5):INDEX('Competency&amp;Complexity'!$P:$P,MATCH($B12,CC_CONTRACT_ID,0)+5))=0),"",ROUND((COUNTIF(INDEX('Competency&amp;Complexity'!$K:$K,MATCH($B12,CC_CONTRACT_ID,0)+5):INDEX('Competency&amp;Complexity'!$P:$P,MATCH($B12,CC_CONTRACT_ID,0)+5),"High")*2+COUNTIF(INDEX('Competency&amp;Complexity'!$K:$K,MATCH($B12,CC_CONTRACT_ID,0)+5):INDEX('Competency&amp;Complexity'!$P:$P,MATCH($B12,CC_CONTRACT_ID,0)+5),"Medium")*1)/12*10,1)),"")</f>
        <v/>
      </c>
      <c r="L12" s="23">
        <f>IFERROR(IF(OR($B12="",COUNTA(INDEX('Competency&amp;Complexity'!$R:$R,MATCH($B12,CC_CONTRACT_ID,0)+5):INDEX('Competency&amp;Complexity'!$V:$V,MATCH($B12,CC_CONTRACT_ID,0)+5))=0),"",ROUND((COUNTIF(INDEX('Competency&amp;Complexity'!$R:$R,MATCH($B12,CC_CONTRACT_ID,0)+5):INDEX('Competency&amp;Complexity'!$V:$V,MATCH($B12,CC_CONTRACT_ID,0)+5),"Low")*2+COUNTIF(INDEX('Competency&amp;Complexity'!$R:$R,MATCH($B12,CC_CONTRACT_ID,0)+5):INDEX('Competency&amp;Complexity'!$V:$V,MATCH($B12,CC_CONTRACT_ID,0)+5),"Medium")*1)/10*10,1)),"")</f>
        <v/>
      </c>
      <c r="N12" s="25" t="n"/>
      <c r="O12" s="23" t="n"/>
      <c r="Q12" s="23" t="n"/>
      <c r="R12" s="23" t="n"/>
      <c r="S12" s="23" t="n"/>
      <c r="T12" s="23" t="n"/>
      <c r="U12" s="24">
        <f>IF($B12="","",IF(COUNT(Q12:T12)=0,"",(Q12+R12+S12+T12)/20))</f>
        <v/>
      </c>
      <c r="V12" s="23" t="n"/>
      <c r="X12" s="23" t="n"/>
      <c r="Y12" s="23" t="n"/>
      <c r="Z12" s="23">
        <f t="array" ref="Z12">IFERROR(TEXTJOIN(", ",TRUE,IF(Systems!$B$6:$B$65=$B12,Systems!$C$6:$C$65,"")),"")</f>
        <v/>
      </c>
    </row>
    <row r="13">
      <c r="B13" s="26">
        <f>IF('DMIC List - master'!B13="","",'DMIC List - master'!B13)</f>
        <v/>
      </c>
      <c r="C13" s="26">
        <f>IFERROR(IF(INDEX('DMIC List - master'!$C:$C,MATCH($B13,CONTRACT_ID,0)+5)="","",INDEX('DMIC List - master'!$C:$C,MATCH($B13,CONTRACT_ID,0)+5)),"")</f>
        <v/>
      </c>
      <c r="D13" s="26">
        <f>IFERROR(IF(INDEX('DMIC List - master'!$D:$D,MATCH($B13,CONTRACT_ID,0)+5)="","",INDEX('DMIC List - master'!$D:$D,MATCH($B13,CONTRACT_ID,0)+5)),"")</f>
        <v/>
      </c>
      <c r="E13" s="26">
        <f>IFERROR(IF(INDEX('DMIC List - master'!$E:$E,MATCH($B13,CONTRACT_ID,0)+5)="","",INDEX('DMIC List - master'!$E:$E,MATCH($B13,CONTRACT_ID,0)+5)),"")</f>
        <v/>
      </c>
      <c r="G13" s="26">
        <f>IFERROR(IF(INDEX('DMIC List - master'!$P:$P,MATCH($B13,CONTRACT_ID,0)+5)="","",INDEX('DMIC List - master'!$P:$P,MATCH($B13,CONTRACT_ID,0)+5)),"")</f>
        <v/>
      </c>
      <c r="H13" s="26">
        <f>IFERROR(IF(INDEX('DMIC List - master'!$Q:$Q,MATCH($B13,CONTRACT_ID,0)+5)="","",INDEX('DMIC List - master'!$Q:$Q,MATCH($B13,CONTRACT_ID,0)+5)),"")</f>
        <v/>
      </c>
      <c r="I13" s="26">
        <f>IFERROR(IF(INDEX('DMIC List - master'!$U:$U,MATCH($B13,CONTRACT_ID,0)+5)="","",INDEX('DMIC List - master'!$U:$U,MATCH($B13,CONTRACT_ID,0)+5)),"")</f>
        <v/>
      </c>
      <c r="K13" s="26">
        <f>IFERROR(IF(OR($B13="",COUNTA(INDEX('Competency&amp;Complexity'!$K:$K,MATCH($B13,CC_CONTRACT_ID,0)+5):INDEX('Competency&amp;Complexity'!$P:$P,MATCH($B13,CC_CONTRACT_ID,0)+5))=0),"",ROUND((COUNTIF(INDEX('Competency&amp;Complexity'!$K:$K,MATCH($B13,CC_CONTRACT_ID,0)+5):INDEX('Competency&amp;Complexity'!$P:$P,MATCH($B13,CC_CONTRACT_ID,0)+5),"High")*2+COUNTIF(INDEX('Competency&amp;Complexity'!$K:$K,MATCH($B13,CC_CONTRACT_ID,0)+5):INDEX('Competency&amp;Complexity'!$P:$P,MATCH($B13,CC_CONTRACT_ID,0)+5),"Medium")*1)/12*10,1)),"")</f>
        <v/>
      </c>
      <c r="L13" s="26">
        <f>IFERROR(IF(OR($B13="",COUNTA(INDEX('Competency&amp;Complexity'!$R:$R,MATCH($B13,CC_CONTRACT_ID,0)+5):INDEX('Competency&amp;Complexity'!$V:$V,MATCH($B13,CC_CONTRACT_ID,0)+5))=0),"",ROUND((COUNTIF(INDEX('Competency&amp;Complexity'!$R:$R,MATCH($B13,CC_CONTRACT_ID,0)+5):INDEX('Competency&amp;Complexity'!$V:$V,MATCH($B13,CC_CONTRACT_ID,0)+5),"Low")*2+COUNTIF(INDEX('Competency&amp;Complexity'!$R:$R,MATCH($B13,CC_CONTRACT_ID,0)+5):INDEX('Competency&amp;Complexity'!$V:$V,MATCH($B13,CC_CONTRACT_ID,0)+5),"Medium")*1)/10*10,1)),"")</f>
        <v/>
      </c>
      <c r="N13" s="28" t="n"/>
      <c r="O13" s="26" t="n"/>
      <c r="Q13" s="26" t="n"/>
      <c r="R13" s="26" t="n"/>
      <c r="S13" s="26" t="n"/>
      <c r="T13" s="26" t="n"/>
      <c r="U13" s="27">
        <f>IF($B13="","",IF(COUNT(Q13:T13)=0,"",(Q13+R13+S13+T13)/20))</f>
        <v/>
      </c>
      <c r="V13" s="26" t="n"/>
      <c r="X13" s="26" t="n"/>
      <c r="Y13" s="26" t="n"/>
      <c r="Z13" s="26">
        <f t="array" ref="Z13">IFERROR(TEXTJOIN(", ",TRUE,IF(Systems!$B$6:$B$65=$B13,Systems!$C$6:$C$65,"")),"")</f>
        <v/>
      </c>
    </row>
    <row r="14">
      <c r="B14" s="23">
        <f>IF('DMIC List - master'!B14="","",'DMIC List - master'!B14)</f>
        <v/>
      </c>
      <c r="C14" s="23">
        <f>IFERROR(IF(INDEX('DMIC List - master'!$C:$C,MATCH($B14,CONTRACT_ID,0)+5)="","",INDEX('DMIC List - master'!$C:$C,MATCH($B14,CONTRACT_ID,0)+5)),"")</f>
        <v/>
      </c>
      <c r="D14" s="23">
        <f>IFERROR(IF(INDEX('DMIC List - master'!$D:$D,MATCH($B14,CONTRACT_ID,0)+5)="","",INDEX('DMIC List - master'!$D:$D,MATCH($B14,CONTRACT_ID,0)+5)),"")</f>
        <v/>
      </c>
      <c r="E14" s="23">
        <f>IFERROR(IF(INDEX('DMIC List - master'!$E:$E,MATCH($B14,CONTRACT_ID,0)+5)="","",INDEX('DMIC List - master'!$E:$E,MATCH($B14,CONTRACT_ID,0)+5)),"")</f>
        <v/>
      </c>
      <c r="G14" s="23">
        <f>IFERROR(IF(INDEX('DMIC List - master'!$P:$P,MATCH($B14,CONTRACT_ID,0)+5)="","",INDEX('DMIC List - master'!$P:$P,MATCH($B14,CONTRACT_ID,0)+5)),"")</f>
        <v/>
      </c>
      <c r="H14" s="23">
        <f>IFERROR(IF(INDEX('DMIC List - master'!$Q:$Q,MATCH($B14,CONTRACT_ID,0)+5)="","",INDEX('DMIC List - master'!$Q:$Q,MATCH($B14,CONTRACT_ID,0)+5)),"")</f>
        <v/>
      </c>
      <c r="I14" s="23">
        <f>IFERROR(IF(INDEX('DMIC List - master'!$U:$U,MATCH($B14,CONTRACT_ID,0)+5)="","",INDEX('DMIC List - master'!$U:$U,MATCH($B14,CONTRACT_ID,0)+5)),"")</f>
        <v/>
      </c>
      <c r="K14" s="23">
        <f>IFERROR(IF(OR($B14="",COUNTA(INDEX('Competency&amp;Complexity'!$K:$K,MATCH($B14,CC_CONTRACT_ID,0)+5):INDEX('Competency&amp;Complexity'!$P:$P,MATCH($B14,CC_CONTRACT_ID,0)+5))=0),"",ROUND((COUNTIF(INDEX('Competency&amp;Complexity'!$K:$K,MATCH($B14,CC_CONTRACT_ID,0)+5):INDEX('Competency&amp;Complexity'!$P:$P,MATCH($B14,CC_CONTRACT_ID,0)+5),"High")*2+COUNTIF(INDEX('Competency&amp;Complexity'!$K:$K,MATCH($B14,CC_CONTRACT_ID,0)+5):INDEX('Competency&amp;Complexity'!$P:$P,MATCH($B14,CC_CONTRACT_ID,0)+5),"Medium")*1)/12*10,1)),"")</f>
        <v/>
      </c>
      <c r="L14" s="23">
        <f>IFERROR(IF(OR($B14="",COUNTA(INDEX('Competency&amp;Complexity'!$R:$R,MATCH($B14,CC_CONTRACT_ID,0)+5):INDEX('Competency&amp;Complexity'!$V:$V,MATCH($B14,CC_CONTRACT_ID,0)+5))=0),"",ROUND((COUNTIF(INDEX('Competency&amp;Complexity'!$R:$R,MATCH($B14,CC_CONTRACT_ID,0)+5):INDEX('Competency&amp;Complexity'!$V:$V,MATCH($B14,CC_CONTRACT_ID,0)+5),"Low")*2+COUNTIF(INDEX('Competency&amp;Complexity'!$R:$R,MATCH($B14,CC_CONTRACT_ID,0)+5):INDEX('Competency&amp;Complexity'!$V:$V,MATCH($B14,CC_CONTRACT_ID,0)+5),"Medium")*1)/10*10,1)),"")</f>
        <v/>
      </c>
      <c r="N14" s="25" t="n"/>
      <c r="O14" s="23" t="n"/>
      <c r="Q14" s="23" t="n"/>
      <c r="R14" s="23" t="n"/>
      <c r="S14" s="23" t="n"/>
      <c r="T14" s="23" t="n"/>
      <c r="U14" s="24">
        <f>IF($B14="","",IF(COUNT(Q14:T14)=0,"",(Q14+R14+S14+T14)/20))</f>
        <v/>
      </c>
      <c r="V14" s="23" t="n"/>
      <c r="X14" s="23" t="n"/>
      <c r="Y14" s="23" t="n"/>
      <c r="Z14" s="23">
        <f t="array" ref="Z14">IFERROR(TEXTJOIN(", ",TRUE,IF(Systems!$B$6:$B$65=$B14,Systems!$C$6:$C$65,"")),"")</f>
        <v/>
      </c>
    </row>
    <row r="15">
      <c r="B15" s="26">
        <f>IF('DMIC List - master'!B15="","",'DMIC List - master'!B15)</f>
        <v/>
      </c>
      <c r="C15" s="26">
        <f>IFERROR(IF(INDEX('DMIC List - master'!$C:$C,MATCH($B15,CONTRACT_ID,0)+5)="","",INDEX('DMIC List - master'!$C:$C,MATCH($B15,CONTRACT_ID,0)+5)),"")</f>
        <v/>
      </c>
      <c r="D15" s="26">
        <f>IFERROR(IF(INDEX('DMIC List - master'!$D:$D,MATCH($B15,CONTRACT_ID,0)+5)="","",INDEX('DMIC List - master'!$D:$D,MATCH($B15,CONTRACT_ID,0)+5)),"")</f>
        <v/>
      </c>
      <c r="E15" s="26">
        <f>IFERROR(IF(INDEX('DMIC List - master'!$E:$E,MATCH($B15,CONTRACT_ID,0)+5)="","",INDEX('DMIC List - master'!$E:$E,MATCH($B15,CONTRACT_ID,0)+5)),"")</f>
        <v/>
      </c>
      <c r="G15" s="26">
        <f>IFERROR(IF(INDEX('DMIC List - master'!$P:$P,MATCH($B15,CONTRACT_ID,0)+5)="","",INDEX('DMIC List - master'!$P:$P,MATCH($B15,CONTRACT_ID,0)+5)),"")</f>
        <v/>
      </c>
      <c r="H15" s="26">
        <f>IFERROR(IF(INDEX('DMIC List - master'!$Q:$Q,MATCH($B15,CONTRACT_ID,0)+5)="","",INDEX('DMIC List - master'!$Q:$Q,MATCH($B15,CONTRACT_ID,0)+5)),"")</f>
        <v/>
      </c>
      <c r="I15" s="26">
        <f>IFERROR(IF(INDEX('DMIC List - master'!$U:$U,MATCH($B15,CONTRACT_ID,0)+5)="","",INDEX('DMIC List - master'!$U:$U,MATCH($B15,CONTRACT_ID,0)+5)),"")</f>
        <v/>
      </c>
      <c r="K15" s="26">
        <f>IFERROR(IF(OR($B15="",COUNTA(INDEX('Competency&amp;Complexity'!$K:$K,MATCH($B15,CC_CONTRACT_ID,0)+5):INDEX('Competency&amp;Complexity'!$P:$P,MATCH($B15,CC_CONTRACT_ID,0)+5))=0),"",ROUND((COUNTIF(INDEX('Competency&amp;Complexity'!$K:$K,MATCH($B15,CC_CONTRACT_ID,0)+5):INDEX('Competency&amp;Complexity'!$P:$P,MATCH($B15,CC_CONTRACT_ID,0)+5),"High")*2+COUNTIF(INDEX('Competency&amp;Complexity'!$K:$K,MATCH($B15,CC_CONTRACT_ID,0)+5):INDEX('Competency&amp;Complexity'!$P:$P,MATCH($B15,CC_CONTRACT_ID,0)+5),"Medium")*1)/12*10,1)),"")</f>
        <v/>
      </c>
      <c r="L15" s="26">
        <f>IFERROR(IF(OR($B15="",COUNTA(INDEX('Competency&amp;Complexity'!$R:$R,MATCH($B15,CC_CONTRACT_ID,0)+5):INDEX('Competency&amp;Complexity'!$V:$V,MATCH($B15,CC_CONTRACT_ID,0)+5))=0),"",ROUND((COUNTIF(INDEX('Competency&amp;Complexity'!$R:$R,MATCH($B15,CC_CONTRACT_ID,0)+5):INDEX('Competency&amp;Complexity'!$V:$V,MATCH($B15,CC_CONTRACT_ID,0)+5),"Low")*2+COUNTIF(INDEX('Competency&amp;Complexity'!$R:$R,MATCH($B15,CC_CONTRACT_ID,0)+5):INDEX('Competency&amp;Complexity'!$V:$V,MATCH($B15,CC_CONTRACT_ID,0)+5),"Medium")*1)/10*10,1)),"")</f>
        <v/>
      </c>
      <c r="N15" s="28" t="n"/>
      <c r="O15" s="26" t="n"/>
      <c r="Q15" s="26" t="n"/>
      <c r="R15" s="26" t="n"/>
      <c r="S15" s="26" t="n"/>
      <c r="T15" s="26" t="n"/>
      <c r="U15" s="27">
        <f>IF($B15="","",IF(COUNT(Q15:T15)=0,"",(Q15+R15+S15+T15)/20))</f>
        <v/>
      </c>
      <c r="V15" s="26" t="n"/>
      <c r="X15" s="26" t="n"/>
      <c r="Y15" s="26" t="n"/>
      <c r="Z15" s="26">
        <f t="array" ref="Z15">IFERROR(TEXTJOIN(", ",TRUE,IF(Systems!$B$6:$B$65=$B15,Systems!$C$6:$C$65,"")),"")</f>
        <v/>
      </c>
    </row>
    <row r="16">
      <c r="B16" s="23">
        <f>IF('DMIC List - master'!B16="","",'DMIC List - master'!B16)</f>
        <v/>
      </c>
      <c r="C16" s="23">
        <f>IFERROR(IF(INDEX('DMIC List - master'!$C:$C,MATCH($B16,CONTRACT_ID,0)+5)="","",INDEX('DMIC List - master'!$C:$C,MATCH($B16,CONTRACT_ID,0)+5)),"")</f>
        <v/>
      </c>
      <c r="D16" s="23">
        <f>IFERROR(IF(INDEX('DMIC List - master'!$D:$D,MATCH($B16,CONTRACT_ID,0)+5)="","",INDEX('DMIC List - master'!$D:$D,MATCH($B16,CONTRACT_ID,0)+5)),"")</f>
        <v/>
      </c>
      <c r="E16" s="23">
        <f>IFERROR(IF(INDEX('DMIC List - master'!$E:$E,MATCH($B16,CONTRACT_ID,0)+5)="","",INDEX('DMIC List - master'!$E:$E,MATCH($B16,CONTRACT_ID,0)+5)),"")</f>
        <v/>
      </c>
      <c r="G16" s="23">
        <f>IFERROR(IF(INDEX('DMIC List - master'!$P:$P,MATCH($B16,CONTRACT_ID,0)+5)="","",INDEX('DMIC List - master'!$P:$P,MATCH($B16,CONTRACT_ID,0)+5)),"")</f>
        <v/>
      </c>
      <c r="H16" s="23">
        <f>IFERROR(IF(INDEX('DMIC List - master'!$Q:$Q,MATCH($B16,CONTRACT_ID,0)+5)="","",INDEX('DMIC List - master'!$Q:$Q,MATCH($B16,CONTRACT_ID,0)+5)),"")</f>
        <v/>
      </c>
      <c r="I16" s="23">
        <f>IFERROR(IF(INDEX('DMIC List - master'!$U:$U,MATCH($B16,CONTRACT_ID,0)+5)="","",INDEX('DMIC List - master'!$U:$U,MATCH($B16,CONTRACT_ID,0)+5)),"")</f>
        <v/>
      </c>
      <c r="K16" s="23">
        <f>IFERROR(IF(OR($B16="",COUNTA(INDEX('Competency&amp;Complexity'!$K:$K,MATCH($B16,CC_CONTRACT_ID,0)+5):INDEX('Competency&amp;Complexity'!$P:$P,MATCH($B16,CC_CONTRACT_ID,0)+5))=0),"",ROUND((COUNTIF(INDEX('Competency&amp;Complexity'!$K:$K,MATCH($B16,CC_CONTRACT_ID,0)+5):INDEX('Competency&amp;Complexity'!$P:$P,MATCH($B16,CC_CONTRACT_ID,0)+5),"High")*2+COUNTIF(INDEX('Competency&amp;Complexity'!$K:$K,MATCH($B16,CC_CONTRACT_ID,0)+5):INDEX('Competency&amp;Complexity'!$P:$P,MATCH($B16,CC_CONTRACT_ID,0)+5),"Medium")*1)/12*10,1)),"")</f>
        <v/>
      </c>
      <c r="L16" s="23">
        <f>IFERROR(IF(OR($B16="",COUNTA(INDEX('Competency&amp;Complexity'!$R:$R,MATCH($B16,CC_CONTRACT_ID,0)+5):INDEX('Competency&amp;Complexity'!$V:$V,MATCH($B16,CC_CONTRACT_ID,0)+5))=0),"",ROUND((COUNTIF(INDEX('Competency&amp;Complexity'!$R:$R,MATCH($B16,CC_CONTRACT_ID,0)+5):INDEX('Competency&amp;Complexity'!$V:$V,MATCH($B16,CC_CONTRACT_ID,0)+5),"Low")*2+COUNTIF(INDEX('Competency&amp;Complexity'!$R:$R,MATCH($B16,CC_CONTRACT_ID,0)+5):INDEX('Competency&amp;Complexity'!$V:$V,MATCH($B16,CC_CONTRACT_ID,0)+5),"Medium")*1)/10*10,1)),"")</f>
        <v/>
      </c>
      <c r="N16" s="25" t="n"/>
      <c r="O16" s="23" t="n"/>
      <c r="Q16" s="23" t="n"/>
      <c r="R16" s="23" t="n"/>
      <c r="S16" s="23" t="n"/>
      <c r="T16" s="23" t="n"/>
      <c r="U16" s="24">
        <f>IF($B16="","",IF(COUNT(Q16:T16)=0,"",(Q16+R16+S16+T16)/20))</f>
        <v/>
      </c>
      <c r="V16" s="23" t="n"/>
      <c r="X16" s="23" t="n"/>
      <c r="Y16" s="23" t="n"/>
      <c r="Z16" s="23">
        <f t="array" ref="Z16">IFERROR(TEXTJOIN(", ",TRUE,IF(Systems!$B$6:$B$65=$B16,Systems!$C$6:$C$65,"")),"")</f>
        <v/>
      </c>
    </row>
    <row r="17">
      <c r="B17" s="26">
        <f>IF('DMIC List - master'!B17="","",'DMIC List - master'!B17)</f>
        <v/>
      </c>
      <c r="C17" s="26">
        <f>IFERROR(IF(INDEX('DMIC List - master'!$C:$C,MATCH($B17,CONTRACT_ID,0)+5)="","",INDEX('DMIC List - master'!$C:$C,MATCH($B17,CONTRACT_ID,0)+5)),"")</f>
        <v/>
      </c>
      <c r="D17" s="26">
        <f>IFERROR(IF(INDEX('DMIC List - master'!$D:$D,MATCH($B17,CONTRACT_ID,0)+5)="","",INDEX('DMIC List - master'!$D:$D,MATCH($B17,CONTRACT_ID,0)+5)),"")</f>
        <v/>
      </c>
      <c r="E17" s="26">
        <f>IFERROR(IF(INDEX('DMIC List - master'!$E:$E,MATCH($B17,CONTRACT_ID,0)+5)="","",INDEX('DMIC List - master'!$E:$E,MATCH($B17,CONTRACT_ID,0)+5)),"")</f>
        <v/>
      </c>
      <c r="G17" s="26">
        <f>IFERROR(IF(INDEX('DMIC List - master'!$P:$P,MATCH($B17,CONTRACT_ID,0)+5)="","",INDEX('DMIC List - master'!$P:$P,MATCH($B17,CONTRACT_ID,0)+5)),"")</f>
        <v/>
      </c>
      <c r="H17" s="26">
        <f>IFERROR(IF(INDEX('DMIC List - master'!$Q:$Q,MATCH($B17,CONTRACT_ID,0)+5)="","",INDEX('DMIC List - master'!$Q:$Q,MATCH($B17,CONTRACT_ID,0)+5)),"")</f>
        <v/>
      </c>
      <c r="I17" s="26">
        <f>IFERROR(IF(INDEX('DMIC List - master'!$U:$U,MATCH($B17,CONTRACT_ID,0)+5)="","",INDEX('DMIC List - master'!$U:$U,MATCH($B17,CONTRACT_ID,0)+5)),"")</f>
        <v/>
      </c>
      <c r="K17" s="26">
        <f>IFERROR(IF(OR($B17="",COUNTA(INDEX('Competency&amp;Complexity'!$K:$K,MATCH($B17,CC_CONTRACT_ID,0)+5):INDEX('Competency&amp;Complexity'!$P:$P,MATCH($B17,CC_CONTRACT_ID,0)+5))=0),"",ROUND((COUNTIF(INDEX('Competency&amp;Complexity'!$K:$K,MATCH($B17,CC_CONTRACT_ID,0)+5):INDEX('Competency&amp;Complexity'!$P:$P,MATCH($B17,CC_CONTRACT_ID,0)+5),"High")*2+COUNTIF(INDEX('Competency&amp;Complexity'!$K:$K,MATCH($B17,CC_CONTRACT_ID,0)+5):INDEX('Competency&amp;Complexity'!$P:$P,MATCH($B17,CC_CONTRACT_ID,0)+5),"Medium")*1)/12*10,1)),"")</f>
        <v/>
      </c>
      <c r="L17" s="26">
        <f>IFERROR(IF(OR($B17="",COUNTA(INDEX('Competency&amp;Complexity'!$R:$R,MATCH($B17,CC_CONTRACT_ID,0)+5):INDEX('Competency&amp;Complexity'!$V:$V,MATCH($B17,CC_CONTRACT_ID,0)+5))=0),"",ROUND((COUNTIF(INDEX('Competency&amp;Complexity'!$R:$R,MATCH($B17,CC_CONTRACT_ID,0)+5):INDEX('Competency&amp;Complexity'!$V:$V,MATCH($B17,CC_CONTRACT_ID,0)+5),"Low")*2+COUNTIF(INDEX('Competency&amp;Complexity'!$R:$R,MATCH($B17,CC_CONTRACT_ID,0)+5):INDEX('Competency&amp;Complexity'!$V:$V,MATCH($B17,CC_CONTRACT_ID,0)+5),"Medium")*1)/10*10,1)),"")</f>
        <v/>
      </c>
      <c r="N17" s="28" t="n"/>
      <c r="O17" s="26" t="n"/>
      <c r="Q17" s="26" t="n"/>
      <c r="R17" s="26" t="n"/>
      <c r="S17" s="26" t="n"/>
      <c r="T17" s="26" t="n"/>
      <c r="U17" s="27">
        <f>IF($B17="","",IF(COUNT(Q17:T17)=0,"",(Q17+R17+S17+T17)/20))</f>
        <v/>
      </c>
      <c r="V17" s="26" t="n"/>
      <c r="X17" s="26" t="n"/>
      <c r="Y17" s="26" t="n"/>
      <c r="Z17" s="26">
        <f t="array" ref="Z17">IFERROR(TEXTJOIN(", ",TRUE,IF(Systems!$B$6:$B$65=$B17,Systems!$C$6:$C$65,"")),"")</f>
        <v/>
      </c>
    </row>
    <row r="18">
      <c r="B18" s="23">
        <f>IF('DMIC List - master'!B18="","",'DMIC List - master'!B18)</f>
        <v/>
      </c>
      <c r="C18" s="23">
        <f>IFERROR(IF(INDEX('DMIC List - master'!$C:$C,MATCH($B18,CONTRACT_ID,0)+5)="","",INDEX('DMIC List - master'!$C:$C,MATCH($B18,CONTRACT_ID,0)+5)),"")</f>
        <v/>
      </c>
      <c r="D18" s="23">
        <f>IFERROR(IF(INDEX('DMIC List - master'!$D:$D,MATCH($B18,CONTRACT_ID,0)+5)="","",INDEX('DMIC List - master'!$D:$D,MATCH($B18,CONTRACT_ID,0)+5)),"")</f>
        <v/>
      </c>
      <c r="E18" s="23">
        <f>IFERROR(IF(INDEX('DMIC List - master'!$E:$E,MATCH($B18,CONTRACT_ID,0)+5)="","",INDEX('DMIC List - master'!$E:$E,MATCH($B18,CONTRACT_ID,0)+5)),"")</f>
        <v/>
      </c>
      <c r="G18" s="23">
        <f>IFERROR(IF(INDEX('DMIC List - master'!$P:$P,MATCH($B18,CONTRACT_ID,0)+5)="","",INDEX('DMIC List - master'!$P:$P,MATCH($B18,CONTRACT_ID,0)+5)),"")</f>
        <v/>
      </c>
      <c r="H18" s="23">
        <f>IFERROR(IF(INDEX('DMIC List - master'!$Q:$Q,MATCH($B18,CONTRACT_ID,0)+5)="","",INDEX('DMIC List - master'!$Q:$Q,MATCH($B18,CONTRACT_ID,0)+5)),"")</f>
        <v/>
      </c>
      <c r="I18" s="23">
        <f>IFERROR(IF(INDEX('DMIC List - master'!$U:$U,MATCH($B18,CONTRACT_ID,0)+5)="","",INDEX('DMIC List - master'!$U:$U,MATCH($B18,CONTRACT_ID,0)+5)),"")</f>
        <v/>
      </c>
      <c r="K18" s="23">
        <f>IFERROR(IF(OR($B18="",COUNTA(INDEX('Competency&amp;Complexity'!$K:$K,MATCH($B18,CC_CONTRACT_ID,0)+5):INDEX('Competency&amp;Complexity'!$P:$P,MATCH($B18,CC_CONTRACT_ID,0)+5))=0),"",ROUND((COUNTIF(INDEX('Competency&amp;Complexity'!$K:$K,MATCH($B18,CC_CONTRACT_ID,0)+5):INDEX('Competency&amp;Complexity'!$P:$P,MATCH($B18,CC_CONTRACT_ID,0)+5),"High")*2+COUNTIF(INDEX('Competency&amp;Complexity'!$K:$K,MATCH($B18,CC_CONTRACT_ID,0)+5):INDEX('Competency&amp;Complexity'!$P:$P,MATCH($B18,CC_CONTRACT_ID,0)+5),"Medium")*1)/12*10,1)),"")</f>
        <v/>
      </c>
      <c r="L18" s="23">
        <f>IFERROR(IF(OR($B18="",COUNTA(INDEX('Competency&amp;Complexity'!$R:$R,MATCH($B18,CC_CONTRACT_ID,0)+5):INDEX('Competency&amp;Complexity'!$V:$V,MATCH($B18,CC_CONTRACT_ID,0)+5))=0),"",ROUND((COUNTIF(INDEX('Competency&amp;Complexity'!$R:$R,MATCH($B18,CC_CONTRACT_ID,0)+5):INDEX('Competency&amp;Complexity'!$V:$V,MATCH($B18,CC_CONTRACT_ID,0)+5),"Low")*2+COUNTIF(INDEX('Competency&amp;Complexity'!$R:$R,MATCH($B18,CC_CONTRACT_ID,0)+5):INDEX('Competency&amp;Complexity'!$V:$V,MATCH($B18,CC_CONTRACT_ID,0)+5),"Medium")*1)/10*10,1)),"")</f>
        <v/>
      </c>
      <c r="N18" s="25" t="n"/>
      <c r="O18" s="23" t="n"/>
      <c r="Q18" s="23" t="n"/>
      <c r="R18" s="23" t="n"/>
      <c r="S18" s="23" t="n"/>
      <c r="T18" s="23" t="n"/>
      <c r="U18" s="24">
        <f>IF($B18="","",IF(COUNT(Q18:T18)=0,"",(Q18+R18+S18+T18)/20))</f>
        <v/>
      </c>
      <c r="V18" s="23" t="n"/>
      <c r="X18" s="23" t="n"/>
      <c r="Y18" s="23" t="n"/>
      <c r="Z18" s="23">
        <f t="array" ref="Z18">IFERROR(TEXTJOIN(", ",TRUE,IF(Systems!$B$6:$B$65=$B18,Systems!$C$6:$C$65,"")),"")</f>
        <v/>
      </c>
    </row>
    <row r="19">
      <c r="B19" s="26">
        <f>IF('DMIC List - master'!B19="","",'DMIC List - master'!B19)</f>
        <v/>
      </c>
      <c r="C19" s="26">
        <f>IFERROR(IF(INDEX('DMIC List - master'!$C:$C,MATCH($B19,CONTRACT_ID,0)+5)="","",INDEX('DMIC List - master'!$C:$C,MATCH($B19,CONTRACT_ID,0)+5)),"")</f>
        <v/>
      </c>
      <c r="D19" s="26">
        <f>IFERROR(IF(INDEX('DMIC List - master'!$D:$D,MATCH($B19,CONTRACT_ID,0)+5)="","",INDEX('DMIC List - master'!$D:$D,MATCH($B19,CONTRACT_ID,0)+5)),"")</f>
        <v/>
      </c>
      <c r="E19" s="26">
        <f>IFERROR(IF(INDEX('DMIC List - master'!$E:$E,MATCH($B19,CONTRACT_ID,0)+5)="","",INDEX('DMIC List - master'!$E:$E,MATCH($B19,CONTRACT_ID,0)+5)),"")</f>
        <v/>
      </c>
      <c r="G19" s="26">
        <f>IFERROR(IF(INDEX('DMIC List - master'!$P:$P,MATCH($B19,CONTRACT_ID,0)+5)="","",INDEX('DMIC List - master'!$P:$P,MATCH($B19,CONTRACT_ID,0)+5)),"")</f>
        <v/>
      </c>
      <c r="H19" s="26">
        <f>IFERROR(IF(INDEX('DMIC List - master'!$Q:$Q,MATCH($B19,CONTRACT_ID,0)+5)="","",INDEX('DMIC List - master'!$Q:$Q,MATCH($B19,CONTRACT_ID,0)+5)),"")</f>
        <v/>
      </c>
      <c r="I19" s="26">
        <f>IFERROR(IF(INDEX('DMIC List - master'!$U:$U,MATCH($B19,CONTRACT_ID,0)+5)="","",INDEX('DMIC List - master'!$U:$U,MATCH($B19,CONTRACT_ID,0)+5)),"")</f>
        <v/>
      </c>
      <c r="K19" s="26">
        <f>IFERROR(IF(OR($B19="",COUNTA(INDEX('Competency&amp;Complexity'!$K:$K,MATCH($B19,CC_CONTRACT_ID,0)+5):INDEX('Competency&amp;Complexity'!$P:$P,MATCH($B19,CC_CONTRACT_ID,0)+5))=0),"",ROUND((COUNTIF(INDEX('Competency&amp;Complexity'!$K:$K,MATCH($B19,CC_CONTRACT_ID,0)+5):INDEX('Competency&amp;Complexity'!$P:$P,MATCH($B19,CC_CONTRACT_ID,0)+5),"High")*2+COUNTIF(INDEX('Competency&amp;Complexity'!$K:$K,MATCH($B19,CC_CONTRACT_ID,0)+5):INDEX('Competency&amp;Complexity'!$P:$P,MATCH($B19,CC_CONTRACT_ID,0)+5),"Medium")*1)/12*10,1)),"")</f>
        <v/>
      </c>
      <c r="L19" s="26">
        <f>IFERROR(IF(OR($B19="",COUNTA(INDEX('Competency&amp;Complexity'!$R:$R,MATCH($B19,CC_CONTRACT_ID,0)+5):INDEX('Competency&amp;Complexity'!$V:$V,MATCH($B19,CC_CONTRACT_ID,0)+5))=0),"",ROUND((COUNTIF(INDEX('Competency&amp;Complexity'!$R:$R,MATCH($B19,CC_CONTRACT_ID,0)+5):INDEX('Competency&amp;Complexity'!$V:$V,MATCH($B19,CC_CONTRACT_ID,0)+5),"Low")*2+COUNTIF(INDEX('Competency&amp;Complexity'!$R:$R,MATCH($B19,CC_CONTRACT_ID,0)+5):INDEX('Competency&amp;Complexity'!$V:$V,MATCH($B19,CC_CONTRACT_ID,0)+5),"Medium")*1)/10*10,1)),"")</f>
        <v/>
      </c>
      <c r="N19" s="28" t="n"/>
      <c r="O19" s="26" t="n"/>
      <c r="Q19" s="26" t="n"/>
      <c r="R19" s="26" t="n"/>
      <c r="S19" s="26" t="n"/>
      <c r="T19" s="26" t="n"/>
      <c r="U19" s="27">
        <f>IF($B19="","",IF(COUNT(Q19:T19)=0,"",(Q19+R19+S19+T19)/20))</f>
        <v/>
      </c>
      <c r="V19" s="26" t="n"/>
      <c r="X19" s="26" t="n"/>
      <c r="Y19" s="26" t="n"/>
      <c r="Z19" s="26">
        <f t="array" ref="Z19">IFERROR(TEXTJOIN(", ",TRUE,IF(Systems!$B$6:$B$65=$B19,Systems!$C$6:$C$65,"")),"")</f>
        <v/>
      </c>
    </row>
    <row r="20">
      <c r="B20" s="23">
        <f>IF('DMIC List - master'!B20="","",'DMIC List - master'!B20)</f>
        <v/>
      </c>
      <c r="C20" s="23">
        <f>IFERROR(IF(INDEX('DMIC List - master'!$C:$C,MATCH($B20,CONTRACT_ID,0)+5)="","",INDEX('DMIC List - master'!$C:$C,MATCH($B20,CONTRACT_ID,0)+5)),"")</f>
        <v/>
      </c>
      <c r="D20" s="23">
        <f>IFERROR(IF(INDEX('DMIC List - master'!$D:$D,MATCH($B20,CONTRACT_ID,0)+5)="","",INDEX('DMIC List - master'!$D:$D,MATCH($B20,CONTRACT_ID,0)+5)),"")</f>
        <v/>
      </c>
      <c r="E20" s="23">
        <f>IFERROR(IF(INDEX('DMIC List - master'!$E:$E,MATCH($B20,CONTRACT_ID,0)+5)="","",INDEX('DMIC List - master'!$E:$E,MATCH($B20,CONTRACT_ID,0)+5)),"")</f>
        <v/>
      </c>
      <c r="G20" s="23">
        <f>IFERROR(IF(INDEX('DMIC List - master'!$P:$P,MATCH($B20,CONTRACT_ID,0)+5)="","",INDEX('DMIC List - master'!$P:$P,MATCH($B20,CONTRACT_ID,0)+5)),"")</f>
        <v/>
      </c>
      <c r="H20" s="23">
        <f>IFERROR(IF(INDEX('DMIC List - master'!$Q:$Q,MATCH($B20,CONTRACT_ID,0)+5)="","",INDEX('DMIC List - master'!$Q:$Q,MATCH($B20,CONTRACT_ID,0)+5)),"")</f>
        <v/>
      </c>
      <c r="I20" s="23">
        <f>IFERROR(IF(INDEX('DMIC List - master'!$U:$U,MATCH($B20,CONTRACT_ID,0)+5)="","",INDEX('DMIC List - master'!$U:$U,MATCH($B20,CONTRACT_ID,0)+5)),"")</f>
        <v/>
      </c>
      <c r="K20" s="23">
        <f>IFERROR(IF(OR($B20="",COUNTA(INDEX('Competency&amp;Complexity'!$K:$K,MATCH($B20,CC_CONTRACT_ID,0)+5):INDEX('Competency&amp;Complexity'!$P:$P,MATCH($B20,CC_CONTRACT_ID,0)+5))=0),"",ROUND((COUNTIF(INDEX('Competency&amp;Complexity'!$K:$K,MATCH($B20,CC_CONTRACT_ID,0)+5):INDEX('Competency&amp;Complexity'!$P:$P,MATCH($B20,CC_CONTRACT_ID,0)+5),"High")*2+COUNTIF(INDEX('Competency&amp;Complexity'!$K:$K,MATCH($B20,CC_CONTRACT_ID,0)+5):INDEX('Competency&amp;Complexity'!$P:$P,MATCH($B20,CC_CONTRACT_ID,0)+5),"Medium")*1)/12*10,1)),"")</f>
        <v/>
      </c>
      <c r="L20" s="23">
        <f>IFERROR(IF(OR($B20="",COUNTA(INDEX('Competency&amp;Complexity'!$R:$R,MATCH($B20,CC_CONTRACT_ID,0)+5):INDEX('Competency&amp;Complexity'!$V:$V,MATCH($B20,CC_CONTRACT_ID,0)+5))=0),"",ROUND((COUNTIF(INDEX('Competency&amp;Complexity'!$R:$R,MATCH($B20,CC_CONTRACT_ID,0)+5):INDEX('Competency&amp;Complexity'!$V:$V,MATCH($B20,CC_CONTRACT_ID,0)+5),"Low")*2+COUNTIF(INDEX('Competency&amp;Complexity'!$R:$R,MATCH($B20,CC_CONTRACT_ID,0)+5):INDEX('Competency&amp;Complexity'!$V:$V,MATCH($B20,CC_CONTRACT_ID,0)+5),"Medium")*1)/10*10,1)),"")</f>
        <v/>
      </c>
      <c r="N20" s="25" t="n"/>
      <c r="O20" s="23" t="n"/>
      <c r="Q20" s="23" t="n"/>
      <c r="R20" s="23" t="n"/>
      <c r="S20" s="23" t="n"/>
      <c r="T20" s="23" t="n"/>
      <c r="U20" s="24">
        <f>IF($B20="","",IF(COUNT(Q20:T20)=0,"",(Q20+R20+S20+T20)/20))</f>
        <v/>
      </c>
      <c r="V20" s="23" t="n"/>
      <c r="X20" s="23" t="n"/>
      <c r="Y20" s="23" t="n"/>
      <c r="Z20" s="23">
        <f t="array" ref="Z20">IFERROR(TEXTJOIN(", ",TRUE,IF(Systems!$B$6:$B$65=$B20,Systems!$C$6:$C$65,"")),"")</f>
        <v/>
      </c>
    </row>
    <row r="21">
      <c r="B21" s="26">
        <f>IF('DMIC List - master'!B21="","",'DMIC List - master'!B21)</f>
        <v/>
      </c>
      <c r="C21" s="26">
        <f>IFERROR(IF(INDEX('DMIC List - master'!$C:$C,MATCH($B21,CONTRACT_ID,0)+5)="","",INDEX('DMIC List - master'!$C:$C,MATCH($B21,CONTRACT_ID,0)+5)),"")</f>
        <v/>
      </c>
      <c r="D21" s="26">
        <f>IFERROR(IF(INDEX('DMIC List - master'!$D:$D,MATCH($B21,CONTRACT_ID,0)+5)="","",INDEX('DMIC List - master'!$D:$D,MATCH($B21,CONTRACT_ID,0)+5)),"")</f>
        <v/>
      </c>
      <c r="E21" s="26">
        <f>IFERROR(IF(INDEX('DMIC List - master'!$E:$E,MATCH($B21,CONTRACT_ID,0)+5)="","",INDEX('DMIC List - master'!$E:$E,MATCH($B21,CONTRACT_ID,0)+5)),"")</f>
        <v/>
      </c>
      <c r="G21" s="26">
        <f>IFERROR(IF(INDEX('DMIC List - master'!$P:$P,MATCH($B21,CONTRACT_ID,0)+5)="","",INDEX('DMIC List - master'!$P:$P,MATCH($B21,CONTRACT_ID,0)+5)),"")</f>
        <v/>
      </c>
      <c r="H21" s="26">
        <f>IFERROR(IF(INDEX('DMIC List - master'!$Q:$Q,MATCH($B21,CONTRACT_ID,0)+5)="","",INDEX('DMIC List - master'!$Q:$Q,MATCH($B21,CONTRACT_ID,0)+5)),"")</f>
        <v/>
      </c>
      <c r="I21" s="26">
        <f>IFERROR(IF(INDEX('DMIC List - master'!$U:$U,MATCH($B21,CONTRACT_ID,0)+5)="","",INDEX('DMIC List - master'!$U:$U,MATCH($B21,CONTRACT_ID,0)+5)),"")</f>
        <v/>
      </c>
      <c r="K21" s="26">
        <f>IFERROR(IF(OR($B21="",COUNTA(INDEX('Competency&amp;Complexity'!$K:$K,MATCH($B21,CC_CONTRACT_ID,0)+5):INDEX('Competency&amp;Complexity'!$P:$P,MATCH($B21,CC_CONTRACT_ID,0)+5))=0),"",ROUND((COUNTIF(INDEX('Competency&amp;Complexity'!$K:$K,MATCH($B21,CC_CONTRACT_ID,0)+5):INDEX('Competency&amp;Complexity'!$P:$P,MATCH($B21,CC_CONTRACT_ID,0)+5),"High")*2+COUNTIF(INDEX('Competency&amp;Complexity'!$K:$K,MATCH($B21,CC_CONTRACT_ID,0)+5):INDEX('Competency&amp;Complexity'!$P:$P,MATCH($B21,CC_CONTRACT_ID,0)+5),"Medium")*1)/12*10,1)),"")</f>
        <v/>
      </c>
      <c r="L21" s="26">
        <f>IFERROR(IF(OR($B21="",COUNTA(INDEX('Competency&amp;Complexity'!$R:$R,MATCH($B21,CC_CONTRACT_ID,0)+5):INDEX('Competency&amp;Complexity'!$V:$V,MATCH($B21,CC_CONTRACT_ID,0)+5))=0),"",ROUND((COUNTIF(INDEX('Competency&amp;Complexity'!$R:$R,MATCH($B21,CC_CONTRACT_ID,0)+5):INDEX('Competency&amp;Complexity'!$V:$V,MATCH($B21,CC_CONTRACT_ID,0)+5),"Low")*2+COUNTIF(INDEX('Competency&amp;Complexity'!$R:$R,MATCH($B21,CC_CONTRACT_ID,0)+5):INDEX('Competency&amp;Complexity'!$V:$V,MATCH($B21,CC_CONTRACT_ID,0)+5),"Medium")*1)/10*10,1)),"")</f>
        <v/>
      </c>
      <c r="N21" s="28" t="n"/>
      <c r="O21" s="26" t="n"/>
      <c r="Q21" s="26" t="n"/>
      <c r="R21" s="26" t="n"/>
      <c r="S21" s="26" t="n"/>
      <c r="T21" s="26" t="n"/>
      <c r="U21" s="27">
        <f>IF($B21="","",IF(COUNT(Q21:T21)=0,"",(Q21+R21+S21+T21)/20))</f>
        <v/>
      </c>
      <c r="V21" s="26" t="n"/>
      <c r="X21" s="26" t="n"/>
      <c r="Y21" s="26" t="n"/>
      <c r="Z21" s="26">
        <f t="array" ref="Z21">IFERROR(TEXTJOIN(", ",TRUE,IF(Systems!$B$6:$B$65=$B21,Systems!$C$6:$C$65,"")),"")</f>
        <v/>
      </c>
    </row>
    <row r="22">
      <c r="B22" s="23">
        <f>IF('DMIC List - master'!B22="","",'DMIC List - master'!B22)</f>
        <v/>
      </c>
      <c r="C22" s="23">
        <f>IFERROR(IF(INDEX('DMIC List - master'!$C:$C,MATCH($B22,CONTRACT_ID,0)+5)="","",INDEX('DMIC List - master'!$C:$C,MATCH($B22,CONTRACT_ID,0)+5)),"")</f>
        <v/>
      </c>
      <c r="D22" s="23">
        <f>IFERROR(IF(INDEX('DMIC List - master'!$D:$D,MATCH($B22,CONTRACT_ID,0)+5)="","",INDEX('DMIC List - master'!$D:$D,MATCH($B22,CONTRACT_ID,0)+5)),"")</f>
        <v/>
      </c>
      <c r="E22" s="23">
        <f>IFERROR(IF(INDEX('DMIC List - master'!$E:$E,MATCH($B22,CONTRACT_ID,0)+5)="","",INDEX('DMIC List - master'!$E:$E,MATCH($B22,CONTRACT_ID,0)+5)),"")</f>
        <v/>
      </c>
      <c r="G22" s="23">
        <f>IFERROR(IF(INDEX('DMIC List - master'!$P:$P,MATCH($B22,CONTRACT_ID,0)+5)="","",INDEX('DMIC List - master'!$P:$P,MATCH($B22,CONTRACT_ID,0)+5)),"")</f>
        <v/>
      </c>
      <c r="H22" s="23">
        <f>IFERROR(IF(INDEX('DMIC List - master'!$Q:$Q,MATCH($B22,CONTRACT_ID,0)+5)="","",INDEX('DMIC List - master'!$Q:$Q,MATCH($B22,CONTRACT_ID,0)+5)),"")</f>
        <v/>
      </c>
      <c r="I22" s="23">
        <f>IFERROR(IF(INDEX('DMIC List - master'!$U:$U,MATCH($B22,CONTRACT_ID,0)+5)="","",INDEX('DMIC List - master'!$U:$U,MATCH($B22,CONTRACT_ID,0)+5)),"")</f>
        <v/>
      </c>
      <c r="K22" s="23">
        <f>IFERROR(IF(OR($B22="",COUNTA(INDEX('Competency&amp;Complexity'!$K:$K,MATCH($B22,CC_CONTRACT_ID,0)+5):INDEX('Competency&amp;Complexity'!$P:$P,MATCH($B22,CC_CONTRACT_ID,0)+5))=0),"",ROUND((COUNTIF(INDEX('Competency&amp;Complexity'!$K:$K,MATCH($B22,CC_CONTRACT_ID,0)+5):INDEX('Competency&amp;Complexity'!$P:$P,MATCH($B22,CC_CONTRACT_ID,0)+5),"High")*2+COUNTIF(INDEX('Competency&amp;Complexity'!$K:$K,MATCH($B22,CC_CONTRACT_ID,0)+5):INDEX('Competency&amp;Complexity'!$P:$P,MATCH($B22,CC_CONTRACT_ID,0)+5),"Medium")*1)/12*10,1)),"")</f>
        <v/>
      </c>
      <c r="L22" s="23">
        <f>IFERROR(IF(OR($B22="",COUNTA(INDEX('Competency&amp;Complexity'!$R:$R,MATCH($B22,CC_CONTRACT_ID,0)+5):INDEX('Competency&amp;Complexity'!$V:$V,MATCH($B22,CC_CONTRACT_ID,0)+5))=0),"",ROUND((COUNTIF(INDEX('Competency&amp;Complexity'!$R:$R,MATCH($B22,CC_CONTRACT_ID,0)+5):INDEX('Competency&amp;Complexity'!$V:$V,MATCH($B22,CC_CONTRACT_ID,0)+5),"Low")*2+COUNTIF(INDEX('Competency&amp;Complexity'!$R:$R,MATCH($B22,CC_CONTRACT_ID,0)+5):INDEX('Competency&amp;Complexity'!$V:$V,MATCH($B22,CC_CONTRACT_ID,0)+5),"Medium")*1)/10*10,1)),"")</f>
        <v/>
      </c>
      <c r="N22" s="25" t="n"/>
      <c r="O22" s="23" t="n"/>
      <c r="Q22" s="23" t="n"/>
      <c r="R22" s="23" t="n"/>
      <c r="S22" s="23" t="n"/>
      <c r="T22" s="23" t="n"/>
      <c r="U22" s="24">
        <f>IF($B22="","",IF(COUNT(Q22:T22)=0,"",(Q22+R22+S22+T22)/20))</f>
        <v/>
      </c>
      <c r="V22" s="23" t="n"/>
      <c r="X22" s="23" t="n"/>
      <c r="Y22" s="23" t="n"/>
      <c r="Z22" s="23">
        <f t="array" ref="Z22">IFERROR(TEXTJOIN(", ",TRUE,IF(Systems!$B$6:$B$65=$B22,Systems!$C$6:$C$65,"")),"")</f>
        <v/>
      </c>
    </row>
    <row r="23">
      <c r="B23" s="26">
        <f>IF('DMIC List - master'!B23="","",'DMIC List - master'!B23)</f>
        <v/>
      </c>
      <c r="C23" s="26">
        <f>IFERROR(IF(INDEX('DMIC List - master'!$C:$C,MATCH($B23,CONTRACT_ID,0)+5)="","",INDEX('DMIC List - master'!$C:$C,MATCH($B23,CONTRACT_ID,0)+5)),"")</f>
        <v/>
      </c>
      <c r="D23" s="26">
        <f>IFERROR(IF(INDEX('DMIC List - master'!$D:$D,MATCH($B23,CONTRACT_ID,0)+5)="","",INDEX('DMIC List - master'!$D:$D,MATCH($B23,CONTRACT_ID,0)+5)),"")</f>
        <v/>
      </c>
      <c r="E23" s="26">
        <f>IFERROR(IF(INDEX('DMIC List - master'!$E:$E,MATCH($B23,CONTRACT_ID,0)+5)="","",INDEX('DMIC List - master'!$E:$E,MATCH($B23,CONTRACT_ID,0)+5)),"")</f>
        <v/>
      </c>
      <c r="G23" s="26">
        <f>IFERROR(IF(INDEX('DMIC List - master'!$P:$P,MATCH($B23,CONTRACT_ID,0)+5)="","",INDEX('DMIC List - master'!$P:$P,MATCH($B23,CONTRACT_ID,0)+5)),"")</f>
        <v/>
      </c>
      <c r="H23" s="26">
        <f>IFERROR(IF(INDEX('DMIC List - master'!$Q:$Q,MATCH($B23,CONTRACT_ID,0)+5)="","",INDEX('DMIC List - master'!$Q:$Q,MATCH($B23,CONTRACT_ID,0)+5)),"")</f>
        <v/>
      </c>
      <c r="I23" s="26">
        <f>IFERROR(IF(INDEX('DMIC List - master'!$U:$U,MATCH($B23,CONTRACT_ID,0)+5)="","",INDEX('DMIC List - master'!$U:$U,MATCH($B23,CONTRACT_ID,0)+5)),"")</f>
        <v/>
      </c>
      <c r="K23" s="26">
        <f>IFERROR(IF(OR($B23="",COUNTA(INDEX('Competency&amp;Complexity'!$K:$K,MATCH($B23,CC_CONTRACT_ID,0)+5):INDEX('Competency&amp;Complexity'!$P:$P,MATCH($B23,CC_CONTRACT_ID,0)+5))=0),"",ROUND((COUNTIF(INDEX('Competency&amp;Complexity'!$K:$K,MATCH($B23,CC_CONTRACT_ID,0)+5):INDEX('Competency&amp;Complexity'!$P:$P,MATCH($B23,CC_CONTRACT_ID,0)+5),"High")*2+COUNTIF(INDEX('Competency&amp;Complexity'!$K:$K,MATCH($B23,CC_CONTRACT_ID,0)+5):INDEX('Competency&amp;Complexity'!$P:$P,MATCH($B23,CC_CONTRACT_ID,0)+5),"Medium")*1)/12*10,1)),"")</f>
        <v/>
      </c>
      <c r="L23" s="26">
        <f>IFERROR(IF(OR($B23="",COUNTA(INDEX('Competency&amp;Complexity'!$R:$R,MATCH($B23,CC_CONTRACT_ID,0)+5):INDEX('Competency&amp;Complexity'!$V:$V,MATCH($B23,CC_CONTRACT_ID,0)+5))=0),"",ROUND((COUNTIF(INDEX('Competency&amp;Complexity'!$R:$R,MATCH($B23,CC_CONTRACT_ID,0)+5):INDEX('Competency&amp;Complexity'!$V:$V,MATCH($B23,CC_CONTRACT_ID,0)+5),"Low")*2+COUNTIF(INDEX('Competency&amp;Complexity'!$R:$R,MATCH($B23,CC_CONTRACT_ID,0)+5):INDEX('Competency&amp;Complexity'!$V:$V,MATCH($B23,CC_CONTRACT_ID,0)+5),"Medium")*1)/10*10,1)),"")</f>
        <v/>
      </c>
      <c r="N23" s="28" t="n"/>
      <c r="O23" s="26" t="n"/>
      <c r="Q23" s="26" t="n"/>
      <c r="R23" s="26" t="n"/>
      <c r="S23" s="26" t="n"/>
      <c r="T23" s="26" t="n"/>
      <c r="U23" s="27">
        <f>IF($B23="","",IF(COUNT(Q23:T23)=0,"",(Q23+R23+S23+T23)/20))</f>
        <v/>
      </c>
      <c r="V23" s="26" t="n"/>
      <c r="X23" s="26" t="n"/>
      <c r="Y23" s="26" t="n"/>
      <c r="Z23" s="26">
        <f t="array" ref="Z23">IFERROR(TEXTJOIN(", ",TRUE,IF(Systems!$B$6:$B$65=$B23,Systems!$C$6:$C$65,"")),"")</f>
        <v/>
      </c>
    </row>
    <row r="24">
      <c r="B24" s="23">
        <f>IF('DMIC List - master'!B24="","",'DMIC List - master'!B24)</f>
        <v/>
      </c>
      <c r="C24" s="23">
        <f>IFERROR(IF(INDEX('DMIC List - master'!$C:$C,MATCH($B24,CONTRACT_ID,0)+5)="","",INDEX('DMIC List - master'!$C:$C,MATCH($B24,CONTRACT_ID,0)+5)),"")</f>
        <v/>
      </c>
      <c r="D24" s="23">
        <f>IFERROR(IF(INDEX('DMIC List - master'!$D:$D,MATCH($B24,CONTRACT_ID,0)+5)="","",INDEX('DMIC List - master'!$D:$D,MATCH($B24,CONTRACT_ID,0)+5)),"")</f>
        <v/>
      </c>
      <c r="E24" s="23">
        <f>IFERROR(IF(INDEX('DMIC List - master'!$E:$E,MATCH($B24,CONTRACT_ID,0)+5)="","",INDEX('DMIC List - master'!$E:$E,MATCH($B24,CONTRACT_ID,0)+5)),"")</f>
        <v/>
      </c>
      <c r="G24" s="23">
        <f>IFERROR(IF(INDEX('DMIC List - master'!$P:$P,MATCH($B24,CONTRACT_ID,0)+5)="","",INDEX('DMIC List - master'!$P:$P,MATCH($B24,CONTRACT_ID,0)+5)),"")</f>
        <v/>
      </c>
      <c r="H24" s="23">
        <f>IFERROR(IF(INDEX('DMIC List - master'!$Q:$Q,MATCH($B24,CONTRACT_ID,0)+5)="","",INDEX('DMIC List - master'!$Q:$Q,MATCH($B24,CONTRACT_ID,0)+5)),"")</f>
        <v/>
      </c>
      <c r="I24" s="23">
        <f>IFERROR(IF(INDEX('DMIC List - master'!$U:$U,MATCH($B24,CONTRACT_ID,0)+5)="","",INDEX('DMIC List - master'!$U:$U,MATCH($B24,CONTRACT_ID,0)+5)),"")</f>
        <v/>
      </c>
      <c r="K24" s="23">
        <f>IFERROR(IF(OR($B24="",COUNTA(INDEX('Competency&amp;Complexity'!$K:$K,MATCH($B24,CC_CONTRACT_ID,0)+5):INDEX('Competency&amp;Complexity'!$P:$P,MATCH($B24,CC_CONTRACT_ID,0)+5))=0),"",ROUND((COUNTIF(INDEX('Competency&amp;Complexity'!$K:$K,MATCH($B24,CC_CONTRACT_ID,0)+5):INDEX('Competency&amp;Complexity'!$P:$P,MATCH($B24,CC_CONTRACT_ID,0)+5),"High")*2+COUNTIF(INDEX('Competency&amp;Complexity'!$K:$K,MATCH($B24,CC_CONTRACT_ID,0)+5):INDEX('Competency&amp;Complexity'!$P:$P,MATCH($B24,CC_CONTRACT_ID,0)+5),"Medium")*1)/12*10,1)),"")</f>
        <v/>
      </c>
      <c r="L24" s="23">
        <f>IFERROR(IF(OR($B24="",COUNTA(INDEX('Competency&amp;Complexity'!$R:$R,MATCH($B24,CC_CONTRACT_ID,0)+5):INDEX('Competency&amp;Complexity'!$V:$V,MATCH($B24,CC_CONTRACT_ID,0)+5))=0),"",ROUND((COUNTIF(INDEX('Competency&amp;Complexity'!$R:$R,MATCH($B24,CC_CONTRACT_ID,0)+5):INDEX('Competency&amp;Complexity'!$V:$V,MATCH($B24,CC_CONTRACT_ID,0)+5),"Low")*2+COUNTIF(INDEX('Competency&amp;Complexity'!$R:$R,MATCH($B24,CC_CONTRACT_ID,0)+5):INDEX('Competency&amp;Complexity'!$V:$V,MATCH($B24,CC_CONTRACT_ID,0)+5),"Medium")*1)/10*10,1)),"")</f>
        <v/>
      </c>
      <c r="N24" s="25" t="n"/>
      <c r="O24" s="23" t="n"/>
      <c r="Q24" s="23" t="n"/>
      <c r="R24" s="23" t="n"/>
      <c r="S24" s="23" t="n"/>
      <c r="T24" s="23" t="n"/>
      <c r="U24" s="24">
        <f>IF($B24="","",IF(COUNT(Q24:T24)=0,"",(Q24+R24+S24+T24)/20))</f>
        <v/>
      </c>
      <c r="V24" s="23" t="n"/>
      <c r="X24" s="23" t="n"/>
      <c r="Y24" s="23" t="n"/>
      <c r="Z24" s="23">
        <f t="array" ref="Z24">IFERROR(TEXTJOIN(", ",TRUE,IF(Systems!$B$6:$B$65=$B24,Systems!$C$6:$C$65,"")),"")</f>
        <v/>
      </c>
    </row>
    <row r="25">
      <c r="B25" s="26">
        <f>IF('DMIC List - master'!B25="","",'DMIC List - master'!B25)</f>
        <v/>
      </c>
      <c r="C25" s="26">
        <f>IFERROR(IF(INDEX('DMIC List - master'!$C:$C,MATCH($B25,CONTRACT_ID,0)+5)="","",INDEX('DMIC List - master'!$C:$C,MATCH($B25,CONTRACT_ID,0)+5)),"")</f>
        <v/>
      </c>
      <c r="D25" s="26">
        <f>IFERROR(IF(INDEX('DMIC List - master'!$D:$D,MATCH($B25,CONTRACT_ID,0)+5)="","",INDEX('DMIC List - master'!$D:$D,MATCH($B25,CONTRACT_ID,0)+5)),"")</f>
        <v/>
      </c>
      <c r="E25" s="26">
        <f>IFERROR(IF(INDEX('DMIC List - master'!$E:$E,MATCH($B25,CONTRACT_ID,0)+5)="","",INDEX('DMIC List - master'!$E:$E,MATCH($B25,CONTRACT_ID,0)+5)),"")</f>
        <v/>
      </c>
      <c r="G25" s="26">
        <f>IFERROR(IF(INDEX('DMIC List - master'!$P:$P,MATCH($B25,CONTRACT_ID,0)+5)="","",INDEX('DMIC List - master'!$P:$P,MATCH($B25,CONTRACT_ID,0)+5)),"")</f>
        <v/>
      </c>
      <c r="H25" s="26">
        <f>IFERROR(IF(INDEX('DMIC List - master'!$Q:$Q,MATCH($B25,CONTRACT_ID,0)+5)="","",INDEX('DMIC List - master'!$Q:$Q,MATCH($B25,CONTRACT_ID,0)+5)),"")</f>
        <v/>
      </c>
      <c r="I25" s="26">
        <f>IFERROR(IF(INDEX('DMIC List - master'!$U:$U,MATCH($B25,CONTRACT_ID,0)+5)="","",INDEX('DMIC List - master'!$U:$U,MATCH($B25,CONTRACT_ID,0)+5)),"")</f>
        <v/>
      </c>
      <c r="K25" s="26">
        <f>IFERROR(IF(OR($B25="",COUNTA(INDEX('Competency&amp;Complexity'!$K:$K,MATCH($B25,CC_CONTRACT_ID,0)+5):INDEX('Competency&amp;Complexity'!$P:$P,MATCH($B25,CC_CONTRACT_ID,0)+5))=0),"",ROUND((COUNTIF(INDEX('Competency&amp;Complexity'!$K:$K,MATCH($B25,CC_CONTRACT_ID,0)+5):INDEX('Competency&amp;Complexity'!$P:$P,MATCH($B25,CC_CONTRACT_ID,0)+5),"High")*2+COUNTIF(INDEX('Competency&amp;Complexity'!$K:$K,MATCH($B25,CC_CONTRACT_ID,0)+5):INDEX('Competency&amp;Complexity'!$P:$P,MATCH($B25,CC_CONTRACT_ID,0)+5),"Medium")*1)/12*10,1)),"")</f>
        <v/>
      </c>
      <c r="L25" s="26">
        <f>IFERROR(IF(OR($B25="",COUNTA(INDEX('Competency&amp;Complexity'!$R:$R,MATCH($B25,CC_CONTRACT_ID,0)+5):INDEX('Competency&amp;Complexity'!$V:$V,MATCH($B25,CC_CONTRACT_ID,0)+5))=0),"",ROUND((COUNTIF(INDEX('Competency&amp;Complexity'!$R:$R,MATCH($B25,CC_CONTRACT_ID,0)+5):INDEX('Competency&amp;Complexity'!$V:$V,MATCH($B25,CC_CONTRACT_ID,0)+5),"Low")*2+COUNTIF(INDEX('Competency&amp;Complexity'!$R:$R,MATCH($B25,CC_CONTRACT_ID,0)+5):INDEX('Competency&amp;Complexity'!$V:$V,MATCH($B25,CC_CONTRACT_ID,0)+5),"Medium")*1)/10*10,1)),"")</f>
        <v/>
      </c>
      <c r="N25" s="28" t="n"/>
      <c r="O25" s="26" t="n"/>
      <c r="Q25" s="26" t="n"/>
      <c r="R25" s="26" t="n"/>
      <c r="S25" s="26" t="n"/>
      <c r="T25" s="26" t="n"/>
      <c r="U25" s="27">
        <f>IF($B25="","",IF(COUNT(Q25:T25)=0,"",(Q25+R25+S25+T25)/20))</f>
        <v/>
      </c>
      <c r="V25" s="26" t="n"/>
      <c r="X25" s="26" t="n"/>
      <c r="Y25" s="26" t="n"/>
      <c r="Z25" s="26">
        <f t="array" ref="Z25">IFERROR(TEXTJOIN(", ",TRUE,IF(Systems!$B$6:$B$65=$B25,Systems!$C$6:$C$65,"")),"")</f>
        <v/>
      </c>
    </row>
    <row r="26">
      <c r="B26" s="23">
        <f>IF('DMIC List - master'!B26="","",'DMIC List - master'!B26)</f>
        <v/>
      </c>
      <c r="C26" s="23">
        <f>IFERROR(IF(INDEX('DMIC List - master'!$C:$C,MATCH($B26,CONTRACT_ID,0)+5)="","",INDEX('DMIC List - master'!$C:$C,MATCH($B26,CONTRACT_ID,0)+5)),"")</f>
        <v/>
      </c>
      <c r="D26" s="23">
        <f>IFERROR(IF(INDEX('DMIC List - master'!$D:$D,MATCH($B26,CONTRACT_ID,0)+5)="","",INDEX('DMIC List - master'!$D:$D,MATCH($B26,CONTRACT_ID,0)+5)),"")</f>
        <v/>
      </c>
      <c r="E26" s="23">
        <f>IFERROR(IF(INDEX('DMIC List - master'!$E:$E,MATCH($B26,CONTRACT_ID,0)+5)="","",INDEX('DMIC List - master'!$E:$E,MATCH($B26,CONTRACT_ID,0)+5)),"")</f>
        <v/>
      </c>
      <c r="G26" s="23">
        <f>IFERROR(IF(INDEX('DMIC List - master'!$P:$P,MATCH($B26,CONTRACT_ID,0)+5)="","",INDEX('DMIC List - master'!$P:$P,MATCH($B26,CONTRACT_ID,0)+5)),"")</f>
        <v/>
      </c>
      <c r="H26" s="23">
        <f>IFERROR(IF(INDEX('DMIC List - master'!$Q:$Q,MATCH($B26,CONTRACT_ID,0)+5)="","",INDEX('DMIC List - master'!$Q:$Q,MATCH($B26,CONTRACT_ID,0)+5)),"")</f>
        <v/>
      </c>
      <c r="I26" s="23">
        <f>IFERROR(IF(INDEX('DMIC List - master'!$U:$U,MATCH($B26,CONTRACT_ID,0)+5)="","",INDEX('DMIC List - master'!$U:$U,MATCH($B26,CONTRACT_ID,0)+5)),"")</f>
        <v/>
      </c>
      <c r="K26" s="23">
        <f>IFERROR(IF(OR($B26="",COUNTA(INDEX('Competency&amp;Complexity'!$K:$K,MATCH($B26,CC_CONTRACT_ID,0)+5):INDEX('Competency&amp;Complexity'!$P:$P,MATCH($B26,CC_CONTRACT_ID,0)+5))=0),"",ROUND((COUNTIF(INDEX('Competency&amp;Complexity'!$K:$K,MATCH($B26,CC_CONTRACT_ID,0)+5):INDEX('Competency&amp;Complexity'!$P:$P,MATCH($B26,CC_CONTRACT_ID,0)+5),"High")*2+COUNTIF(INDEX('Competency&amp;Complexity'!$K:$K,MATCH($B26,CC_CONTRACT_ID,0)+5):INDEX('Competency&amp;Complexity'!$P:$P,MATCH($B26,CC_CONTRACT_ID,0)+5),"Medium")*1)/12*10,1)),"")</f>
        <v/>
      </c>
      <c r="L26" s="23">
        <f>IFERROR(IF(OR($B26="",COUNTA(INDEX('Competency&amp;Complexity'!$R:$R,MATCH($B26,CC_CONTRACT_ID,0)+5):INDEX('Competency&amp;Complexity'!$V:$V,MATCH($B26,CC_CONTRACT_ID,0)+5))=0),"",ROUND((COUNTIF(INDEX('Competency&amp;Complexity'!$R:$R,MATCH($B26,CC_CONTRACT_ID,0)+5):INDEX('Competency&amp;Complexity'!$V:$V,MATCH($B26,CC_CONTRACT_ID,0)+5),"Low")*2+COUNTIF(INDEX('Competency&amp;Complexity'!$R:$R,MATCH($B26,CC_CONTRACT_ID,0)+5):INDEX('Competency&amp;Complexity'!$V:$V,MATCH($B26,CC_CONTRACT_ID,0)+5),"Medium")*1)/10*10,1)),"")</f>
        <v/>
      </c>
      <c r="N26" s="25" t="n"/>
      <c r="O26" s="23" t="n"/>
      <c r="Q26" s="23" t="n"/>
      <c r="R26" s="23" t="n"/>
      <c r="S26" s="23" t="n"/>
      <c r="T26" s="23" t="n"/>
      <c r="U26" s="24">
        <f>IF($B26="","",IF(COUNT(Q26:T26)=0,"",(Q26+R26+S26+T26)/20))</f>
        <v/>
      </c>
      <c r="V26" s="23" t="n"/>
      <c r="X26" s="23" t="n"/>
      <c r="Y26" s="23" t="n"/>
      <c r="Z26" s="23">
        <f t="array" ref="Z26">IFERROR(TEXTJOIN(", ",TRUE,IF(Systems!$B$6:$B$65=$B26,Systems!$C$6:$C$65,"")),"")</f>
        <v/>
      </c>
    </row>
    <row r="27">
      <c r="B27" s="26">
        <f>IF('DMIC List - master'!B27="","",'DMIC List - master'!B27)</f>
        <v/>
      </c>
      <c r="C27" s="26">
        <f>IFERROR(IF(INDEX('DMIC List - master'!$C:$C,MATCH($B27,CONTRACT_ID,0)+5)="","",INDEX('DMIC List - master'!$C:$C,MATCH($B27,CONTRACT_ID,0)+5)),"")</f>
        <v/>
      </c>
      <c r="D27" s="26">
        <f>IFERROR(IF(INDEX('DMIC List - master'!$D:$D,MATCH($B27,CONTRACT_ID,0)+5)="","",INDEX('DMIC List - master'!$D:$D,MATCH($B27,CONTRACT_ID,0)+5)),"")</f>
        <v/>
      </c>
      <c r="E27" s="26">
        <f>IFERROR(IF(INDEX('DMIC List - master'!$E:$E,MATCH($B27,CONTRACT_ID,0)+5)="","",INDEX('DMIC List - master'!$E:$E,MATCH($B27,CONTRACT_ID,0)+5)),"")</f>
        <v/>
      </c>
      <c r="G27" s="26">
        <f>IFERROR(IF(INDEX('DMIC List - master'!$P:$P,MATCH($B27,CONTRACT_ID,0)+5)="","",INDEX('DMIC List - master'!$P:$P,MATCH($B27,CONTRACT_ID,0)+5)),"")</f>
        <v/>
      </c>
      <c r="H27" s="26">
        <f>IFERROR(IF(INDEX('DMIC List - master'!$Q:$Q,MATCH($B27,CONTRACT_ID,0)+5)="","",INDEX('DMIC List - master'!$Q:$Q,MATCH($B27,CONTRACT_ID,0)+5)),"")</f>
        <v/>
      </c>
      <c r="I27" s="26">
        <f>IFERROR(IF(INDEX('DMIC List - master'!$U:$U,MATCH($B27,CONTRACT_ID,0)+5)="","",INDEX('DMIC List - master'!$U:$U,MATCH($B27,CONTRACT_ID,0)+5)),"")</f>
        <v/>
      </c>
      <c r="K27" s="26">
        <f>IFERROR(IF(OR($B27="",COUNTA(INDEX('Competency&amp;Complexity'!$K:$K,MATCH($B27,CC_CONTRACT_ID,0)+5):INDEX('Competency&amp;Complexity'!$P:$P,MATCH($B27,CC_CONTRACT_ID,0)+5))=0),"",ROUND((COUNTIF(INDEX('Competency&amp;Complexity'!$K:$K,MATCH($B27,CC_CONTRACT_ID,0)+5):INDEX('Competency&amp;Complexity'!$P:$P,MATCH($B27,CC_CONTRACT_ID,0)+5),"High")*2+COUNTIF(INDEX('Competency&amp;Complexity'!$K:$K,MATCH($B27,CC_CONTRACT_ID,0)+5):INDEX('Competency&amp;Complexity'!$P:$P,MATCH($B27,CC_CONTRACT_ID,0)+5),"Medium")*1)/12*10,1)),"")</f>
        <v/>
      </c>
      <c r="L27" s="26">
        <f>IFERROR(IF(OR($B27="",COUNTA(INDEX('Competency&amp;Complexity'!$R:$R,MATCH($B27,CC_CONTRACT_ID,0)+5):INDEX('Competency&amp;Complexity'!$V:$V,MATCH($B27,CC_CONTRACT_ID,0)+5))=0),"",ROUND((COUNTIF(INDEX('Competency&amp;Complexity'!$R:$R,MATCH($B27,CC_CONTRACT_ID,0)+5):INDEX('Competency&amp;Complexity'!$V:$V,MATCH($B27,CC_CONTRACT_ID,0)+5),"Low")*2+COUNTIF(INDEX('Competency&amp;Complexity'!$R:$R,MATCH($B27,CC_CONTRACT_ID,0)+5):INDEX('Competency&amp;Complexity'!$V:$V,MATCH($B27,CC_CONTRACT_ID,0)+5),"Medium")*1)/10*10,1)),"")</f>
        <v/>
      </c>
      <c r="N27" s="28" t="n"/>
      <c r="O27" s="26" t="n"/>
      <c r="Q27" s="26" t="n"/>
      <c r="R27" s="26" t="n"/>
      <c r="S27" s="26" t="n"/>
      <c r="T27" s="26" t="n"/>
      <c r="U27" s="27">
        <f>IF($B27="","",IF(COUNT(Q27:T27)=0,"",(Q27+R27+S27+T27)/20))</f>
        <v/>
      </c>
      <c r="V27" s="26" t="n"/>
      <c r="X27" s="26" t="n"/>
      <c r="Y27" s="26" t="n"/>
      <c r="Z27" s="26">
        <f t="array" ref="Z27">IFERROR(TEXTJOIN(", ",TRUE,IF(Systems!$B$6:$B$65=$B27,Systems!$C$6:$C$65,"")),"")</f>
        <v/>
      </c>
    </row>
    <row r="28">
      <c r="B28" s="23">
        <f>IF('DMIC List - master'!B28="","",'DMIC List - master'!B28)</f>
        <v/>
      </c>
      <c r="C28" s="23">
        <f>IFERROR(IF(INDEX('DMIC List - master'!$C:$C,MATCH($B28,CONTRACT_ID,0)+5)="","",INDEX('DMIC List - master'!$C:$C,MATCH($B28,CONTRACT_ID,0)+5)),"")</f>
        <v/>
      </c>
      <c r="D28" s="23">
        <f>IFERROR(IF(INDEX('DMIC List - master'!$D:$D,MATCH($B28,CONTRACT_ID,0)+5)="","",INDEX('DMIC List - master'!$D:$D,MATCH($B28,CONTRACT_ID,0)+5)),"")</f>
        <v/>
      </c>
      <c r="E28" s="23">
        <f>IFERROR(IF(INDEX('DMIC List - master'!$E:$E,MATCH($B28,CONTRACT_ID,0)+5)="","",INDEX('DMIC List - master'!$E:$E,MATCH($B28,CONTRACT_ID,0)+5)),"")</f>
        <v/>
      </c>
      <c r="G28" s="23">
        <f>IFERROR(IF(INDEX('DMIC List - master'!$P:$P,MATCH($B28,CONTRACT_ID,0)+5)="","",INDEX('DMIC List - master'!$P:$P,MATCH($B28,CONTRACT_ID,0)+5)),"")</f>
        <v/>
      </c>
      <c r="H28" s="23">
        <f>IFERROR(IF(INDEX('DMIC List - master'!$Q:$Q,MATCH($B28,CONTRACT_ID,0)+5)="","",INDEX('DMIC List - master'!$Q:$Q,MATCH($B28,CONTRACT_ID,0)+5)),"")</f>
        <v/>
      </c>
      <c r="I28" s="23">
        <f>IFERROR(IF(INDEX('DMIC List - master'!$U:$U,MATCH($B28,CONTRACT_ID,0)+5)="","",INDEX('DMIC List - master'!$U:$U,MATCH($B28,CONTRACT_ID,0)+5)),"")</f>
        <v/>
      </c>
      <c r="K28" s="23">
        <f>IFERROR(IF(OR($B28="",COUNTA(INDEX('Competency&amp;Complexity'!$K:$K,MATCH($B28,CC_CONTRACT_ID,0)+5):INDEX('Competency&amp;Complexity'!$P:$P,MATCH($B28,CC_CONTRACT_ID,0)+5))=0),"",ROUND((COUNTIF(INDEX('Competency&amp;Complexity'!$K:$K,MATCH($B28,CC_CONTRACT_ID,0)+5):INDEX('Competency&amp;Complexity'!$P:$P,MATCH($B28,CC_CONTRACT_ID,0)+5),"High")*2+COUNTIF(INDEX('Competency&amp;Complexity'!$K:$K,MATCH($B28,CC_CONTRACT_ID,0)+5):INDEX('Competency&amp;Complexity'!$P:$P,MATCH($B28,CC_CONTRACT_ID,0)+5),"Medium")*1)/12*10,1)),"")</f>
        <v/>
      </c>
      <c r="L28" s="23">
        <f>IFERROR(IF(OR($B28="",COUNTA(INDEX('Competency&amp;Complexity'!$R:$R,MATCH($B28,CC_CONTRACT_ID,0)+5):INDEX('Competency&amp;Complexity'!$V:$V,MATCH($B28,CC_CONTRACT_ID,0)+5))=0),"",ROUND((COUNTIF(INDEX('Competency&amp;Complexity'!$R:$R,MATCH($B28,CC_CONTRACT_ID,0)+5):INDEX('Competency&amp;Complexity'!$V:$V,MATCH($B28,CC_CONTRACT_ID,0)+5),"Low")*2+COUNTIF(INDEX('Competency&amp;Complexity'!$R:$R,MATCH($B28,CC_CONTRACT_ID,0)+5):INDEX('Competency&amp;Complexity'!$V:$V,MATCH($B28,CC_CONTRACT_ID,0)+5),"Medium")*1)/10*10,1)),"")</f>
        <v/>
      </c>
      <c r="N28" s="25" t="n"/>
      <c r="O28" s="23" t="n"/>
      <c r="Q28" s="23" t="n"/>
      <c r="R28" s="23" t="n"/>
      <c r="S28" s="23" t="n"/>
      <c r="T28" s="23" t="n"/>
      <c r="U28" s="24">
        <f>IF($B28="","",IF(COUNT(Q28:T28)=0,"",(Q28+R28+S28+T28)/20))</f>
        <v/>
      </c>
      <c r="V28" s="23" t="n"/>
      <c r="X28" s="23" t="n"/>
      <c r="Y28" s="23" t="n"/>
      <c r="Z28" s="23">
        <f t="array" ref="Z28">IFERROR(TEXTJOIN(", ",TRUE,IF(Systems!$B$6:$B$65=$B28,Systems!$C$6:$C$65,"")),"")</f>
        <v/>
      </c>
    </row>
    <row r="29">
      <c r="B29" s="26">
        <f>IF('DMIC List - master'!B29="","",'DMIC List - master'!B29)</f>
        <v/>
      </c>
      <c r="C29" s="26">
        <f>IFERROR(IF(INDEX('DMIC List - master'!$C:$C,MATCH($B29,CONTRACT_ID,0)+5)="","",INDEX('DMIC List - master'!$C:$C,MATCH($B29,CONTRACT_ID,0)+5)),"")</f>
        <v/>
      </c>
      <c r="D29" s="26">
        <f>IFERROR(IF(INDEX('DMIC List - master'!$D:$D,MATCH($B29,CONTRACT_ID,0)+5)="","",INDEX('DMIC List - master'!$D:$D,MATCH($B29,CONTRACT_ID,0)+5)),"")</f>
        <v/>
      </c>
      <c r="E29" s="26">
        <f>IFERROR(IF(INDEX('DMIC List - master'!$E:$E,MATCH($B29,CONTRACT_ID,0)+5)="","",INDEX('DMIC List - master'!$E:$E,MATCH($B29,CONTRACT_ID,0)+5)),"")</f>
        <v/>
      </c>
      <c r="G29" s="26">
        <f>IFERROR(IF(INDEX('DMIC List - master'!$P:$P,MATCH($B29,CONTRACT_ID,0)+5)="","",INDEX('DMIC List - master'!$P:$P,MATCH($B29,CONTRACT_ID,0)+5)),"")</f>
        <v/>
      </c>
      <c r="H29" s="26">
        <f>IFERROR(IF(INDEX('DMIC List - master'!$Q:$Q,MATCH($B29,CONTRACT_ID,0)+5)="","",INDEX('DMIC List - master'!$Q:$Q,MATCH($B29,CONTRACT_ID,0)+5)),"")</f>
        <v/>
      </c>
      <c r="I29" s="26">
        <f>IFERROR(IF(INDEX('DMIC List - master'!$U:$U,MATCH($B29,CONTRACT_ID,0)+5)="","",INDEX('DMIC List - master'!$U:$U,MATCH($B29,CONTRACT_ID,0)+5)),"")</f>
        <v/>
      </c>
      <c r="K29" s="26">
        <f>IFERROR(IF(OR($B29="",COUNTA(INDEX('Competency&amp;Complexity'!$K:$K,MATCH($B29,CC_CONTRACT_ID,0)+5):INDEX('Competency&amp;Complexity'!$P:$P,MATCH($B29,CC_CONTRACT_ID,0)+5))=0),"",ROUND((COUNTIF(INDEX('Competency&amp;Complexity'!$K:$K,MATCH($B29,CC_CONTRACT_ID,0)+5):INDEX('Competency&amp;Complexity'!$P:$P,MATCH($B29,CC_CONTRACT_ID,0)+5),"High")*2+COUNTIF(INDEX('Competency&amp;Complexity'!$K:$K,MATCH($B29,CC_CONTRACT_ID,0)+5):INDEX('Competency&amp;Complexity'!$P:$P,MATCH($B29,CC_CONTRACT_ID,0)+5),"Medium")*1)/12*10,1)),"")</f>
        <v/>
      </c>
      <c r="L29" s="26">
        <f>IFERROR(IF(OR($B29="",COUNTA(INDEX('Competency&amp;Complexity'!$R:$R,MATCH($B29,CC_CONTRACT_ID,0)+5):INDEX('Competency&amp;Complexity'!$V:$V,MATCH($B29,CC_CONTRACT_ID,0)+5))=0),"",ROUND((COUNTIF(INDEX('Competency&amp;Complexity'!$R:$R,MATCH($B29,CC_CONTRACT_ID,0)+5):INDEX('Competency&amp;Complexity'!$V:$V,MATCH($B29,CC_CONTRACT_ID,0)+5),"Low")*2+COUNTIF(INDEX('Competency&amp;Complexity'!$R:$R,MATCH($B29,CC_CONTRACT_ID,0)+5):INDEX('Competency&amp;Complexity'!$V:$V,MATCH($B29,CC_CONTRACT_ID,0)+5),"Medium")*1)/10*10,1)),"")</f>
        <v/>
      </c>
      <c r="N29" s="28" t="n"/>
      <c r="O29" s="26" t="n"/>
      <c r="Q29" s="26" t="n"/>
      <c r="R29" s="26" t="n"/>
      <c r="S29" s="26" t="n"/>
      <c r="T29" s="26" t="n"/>
      <c r="U29" s="27">
        <f>IF($B29="","",IF(COUNT(Q29:T29)=0,"",(Q29+R29+S29+T29)/20))</f>
        <v/>
      </c>
      <c r="V29" s="26" t="n"/>
      <c r="X29" s="26" t="n"/>
      <c r="Y29" s="26" t="n"/>
      <c r="Z29" s="26">
        <f t="array" ref="Z29">IFERROR(TEXTJOIN(", ",TRUE,IF(Systems!$B$6:$B$65=$B29,Systems!$C$6:$C$65,"")),"")</f>
        <v/>
      </c>
    </row>
    <row r="30">
      <c r="B30" s="23">
        <f>IF('DMIC List - master'!B30="","",'DMIC List - master'!B30)</f>
        <v/>
      </c>
      <c r="C30" s="23">
        <f>IFERROR(IF(INDEX('DMIC List - master'!$C:$C,MATCH($B30,CONTRACT_ID,0)+5)="","",INDEX('DMIC List - master'!$C:$C,MATCH($B30,CONTRACT_ID,0)+5)),"")</f>
        <v/>
      </c>
      <c r="D30" s="23">
        <f>IFERROR(IF(INDEX('DMIC List - master'!$D:$D,MATCH($B30,CONTRACT_ID,0)+5)="","",INDEX('DMIC List - master'!$D:$D,MATCH($B30,CONTRACT_ID,0)+5)),"")</f>
        <v/>
      </c>
      <c r="E30" s="23">
        <f>IFERROR(IF(INDEX('DMIC List - master'!$E:$E,MATCH($B30,CONTRACT_ID,0)+5)="","",INDEX('DMIC List - master'!$E:$E,MATCH($B30,CONTRACT_ID,0)+5)),"")</f>
        <v/>
      </c>
      <c r="G30" s="23">
        <f>IFERROR(IF(INDEX('DMIC List - master'!$P:$P,MATCH($B30,CONTRACT_ID,0)+5)="","",INDEX('DMIC List - master'!$P:$P,MATCH($B30,CONTRACT_ID,0)+5)),"")</f>
        <v/>
      </c>
      <c r="H30" s="23">
        <f>IFERROR(IF(INDEX('DMIC List - master'!$Q:$Q,MATCH($B30,CONTRACT_ID,0)+5)="","",INDEX('DMIC List - master'!$Q:$Q,MATCH($B30,CONTRACT_ID,0)+5)),"")</f>
        <v/>
      </c>
      <c r="I30" s="23">
        <f>IFERROR(IF(INDEX('DMIC List - master'!$U:$U,MATCH($B30,CONTRACT_ID,0)+5)="","",INDEX('DMIC List - master'!$U:$U,MATCH($B30,CONTRACT_ID,0)+5)),"")</f>
        <v/>
      </c>
      <c r="K30" s="23">
        <f>IFERROR(IF(OR($B30="",COUNTA(INDEX('Competency&amp;Complexity'!$K:$K,MATCH($B30,CC_CONTRACT_ID,0)+5):INDEX('Competency&amp;Complexity'!$P:$P,MATCH($B30,CC_CONTRACT_ID,0)+5))=0),"",ROUND((COUNTIF(INDEX('Competency&amp;Complexity'!$K:$K,MATCH($B30,CC_CONTRACT_ID,0)+5):INDEX('Competency&amp;Complexity'!$P:$P,MATCH($B30,CC_CONTRACT_ID,0)+5),"High")*2+COUNTIF(INDEX('Competency&amp;Complexity'!$K:$K,MATCH($B30,CC_CONTRACT_ID,0)+5):INDEX('Competency&amp;Complexity'!$P:$P,MATCH($B30,CC_CONTRACT_ID,0)+5),"Medium")*1)/12*10,1)),"")</f>
        <v/>
      </c>
      <c r="L30" s="23">
        <f>IFERROR(IF(OR($B30="",COUNTA(INDEX('Competency&amp;Complexity'!$R:$R,MATCH($B30,CC_CONTRACT_ID,0)+5):INDEX('Competency&amp;Complexity'!$V:$V,MATCH($B30,CC_CONTRACT_ID,0)+5))=0),"",ROUND((COUNTIF(INDEX('Competency&amp;Complexity'!$R:$R,MATCH($B30,CC_CONTRACT_ID,0)+5):INDEX('Competency&amp;Complexity'!$V:$V,MATCH($B30,CC_CONTRACT_ID,0)+5),"Low")*2+COUNTIF(INDEX('Competency&amp;Complexity'!$R:$R,MATCH($B30,CC_CONTRACT_ID,0)+5):INDEX('Competency&amp;Complexity'!$V:$V,MATCH($B30,CC_CONTRACT_ID,0)+5),"Medium")*1)/10*10,1)),"")</f>
        <v/>
      </c>
      <c r="N30" s="25" t="n"/>
      <c r="O30" s="23" t="n"/>
      <c r="Q30" s="23" t="n"/>
      <c r="R30" s="23" t="n"/>
      <c r="S30" s="23" t="n"/>
      <c r="T30" s="23" t="n"/>
      <c r="U30" s="24">
        <f>IF($B30="","",IF(COUNT(Q30:T30)=0,"",(Q30+R30+S30+T30)/20))</f>
        <v/>
      </c>
      <c r="V30" s="23" t="n"/>
      <c r="X30" s="23" t="n"/>
      <c r="Y30" s="23" t="n"/>
      <c r="Z30" s="23">
        <f t="array" ref="Z30">IFERROR(TEXTJOIN(", ",TRUE,IF(Systems!$B$6:$B$65=$B30,Systems!$C$6:$C$65,"")),"")</f>
        <v/>
      </c>
    </row>
    <row r="31">
      <c r="B31" s="26">
        <f>IF('DMIC List - master'!B31="","",'DMIC List - master'!B31)</f>
        <v/>
      </c>
      <c r="C31" s="26">
        <f>IFERROR(IF(INDEX('DMIC List - master'!$C:$C,MATCH($B31,CONTRACT_ID,0)+5)="","",INDEX('DMIC List - master'!$C:$C,MATCH($B31,CONTRACT_ID,0)+5)),"")</f>
        <v/>
      </c>
      <c r="D31" s="26">
        <f>IFERROR(IF(INDEX('DMIC List - master'!$D:$D,MATCH($B31,CONTRACT_ID,0)+5)="","",INDEX('DMIC List - master'!$D:$D,MATCH($B31,CONTRACT_ID,0)+5)),"")</f>
        <v/>
      </c>
      <c r="E31" s="26">
        <f>IFERROR(IF(INDEX('DMIC List - master'!$E:$E,MATCH($B31,CONTRACT_ID,0)+5)="","",INDEX('DMIC List - master'!$E:$E,MATCH($B31,CONTRACT_ID,0)+5)),"")</f>
        <v/>
      </c>
      <c r="G31" s="26">
        <f>IFERROR(IF(INDEX('DMIC List - master'!$P:$P,MATCH($B31,CONTRACT_ID,0)+5)="","",INDEX('DMIC List - master'!$P:$P,MATCH($B31,CONTRACT_ID,0)+5)),"")</f>
        <v/>
      </c>
      <c r="H31" s="26">
        <f>IFERROR(IF(INDEX('DMIC List - master'!$Q:$Q,MATCH($B31,CONTRACT_ID,0)+5)="","",INDEX('DMIC List - master'!$Q:$Q,MATCH($B31,CONTRACT_ID,0)+5)),"")</f>
        <v/>
      </c>
      <c r="I31" s="26">
        <f>IFERROR(IF(INDEX('DMIC List - master'!$U:$U,MATCH($B31,CONTRACT_ID,0)+5)="","",INDEX('DMIC List - master'!$U:$U,MATCH($B31,CONTRACT_ID,0)+5)),"")</f>
        <v/>
      </c>
      <c r="K31" s="26">
        <f>IFERROR(IF(OR($B31="",COUNTA(INDEX('Competency&amp;Complexity'!$K:$K,MATCH($B31,CC_CONTRACT_ID,0)+5):INDEX('Competency&amp;Complexity'!$P:$P,MATCH($B31,CC_CONTRACT_ID,0)+5))=0),"",ROUND((COUNTIF(INDEX('Competency&amp;Complexity'!$K:$K,MATCH($B31,CC_CONTRACT_ID,0)+5):INDEX('Competency&amp;Complexity'!$P:$P,MATCH($B31,CC_CONTRACT_ID,0)+5),"High")*2+COUNTIF(INDEX('Competency&amp;Complexity'!$K:$K,MATCH($B31,CC_CONTRACT_ID,0)+5):INDEX('Competency&amp;Complexity'!$P:$P,MATCH($B31,CC_CONTRACT_ID,0)+5),"Medium")*1)/12*10,1)),"")</f>
        <v/>
      </c>
      <c r="L31" s="26">
        <f>IFERROR(IF(OR($B31="",COUNTA(INDEX('Competency&amp;Complexity'!$R:$R,MATCH($B31,CC_CONTRACT_ID,0)+5):INDEX('Competency&amp;Complexity'!$V:$V,MATCH($B31,CC_CONTRACT_ID,0)+5))=0),"",ROUND((COUNTIF(INDEX('Competency&amp;Complexity'!$R:$R,MATCH($B31,CC_CONTRACT_ID,0)+5):INDEX('Competency&amp;Complexity'!$V:$V,MATCH($B31,CC_CONTRACT_ID,0)+5),"Low")*2+COUNTIF(INDEX('Competency&amp;Complexity'!$R:$R,MATCH($B31,CC_CONTRACT_ID,0)+5):INDEX('Competency&amp;Complexity'!$V:$V,MATCH($B31,CC_CONTRACT_ID,0)+5),"Medium")*1)/10*10,1)),"")</f>
        <v/>
      </c>
      <c r="N31" s="28" t="n"/>
      <c r="O31" s="26" t="n"/>
      <c r="Q31" s="26" t="n"/>
      <c r="R31" s="26" t="n"/>
      <c r="S31" s="26" t="n"/>
      <c r="T31" s="26" t="n"/>
      <c r="U31" s="27">
        <f>IF($B31="","",IF(COUNT(Q31:T31)=0,"",(Q31+R31+S31+T31)/20))</f>
        <v/>
      </c>
      <c r="V31" s="26" t="n"/>
      <c r="X31" s="26" t="n"/>
      <c r="Y31" s="26" t="n"/>
      <c r="Z31" s="26">
        <f t="array" ref="Z31">IFERROR(TEXTJOIN(", ",TRUE,IF(Systems!$B$6:$B$65=$B31,Systems!$C$6:$C$65,"")),"")</f>
        <v/>
      </c>
    </row>
    <row r="32">
      <c r="B32" s="23">
        <f>IF('DMIC List - master'!B32="","",'DMIC List - master'!B32)</f>
        <v/>
      </c>
      <c r="C32" s="23">
        <f>IFERROR(IF(INDEX('DMIC List - master'!$C:$C,MATCH($B32,CONTRACT_ID,0)+5)="","",INDEX('DMIC List - master'!$C:$C,MATCH($B32,CONTRACT_ID,0)+5)),"")</f>
        <v/>
      </c>
      <c r="D32" s="23">
        <f>IFERROR(IF(INDEX('DMIC List - master'!$D:$D,MATCH($B32,CONTRACT_ID,0)+5)="","",INDEX('DMIC List - master'!$D:$D,MATCH($B32,CONTRACT_ID,0)+5)),"")</f>
        <v/>
      </c>
      <c r="E32" s="23">
        <f>IFERROR(IF(INDEX('DMIC List - master'!$E:$E,MATCH($B32,CONTRACT_ID,0)+5)="","",INDEX('DMIC List - master'!$E:$E,MATCH($B32,CONTRACT_ID,0)+5)),"")</f>
        <v/>
      </c>
      <c r="G32" s="23">
        <f>IFERROR(IF(INDEX('DMIC List - master'!$P:$P,MATCH($B32,CONTRACT_ID,0)+5)="","",INDEX('DMIC List - master'!$P:$P,MATCH($B32,CONTRACT_ID,0)+5)),"")</f>
        <v/>
      </c>
      <c r="H32" s="23">
        <f>IFERROR(IF(INDEX('DMIC List - master'!$Q:$Q,MATCH($B32,CONTRACT_ID,0)+5)="","",INDEX('DMIC List - master'!$Q:$Q,MATCH($B32,CONTRACT_ID,0)+5)),"")</f>
        <v/>
      </c>
      <c r="I32" s="23">
        <f>IFERROR(IF(INDEX('DMIC List - master'!$U:$U,MATCH($B32,CONTRACT_ID,0)+5)="","",INDEX('DMIC List - master'!$U:$U,MATCH($B32,CONTRACT_ID,0)+5)),"")</f>
        <v/>
      </c>
      <c r="K32" s="23">
        <f>IFERROR(IF(OR($B32="",COUNTA(INDEX('Competency&amp;Complexity'!$K:$K,MATCH($B32,CC_CONTRACT_ID,0)+5):INDEX('Competency&amp;Complexity'!$P:$P,MATCH($B32,CC_CONTRACT_ID,0)+5))=0),"",ROUND((COUNTIF(INDEX('Competency&amp;Complexity'!$K:$K,MATCH($B32,CC_CONTRACT_ID,0)+5):INDEX('Competency&amp;Complexity'!$P:$P,MATCH($B32,CC_CONTRACT_ID,0)+5),"High")*2+COUNTIF(INDEX('Competency&amp;Complexity'!$K:$K,MATCH($B32,CC_CONTRACT_ID,0)+5):INDEX('Competency&amp;Complexity'!$P:$P,MATCH($B32,CC_CONTRACT_ID,0)+5),"Medium")*1)/12*10,1)),"")</f>
        <v/>
      </c>
      <c r="L32" s="23">
        <f>IFERROR(IF(OR($B32="",COUNTA(INDEX('Competency&amp;Complexity'!$R:$R,MATCH($B32,CC_CONTRACT_ID,0)+5):INDEX('Competency&amp;Complexity'!$V:$V,MATCH($B32,CC_CONTRACT_ID,0)+5))=0),"",ROUND((COUNTIF(INDEX('Competency&amp;Complexity'!$R:$R,MATCH($B32,CC_CONTRACT_ID,0)+5):INDEX('Competency&amp;Complexity'!$V:$V,MATCH($B32,CC_CONTRACT_ID,0)+5),"Low")*2+COUNTIF(INDEX('Competency&amp;Complexity'!$R:$R,MATCH($B32,CC_CONTRACT_ID,0)+5):INDEX('Competency&amp;Complexity'!$V:$V,MATCH($B32,CC_CONTRACT_ID,0)+5),"Medium")*1)/10*10,1)),"")</f>
        <v/>
      </c>
      <c r="N32" s="25" t="n"/>
      <c r="O32" s="23" t="n"/>
      <c r="Q32" s="23" t="n"/>
      <c r="R32" s="23" t="n"/>
      <c r="S32" s="23" t="n"/>
      <c r="T32" s="23" t="n"/>
      <c r="U32" s="24">
        <f>IF($B32="","",IF(COUNT(Q32:T32)=0,"",(Q32+R32+S32+T32)/20))</f>
        <v/>
      </c>
      <c r="V32" s="23" t="n"/>
      <c r="X32" s="23" t="n"/>
      <c r="Y32" s="23" t="n"/>
      <c r="Z32" s="23">
        <f t="array" ref="Z32">IFERROR(TEXTJOIN(", ",TRUE,IF(Systems!$B$6:$B$65=$B32,Systems!$C$6:$C$65,"")),"")</f>
        <v/>
      </c>
    </row>
    <row r="33">
      <c r="B33" s="26">
        <f>IF('DMIC List - master'!B33="","",'DMIC List - master'!B33)</f>
        <v/>
      </c>
      <c r="C33" s="26">
        <f>IFERROR(IF(INDEX('DMIC List - master'!$C:$C,MATCH($B33,CONTRACT_ID,0)+5)="","",INDEX('DMIC List - master'!$C:$C,MATCH($B33,CONTRACT_ID,0)+5)),"")</f>
        <v/>
      </c>
      <c r="D33" s="26">
        <f>IFERROR(IF(INDEX('DMIC List - master'!$D:$D,MATCH($B33,CONTRACT_ID,0)+5)="","",INDEX('DMIC List - master'!$D:$D,MATCH($B33,CONTRACT_ID,0)+5)),"")</f>
        <v/>
      </c>
      <c r="E33" s="26">
        <f>IFERROR(IF(INDEX('DMIC List - master'!$E:$E,MATCH($B33,CONTRACT_ID,0)+5)="","",INDEX('DMIC List - master'!$E:$E,MATCH($B33,CONTRACT_ID,0)+5)),"")</f>
        <v/>
      </c>
      <c r="G33" s="26">
        <f>IFERROR(IF(INDEX('DMIC List - master'!$P:$P,MATCH($B33,CONTRACT_ID,0)+5)="","",INDEX('DMIC List - master'!$P:$P,MATCH($B33,CONTRACT_ID,0)+5)),"")</f>
        <v/>
      </c>
      <c r="H33" s="26">
        <f>IFERROR(IF(INDEX('DMIC List - master'!$Q:$Q,MATCH($B33,CONTRACT_ID,0)+5)="","",INDEX('DMIC List - master'!$Q:$Q,MATCH($B33,CONTRACT_ID,0)+5)),"")</f>
        <v/>
      </c>
      <c r="I33" s="26">
        <f>IFERROR(IF(INDEX('DMIC List - master'!$U:$U,MATCH($B33,CONTRACT_ID,0)+5)="","",INDEX('DMIC List - master'!$U:$U,MATCH($B33,CONTRACT_ID,0)+5)),"")</f>
        <v/>
      </c>
      <c r="K33" s="26">
        <f>IFERROR(IF(OR($B33="",COUNTA(INDEX('Competency&amp;Complexity'!$K:$K,MATCH($B33,CC_CONTRACT_ID,0)+5):INDEX('Competency&amp;Complexity'!$P:$P,MATCH($B33,CC_CONTRACT_ID,0)+5))=0),"",ROUND((COUNTIF(INDEX('Competency&amp;Complexity'!$K:$K,MATCH($B33,CC_CONTRACT_ID,0)+5):INDEX('Competency&amp;Complexity'!$P:$P,MATCH($B33,CC_CONTRACT_ID,0)+5),"High")*2+COUNTIF(INDEX('Competency&amp;Complexity'!$K:$K,MATCH($B33,CC_CONTRACT_ID,0)+5):INDEX('Competency&amp;Complexity'!$P:$P,MATCH($B33,CC_CONTRACT_ID,0)+5),"Medium")*1)/12*10,1)),"")</f>
        <v/>
      </c>
      <c r="L33" s="26">
        <f>IFERROR(IF(OR($B33="",COUNTA(INDEX('Competency&amp;Complexity'!$R:$R,MATCH($B33,CC_CONTRACT_ID,0)+5):INDEX('Competency&amp;Complexity'!$V:$V,MATCH($B33,CC_CONTRACT_ID,0)+5))=0),"",ROUND((COUNTIF(INDEX('Competency&amp;Complexity'!$R:$R,MATCH($B33,CC_CONTRACT_ID,0)+5):INDEX('Competency&amp;Complexity'!$V:$V,MATCH($B33,CC_CONTRACT_ID,0)+5),"Low")*2+COUNTIF(INDEX('Competency&amp;Complexity'!$R:$R,MATCH($B33,CC_CONTRACT_ID,0)+5):INDEX('Competency&amp;Complexity'!$V:$V,MATCH($B33,CC_CONTRACT_ID,0)+5),"Medium")*1)/10*10,1)),"")</f>
        <v/>
      </c>
      <c r="N33" s="28" t="n"/>
      <c r="O33" s="26" t="n"/>
      <c r="Q33" s="26" t="n"/>
      <c r="R33" s="26" t="n"/>
      <c r="S33" s="26" t="n"/>
      <c r="T33" s="26" t="n"/>
      <c r="U33" s="27">
        <f>IF($B33="","",IF(COUNT(Q33:T33)=0,"",(Q33+R33+S33+T33)/20))</f>
        <v/>
      </c>
      <c r="V33" s="26" t="n"/>
      <c r="X33" s="26" t="n"/>
      <c r="Y33" s="26" t="n"/>
      <c r="Z33" s="26">
        <f t="array" ref="Z33">IFERROR(TEXTJOIN(", ",TRUE,IF(Systems!$B$6:$B$65=$B33,Systems!$C$6:$C$65,"")),"")</f>
        <v/>
      </c>
    </row>
    <row r="34">
      <c r="B34" s="23">
        <f>IF('DMIC List - master'!B34="","",'DMIC List - master'!B34)</f>
        <v/>
      </c>
      <c r="C34" s="23">
        <f>IFERROR(IF(INDEX('DMIC List - master'!$C:$C,MATCH($B34,CONTRACT_ID,0)+5)="","",INDEX('DMIC List - master'!$C:$C,MATCH($B34,CONTRACT_ID,0)+5)),"")</f>
        <v/>
      </c>
      <c r="D34" s="23">
        <f>IFERROR(IF(INDEX('DMIC List - master'!$D:$D,MATCH($B34,CONTRACT_ID,0)+5)="","",INDEX('DMIC List - master'!$D:$D,MATCH($B34,CONTRACT_ID,0)+5)),"")</f>
        <v/>
      </c>
      <c r="E34" s="23">
        <f>IFERROR(IF(INDEX('DMIC List - master'!$E:$E,MATCH($B34,CONTRACT_ID,0)+5)="","",INDEX('DMIC List - master'!$E:$E,MATCH($B34,CONTRACT_ID,0)+5)),"")</f>
        <v/>
      </c>
      <c r="G34" s="23">
        <f>IFERROR(IF(INDEX('DMIC List - master'!$P:$P,MATCH($B34,CONTRACT_ID,0)+5)="","",INDEX('DMIC List - master'!$P:$P,MATCH($B34,CONTRACT_ID,0)+5)),"")</f>
        <v/>
      </c>
      <c r="H34" s="23">
        <f>IFERROR(IF(INDEX('DMIC List - master'!$Q:$Q,MATCH($B34,CONTRACT_ID,0)+5)="","",INDEX('DMIC List - master'!$Q:$Q,MATCH($B34,CONTRACT_ID,0)+5)),"")</f>
        <v/>
      </c>
      <c r="I34" s="23">
        <f>IFERROR(IF(INDEX('DMIC List - master'!$U:$U,MATCH($B34,CONTRACT_ID,0)+5)="","",INDEX('DMIC List - master'!$U:$U,MATCH($B34,CONTRACT_ID,0)+5)),"")</f>
        <v/>
      </c>
      <c r="K34" s="23">
        <f>IFERROR(IF(OR($B34="",COUNTA(INDEX('Competency&amp;Complexity'!$K:$K,MATCH($B34,CC_CONTRACT_ID,0)+5):INDEX('Competency&amp;Complexity'!$P:$P,MATCH($B34,CC_CONTRACT_ID,0)+5))=0),"",ROUND((COUNTIF(INDEX('Competency&amp;Complexity'!$K:$K,MATCH($B34,CC_CONTRACT_ID,0)+5):INDEX('Competency&amp;Complexity'!$P:$P,MATCH($B34,CC_CONTRACT_ID,0)+5),"High")*2+COUNTIF(INDEX('Competency&amp;Complexity'!$K:$K,MATCH($B34,CC_CONTRACT_ID,0)+5):INDEX('Competency&amp;Complexity'!$P:$P,MATCH($B34,CC_CONTRACT_ID,0)+5),"Medium")*1)/12*10,1)),"")</f>
        <v/>
      </c>
      <c r="L34" s="23">
        <f>IFERROR(IF(OR($B34="",COUNTA(INDEX('Competency&amp;Complexity'!$R:$R,MATCH($B34,CC_CONTRACT_ID,0)+5):INDEX('Competency&amp;Complexity'!$V:$V,MATCH($B34,CC_CONTRACT_ID,0)+5))=0),"",ROUND((COUNTIF(INDEX('Competency&amp;Complexity'!$R:$R,MATCH($B34,CC_CONTRACT_ID,0)+5):INDEX('Competency&amp;Complexity'!$V:$V,MATCH($B34,CC_CONTRACT_ID,0)+5),"Low")*2+COUNTIF(INDEX('Competency&amp;Complexity'!$R:$R,MATCH($B34,CC_CONTRACT_ID,0)+5):INDEX('Competency&amp;Complexity'!$V:$V,MATCH($B34,CC_CONTRACT_ID,0)+5),"Medium")*1)/10*10,1)),"")</f>
        <v/>
      </c>
      <c r="N34" s="25" t="n"/>
      <c r="O34" s="23" t="n"/>
      <c r="Q34" s="23" t="n"/>
      <c r="R34" s="23" t="n"/>
      <c r="S34" s="23" t="n"/>
      <c r="T34" s="23" t="n"/>
      <c r="U34" s="24">
        <f>IF($B34="","",IF(COUNT(Q34:T34)=0,"",(Q34+R34+S34+T34)/20))</f>
        <v/>
      </c>
      <c r="V34" s="23" t="n"/>
      <c r="X34" s="23" t="n"/>
      <c r="Y34" s="23" t="n"/>
      <c r="Z34" s="23">
        <f t="array" ref="Z34">IFERROR(TEXTJOIN(", ",TRUE,IF(Systems!$B$6:$B$65=$B34,Systems!$C$6:$C$65,"")),"")</f>
        <v/>
      </c>
    </row>
    <row r="35">
      <c r="B35" s="26">
        <f>IF('DMIC List - master'!B35="","",'DMIC List - master'!B35)</f>
        <v/>
      </c>
      <c r="C35" s="26">
        <f>IFERROR(IF(INDEX('DMIC List - master'!$C:$C,MATCH($B35,CONTRACT_ID,0)+5)="","",INDEX('DMIC List - master'!$C:$C,MATCH($B35,CONTRACT_ID,0)+5)),"")</f>
        <v/>
      </c>
      <c r="D35" s="26">
        <f>IFERROR(IF(INDEX('DMIC List - master'!$D:$D,MATCH($B35,CONTRACT_ID,0)+5)="","",INDEX('DMIC List - master'!$D:$D,MATCH($B35,CONTRACT_ID,0)+5)),"")</f>
        <v/>
      </c>
      <c r="E35" s="26">
        <f>IFERROR(IF(INDEX('DMIC List - master'!$E:$E,MATCH($B35,CONTRACT_ID,0)+5)="","",INDEX('DMIC List - master'!$E:$E,MATCH($B35,CONTRACT_ID,0)+5)),"")</f>
        <v/>
      </c>
      <c r="G35" s="26">
        <f>IFERROR(IF(INDEX('DMIC List - master'!$P:$P,MATCH($B35,CONTRACT_ID,0)+5)="","",INDEX('DMIC List - master'!$P:$P,MATCH($B35,CONTRACT_ID,0)+5)),"")</f>
        <v/>
      </c>
      <c r="H35" s="26">
        <f>IFERROR(IF(INDEX('DMIC List - master'!$Q:$Q,MATCH($B35,CONTRACT_ID,0)+5)="","",INDEX('DMIC List - master'!$Q:$Q,MATCH($B35,CONTRACT_ID,0)+5)),"")</f>
        <v/>
      </c>
      <c r="I35" s="26">
        <f>IFERROR(IF(INDEX('DMIC List - master'!$U:$U,MATCH($B35,CONTRACT_ID,0)+5)="","",INDEX('DMIC List - master'!$U:$U,MATCH($B35,CONTRACT_ID,0)+5)),"")</f>
        <v/>
      </c>
      <c r="K35" s="26">
        <f>IFERROR(IF(OR($B35="",COUNTA(INDEX('Competency&amp;Complexity'!$K:$K,MATCH($B35,CC_CONTRACT_ID,0)+5):INDEX('Competency&amp;Complexity'!$P:$P,MATCH($B35,CC_CONTRACT_ID,0)+5))=0),"",ROUND((COUNTIF(INDEX('Competency&amp;Complexity'!$K:$K,MATCH($B35,CC_CONTRACT_ID,0)+5):INDEX('Competency&amp;Complexity'!$P:$P,MATCH($B35,CC_CONTRACT_ID,0)+5),"High")*2+COUNTIF(INDEX('Competency&amp;Complexity'!$K:$K,MATCH($B35,CC_CONTRACT_ID,0)+5):INDEX('Competency&amp;Complexity'!$P:$P,MATCH($B35,CC_CONTRACT_ID,0)+5),"Medium")*1)/12*10,1)),"")</f>
        <v/>
      </c>
      <c r="L35" s="26">
        <f>IFERROR(IF(OR($B35="",COUNTA(INDEX('Competency&amp;Complexity'!$R:$R,MATCH($B35,CC_CONTRACT_ID,0)+5):INDEX('Competency&amp;Complexity'!$V:$V,MATCH($B35,CC_CONTRACT_ID,0)+5))=0),"",ROUND((COUNTIF(INDEX('Competency&amp;Complexity'!$R:$R,MATCH($B35,CC_CONTRACT_ID,0)+5):INDEX('Competency&amp;Complexity'!$V:$V,MATCH($B35,CC_CONTRACT_ID,0)+5),"Low")*2+COUNTIF(INDEX('Competency&amp;Complexity'!$R:$R,MATCH($B35,CC_CONTRACT_ID,0)+5):INDEX('Competency&amp;Complexity'!$V:$V,MATCH($B35,CC_CONTRACT_ID,0)+5),"Medium")*1)/10*10,1)),"")</f>
        <v/>
      </c>
      <c r="N35" s="28" t="n"/>
      <c r="O35" s="26" t="n"/>
      <c r="Q35" s="26" t="n"/>
      <c r="R35" s="26" t="n"/>
      <c r="S35" s="26" t="n"/>
      <c r="T35" s="26" t="n"/>
      <c r="U35" s="27">
        <f>IF($B35="","",IF(COUNT(Q35:T35)=0,"",(Q35+R35+S35+T35)/20))</f>
        <v/>
      </c>
      <c r="V35" s="26" t="n"/>
      <c r="X35" s="26" t="n"/>
      <c r="Y35" s="26" t="n"/>
      <c r="Z35" s="26">
        <f t="array" ref="Z35">IFERROR(TEXTJOIN(", ",TRUE,IF(Systems!$B$6:$B$65=$B35,Systems!$C$6:$C$65,"")),"")</f>
        <v/>
      </c>
    </row>
    <row r="36">
      <c r="B36" s="23">
        <f>IF('DMIC List - master'!B36="","",'DMIC List - master'!B36)</f>
        <v/>
      </c>
      <c r="C36" s="23">
        <f>IFERROR(IF(INDEX('DMIC List - master'!$C:$C,MATCH($B36,CONTRACT_ID,0)+5)="","",INDEX('DMIC List - master'!$C:$C,MATCH($B36,CONTRACT_ID,0)+5)),"")</f>
        <v/>
      </c>
      <c r="D36" s="23">
        <f>IFERROR(IF(INDEX('DMIC List - master'!$D:$D,MATCH($B36,CONTRACT_ID,0)+5)="","",INDEX('DMIC List - master'!$D:$D,MATCH($B36,CONTRACT_ID,0)+5)),"")</f>
        <v/>
      </c>
      <c r="E36" s="23">
        <f>IFERROR(IF(INDEX('DMIC List - master'!$E:$E,MATCH($B36,CONTRACT_ID,0)+5)="","",INDEX('DMIC List - master'!$E:$E,MATCH($B36,CONTRACT_ID,0)+5)),"")</f>
        <v/>
      </c>
      <c r="G36" s="23">
        <f>IFERROR(IF(INDEX('DMIC List - master'!$P:$P,MATCH($B36,CONTRACT_ID,0)+5)="","",INDEX('DMIC List - master'!$P:$P,MATCH($B36,CONTRACT_ID,0)+5)),"")</f>
        <v/>
      </c>
      <c r="H36" s="23">
        <f>IFERROR(IF(INDEX('DMIC List - master'!$Q:$Q,MATCH($B36,CONTRACT_ID,0)+5)="","",INDEX('DMIC List - master'!$Q:$Q,MATCH($B36,CONTRACT_ID,0)+5)),"")</f>
        <v/>
      </c>
      <c r="I36" s="23">
        <f>IFERROR(IF(INDEX('DMIC List - master'!$U:$U,MATCH($B36,CONTRACT_ID,0)+5)="","",INDEX('DMIC List - master'!$U:$U,MATCH($B36,CONTRACT_ID,0)+5)),"")</f>
        <v/>
      </c>
      <c r="K36" s="23">
        <f>IFERROR(IF(OR($B36="",COUNTA(INDEX('Competency&amp;Complexity'!$K:$K,MATCH($B36,CC_CONTRACT_ID,0)+5):INDEX('Competency&amp;Complexity'!$P:$P,MATCH($B36,CC_CONTRACT_ID,0)+5))=0),"",ROUND((COUNTIF(INDEX('Competency&amp;Complexity'!$K:$K,MATCH($B36,CC_CONTRACT_ID,0)+5):INDEX('Competency&amp;Complexity'!$P:$P,MATCH($B36,CC_CONTRACT_ID,0)+5),"High")*2+COUNTIF(INDEX('Competency&amp;Complexity'!$K:$K,MATCH($B36,CC_CONTRACT_ID,0)+5):INDEX('Competency&amp;Complexity'!$P:$P,MATCH($B36,CC_CONTRACT_ID,0)+5),"Medium")*1)/12*10,1)),"")</f>
        <v/>
      </c>
      <c r="L36" s="23">
        <f>IFERROR(IF(OR($B36="",COUNTA(INDEX('Competency&amp;Complexity'!$R:$R,MATCH($B36,CC_CONTRACT_ID,0)+5):INDEX('Competency&amp;Complexity'!$V:$V,MATCH($B36,CC_CONTRACT_ID,0)+5))=0),"",ROUND((COUNTIF(INDEX('Competency&amp;Complexity'!$R:$R,MATCH($B36,CC_CONTRACT_ID,0)+5):INDEX('Competency&amp;Complexity'!$V:$V,MATCH($B36,CC_CONTRACT_ID,0)+5),"Low")*2+COUNTIF(INDEX('Competency&amp;Complexity'!$R:$R,MATCH($B36,CC_CONTRACT_ID,0)+5):INDEX('Competency&amp;Complexity'!$V:$V,MATCH($B36,CC_CONTRACT_ID,0)+5),"Medium")*1)/10*10,1)),"")</f>
        <v/>
      </c>
      <c r="N36" s="25" t="n"/>
      <c r="O36" s="23" t="n"/>
      <c r="Q36" s="23" t="n"/>
      <c r="R36" s="23" t="n"/>
      <c r="S36" s="23" t="n"/>
      <c r="T36" s="23" t="n"/>
      <c r="U36" s="24">
        <f>IF($B36="","",IF(COUNT(Q36:T36)=0,"",(Q36+R36+S36+T36)/20))</f>
        <v/>
      </c>
      <c r="V36" s="23" t="n"/>
      <c r="X36" s="23" t="n"/>
      <c r="Y36" s="23" t="n"/>
      <c r="Z36" s="23">
        <f t="array" ref="Z36">IFERROR(TEXTJOIN(", ",TRUE,IF(Systems!$B$6:$B$65=$B36,Systems!$C$6:$C$65,"")),"")</f>
        <v/>
      </c>
    </row>
    <row r="37">
      <c r="B37" s="26">
        <f>IF('DMIC List - master'!B37="","",'DMIC List - master'!B37)</f>
        <v/>
      </c>
      <c r="C37" s="26">
        <f>IFERROR(IF(INDEX('DMIC List - master'!$C:$C,MATCH($B37,CONTRACT_ID,0)+5)="","",INDEX('DMIC List - master'!$C:$C,MATCH($B37,CONTRACT_ID,0)+5)),"")</f>
        <v/>
      </c>
      <c r="D37" s="26">
        <f>IFERROR(IF(INDEX('DMIC List - master'!$D:$D,MATCH($B37,CONTRACT_ID,0)+5)="","",INDEX('DMIC List - master'!$D:$D,MATCH($B37,CONTRACT_ID,0)+5)),"")</f>
        <v/>
      </c>
      <c r="E37" s="26">
        <f>IFERROR(IF(INDEX('DMIC List - master'!$E:$E,MATCH($B37,CONTRACT_ID,0)+5)="","",INDEX('DMIC List - master'!$E:$E,MATCH($B37,CONTRACT_ID,0)+5)),"")</f>
        <v/>
      </c>
      <c r="G37" s="26">
        <f>IFERROR(IF(INDEX('DMIC List - master'!$P:$P,MATCH($B37,CONTRACT_ID,0)+5)="","",INDEX('DMIC List - master'!$P:$P,MATCH($B37,CONTRACT_ID,0)+5)),"")</f>
        <v/>
      </c>
      <c r="H37" s="26">
        <f>IFERROR(IF(INDEX('DMIC List - master'!$Q:$Q,MATCH($B37,CONTRACT_ID,0)+5)="","",INDEX('DMIC List - master'!$Q:$Q,MATCH($B37,CONTRACT_ID,0)+5)),"")</f>
        <v/>
      </c>
      <c r="I37" s="26">
        <f>IFERROR(IF(INDEX('DMIC List - master'!$U:$U,MATCH($B37,CONTRACT_ID,0)+5)="","",INDEX('DMIC List - master'!$U:$U,MATCH($B37,CONTRACT_ID,0)+5)),"")</f>
        <v/>
      </c>
      <c r="K37" s="26">
        <f>IFERROR(IF(OR($B37="",COUNTA(INDEX('Competency&amp;Complexity'!$K:$K,MATCH($B37,CC_CONTRACT_ID,0)+5):INDEX('Competency&amp;Complexity'!$P:$P,MATCH($B37,CC_CONTRACT_ID,0)+5))=0),"",ROUND((COUNTIF(INDEX('Competency&amp;Complexity'!$K:$K,MATCH($B37,CC_CONTRACT_ID,0)+5):INDEX('Competency&amp;Complexity'!$P:$P,MATCH($B37,CC_CONTRACT_ID,0)+5),"High")*2+COUNTIF(INDEX('Competency&amp;Complexity'!$K:$K,MATCH($B37,CC_CONTRACT_ID,0)+5):INDEX('Competency&amp;Complexity'!$P:$P,MATCH($B37,CC_CONTRACT_ID,0)+5),"Medium")*1)/12*10,1)),"")</f>
        <v/>
      </c>
      <c r="L37" s="26">
        <f>IFERROR(IF(OR($B37="",COUNTA(INDEX('Competency&amp;Complexity'!$R:$R,MATCH($B37,CC_CONTRACT_ID,0)+5):INDEX('Competency&amp;Complexity'!$V:$V,MATCH($B37,CC_CONTRACT_ID,0)+5))=0),"",ROUND((COUNTIF(INDEX('Competency&amp;Complexity'!$R:$R,MATCH($B37,CC_CONTRACT_ID,0)+5):INDEX('Competency&amp;Complexity'!$V:$V,MATCH($B37,CC_CONTRACT_ID,0)+5),"Low")*2+COUNTIF(INDEX('Competency&amp;Complexity'!$R:$R,MATCH($B37,CC_CONTRACT_ID,0)+5):INDEX('Competency&amp;Complexity'!$V:$V,MATCH($B37,CC_CONTRACT_ID,0)+5),"Medium")*1)/10*10,1)),"")</f>
        <v/>
      </c>
      <c r="N37" s="28" t="n"/>
      <c r="O37" s="26" t="n"/>
      <c r="Q37" s="26" t="n"/>
      <c r="R37" s="26" t="n"/>
      <c r="S37" s="26" t="n"/>
      <c r="T37" s="26" t="n"/>
      <c r="U37" s="27">
        <f>IF($B37="","",IF(COUNT(Q37:T37)=0,"",(Q37+R37+S37+T37)/20))</f>
        <v/>
      </c>
      <c r="V37" s="26" t="n"/>
      <c r="X37" s="26" t="n"/>
      <c r="Y37" s="26" t="n"/>
      <c r="Z37" s="26">
        <f t="array" ref="Z37">IFERROR(TEXTJOIN(", ",TRUE,IF(Systems!$B$6:$B$65=$B37,Systems!$C$6:$C$65,"")),"")</f>
        <v/>
      </c>
    </row>
    <row r="38">
      <c r="B38" s="23">
        <f>IF('DMIC List - master'!B38="","",'DMIC List - master'!B38)</f>
        <v/>
      </c>
      <c r="C38" s="23">
        <f>IFERROR(IF(INDEX('DMIC List - master'!$C:$C,MATCH($B38,CONTRACT_ID,0)+5)="","",INDEX('DMIC List - master'!$C:$C,MATCH($B38,CONTRACT_ID,0)+5)),"")</f>
        <v/>
      </c>
      <c r="D38" s="23">
        <f>IFERROR(IF(INDEX('DMIC List - master'!$D:$D,MATCH($B38,CONTRACT_ID,0)+5)="","",INDEX('DMIC List - master'!$D:$D,MATCH($B38,CONTRACT_ID,0)+5)),"")</f>
        <v/>
      </c>
      <c r="E38" s="23">
        <f>IFERROR(IF(INDEX('DMIC List - master'!$E:$E,MATCH($B38,CONTRACT_ID,0)+5)="","",INDEX('DMIC List - master'!$E:$E,MATCH($B38,CONTRACT_ID,0)+5)),"")</f>
        <v/>
      </c>
      <c r="G38" s="23">
        <f>IFERROR(IF(INDEX('DMIC List - master'!$P:$P,MATCH($B38,CONTRACT_ID,0)+5)="","",INDEX('DMIC List - master'!$P:$P,MATCH($B38,CONTRACT_ID,0)+5)),"")</f>
        <v/>
      </c>
      <c r="H38" s="23">
        <f>IFERROR(IF(INDEX('DMIC List - master'!$Q:$Q,MATCH($B38,CONTRACT_ID,0)+5)="","",INDEX('DMIC List - master'!$Q:$Q,MATCH($B38,CONTRACT_ID,0)+5)),"")</f>
        <v/>
      </c>
      <c r="I38" s="23">
        <f>IFERROR(IF(INDEX('DMIC List - master'!$U:$U,MATCH($B38,CONTRACT_ID,0)+5)="","",INDEX('DMIC List - master'!$U:$U,MATCH($B38,CONTRACT_ID,0)+5)),"")</f>
        <v/>
      </c>
      <c r="K38" s="23">
        <f>IFERROR(IF(OR($B38="",COUNTA(INDEX('Competency&amp;Complexity'!$K:$K,MATCH($B38,CC_CONTRACT_ID,0)+5):INDEX('Competency&amp;Complexity'!$P:$P,MATCH($B38,CC_CONTRACT_ID,0)+5))=0),"",ROUND((COUNTIF(INDEX('Competency&amp;Complexity'!$K:$K,MATCH($B38,CC_CONTRACT_ID,0)+5):INDEX('Competency&amp;Complexity'!$P:$P,MATCH($B38,CC_CONTRACT_ID,0)+5),"High")*2+COUNTIF(INDEX('Competency&amp;Complexity'!$K:$K,MATCH($B38,CC_CONTRACT_ID,0)+5):INDEX('Competency&amp;Complexity'!$P:$P,MATCH($B38,CC_CONTRACT_ID,0)+5),"Medium")*1)/12*10,1)),"")</f>
        <v/>
      </c>
      <c r="L38" s="23">
        <f>IFERROR(IF(OR($B38="",COUNTA(INDEX('Competency&amp;Complexity'!$R:$R,MATCH($B38,CC_CONTRACT_ID,0)+5):INDEX('Competency&amp;Complexity'!$V:$V,MATCH($B38,CC_CONTRACT_ID,0)+5))=0),"",ROUND((COUNTIF(INDEX('Competency&amp;Complexity'!$R:$R,MATCH($B38,CC_CONTRACT_ID,0)+5):INDEX('Competency&amp;Complexity'!$V:$V,MATCH($B38,CC_CONTRACT_ID,0)+5),"Low")*2+COUNTIF(INDEX('Competency&amp;Complexity'!$R:$R,MATCH($B38,CC_CONTRACT_ID,0)+5):INDEX('Competency&amp;Complexity'!$V:$V,MATCH($B38,CC_CONTRACT_ID,0)+5),"Medium")*1)/10*10,1)),"")</f>
        <v/>
      </c>
      <c r="N38" s="25" t="n"/>
      <c r="O38" s="23" t="n"/>
      <c r="Q38" s="23" t="n"/>
      <c r="R38" s="23" t="n"/>
      <c r="S38" s="23" t="n"/>
      <c r="T38" s="23" t="n"/>
      <c r="U38" s="24">
        <f>IF($B38="","",IF(COUNT(Q38:T38)=0,"",(Q38+R38+S38+T38)/20))</f>
        <v/>
      </c>
      <c r="V38" s="23" t="n"/>
      <c r="X38" s="23" t="n"/>
      <c r="Y38" s="23" t="n"/>
      <c r="Z38" s="23">
        <f t="array" ref="Z38">IFERROR(TEXTJOIN(", ",TRUE,IF(Systems!$B$6:$B$65=$B38,Systems!$C$6:$C$65,"")),"")</f>
        <v/>
      </c>
    </row>
    <row r="39">
      <c r="B39" s="26">
        <f>IF('DMIC List - master'!B39="","",'DMIC List - master'!B39)</f>
        <v/>
      </c>
      <c r="C39" s="26">
        <f>IFERROR(IF(INDEX('DMIC List - master'!$C:$C,MATCH($B39,CONTRACT_ID,0)+5)="","",INDEX('DMIC List - master'!$C:$C,MATCH($B39,CONTRACT_ID,0)+5)),"")</f>
        <v/>
      </c>
      <c r="D39" s="26">
        <f>IFERROR(IF(INDEX('DMIC List - master'!$D:$D,MATCH($B39,CONTRACT_ID,0)+5)="","",INDEX('DMIC List - master'!$D:$D,MATCH($B39,CONTRACT_ID,0)+5)),"")</f>
        <v/>
      </c>
      <c r="E39" s="26">
        <f>IFERROR(IF(INDEX('DMIC List - master'!$E:$E,MATCH($B39,CONTRACT_ID,0)+5)="","",INDEX('DMIC List - master'!$E:$E,MATCH($B39,CONTRACT_ID,0)+5)),"")</f>
        <v/>
      </c>
      <c r="G39" s="26">
        <f>IFERROR(IF(INDEX('DMIC List - master'!$P:$P,MATCH($B39,CONTRACT_ID,0)+5)="","",INDEX('DMIC List - master'!$P:$P,MATCH($B39,CONTRACT_ID,0)+5)),"")</f>
        <v/>
      </c>
      <c r="H39" s="26">
        <f>IFERROR(IF(INDEX('DMIC List - master'!$Q:$Q,MATCH($B39,CONTRACT_ID,0)+5)="","",INDEX('DMIC List - master'!$Q:$Q,MATCH($B39,CONTRACT_ID,0)+5)),"")</f>
        <v/>
      </c>
      <c r="I39" s="26">
        <f>IFERROR(IF(INDEX('DMIC List - master'!$U:$U,MATCH($B39,CONTRACT_ID,0)+5)="","",INDEX('DMIC List - master'!$U:$U,MATCH($B39,CONTRACT_ID,0)+5)),"")</f>
        <v/>
      </c>
      <c r="K39" s="26">
        <f>IFERROR(IF(OR($B39="",COUNTA(INDEX('Competency&amp;Complexity'!$K:$K,MATCH($B39,CC_CONTRACT_ID,0)+5):INDEX('Competency&amp;Complexity'!$P:$P,MATCH($B39,CC_CONTRACT_ID,0)+5))=0),"",ROUND((COUNTIF(INDEX('Competency&amp;Complexity'!$K:$K,MATCH($B39,CC_CONTRACT_ID,0)+5):INDEX('Competency&amp;Complexity'!$P:$P,MATCH($B39,CC_CONTRACT_ID,0)+5),"High")*2+COUNTIF(INDEX('Competency&amp;Complexity'!$K:$K,MATCH($B39,CC_CONTRACT_ID,0)+5):INDEX('Competency&amp;Complexity'!$P:$P,MATCH($B39,CC_CONTRACT_ID,0)+5),"Medium")*1)/12*10,1)),"")</f>
        <v/>
      </c>
      <c r="L39" s="26">
        <f>IFERROR(IF(OR($B39="",COUNTA(INDEX('Competency&amp;Complexity'!$R:$R,MATCH($B39,CC_CONTRACT_ID,0)+5):INDEX('Competency&amp;Complexity'!$V:$V,MATCH($B39,CC_CONTRACT_ID,0)+5))=0),"",ROUND((COUNTIF(INDEX('Competency&amp;Complexity'!$R:$R,MATCH($B39,CC_CONTRACT_ID,0)+5):INDEX('Competency&amp;Complexity'!$V:$V,MATCH($B39,CC_CONTRACT_ID,0)+5),"Low")*2+COUNTIF(INDEX('Competency&amp;Complexity'!$R:$R,MATCH($B39,CC_CONTRACT_ID,0)+5):INDEX('Competency&amp;Complexity'!$V:$V,MATCH($B39,CC_CONTRACT_ID,0)+5),"Medium")*1)/10*10,1)),"")</f>
        <v/>
      </c>
      <c r="N39" s="28" t="n"/>
      <c r="O39" s="26" t="n"/>
      <c r="Q39" s="26" t="n"/>
      <c r="R39" s="26" t="n"/>
      <c r="S39" s="26" t="n"/>
      <c r="T39" s="26" t="n"/>
      <c r="U39" s="27">
        <f>IF($B39="","",IF(COUNT(Q39:T39)=0,"",(Q39+R39+S39+T39)/20))</f>
        <v/>
      </c>
      <c r="V39" s="26" t="n"/>
      <c r="X39" s="26" t="n"/>
      <c r="Y39" s="26" t="n"/>
      <c r="Z39" s="26">
        <f t="array" ref="Z39">IFERROR(TEXTJOIN(", ",TRUE,IF(Systems!$B$6:$B$65=$B39,Systems!$C$6:$C$65,"")),"")</f>
        <v/>
      </c>
    </row>
    <row r="40">
      <c r="B40" s="23">
        <f>IF('DMIC List - master'!B40="","",'DMIC List - master'!B40)</f>
        <v/>
      </c>
      <c r="C40" s="23">
        <f>IFERROR(IF(INDEX('DMIC List - master'!$C:$C,MATCH($B40,CONTRACT_ID,0)+5)="","",INDEX('DMIC List - master'!$C:$C,MATCH($B40,CONTRACT_ID,0)+5)),"")</f>
        <v/>
      </c>
      <c r="D40" s="23">
        <f>IFERROR(IF(INDEX('DMIC List - master'!$D:$D,MATCH($B40,CONTRACT_ID,0)+5)="","",INDEX('DMIC List - master'!$D:$D,MATCH($B40,CONTRACT_ID,0)+5)),"")</f>
        <v/>
      </c>
      <c r="E40" s="23">
        <f>IFERROR(IF(INDEX('DMIC List - master'!$E:$E,MATCH($B40,CONTRACT_ID,0)+5)="","",INDEX('DMIC List - master'!$E:$E,MATCH($B40,CONTRACT_ID,0)+5)),"")</f>
        <v/>
      </c>
      <c r="G40" s="23">
        <f>IFERROR(IF(INDEX('DMIC List - master'!$P:$P,MATCH($B40,CONTRACT_ID,0)+5)="","",INDEX('DMIC List - master'!$P:$P,MATCH($B40,CONTRACT_ID,0)+5)),"")</f>
        <v/>
      </c>
      <c r="H40" s="23">
        <f>IFERROR(IF(INDEX('DMIC List - master'!$Q:$Q,MATCH($B40,CONTRACT_ID,0)+5)="","",INDEX('DMIC List - master'!$Q:$Q,MATCH($B40,CONTRACT_ID,0)+5)),"")</f>
        <v/>
      </c>
      <c r="I40" s="23">
        <f>IFERROR(IF(INDEX('DMIC List - master'!$U:$U,MATCH($B40,CONTRACT_ID,0)+5)="","",INDEX('DMIC List - master'!$U:$U,MATCH($B40,CONTRACT_ID,0)+5)),"")</f>
        <v/>
      </c>
      <c r="K40" s="23">
        <f>IFERROR(IF(OR($B40="",COUNTA(INDEX('Competency&amp;Complexity'!$K:$K,MATCH($B40,CC_CONTRACT_ID,0)+5):INDEX('Competency&amp;Complexity'!$P:$P,MATCH($B40,CC_CONTRACT_ID,0)+5))=0),"",ROUND((COUNTIF(INDEX('Competency&amp;Complexity'!$K:$K,MATCH($B40,CC_CONTRACT_ID,0)+5):INDEX('Competency&amp;Complexity'!$P:$P,MATCH($B40,CC_CONTRACT_ID,0)+5),"High")*2+COUNTIF(INDEX('Competency&amp;Complexity'!$K:$K,MATCH($B40,CC_CONTRACT_ID,0)+5):INDEX('Competency&amp;Complexity'!$P:$P,MATCH($B40,CC_CONTRACT_ID,0)+5),"Medium")*1)/12*10,1)),"")</f>
        <v/>
      </c>
      <c r="L40" s="23">
        <f>IFERROR(IF(OR($B40="",COUNTA(INDEX('Competency&amp;Complexity'!$R:$R,MATCH($B40,CC_CONTRACT_ID,0)+5):INDEX('Competency&amp;Complexity'!$V:$V,MATCH($B40,CC_CONTRACT_ID,0)+5))=0),"",ROUND((COUNTIF(INDEX('Competency&amp;Complexity'!$R:$R,MATCH($B40,CC_CONTRACT_ID,0)+5):INDEX('Competency&amp;Complexity'!$V:$V,MATCH($B40,CC_CONTRACT_ID,0)+5),"Low")*2+COUNTIF(INDEX('Competency&amp;Complexity'!$R:$R,MATCH($B40,CC_CONTRACT_ID,0)+5):INDEX('Competency&amp;Complexity'!$V:$V,MATCH($B40,CC_CONTRACT_ID,0)+5),"Medium")*1)/10*10,1)),"")</f>
        <v/>
      </c>
      <c r="N40" s="25" t="n"/>
      <c r="O40" s="23" t="n"/>
      <c r="Q40" s="23" t="n"/>
      <c r="R40" s="23" t="n"/>
      <c r="S40" s="23" t="n"/>
      <c r="T40" s="23" t="n"/>
      <c r="U40" s="24">
        <f>IF($B40="","",IF(COUNT(Q40:T40)=0,"",(Q40+R40+S40+T40)/20))</f>
        <v/>
      </c>
      <c r="V40" s="23" t="n"/>
      <c r="X40" s="23" t="n"/>
      <c r="Y40" s="23" t="n"/>
      <c r="Z40" s="23">
        <f t="array" ref="Z40">IFERROR(TEXTJOIN(", ",TRUE,IF(Systems!$B$6:$B$65=$B40,Systems!$C$6:$C$65,"")),"")</f>
        <v/>
      </c>
    </row>
    <row r="41">
      <c r="B41" s="26">
        <f>IF('DMIC List - master'!B41="","",'DMIC List - master'!B41)</f>
        <v/>
      </c>
      <c r="C41" s="26">
        <f>IFERROR(IF(INDEX('DMIC List - master'!$C:$C,MATCH($B41,CONTRACT_ID,0)+5)="","",INDEX('DMIC List - master'!$C:$C,MATCH($B41,CONTRACT_ID,0)+5)),"")</f>
        <v/>
      </c>
      <c r="D41" s="26">
        <f>IFERROR(IF(INDEX('DMIC List - master'!$D:$D,MATCH($B41,CONTRACT_ID,0)+5)="","",INDEX('DMIC List - master'!$D:$D,MATCH($B41,CONTRACT_ID,0)+5)),"")</f>
        <v/>
      </c>
      <c r="E41" s="26">
        <f>IFERROR(IF(INDEX('DMIC List - master'!$E:$E,MATCH($B41,CONTRACT_ID,0)+5)="","",INDEX('DMIC List - master'!$E:$E,MATCH($B41,CONTRACT_ID,0)+5)),"")</f>
        <v/>
      </c>
      <c r="G41" s="26">
        <f>IFERROR(IF(INDEX('DMIC List - master'!$P:$P,MATCH($B41,CONTRACT_ID,0)+5)="","",INDEX('DMIC List - master'!$P:$P,MATCH($B41,CONTRACT_ID,0)+5)),"")</f>
        <v/>
      </c>
      <c r="H41" s="26">
        <f>IFERROR(IF(INDEX('DMIC List - master'!$Q:$Q,MATCH($B41,CONTRACT_ID,0)+5)="","",INDEX('DMIC List - master'!$Q:$Q,MATCH($B41,CONTRACT_ID,0)+5)),"")</f>
        <v/>
      </c>
      <c r="I41" s="26">
        <f>IFERROR(IF(INDEX('DMIC List - master'!$U:$U,MATCH($B41,CONTRACT_ID,0)+5)="","",INDEX('DMIC List - master'!$U:$U,MATCH($B41,CONTRACT_ID,0)+5)),"")</f>
        <v/>
      </c>
      <c r="K41" s="26">
        <f>IFERROR(IF(OR($B41="",COUNTA(INDEX('Competency&amp;Complexity'!$K:$K,MATCH($B41,CC_CONTRACT_ID,0)+5):INDEX('Competency&amp;Complexity'!$P:$P,MATCH($B41,CC_CONTRACT_ID,0)+5))=0),"",ROUND((COUNTIF(INDEX('Competency&amp;Complexity'!$K:$K,MATCH($B41,CC_CONTRACT_ID,0)+5):INDEX('Competency&amp;Complexity'!$P:$P,MATCH($B41,CC_CONTRACT_ID,0)+5),"High")*2+COUNTIF(INDEX('Competency&amp;Complexity'!$K:$K,MATCH($B41,CC_CONTRACT_ID,0)+5):INDEX('Competency&amp;Complexity'!$P:$P,MATCH($B41,CC_CONTRACT_ID,0)+5),"Medium")*1)/12*10,1)),"")</f>
        <v/>
      </c>
      <c r="L41" s="26">
        <f>IFERROR(IF(OR($B41="",COUNTA(INDEX('Competency&amp;Complexity'!$R:$R,MATCH($B41,CC_CONTRACT_ID,0)+5):INDEX('Competency&amp;Complexity'!$V:$V,MATCH($B41,CC_CONTRACT_ID,0)+5))=0),"",ROUND((COUNTIF(INDEX('Competency&amp;Complexity'!$R:$R,MATCH($B41,CC_CONTRACT_ID,0)+5):INDEX('Competency&amp;Complexity'!$V:$V,MATCH($B41,CC_CONTRACT_ID,0)+5),"Low")*2+COUNTIF(INDEX('Competency&amp;Complexity'!$R:$R,MATCH($B41,CC_CONTRACT_ID,0)+5):INDEX('Competency&amp;Complexity'!$V:$V,MATCH($B41,CC_CONTRACT_ID,0)+5),"Medium")*1)/10*10,1)),"")</f>
        <v/>
      </c>
      <c r="N41" s="28" t="n"/>
      <c r="O41" s="26" t="n"/>
      <c r="Q41" s="26" t="n"/>
      <c r="R41" s="26" t="n"/>
      <c r="S41" s="26" t="n"/>
      <c r="T41" s="26" t="n"/>
      <c r="U41" s="27">
        <f>IF($B41="","",IF(COUNT(Q41:T41)=0,"",(Q41+R41+S41+T41)/20))</f>
        <v/>
      </c>
      <c r="V41" s="26" t="n"/>
      <c r="X41" s="26" t="n"/>
      <c r="Y41" s="26" t="n"/>
      <c r="Z41" s="26">
        <f t="array" ref="Z41">IFERROR(TEXTJOIN(", ",TRUE,IF(Systems!$B$6:$B$65=$B41,Systems!$C$6:$C$65,"")),"")</f>
        <v/>
      </c>
    </row>
    <row r="42">
      <c r="B42" s="23">
        <f>IF('DMIC List - master'!B42="","",'DMIC List - master'!B42)</f>
        <v/>
      </c>
      <c r="C42" s="23">
        <f>IFERROR(IF(INDEX('DMIC List - master'!$C:$C,MATCH($B42,CONTRACT_ID,0)+5)="","",INDEX('DMIC List - master'!$C:$C,MATCH($B42,CONTRACT_ID,0)+5)),"")</f>
        <v/>
      </c>
      <c r="D42" s="23">
        <f>IFERROR(IF(INDEX('DMIC List - master'!$D:$D,MATCH($B42,CONTRACT_ID,0)+5)="","",INDEX('DMIC List - master'!$D:$D,MATCH($B42,CONTRACT_ID,0)+5)),"")</f>
        <v/>
      </c>
      <c r="E42" s="23">
        <f>IFERROR(IF(INDEX('DMIC List - master'!$E:$E,MATCH($B42,CONTRACT_ID,0)+5)="","",INDEX('DMIC List - master'!$E:$E,MATCH($B42,CONTRACT_ID,0)+5)),"")</f>
        <v/>
      </c>
      <c r="G42" s="23">
        <f>IFERROR(IF(INDEX('DMIC List - master'!$P:$P,MATCH($B42,CONTRACT_ID,0)+5)="","",INDEX('DMIC List - master'!$P:$P,MATCH($B42,CONTRACT_ID,0)+5)),"")</f>
        <v/>
      </c>
      <c r="H42" s="23">
        <f>IFERROR(IF(INDEX('DMIC List - master'!$Q:$Q,MATCH($B42,CONTRACT_ID,0)+5)="","",INDEX('DMIC List - master'!$Q:$Q,MATCH($B42,CONTRACT_ID,0)+5)),"")</f>
        <v/>
      </c>
      <c r="I42" s="23">
        <f>IFERROR(IF(INDEX('DMIC List - master'!$U:$U,MATCH($B42,CONTRACT_ID,0)+5)="","",INDEX('DMIC List - master'!$U:$U,MATCH($B42,CONTRACT_ID,0)+5)),"")</f>
        <v/>
      </c>
      <c r="K42" s="23">
        <f>IFERROR(IF(OR($B42="",COUNTA(INDEX('Competency&amp;Complexity'!$K:$K,MATCH($B42,CC_CONTRACT_ID,0)+5):INDEX('Competency&amp;Complexity'!$P:$P,MATCH($B42,CC_CONTRACT_ID,0)+5))=0),"",ROUND((COUNTIF(INDEX('Competency&amp;Complexity'!$K:$K,MATCH($B42,CC_CONTRACT_ID,0)+5):INDEX('Competency&amp;Complexity'!$P:$P,MATCH($B42,CC_CONTRACT_ID,0)+5),"High")*2+COUNTIF(INDEX('Competency&amp;Complexity'!$K:$K,MATCH($B42,CC_CONTRACT_ID,0)+5):INDEX('Competency&amp;Complexity'!$P:$P,MATCH($B42,CC_CONTRACT_ID,0)+5),"Medium")*1)/12*10,1)),"")</f>
        <v/>
      </c>
      <c r="L42" s="23">
        <f>IFERROR(IF(OR($B42="",COUNTA(INDEX('Competency&amp;Complexity'!$R:$R,MATCH($B42,CC_CONTRACT_ID,0)+5):INDEX('Competency&amp;Complexity'!$V:$V,MATCH($B42,CC_CONTRACT_ID,0)+5))=0),"",ROUND((COUNTIF(INDEX('Competency&amp;Complexity'!$R:$R,MATCH($B42,CC_CONTRACT_ID,0)+5):INDEX('Competency&amp;Complexity'!$V:$V,MATCH($B42,CC_CONTRACT_ID,0)+5),"Low")*2+COUNTIF(INDEX('Competency&amp;Complexity'!$R:$R,MATCH($B42,CC_CONTRACT_ID,0)+5):INDEX('Competency&amp;Complexity'!$V:$V,MATCH($B42,CC_CONTRACT_ID,0)+5),"Medium")*1)/10*10,1)),"")</f>
        <v/>
      </c>
      <c r="N42" s="25" t="n"/>
      <c r="O42" s="23" t="n"/>
      <c r="Q42" s="23" t="n"/>
      <c r="R42" s="23" t="n"/>
      <c r="S42" s="23" t="n"/>
      <c r="T42" s="23" t="n"/>
      <c r="U42" s="24">
        <f>IF($B42="","",IF(COUNT(Q42:T42)=0,"",(Q42+R42+S42+T42)/20))</f>
        <v/>
      </c>
      <c r="V42" s="23" t="n"/>
      <c r="X42" s="23" t="n"/>
      <c r="Y42" s="23" t="n"/>
      <c r="Z42" s="23">
        <f t="array" ref="Z42">IFERROR(TEXTJOIN(", ",TRUE,IF(Systems!$B$6:$B$65=$B42,Systems!$C$6:$C$65,"")),"")</f>
        <v/>
      </c>
    </row>
    <row r="43">
      <c r="B43" s="26">
        <f>IF('DMIC List - master'!B43="","",'DMIC List - master'!B43)</f>
        <v/>
      </c>
      <c r="C43" s="26">
        <f>IFERROR(IF(INDEX('DMIC List - master'!$C:$C,MATCH($B43,CONTRACT_ID,0)+5)="","",INDEX('DMIC List - master'!$C:$C,MATCH($B43,CONTRACT_ID,0)+5)),"")</f>
        <v/>
      </c>
      <c r="D43" s="26">
        <f>IFERROR(IF(INDEX('DMIC List - master'!$D:$D,MATCH($B43,CONTRACT_ID,0)+5)="","",INDEX('DMIC List - master'!$D:$D,MATCH($B43,CONTRACT_ID,0)+5)),"")</f>
        <v/>
      </c>
      <c r="E43" s="26">
        <f>IFERROR(IF(INDEX('DMIC List - master'!$E:$E,MATCH($B43,CONTRACT_ID,0)+5)="","",INDEX('DMIC List - master'!$E:$E,MATCH($B43,CONTRACT_ID,0)+5)),"")</f>
        <v/>
      </c>
      <c r="G43" s="26">
        <f>IFERROR(IF(INDEX('DMIC List - master'!$P:$P,MATCH($B43,CONTRACT_ID,0)+5)="","",INDEX('DMIC List - master'!$P:$P,MATCH($B43,CONTRACT_ID,0)+5)),"")</f>
        <v/>
      </c>
      <c r="H43" s="26">
        <f>IFERROR(IF(INDEX('DMIC List - master'!$Q:$Q,MATCH($B43,CONTRACT_ID,0)+5)="","",INDEX('DMIC List - master'!$Q:$Q,MATCH($B43,CONTRACT_ID,0)+5)),"")</f>
        <v/>
      </c>
      <c r="I43" s="26">
        <f>IFERROR(IF(INDEX('DMIC List - master'!$U:$U,MATCH($B43,CONTRACT_ID,0)+5)="","",INDEX('DMIC List - master'!$U:$U,MATCH($B43,CONTRACT_ID,0)+5)),"")</f>
        <v/>
      </c>
      <c r="K43" s="26">
        <f>IFERROR(IF(OR($B43="",COUNTA(INDEX('Competency&amp;Complexity'!$K:$K,MATCH($B43,CC_CONTRACT_ID,0)+5):INDEX('Competency&amp;Complexity'!$P:$P,MATCH($B43,CC_CONTRACT_ID,0)+5))=0),"",ROUND((COUNTIF(INDEX('Competency&amp;Complexity'!$K:$K,MATCH($B43,CC_CONTRACT_ID,0)+5):INDEX('Competency&amp;Complexity'!$P:$P,MATCH($B43,CC_CONTRACT_ID,0)+5),"High")*2+COUNTIF(INDEX('Competency&amp;Complexity'!$K:$K,MATCH($B43,CC_CONTRACT_ID,0)+5):INDEX('Competency&amp;Complexity'!$P:$P,MATCH($B43,CC_CONTRACT_ID,0)+5),"Medium")*1)/12*10,1)),"")</f>
        <v/>
      </c>
      <c r="L43" s="26">
        <f>IFERROR(IF(OR($B43="",COUNTA(INDEX('Competency&amp;Complexity'!$R:$R,MATCH($B43,CC_CONTRACT_ID,0)+5):INDEX('Competency&amp;Complexity'!$V:$V,MATCH($B43,CC_CONTRACT_ID,0)+5))=0),"",ROUND((COUNTIF(INDEX('Competency&amp;Complexity'!$R:$R,MATCH($B43,CC_CONTRACT_ID,0)+5):INDEX('Competency&amp;Complexity'!$V:$V,MATCH($B43,CC_CONTRACT_ID,0)+5),"Low")*2+COUNTIF(INDEX('Competency&amp;Complexity'!$R:$R,MATCH($B43,CC_CONTRACT_ID,0)+5):INDEX('Competency&amp;Complexity'!$V:$V,MATCH($B43,CC_CONTRACT_ID,0)+5),"Medium")*1)/10*10,1)),"")</f>
        <v/>
      </c>
      <c r="N43" s="28" t="n"/>
      <c r="O43" s="26" t="n"/>
      <c r="Q43" s="26" t="n"/>
      <c r="R43" s="26" t="n"/>
      <c r="S43" s="26" t="n"/>
      <c r="T43" s="26" t="n"/>
      <c r="U43" s="27">
        <f>IF($B43="","",IF(COUNT(Q43:T43)=0,"",(Q43+R43+S43+T43)/20))</f>
        <v/>
      </c>
      <c r="V43" s="26" t="n"/>
      <c r="X43" s="26" t="n"/>
      <c r="Y43" s="26" t="n"/>
      <c r="Z43" s="26">
        <f t="array" ref="Z43">IFERROR(TEXTJOIN(", ",TRUE,IF(Systems!$B$6:$B$65=$B43,Systems!$C$6:$C$65,"")),"")</f>
        <v/>
      </c>
    </row>
    <row r="44">
      <c r="B44" s="23">
        <f>IF('DMIC List - master'!B44="","",'DMIC List - master'!B44)</f>
        <v/>
      </c>
      <c r="C44" s="23">
        <f>IFERROR(IF(INDEX('DMIC List - master'!$C:$C,MATCH($B44,CONTRACT_ID,0)+5)="","",INDEX('DMIC List - master'!$C:$C,MATCH($B44,CONTRACT_ID,0)+5)),"")</f>
        <v/>
      </c>
      <c r="D44" s="23">
        <f>IFERROR(IF(INDEX('DMIC List - master'!$D:$D,MATCH($B44,CONTRACT_ID,0)+5)="","",INDEX('DMIC List - master'!$D:$D,MATCH($B44,CONTRACT_ID,0)+5)),"")</f>
        <v/>
      </c>
      <c r="E44" s="23">
        <f>IFERROR(IF(INDEX('DMIC List - master'!$E:$E,MATCH($B44,CONTRACT_ID,0)+5)="","",INDEX('DMIC List - master'!$E:$E,MATCH($B44,CONTRACT_ID,0)+5)),"")</f>
        <v/>
      </c>
      <c r="G44" s="23">
        <f>IFERROR(IF(INDEX('DMIC List - master'!$P:$P,MATCH($B44,CONTRACT_ID,0)+5)="","",INDEX('DMIC List - master'!$P:$P,MATCH($B44,CONTRACT_ID,0)+5)),"")</f>
        <v/>
      </c>
      <c r="H44" s="23">
        <f>IFERROR(IF(INDEX('DMIC List - master'!$Q:$Q,MATCH($B44,CONTRACT_ID,0)+5)="","",INDEX('DMIC List - master'!$Q:$Q,MATCH($B44,CONTRACT_ID,0)+5)),"")</f>
        <v/>
      </c>
      <c r="I44" s="23">
        <f>IFERROR(IF(INDEX('DMIC List - master'!$U:$U,MATCH($B44,CONTRACT_ID,0)+5)="","",INDEX('DMIC List - master'!$U:$U,MATCH($B44,CONTRACT_ID,0)+5)),"")</f>
        <v/>
      </c>
      <c r="K44" s="23">
        <f>IFERROR(IF(OR($B44="",COUNTA(INDEX('Competency&amp;Complexity'!$K:$K,MATCH($B44,CC_CONTRACT_ID,0)+5):INDEX('Competency&amp;Complexity'!$P:$P,MATCH($B44,CC_CONTRACT_ID,0)+5))=0),"",ROUND((COUNTIF(INDEX('Competency&amp;Complexity'!$K:$K,MATCH($B44,CC_CONTRACT_ID,0)+5):INDEX('Competency&amp;Complexity'!$P:$P,MATCH($B44,CC_CONTRACT_ID,0)+5),"High")*2+COUNTIF(INDEX('Competency&amp;Complexity'!$K:$K,MATCH($B44,CC_CONTRACT_ID,0)+5):INDEX('Competency&amp;Complexity'!$P:$P,MATCH($B44,CC_CONTRACT_ID,0)+5),"Medium")*1)/12*10,1)),"")</f>
        <v/>
      </c>
      <c r="L44" s="23">
        <f>IFERROR(IF(OR($B44="",COUNTA(INDEX('Competency&amp;Complexity'!$R:$R,MATCH($B44,CC_CONTRACT_ID,0)+5):INDEX('Competency&amp;Complexity'!$V:$V,MATCH($B44,CC_CONTRACT_ID,0)+5))=0),"",ROUND((COUNTIF(INDEX('Competency&amp;Complexity'!$R:$R,MATCH($B44,CC_CONTRACT_ID,0)+5):INDEX('Competency&amp;Complexity'!$V:$V,MATCH($B44,CC_CONTRACT_ID,0)+5),"Low")*2+COUNTIF(INDEX('Competency&amp;Complexity'!$R:$R,MATCH($B44,CC_CONTRACT_ID,0)+5):INDEX('Competency&amp;Complexity'!$V:$V,MATCH($B44,CC_CONTRACT_ID,0)+5),"Medium")*1)/10*10,1)),"")</f>
        <v/>
      </c>
      <c r="N44" s="25" t="n"/>
      <c r="O44" s="23" t="n"/>
      <c r="Q44" s="23" t="n"/>
      <c r="R44" s="23" t="n"/>
      <c r="S44" s="23" t="n"/>
      <c r="T44" s="23" t="n"/>
      <c r="U44" s="24">
        <f>IF($B44="","",IF(COUNT(Q44:T44)=0,"",(Q44+R44+S44+T44)/20))</f>
        <v/>
      </c>
      <c r="V44" s="23" t="n"/>
      <c r="X44" s="23" t="n"/>
      <c r="Y44" s="23" t="n"/>
      <c r="Z44" s="23">
        <f t="array" ref="Z44">IFERROR(TEXTJOIN(", ",TRUE,IF(Systems!$B$6:$B$65=$B44,Systems!$C$6:$C$65,"")),"")</f>
        <v/>
      </c>
    </row>
    <row r="45">
      <c r="B45" s="26">
        <f>IF('DMIC List - master'!B45="","",'DMIC List - master'!B45)</f>
        <v/>
      </c>
      <c r="C45" s="26">
        <f>IFERROR(IF(INDEX('DMIC List - master'!$C:$C,MATCH($B45,CONTRACT_ID,0)+5)="","",INDEX('DMIC List - master'!$C:$C,MATCH($B45,CONTRACT_ID,0)+5)),"")</f>
        <v/>
      </c>
      <c r="D45" s="26">
        <f>IFERROR(IF(INDEX('DMIC List - master'!$D:$D,MATCH($B45,CONTRACT_ID,0)+5)="","",INDEX('DMIC List - master'!$D:$D,MATCH($B45,CONTRACT_ID,0)+5)),"")</f>
        <v/>
      </c>
      <c r="E45" s="26">
        <f>IFERROR(IF(INDEX('DMIC List - master'!$E:$E,MATCH($B45,CONTRACT_ID,0)+5)="","",INDEX('DMIC List - master'!$E:$E,MATCH($B45,CONTRACT_ID,0)+5)),"")</f>
        <v/>
      </c>
      <c r="G45" s="26">
        <f>IFERROR(IF(INDEX('DMIC List - master'!$P:$P,MATCH($B45,CONTRACT_ID,0)+5)="","",INDEX('DMIC List - master'!$P:$P,MATCH($B45,CONTRACT_ID,0)+5)),"")</f>
        <v/>
      </c>
      <c r="H45" s="26">
        <f>IFERROR(IF(INDEX('DMIC List - master'!$Q:$Q,MATCH($B45,CONTRACT_ID,0)+5)="","",INDEX('DMIC List - master'!$Q:$Q,MATCH($B45,CONTRACT_ID,0)+5)),"")</f>
        <v/>
      </c>
      <c r="I45" s="26">
        <f>IFERROR(IF(INDEX('DMIC List - master'!$U:$U,MATCH($B45,CONTRACT_ID,0)+5)="","",INDEX('DMIC List - master'!$U:$U,MATCH($B45,CONTRACT_ID,0)+5)),"")</f>
        <v/>
      </c>
      <c r="K45" s="26">
        <f>IFERROR(IF(OR($B45="",COUNTA(INDEX('Competency&amp;Complexity'!$K:$K,MATCH($B45,CC_CONTRACT_ID,0)+5):INDEX('Competency&amp;Complexity'!$P:$P,MATCH($B45,CC_CONTRACT_ID,0)+5))=0),"",ROUND((COUNTIF(INDEX('Competency&amp;Complexity'!$K:$K,MATCH($B45,CC_CONTRACT_ID,0)+5):INDEX('Competency&amp;Complexity'!$P:$P,MATCH($B45,CC_CONTRACT_ID,0)+5),"High")*2+COUNTIF(INDEX('Competency&amp;Complexity'!$K:$K,MATCH($B45,CC_CONTRACT_ID,0)+5):INDEX('Competency&amp;Complexity'!$P:$P,MATCH($B45,CC_CONTRACT_ID,0)+5),"Medium")*1)/12*10,1)),"")</f>
        <v/>
      </c>
      <c r="L45" s="26">
        <f>IFERROR(IF(OR($B45="",COUNTA(INDEX('Competency&amp;Complexity'!$R:$R,MATCH($B45,CC_CONTRACT_ID,0)+5):INDEX('Competency&amp;Complexity'!$V:$V,MATCH($B45,CC_CONTRACT_ID,0)+5))=0),"",ROUND((COUNTIF(INDEX('Competency&amp;Complexity'!$R:$R,MATCH($B45,CC_CONTRACT_ID,0)+5):INDEX('Competency&amp;Complexity'!$V:$V,MATCH($B45,CC_CONTRACT_ID,0)+5),"Low")*2+COUNTIF(INDEX('Competency&amp;Complexity'!$R:$R,MATCH($B45,CC_CONTRACT_ID,0)+5):INDEX('Competency&amp;Complexity'!$V:$V,MATCH($B45,CC_CONTRACT_ID,0)+5),"Medium")*1)/10*10,1)),"")</f>
        <v/>
      </c>
      <c r="N45" s="28" t="n"/>
      <c r="O45" s="26" t="n"/>
      <c r="Q45" s="26" t="n"/>
      <c r="R45" s="26" t="n"/>
      <c r="S45" s="26" t="n"/>
      <c r="T45" s="26" t="n"/>
      <c r="U45" s="27">
        <f>IF($B45="","",IF(COUNT(Q45:T45)=0,"",(Q45+R45+S45+T45)/20))</f>
        <v/>
      </c>
      <c r="V45" s="26" t="n"/>
      <c r="X45" s="26" t="n"/>
      <c r="Y45" s="26" t="n"/>
      <c r="Z45" s="26">
        <f t="array" ref="Z45">IFERROR(TEXTJOIN(", ",TRUE,IF(Systems!$B$6:$B$65=$B45,Systems!$C$6:$C$65,"")),"")</f>
        <v/>
      </c>
    </row>
    <row r="46">
      <c r="B46" s="23">
        <f>IF('DMIC List - master'!B46="","",'DMIC List - master'!B46)</f>
        <v/>
      </c>
      <c r="C46" s="23">
        <f>IFERROR(IF(INDEX('DMIC List - master'!$C:$C,MATCH($B46,CONTRACT_ID,0)+5)="","",INDEX('DMIC List - master'!$C:$C,MATCH($B46,CONTRACT_ID,0)+5)),"")</f>
        <v/>
      </c>
      <c r="D46" s="23">
        <f>IFERROR(IF(INDEX('DMIC List - master'!$D:$D,MATCH($B46,CONTRACT_ID,0)+5)="","",INDEX('DMIC List - master'!$D:$D,MATCH($B46,CONTRACT_ID,0)+5)),"")</f>
        <v/>
      </c>
      <c r="E46" s="23">
        <f>IFERROR(IF(INDEX('DMIC List - master'!$E:$E,MATCH($B46,CONTRACT_ID,0)+5)="","",INDEX('DMIC List - master'!$E:$E,MATCH($B46,CONTRACT_ID,0)+5)),"")</f>
        <v/>
      </c>
      <c r="G46" s="23">
        <f>IFERROR(IF(INDEX('DMIC List - master'!$P:$P,MATCH($B46,CONTRACT_ID,0)+5)="","",INDEX('DMIC List - master'!$P:$P,MATCH($B46,CONTRACT_ID,0)+5)),"")</f>
        <v/>
      </c>
      <c r="H46" s="23">
        <f>IFERROR(IF(INDEX('DMIC List - master'!$Q:$Q,MATCH($B46,CONTRACT_ID,0)+5)="","",INDEX('DMIC List - master'!$Q:$Q,MATCH($B46,CONTRACT_ID,0)+5)),"")</f>
        <v/>
      </c>
      <c r="I46" s="23">
        <f>IFERROR(IF(INDEX('DMIC List - master'!$U:$U,MATCH($B46,CONTRACT_ID,0)+5)="","",INDEX('DMIC List - master'!$U:$U,MATCH($B46,CONTRACT_ID,0)+5)),"")</f>
        <v/>
      </c>
      <c r="K46" s="23">
        <f>IFERROR(IF(OR($B46="",COUNTA(INDEX('Competency&amp;Complexity'!$K:$K,MATCH($B46,CC_CONTRACT_ID,0)+5):INDEX('Competency&amp;Complexity'!$P:$P,MATCH($B46,CC_CONTRACT_ID,0)+5))=0),"",ROUND((COUNTIF(INDEX('Competency&amp;Complexity'!$K:$K,MATCH($B46,CC_CONTRACT_ID,0)+5):INDEX('Competency&amp;Complexity'!$P:$P,MATCH($B46,CC_CONTRACT_ID,0)+5),"High")*2+COUNTIF(INDEX('Competency&amp;Complexity'!$K:$K,MATCH($B46,CC_CONTRACT_ID,0)+5):INDEX('Competency&amp;Complexity'!$P:$P,MATCH($B46,CC_CONTRACT_ID,0)+5),"Medium")*1)/12*10,1)),"")</f>
        <v/>
      </c>
      <c r="L46" s="23">
        <f>IFERROR(IF(OR($B46="",COUNTA(INDEX('Competency&amp;Complexity'!$R:$R,MATCH($B46,CC_CONTRACT_ID,0)+5):INDEX('Competency&amp;Complexity'!$V:$V,MATCH($B46,CC_CONTRACT_ID,0)+5))=0),"",ROUND((COUNTIF(INDEX('Competency&amp;Complexity'!$R:$R,MATCH($B46,CC_CONTRACT_ID,0)+5):INDEX('Competency&amp;Complexity'!$V:$V,MATCH($B46,CC_CONTRACT_ID,0)+5),"Low")*2+COUNTIF(INDEX('Competency&amp;Complexity'!$R:$R,MATCH($B46,CC_CONTRACT_ID,0)+5):INDEX('Competency&amp;Complexity'!$V:$V,MATCH($B46,CC_CONTRACT_ID,0)+5),"Medium")*1)/10*10,1)),"")</f>
        <v/>
      </c>
      <c r="N46" s="25" t="n"/>
      <c r="O46" s="23" t="n"/>
      <c r="Q46" s="23" t="n"/>
      <c r="R46" s="23" t="n"/>
      <c r="S46" s="23" t="n"/>
      <c r="T46" s="23" t="n"/>
      <c r="U46" s="24">
        <f>IF($B46="","",IF(COUNT(Q46:T46)=0,"",(Q46+R46+S46+T46)/20))</f>
        <v/>
      </c>
      <c r="V46" s="23" t="n"/>
      <c r="X46" s="23" t="n"/>
      <c r="Y46" s="23" t="n"/>
      <c r="Z46" s="23">
        <f t="array" ref="Z46">IFERROR(TEXTJOIN(", ",TRUE,IF(Systems!$B$6:$B$65=$B46,Systems!$C$6:$C$65,"")),"")</f>
        <v/>
      </c>
    </row>
    <row r="47">
      <c r="B47" s="26">
        <f>IF('DMIC List - master'!B47="","",'DMIC List - master'!B47)</f>
        <v/>
      </c>
      <c r="C47" s="26">
        <f>IFERROR(IF(INDEX('DMIC List - master'!$C:$C,MATCH($B47,CONTRACT_ID,0)+5)="","",INDEX('DMIC List - master'!$C:$C,MATCH($B47,CONTRACT_ID,0)+5)),"")</f>
        <v/>
      </c>
      <c r="D47" s="26">
        <f>IFERROR(IF(INDEX('DMIC List - master'!$D:$D,MATCH($B47,CONTRACT_ID,0)+5)="","",INDEX('DMIC List - master'!$D:$D,MATCH($B47,CONTRACT_ID,0)+5)),"")</f>
        <v/>
      </c>
      <c r="E47" s="26">
        <f>IFERROR(IF(INDEX('DMIC List - master'!$E:$E,MATCH($B47,CONTRACT_ID,0)+5)="","",INDEX('DMIC List - master'!$E:$E,MATCH($B47,CONTRACT_ID,0)+5)),"")</f>
        <v/>
      </c>
      <c r="G47" s="26">
        <f>IFERROR(IF(INDEX('DMIC List - master'!$P:$P,MATCH($B47,CONTRACT_ID,0)+5)="","",INDEX('DMIC List - master'!$P:$P,MATCH($B47,CONTRACT_ID,0)+5)),"")</f>
        <v/>
      </c>
      <c r="H47" s="26">
        <f>IFERROR(IF(INDEX('DMIC List - master'!$Q:$Q,MATCH($B47,CONTRACT_ID,0)+5)="","",INDEX('DMIC List - master'!$Q:$Q,MATCH($B47,CONTRACT_ID,0)+5)),"")</f>
        <v/>
      </c>
      <c r="I47" s="26">
        <f>IFERROR(IF(INDEX('DMIC List - master'!$U:$U,MATCH($B47,CONTRACT_ID,0)+5)="","",INDEX('DMIC List - master'!$U:$U,MATCH($B47,CONTRACT_ID,0)+5)),"")</f>
        <v/>
      </c>
      <c r="K47" s="26">
        <f>IFERROR(IF(OR($B47="",COUNTA(INDEX('Competency&amp;Complexity'!$K:$K,MATCH($B47,CC_CONTRACT_ID,0)+5):INDEX('Competency&amp;Complexity'!$P:$P,MATCH($B47,CC_CONTRACT_ID,0)+5))=0),"",ROUND((COUNTIF(INDEX('Competency&amp;Complexity'!$K:$K,MATCH($B47,CC_CONTRACT_ID,0)+5):INDEX('Competency&amp;Complexity'!$P:$P,MATCH($B47,CC_CONTRACT_ID,0)+5),"High")*2+COUNTIF(INDEX('Competency&amp;Complexity'!$K:$K,MATCH($B47,CC_CONTRACT_ID,0)+5):INDEX('Competency&amp;Complexity'!$P:$P,MATCH($B47,CC_CONTRACT_ID,0)+5),"Medium")*1)/12*10,1)),"")</f>
        <v/>
      </c>
      <c r="L47" s="26">
        <f>IFERROR(IF(OR($B47="",COUNTA(INDEX('Competency&amp;Complexity'!$R:$R,MATCH($B47,CC_CONTRACT_ID,0)+5):INDEX('Competency&amp;Complexity'!$V:$V,MATCH($B47,CC_CONTRACT_ID,0)+5))=0),"",ROUND((COUNTIF(INDEX('Competency&amp;Complexity'!$R:$R,MATCH($B47,CC_CONTRACT_ID,0)+5):INDEX('Competency&amp;Complexity'!$V:$V,MATCH($B47,CC_CONTRACT_ID,0)+5),"Low")*2+COUNTIF(INDEX('Competency&amp;Complexity'!$R:$R,MATCH($B47,CC_CONTRACT_ID,0)+5):INDEX('Competency&amp;Complexity'!$V:$V,MATCH($B47,CC_CONTRACT_ID,0)+5),"Medium")*1)/10*10,1)),"")</f>
        <v/>
      </c>
      <c r="N47" s="28" t="n"/>
      <c r="O47" s="26" t="n"/>
      <c r="Q47" s="26" t="n"/>
      <c r="R47" s="26" t="n"/>
      <c r="S47" s="26" t="n"/>
      <c r="T47" s="26" t="n"/>
      <c r="U47" s="27">
        <f>IF($B47="","",IF(COUNT(Q47:T47)=0,"",(Q47+R47+S47+T47)/20))</f>
        <v/>
      </c>
      <c r="V47" s="26" t="n"/>
      <c r="X47" s="26" t="n"/>
      <c r="Y47" s="26" t="n"/>
      <c r="Z47" s="26">
        <f t="array" ref="Z47">IFERROR(TEXTJOIN(", ",TRUE,IF(Systems!$B$6:$B$65=$B47,Systems!$C$6:$C$65,"")),"")</f>
        <v/>
      </c>
    </row>
    <row r="48">
      <c r="B48" s="23">
        <f>IF('DMIC List - master'!B48="","",'DMIC List - master'!B48)</f>
        <v/>
      </c>
      <c r="C48" s="23">
        <f>IFERROR(IF(INDEX('DMIC List - master'!$C:$C,MATCH($B48,CONTRACT_ID,0)+5)="","",INDEX('DMIC List - master'!$C:$C,MATCH($B48,CONTRACT_ID,0)+5)),"")</f>
        <v/>
      </c>
      <c r="D48" s="23">
        <f>IFERROR(IF(INDEX('DMIC List - master'!$D:$D,MATCH($B48,CONTRACT_ID,0)+5)="","",INDEX('DMIC List - master'!$D:$D,MATCH($B48,CONTRACT_ID,0)+5)),"")</f>
        <v/>
      </c>
      <c r="E48" s="23">
        <f>IFERROR(IF(INDEX('DMIC List - master'!$E:$E,MATCH($B48,CONTRACT_ID,0)+5)="","",INDEX('DMIC List - master'!$E:$E,MATCH($B48,CONTRACT_ID,0)+5)),"")</f>
        <v/>
      </c>
      <c r="G48" s="23">
        <f>IFERROR(IF(INDEX('DMIC List - master'!$P:$P,MATCH($B48,CONTRACT_ID,0)+5)="","",INDEX('DMIC List - master'!$P:$P,MATCH($B48,CONTRACT_ID,0)+5)),"")</f>
        <v/>
      </c>
      <c r="H48" s="23">
        <f>IFERROR(IF(INDEX('DMIC List - master'!$Q:$Q,MATCH($B48,CONTRACT_ID,0)+5)="","",INDEX('DMIC List - master'!$Q:$Q,MATCH($B48,CONTRACT_ID,0)+5)),"")</f>
        <v/>
      </c>
      <c r="I48" s="23">
        <f>IFERROR(IF(INDEX('DMIC List - master'!$U:$U,MATCH($B48,CONTRACT_ID,0)+5)="","",INDEX('DMIC List - master'!$U:$U,MATCH($B48,CONTRACT_ID,0)+5)),"")</f>
        <v/>
      </c>
      <c r="K48" s="23">
        <f>IFERROR(IF(OR($B48="",COUNTA(INDEX('Competency&amp;Complexity'!$K:$K,MATCH($B48,CC_CONTRACT_ID,0)+5):INDEX('Competency&amp;Complexity'!$P:$P,MATCH($B48,CC_CONTRACT_ID,0)+5))=0),"",ROUND((COUNTIF(INDEX('Competency&amp;Complexity'!$K:$K,MATCH($B48,CC_CONTRACT_ID,0)+5):INDEX('Competency&amp;Complexity'!$P:$P,MATCH($B48,CC_CONTRACT_ID,0)+5),"High")*2+COUNTIF(INDEX('Competency&amp;Complexity'!$K:$K,MATCH($B48,CC_CONTRACT_ID,0)+5):INDEX('Competency&amp;Complexity'!$P:$P,MATCH($B48,CC_CONTRACT_ID,0)+5),"Medium")*1)/12*10,1)),"")</f>
        <v/>
      </c>
      <c r="L48" s="23">
        <f>IFERROR(IF(OR($B48="",COUNTA(INDEX('Competency&amp;Complexity'!$R:$R,MATCH($B48,CC_CONTRACT_ID,0)+5):INDEX('Competency&amp;Complexity'!$V:$V,MATCH($B48,CC_CONTRACT_ID,0)+5))=0),"",ROUND((COUNTIF(INDEX('Competency&amp;Complexity'!$R:$R,MATCH($B48,CC_CONTRACT_ID,0)+5):INDEX('Competency&amp;Complexity'!$V:$V,MATCH($B48,CC_CONTRACT_ID,0)+5),"Low")*2+COUNTIF(INDEX('Competency&amp;Complexity'!$R:$R,MATCH($B48,CC_CONTRACT_ID,0)+5):INDEX('Competency&amp;Complexity'!$V:$V,MATCH($B48,CC_CONTRACT_ID,0)+5),"Medium")*1)/10*10,1)),"")</f>
        <v/>
      </c>
      <c r="N48" s="25" t="n"/>
      <c r="O48" s="23" t="n"/>
      <c r="Q48" s="23" t="n"/>
      <c r="R48" s="23" t="n"/>
      <c r="S48" s="23" t="n"/>
      <c r="T48" s="23" t="n"/>
      <c r="U48" s="24">
        <f>IF($B48="","",IF(COUNT(Q48:T48)=0,"",(Q48+R48+S48+T48)/20))</f>
        <v/>
      </c>
      <c r="V48" s="23" t="n"/>
      <c r="X48" s="23" t="n"/>
      <c r="Y48" s="23" t="n"/>
      <c r="Z48" s="23">
        <f t="array" ref="Z48">IFERROR(TEXTJOIN(", ",TRUE,IF(Systems!$B$6:$B$65=$B48,Systems!$C$6:$C$65,"")),"")</f>
        <v/>
      </c>
    </row>
    <row r="49">
      <c r="B49" s="26">
        <f>IF('DMIC List - master'!B49="","",'DMIC List - master'!B49)</f>
        <v/>
      </c>
      <c r="C49" s="26">
        <f>IFERROR(IF(INDEX('DMIC List - master'!$C:$C,MATCH($B49,CONTRACT_ID,0)+5)="","",INDEX('DMIC List - master'!$C:$C,MATCH($B49,CONTRACT_ID,0)+5)),"")</f>
        <v/>
      </c>
      <c r="D49" s="26">
        <f>IFERROR(IF(INDEX('DMIC List - master'!$D:$D,MATCH($B49,CONTRACT_ID,0)+5)="","",INDEX('DMIC List - master'!$D:$D,MATCH($B49,CONTRACT_ID,0)+5)),"")</f>
        <v/>
      </c>
      <c r="E49" s="26">
        <f>IFERROR(IF(INDEX('DMIC List - master'!$E:$E,MATCH($B49,CONTRACT_ID,0)+5)="","",INDEX('DMIC List - master'!$E:$E,MATCH($B49,CONTRACT_ID,0)+5)),"")</f>
        <v/>
      </c>
      <c r="G49" s="26">
        <f>IFERROR(IF(INDEX('DMIC List - master'!$P:$P,MATCH($B49,CONTRACT_ID,0)+5)="","",INDEX('DMIC List - master'!$P:$P,MATCH($B49,CONTRACT_ID,0)+5)),"")</f>
        <v/>
      </c>
      <c r="H49" s="26">
        <f>IFERROR(IF(INDEX('DMIC List - master'!$Q:$Q,MATCH($B49,CONTRACT_ID,0)+5)="","",INDEX('DMIC List - master'!$Q:$Q,MATCH($B49,CONTRACT_ID,0)+5)),"")</f>
        <v/>
      </c>
      <c r="I49" s="26">
        <f>IFERROR(IF(INDEX('DMIC List - master'!$U:$U,MATCH($B49,CONTRACT_ID,0)+5)="","",INDEX('DMIC List - master'!$U:$U,MATCH($B49,CONTRACT_ID,0)+5)),"")</f>
        <v/>
      </c>
      <c r="K49" s="26">
        <f>IFERROR(IF(OR($B49="",COUNTA(INDEX('Competency&amp;Complexity'!$K:$K,MATCH($B49,CC_CONTRACT_ID,0)+5):INDEX('Competency&amp;Complexity'!$P:$P,MATCH($B49,CC_CONTRACT_ID,0)+5))=0),"",ROUND((COUNTIF(INDEX('Competency&amp;Complexity'!$K:$K,MATCH($B49,CC_CONTRACT_ID,0)+5):INDEX('Competency&amp;Complexity'!$P:$P,MATCH($B49,CC_CONTRACT_ID,0)+5),"High")*2+COUNTIF(INDEX('Competency&amp;Complexity'!$K:$K,MATCH($B49,CC_CONTRACT_ID,0)+5):INDEX('Competency&amp;Complexity'!$P:$P,MATCH($B49,CC_CONTRACT_ID,0)+5),"Medium")*1)/12*10,1)),"")</f>
        <v/>
      </c>
      <c r="L49" s="26">
        <f>IFERROR(IF(OR($B49="",COUNTA(INDEX('Competency&amp;Complexity'!$R:$R,MATCH($B49,CC_CONTRACT_ID,0)+5):INDEX('Competency&amp;Complexity'!$V:$V,MATCH($B49,CC_CONTRACT_ID,0)+5))=0),"",ROUND((COUNTIF(INDEX('Competency&amp;Complexity'!$R:$R,MATCH($B49,CC_CONTRACT_ID,0)+5):INDEX('Competency&amp;Complexity'!$V:$V,MATCH($B49,CC_CONTRACT_ID,0)+5),"Low")*2+COUNTIF(INDEX('Competency&amp;Complexity'!$R:$R,MATCH($B49,CC_CONTRACT_ID,0)+5):INDEX('Competency&amp;Complexity'!$V:$V,MATCH($B49,CC_CONTRACT_ID,0)+5),"Medium")*1)/10*10,1)),"")</f>
        <v/>
      </c>
      <c r="N49" s="28" t="n"/>
      <c r="O49" s="26" t="n"/>
      <c r="Q49" s="26" t="n"/>
      <c r="R49" s="26" t="n"/>
      <c r="S49" s="26" t="n"/>
      <c r="T49" s="26" t="n"/>
      <c r="U49" s="27">
        <f>IF($B49="","",IF(COUNT(Q49:T49)=0,"",(Q49+R49+S49+T49)/20))</f>
        <v/>
      </c>
      <c r="V49" s="26" t="n"/>
      <c r="X49" s="26" t="n"/>
      <c r="Y49" s="26" t="n"/>
      <c r="Z49" s="26">
        <f t="array" ref="Z49">IFERROR(TEXTJOIN(", ",TRUE,IF(Systems!$B$6:$B$65=$B49,Systems!$C$6:$C$65,"")),"")</f>
        <v/>
      </c>
    </row>
    <row r="50">
      <c r="B50" s="23">
        <f>IF('DMIC List - master'!B50="","",'DMIC List - master'!B50)</f>
        <v/>
      </c>
      <c r="C50" s="23">
        <f>IFERROR(IF(INDEX('DMIC List - master'!$C:$C,MATCH($B50,CONTRACT_ID,0)+5)="","",INDEX('DMIC List - master'!$C:$C,MATCH($B50,CONTRACT_ID,0)+5)),"")</f>
        <v/>
      </c>
      <c r="D50" s="23">
        <f>IFERROR(IF(INDEX('DMIC List - master'!$D:$D,MATCH($B50,CONTRACT_ID,0)+5)="","",INDEX('DMIC List - master'!$D:$D,MATCH($B50,CONTRACT_ID,0)+5)),"")</f>
        <v/>
      </c>
      <c r="E50" s="23">
        <f>IFERROR(IF(INDEX('DMIC List - master'!$E:$E,MATCH($B50,CONTRACT_ID,0)+5)="","",INDEX('DMIC List - master'!$E:$E,MATCH($B50,CONTRACT_ID,0)+5)),"")</f>
        <v/>
      </c>
      <c r="G50" s="23">
        <f>IFERROR(IF(INDEX('DMIC List - master'!$P:$P,MATCH($B50,CONTRACT_ID,0)+5)="","",INDEX('DMIC List - master'!$P:$P,MATCH($B50,CONTRACT_ID,0)+5)),"")</f>
        <v/>
      </c>
      <c r="H50" s="23">
        <f>IFERROR(IF(INDEX('DMIC List - master'!$Q:$Q,MATCH($B50,CONTRACT_ID,0)+5)="","",INDEX('DMIC List - master'!$Q:$Q,MATCH($B50,CONTRACT_ID,0)+5)),"")</f>
        <v/>
      </c>
      <c r="I50" s="23">
        <f>IFERROR(IF(INDEX('DMIC List - master'!$U:$U,MATCH($B50,CONTRACT_ID,0)+5)="","",INDEX('DMIC List - master'!$U:$U,MATCH($B50,CONTRACT_ID,0)+5)),"")</f>
        <v/>
      </c>
      <c r="K50" s="23">
        <f>IFERROR(IF(OR($B50="",COUNTA(INDEX('Competency&amp;Complexity'!$K:$K,MATCH($B50,CC_CONTRACT_ID,0)+5):INDEX('Competency&amp;Complexity'!$P:$P,MATCH($B50,CC_CONTRACT_ID,0)+5))=0),"",ROUND((COUNTIF(INDEX('Competency&amp;Complexity'!$K:$K,MATCH($B50,CC_CONTRACT_ID,0)+5):INDEX('Competency&amp;Complexity'!$P:$P,MATCH($B50,CC_CONTRACT_ID,0)+5),"High")*2+COUNTIF(INDEX('Competency&amp;Complexity'!$K:$K,MATCH($B50,CC_CONTRACT_ID,0)+5):INDEX('Competency&amp;Complexity'!$P:$P,MATCH($B50,CC_CONTRACT_ID,0)+5),"Medium")*1)/12*10,1)),"")</f>
        <v/>
      </c>
      <c r="L50" s="23">
        <f>IFERROR(IF(OR($B50="",COUNTA(INDEX('Competency&amp;Complexity'!$R:$R,MATCH($B50,CC_CONTRACT_ID,0)+5):INDEX('Competency&amp;Complexity'!$V:$V,MATCH($B50,CC_CONTRACT_ID,0)+5))=0),"",ROUND((COUNTIF(INDEX('Competency&amp;Complexity'!$R:$R,MATCH($B50,CC_CONTRACT_ID,0)+5):INDEX('Competency&amp;Complexity'!$V:$V,MATCH($B50,CC_CONTRACT_ID,0)+5),"Low")*2+COUNTIF(INDEX('Competency&amp;Complexity'!$R:$R,MATCH($B50,CC_CONTRACT_ID,0)+5):INDEX('Competency&amp;Complexity'!$V:$V,MATCH($B50,CC_CONTRACT_ID,0)+5),"Medium")*1)/10*10,1)),"")</f>
        <v/>
      </c>
      <c r="N50" s="25" t="n"/>
      <c r="O50" s="23" t="n"/>
      <c r="Q50" s="23" t="n"/>
      <c r="R50" s="23" t="n"/>
      <c r="S50" s="23" t="n"/>
      <c r="T50" s="23" t="n"/>
      <c r="U50" s="24">
        <f>IF($B50="","",IF(COUNT(Q50:T50)=0,"",(Q50+R50+S50+T50)/20))</f>
        <v/>
      </c>
      <c r="V50" s="23" t="n"/>
      <c r="X50" s="23" t="n"/>
      <c r="Y50" s="23" t="n"/>
      <c r="Z50" s="23">
        <f t="array" ref="Z50">IFERROR(TEXTJOIN(", ",TRUE,IF(Systems!$B$6:$B$65=$B50,Systems!$C$6:$C$65,"")),"")</f>
        <v/>
      </c>
    </row>
    <row r="51">
      <c r="B51" s="26">
        <f>IF('DMIC List - master'!B51="","",'DMIC List - master'!B51)</f>
        <v/>
      </c>
      <c r="C51" s="26">
        <f>IFERROR(IF(INDEX('DMIC List - master'!$C:$C,MATCH($B51,CONTRACT_ID,0)+5)="","",INDEX('DMIC List - master'!$C:$C,MATCH($B51,CONTRACT_ID,0)+5)),"")</f>
        <v/>
      </c>
      <c r="D51" s="26">
        <f>IFERROR(IF(INDEX('DMIC List - master'!$D:$D,MATCH($B51,CONTRACT_ID,0)+5)="","",INDEX('DMIC List - master'!$D:$D,MATCH($B51,CONTRACT_ID,0)+5)),"")</f>
        <v/>
      </c>
      <c r="E51" s="26">
        <f>IFERROR(IF(INDEX('DMIC List - master'!$E:$E,MATCH($B51,CONTRACT_ID,0)+5)="","",INDEX('DMIC List - master'!$E:$E,MATCH($B51,CONTRACT_ID,0)+5)),"")</f>
        <v/>
      </c>
      <c r="G51" s="26">
        <f>IFERROR(IF(INDEX('DMIC List - master'!$P:$P,MATCH($B51,CONTRACT_ID,0)+5)="","",INDEX('DMIC List - master'!$P:$P,MATCH($B51,CONTRACT_ID,0)+5)),"")</f>
        <v/>
      </c>
      <c r="H51" s="26">
        <f>IFERROR(IF(INDEX('DMIC List - master'!$Q:$Q,MATCH($B51,CONTRACT_ID,0)+5)="","",INDEX('DMIC List - master'!$Q:$Q,MATCH($B51,CONTRACT_ID,0)+5)),"")</f>
        <v/>
      </c>
      <c r="I51" s="26">
        <f>IFERROR(IF(INDEX('DMIC List - master'!$U:$U,MATCH($B51,CONTRACT_ID,0)+5)="","",INDEX('DMIC List - master'!$U:$U,MATCH($B51,CONTRACT_ID,0)+5)),"")</f>
        <v/>
      </c>
      <c r="K51" s="26">
        <f>IFERROR(IF(OR($B51="",COUNTA(INDEX('Competency&amp;Complexity'!$K:$K,MATCH($B51,CC_CONTRACT_ID,0)+5):INDEX('Competency&amp;Complexity'!$P:$P,MATCH($B51,CC_CONTRACT_ID,0)+5))=0),"",ROUND((COUNTIF(INDEX('Competency&amp;Complexity'!$K:$K,MATCH($B51,CC_CONTRACT_ID,0)+5):INDEX('Competency&amp;Complexity'!$P:$P,MATCH($B51,CC_CONTRACT_ID,0)+5),"High")*2+COUNTIF(INDEX('Competency&amp;Complexity'!$K:$K,MATCH($B51,CC_CONTRACT_ID,0)+5):INDEX('Competency&amp;Complexity'!$P:$P,MATCH($B51,CC_CONTRACT_ID,0)+5),"Medium")*1)/12*10,1)),"")</f>
        <v/>
      </c>
      <c r="L51" s="26">
        <f>IFERROR(IF(OR($B51="",COUNTA(INDEX('Competency&amp;Complexity'!$R:$R,MATCH($B51,CC_CONTRACT_ID,0)+5):INDEX('Competency&amp;Complexity'!$V:$V,MATCH($B51,CC_CONTRACT_ID,0)+5))=0),"",ROUND((COUNTIF(INDEX('Competency&amp;Complexity'!$R:$R,MATCH($B51,CC_CONTRACT_ID,0)+5):INDEX('Competency&amp;Complexity'!$V:$V,MATCH($B51,CC_CONTRACT_ID,0)+5),"Low")*2+COUNTIF(INDEX('Competency&amp;Complexity'!$R:$R,MATCH($B51,CC_CONTRACT_ID,0)+5):INDEX('Competency&amp;Complexity'!$V:$V,MATCH($B51,CC_CONTRACT_ID,0)+5),"Medium")*1)/10*10,1)),"")</f>
        <v/>
      </c>
      <c r="N51" s="28" t="n"/>
      <c r="O51" s="26" t="n"/>
      <c r="Q51" s="26" t="n"/>
      <c r="R51" s="26" t="n"/>
      <c r="S51" s="26" t="n"/>
      <c r="T51" s="26" t="n"/>
      <c r="U51" s="27">
        <f>IF($B51="","",IF(COUNT(Q51:T51)=0,"",(Q51+R51+S51+T51)/20))</f>
        <v/>
      </c>
      <c r="V51" s="26" t="n"/>
      <c r="X51" s="26" t="n"/>
      <c r="Y51" s="26" t="n"/>
      <c r="Z51" s="26">
        <f t="array" ref="Z51">IFERROR(TEXTJOIN(", ",TRUE,IF(Systems!$B$6:$B$65=$B51,Systems!$C$6:$C$65,"")),"")</f>
        <v/>
      </c>
    </row>
    <row r="52">
      <c r="B52" s="23">
        <f>IF('DMIC List - master'!B52="","",'DMIC List - master'!B52)</f>
        <v/>
      </c>
      <c r="C52" s="23">
        <f>IFERROR(IF(INDEX('DMIC List - master'!$C:$C,MATCH($B52,CONTRACT_ID,0)+5)="","",INDEX('DMIC List - master'!$C:$C,MATCH($B52,CONTRACT_ID,0)+5)),"")</f>
        <v/>
      </c>
      <c r="D52" s="23">
        <f>IFERROR(IF(INDEX('DMIC List - master'!$D:$D,MATCH($B52,CONTRACT_ID,0)+5)="","",INDEX('DMIC List - master'!$D:$D,MATCH($B52,CONTRACT_ID,0)+5)),"")</f>
        <v/>
      </c>
      <c r="E52" s="23">
        <f>IFERROR(IF(INDEX('DMIC List - master'!$E:$E,MATCH($B52,CONTRACT_ID,0)+5)="","",INDEX('DMIC List - master'!$E:$E,MATCH($B52,CONTRACT_ID,0)+5)),"")</f>
        <v/>
      </c>
      <c r="G52" s="23">
        <f>IFERROR(IF(INDEX('DMIC List - master'!$P:$P,MATCH($B52,CONTRACT_ID,0)+5)="","",INDEX('DMIC List - master'!$P:$P,MATCH($B52,CONTRACT_ID,0)+5)),"")</f>
        <v/>
      </c>
      <c r="H52" s="23">
        <f>IFERROR(IF(INDEX('DMIC List - master'!$Q:$Q,MATCH($B52,CONTRACT_ID,0)+5)="","",INDEX('DMIC List - master'!$Q:$Q,MATCH($B52,CONTRACT_ID,0)+5)),"")</f>
        <v/>
      </c>
      <c r="I52" s="23">
        <f>IFERROR(IF(INDEX('DMIC List - master'!$U:$U,MATCH($B52,CONTRACT_ID,0)+5)="","",INDEX('DMIC List - master'!$U:$U,MATCH($B52,CONTRACT_ID,0)+5)),"")</f>
        <v/>
      </c>
      <c r="K52" s="23">
        <f>IFERROR(IF(OR($B52="",COUNTA(INDEX('Competency&amp;Complexity'!$K:$K,MATCH($B52,CC_CONTRACT_ID,0)+5):INDEX('Competency&amp;Complexity'!$P:$P,MATCH($B52,CC_CONTRACT_ID,0)+5))=0),"",ROUND((COUNTIF(INDEX('Competency&amp;Complexity'!$K:$K,MATCH($B52,CC_CONTRACT_ID,0)+5):INDEX('Competency&amp;Complexity'!$P:$P,MATCH($B52,CC_CONTRACT_ID,0)+5),"High")*2+COUNTIF(INDEX('Competency&amp;Complexity'!$K:$K,MATCH($B52,CC_CONTRACT_ID,0)+5):INDEX('Competency&amp;Complexity'!$P:$P,MATCH($B52,CC_CONTRACT_ID,0)+5),"Medium")*1)/12*10,1)),"")</f>
        <v/>
      </c>
      <c r="L52" s="23">
        <f>IFERROR(IF(OR($B52="",COUNTA(INDEX('Competency&amp;Complexity'!$R:$R,MATCH($B52,CC_CONTRACT_ID,0)+5):INDEX('Competency&amp;Complexity'!$V:$V,MATCH($B52,CC_CONTRACT_ID,0)+5))=0),"",ROUND((COUNTIF(INDEX('Competency&amp;Complexity'!$R:$R,MATCH($B52,CC_CONTRACT_ID,0)+5):INDEX('Competency&amp;Complexity'!$V:$V,MATCH($B52,CC_CONTRACT_ID,0)+5),"Low")*2+COUNTIF(INDEX('Competency&amp;Complexity'!$R:$R,MATCH($B52,CC_CONTRACT_ID,0)+5):INDEX('Competency&amp;Complexity'!$V:$V,MATCH($B52,CC_CONTRACT_ID,0)+5),"Medium")*1)/10*10,1)),"")</f>
        <v/>
      </c>
      <c r="N52" s="25" t="n"/>
      <c r="O52" s="23" t="n"/>
      <c r="Q52" s="23" t="n"/>
      <c r="R52" s="23" t="n"/>
      <c r="S52" s="23" t="n"/>
      <c r="T52" s="23" t="n"/>
      <c r="U52" s="24">
        <f>IF($B52="","",IF(COUNT(Q52:T52)=0,"",(Q52+R52+S52+T52)/20))</f>
        <v/>
      </c>
      <c r="V52" s="23" t="n"/>
      <c r="X52" s="23" t="n"/>
      <c r="Y52" s="23" t="n"/>
      <c r="Z52" s="23">
        <f t="array" ref="Z52">IFERROR(TEXTJOIN(", ",TRUE,IF(Systems!$B$6:$B$65=$B52,Systems!$C$6:$C$65,"")),"")</f>
        <v/>
      </c>
    </row>
    <row r="53">
      <c r="B53" s="26">
        <f>IF('DMIC List - master'!B53="","",'DMIC List - master'!B53)</f>
        <v/>
      </c>
      <c r="C53" s="26">
        <f>IFERROR(IF(INDEX('DMIC List - master'!$C:$C,MATCH($B53,CONTRACT_ID,0)+5)="","",INDEX('DMIC List - master'!$C:$C,MATCH($B53,CONTRACT_ID,0)+5)),"")</f>
        <v/>
      </c>
      <c r="D53" s="26">
        <f>IFERROR(IF(INDEX('DMIC List - master'!$D:$D,MATCH($B53,CONTRACT_ID,0)+5)="","",INDEX('DMIC List - master'!$D:$D,MATCH($B53,CONTRACT_ID,0)+5)),"")</f>
        <v/>
      </c>
      <c r="E53" s="26">
        <f>IFERROR(IF(INDEX('DMIC List - master'!$E:$E,MATCH($B53,CONTRACT_ID,0)+5)="","",INDEX('DMIC List - master'!$E:$E,MATCH($B53,CONTRACT_ID,0)+5)),"")</f>
        <v/>
      </c>
      <c r="G53" s="26">
        <f>IFERROR(IF(INDEX('DMIC List - master'!$P:$P,MATCH($B53,CONTRACT_ID,0)+5)="","",INDEX('DMIC List - master'!$P:$P,MATCH($B53,CONTRACT_ID,0)+5)),"")</f>
        <v/>
      </c>
      <c r="H53" s="26">
        <f>IFERROR(IF(INDEX('DMIC List - master'!$Q:$Q,MATCH($B53,CONTRACT_ID,0)+5)="","",INDEX('DMIC List - master'!$Q:$Q,MATCH($B53,CONTRACT_ID,0)+5)),"")</f>
        <v/>
      </c>
      <c r="I53" s="26">
        <f>IFERROR(IF(INDEX('DMIC List - master'!$U:$U,MATCH($B53,CONTRACT_ID,0)+5)="","",INDEX('DMIC List - master'!$U:$U,MATCH($B53,CONTRACT_ID,0)+5)),"")</f>
        <v/>
      </c>
      <c r="K53" s="26">
        <f>IFERROR(IF(OR($B53="",COUNTA(INDEX('Competency&amp;Complexity'!$K:$K,MATCH($B53,CC_CONTRACT_ID,0)+5):INDEX('Competency&amp;Complexity'!$P:$P,MATCH($B53,CC_CONTRACT_ID,0)+5))=0),"",ROUND((COUNTIF(INDEX('Competency&amp;Complexity'!$K:$K,MATCH($B53,CC_CONTRACT_ID,0)+5):INDEX('Competency&amp;Complexity'!$P:$P,MATCH($B53,CC_CONTRACT_ID,0)+5),"High")*2+COUNTIF(INDEX('Competency&amp;Complexity'!$K:$K,MATCH($B53,CC_CONTRACT_ID,0)+5):INDEX('Competency&amp;Complexity'!$P:$P,MATCH($B53,CC_CONTRACT_ID,0)+5),"Medium")*1)/12*10,1)),"")</f>
        <v/>
      </c>
      <c r="L53" s="26">
        <f>IFERROR(IF(OR($B53="",COUNTA(INDEX('Competency&amp;Complexity'!$R:$R,MATCH($B53,CC_CONTRACT_ID,0)+5):INDEX('Competency&amp;Complexity'!$V:$V,MATCH($B53,CC_CONTRACT_ID,0)+5))=0),"",ROUND((COUNTIF(INDEX('Competency&amp;Complexity'!$R:$R,MATCH($B53,CC_CONTRACT_ID,0)+5):INDEX('Competency&amp;Complexity'!$V:$V,MATCH($B53,CC_CONTRACT_ID,0)+5),"Low")*2+COUNTIF(INDEX('Competency&amp;Complexity'!$R:$R,MATCH($B53,CC_CONTRACT_ID,0)+5):INDEX('Competency&amp;Complexity'!$V:$V,MATCH($B53,CC_CONTRACT_ID,0)+5),"Medium")*1)/10*10,1)),"")</f>
        <v/>
      </c>
      <c r="N53" s="28" t="n"/>
      <c r="O53" s="26" t="n"/>
      <c r="Q53" s="26" t="n"/>
      <c r="R53" s="26" t="n"/>
      <c r="S53" s="26" t="n"/>
      <c r="T53" s="26" t="n"/>
      <c r="U53" s="27">
        <f>IF($B53="","",IF(COUNT(Q53:T53)=0,"",(Q53+R53+S53+T53)/20))</f>
        <v/>
      </c>
      <c r="V53" s="26" t="n"/>
      <c r="X53" s="26" t="n"/>
      <c r="Y53" s="26" t="n"/>
      <c r="Z53" s="26">
        <f t="array" ref="Z53">IFERROR(TEXTJOIN(", ",TRUE,IF(Systems!$B$6:$B$65=$B53,Systems!$C$6:$C$65,"")),"")</f>
        <v/>
      </c>
    </row>
    <row r="54">
      <c r="B54" s="23">
        <f>IF('DMIC List - master'!B54="","",'DMIC List - master'!B54)</f>
        <v/>
      </c>
      <c r="C54" s="23">
        <f>IFERROR(IF(INDEX('DMIC List - master'!$C:$C,MATCH($B54,CONTRACT_ID,0)+5)="","",INDEX('DMIC List - master'!$C:$C,MATCH($B54,CONTRACT_ID,0)+5)),"")</f>
        <v/>
      </c>
      <c r="D54" s="23">
        <f>IFERROR(IF(INDEX('DMIC List - master'!$D:$D,MATCH($B54,CONTRACT_ID,0)+5)="","",INDEX('DMIC List - master'!$D:$D,MATCH($B54,CONTRACT_ID,0)+5)),"")</f>
        <v/>
      </c>
      <c r="E54" s="23">
        <f>IFERROR(IF(INDEX('DMIC List - master'!$E:$E,MATCH($B54,CONTRACT_ID,0)+5)="","",INDEX('DMIC List - master'!$E:$E,MATCH($B54,CONTRACT_ID,0)+5)),"")</f>
        <v/>
      </c>
      <c r="G54" s="23">
        <f>IFERROR(IF(INDEX('DMIC List - master'!$P:$P,MATCH($B54,CONTRACT_ID,0)+5)="","",INDEX('DMIC List - master'!$P:$P,MATCH($B54,CONTRACT_ID,0)+5)),"")</f>
        <v/>
      </c>
      <c r="H54" s="23">
        <f>IFERROR(IF(INDEX('DMIC List - master'!$Q:$Q,MATCH($B54,CONTRACT_ID,0)+5)="","",INDEX('DMIC List - master'!$Q:$Q,MATCH($B54,CONTRACT_ID,0)+5)),"")</f>
        <v/>
      </c>
      <c r="I54" s="23">
        <f>IFERROR(IF(INDEX('DMIC List - master'!$U:$U,MATCH($B54,CONTRACT_ID,0)+5)="","",INDEX('DMIC List - master'!$U:$U,MATCH($B54,CONTRACT_ID,0)+5)),"")</f>
        <v/>
      </c>
      <c r="K54" s="23">
        <f>IFERROR(IF(OR($B54="",COUNTA(INDEX('Competency&amp;Complexity'!$K:$K,MATCH($B54,CC_CONTRACT_ID,0)+5):INDEX('Competency&amp;Complexity'!$P:$P,MATCH($B54,CC_CONTRACT_ID,0)+5))=0),"",ROUND((COUNTIF(INDEX('Competency&amp;Complexity'!$K:$K,MATCH($B54,CC_CONTRACT_ID,0)+5):INDEX('Competency&amp;Complexity'!$P:$P,MATCH($B54,CC_CONTRACT_ID,0)+5),"High")*2+COUNTIF(INDEX('Competency&amp;Complexity'!$K:$K,MATCH($B54,CC_CONTRACT_ID,0)+5):INDEX('Competency&amp;Complexity'!$P:$P,MATCH($B54,CC_CONTRACT_ID,0)+5),"Medium")*1)/12*10,1)),"")</f>
        <v/>
      </c>
      <c r="L54" s="23">
        <f>IFERROR(IF(OR($B54="",COUNTA(INDEX('Competency&amp;Complexity'!$R:$R,MATCH($B54,CC_CONTRACT_ID,0)+5):INDEX('Competency&amp;Complexity'!$V:$V,MATCH($B54,CC_CONTRACT_ID,0)+5))=0),"",ROUND((COUNTIF(INDEX('Competency&amp;Complexity'!$R:$R,MATCH($B54,CC_CONTRACT_ID,0)+5):INDEX('Competency&amp;Complexity'!$V:$V,MATCH($B54,CC_CONTRACT_ID,0)+5),"Low")*2+COUNTIF(INDEX('Competency&amp;Complexity'!$R:$R,MATCH($B54,CC_CONTRACT_ID,0)+5):INDEX('Competency&amp;Complexity'!$V:$V,MATCH($B54,CC_CONTRACT_ID,0)+5),"Medium")*1)/10*10,1)),"")</f>
        <v/>
      </c>
      <c r="N54" s="25" t="n"/>
      <c r="O54" s="23" t="n"/>
      <c r="Q54" s="23" t="n"/>
      <c r="R54" s="23" t="n"/>
      <c r="S54" s="23" t="n"/>
      <c r="T54" s="23" t="n"/>
      <c r="U54" s="24">
        <f>IF($B54="","",IF(COUNT(Q54:T54)=0,"",(Q54+R54+S54+T54)/20))</f>
        <v/>
      </c>
      <c r="V54" s="23" t="n"/>
      <c r="X54" s="23" t="n"/>
      <c r="Y54" s="23" t="n"/>
      <c r="Z54" s="23">
        <f t="array" ref="Z54">IFERROR(TEXTJOIN(", ",TRUE,IF(Systems!$B$6:$B$65=$B54,Systems!$C$6:$C$65,"")),"")</f>
        <v/>
      </c>
    </row>
    <row r="55">
      <c r="B55" s="26">
        <f>IF('DMIC List - master'!B55="","",'DMIC List - master'!B55)</f>
        <v/>
      </c>
      <c r="C55" s="26">
        <f>IFERROR(IF(INDEX('DMIC List - master'!$C:$C,MATCH($B55,CONTRACT_ID,0)+5)="","",INDEX('DMIC List - master'!$C:$C,MATCH($B55,CONTRACT_ID,0)+5)),"")</f>
        <v/>
      </c>
      <c r="D55" s="26">
        <f>IFERROR(IF(INDEX('DMIC List - master'!$D:$D,MATCH($B55,CONTRACT_ID,0)+5)="","",INDEX('DMIC List - master'!$D:$D,MATCH($B55,CONTRACT_ID,0)+5)),"")</f>
        <v/>
      </c>
      <c r="E55" s="26">
        <f>IFERROR(IF(INDEX('DMIC List - master'!$E:$E,MATCH($B55,CONTRACT_ID,0)+5)="","",INDEX('DMIC List - master'!$E:$E,MATCH($B55,CONTRACT_ID,0)+5)),"")</f>
        <v/>
      </c>
      <c r="G55" s="26">
        <f>IFERROR(IF(INDEX('DMIC List - master'!$P:$P,MATCH($B55,CONTRACT_ID,0)+5)="","",INDEX('DMIC List - master'!$P:$P,MATCH($B55,CONTRACT_ID,0)+5)),"")</f>
        <v/>
      </c>
      <c r="H55" s="26">
        <f>IFERROR(IF(INDEX('DMIC List - master'!$Q:$Q,MATCH($B55,CONTRACT_ID,0)+5)="","",INDEX('DMIC List - master'!$Q:$Q,MATCH($B55,CONTRACT_ID,0)+5)),"")</f>
        <v/>
      </c>
      <c r="I55" s="26">
        <f>IFERROR(IF(INDEX('DMIC List - master'!$U:$U,MATCH($B55,CONTRACT_ID,0)+5)="","",INDEX('DMIC List - master'!$U:$U,MATCH($B55,CONTRACT_ID,0)+5)),"")</f>
        <v/>
      </c>
      <c r="K55" s="26">
        <f>IFERROR(IF(OR($B55="",COUNTA(INDEX('Competency&amp;Complexity'!$K:$K,MATCH($B55,CC_CONTRACT_ID,0)+5):INDEX('Competency&amp;Complexity'!$P:$P,MATCH($B55,CC_CONTRACT_ID,0)+5))=0),"",ROUND((COUNTIF(INDEX('Competency&amp;Complexity'!$K:$K,MATCH($B55,CC_CONTRACT_ID,0)+5):INDEX('Competency&amp;Complexity'!$P:$P,MATCH($B55,CC_CONTRACT_ID,0)+5),"High")*2+COUNTIF(INDEX('Competency&amp;Complexity'!$K:$K,MATCH($B55,CC_CONTRACT_ID,0)+5):INDEX('Competency&amp;Complexity'!$P:$P,MATCH($B55,CC_CONTRACT_ID,0)+5),"Medium")*1)/12*10,1)),"")</f>
        <v/>
      </c>
      <c r="L55" s="26">
        <f>IFERROR(IF(OR($B55="",COUNTA(INDEX('Competency&amp;Complexity'!$R:$R,MATCH($B55,CC_CONTRACT_ID,0)+5):INDEX('Competency&amp;Complexity'!$V:$V,MATCH($B55,CC_CONTRACT_ID,0)+5))=0),"",ROUND((COUNTIF(INDEX('Competency&amp;Complexity'!$R:$R,MATCH($B55,CC_CONTRACT_ID,0)+5):INDEX('Competency&amp;Complexity'!$V:$V,MATCH($B55,CC_CONTRACT_ID,0)+5),"Low")*2+COUNTIF(INDEX('Competency&amp;Complexity'!$R:$R,MATCH($B55,CC_CONTRACT_ID,0)+5):INDEX('Competency&amp;Complexity'!$V:$V,MATCH($B55,CC_CONTRACT_ID,0)+5),"Medium")*1)/10*10,1)),"")</f>
        <v/>
      </c>
      <c r="N55" s="28" t="n"/>
      <c r="O55" s="26" t="n"/>
      <c r="Q55" s="26" t="n"/>
      <c r="R55" s="26" t="n"/>
      <c r="S55" s="26" t="n"/>
      <c r="T55" s="26" t="n"/>
      <c r="U55" s="27">
        <f>IF($B55="","",IF(COUNT(Q55:T55)=0,"",(Q55+R55+S55+T55)/20))</f>
        <v/>
      </c>
      <c r="V55" s="26" t="n"/>
      <c r="X55" s="26" t="n"/>
      <c r="Y55" s="26" t="n"/>
      <c r="Z55" s="26">
        <f t="array" ref="Z55">IFERROR(TEXTJOIN(", ",TRUE,IF(Systems!$B$6:$B$65=$B55,Systems!$C$6:$C$65,"")),"")</f>
        <v/>
      </c>
    </row>
    <row r="56">
      <c r="B56" s="23">
        <f>IF('DMIC List - master'!B56="","",'DMIC List - master'!B56)</f>
        <v/>
      </c>
      <c r="C56" s="23">
        <f>IFERROR(IF(INDEX('DMIC List - master'!$C:$C,MATCH($B56,CONTRACT_ID,0)+5)="","",INDEX('DMIC List - master'!$C:$C,MATCH($B56,CONTRACT_ID,0)+5)),"")</f>
        <v/>
      </c>
      <c r="D56" s="23">
        <f>IFERROR(IF(INDEX('DMIC List - master'!$D:$D,MATCH($B56,CONTRACT_ID,0)+5)="","",INDEX('DMIC List - master'!$D:$D,MATCH($B56,CONTRACT_ID,0)+5)),"")</f>
        <v/>
      </c>
      <c r="E56" s="23">
        <f>IFERROR(IF(INDEX('DMIC List - master'!$E:$E,MATCH($B56,CONTRACT_ID,0)+5)="","",INDEX('DMIC List - master'!$E:$E,MATCH($B56,CONTRACT_ID,0)+5)),"")</f>
        <v/>
      </c>
      <c r="G56" s="23">
        <f>IFERROR(IF(INDEX('DMIC List - master'!$P:$P,MATCH($B56,CONTRACT_ID,0)+5)="","",INDEX('DMIC List - master'!$P:$P,MATCH($B56,CONTRACT_ID,0)+5)),"")</f>
        <v/>
      </c>
      <c r="H56" s="23">
        <f>IFERROR(IF(INDEX('DMIC List - master'!$Q:$Q,MATCH($B56,CONTRACT_ID,0)+5)="","",INDEX('DMIC List - master'!$Q:$Q,MATCH($B56,CONTRACT_ID,0)+5)),"")</f>
        <v/>
      </c>
      <c r="I56" s="23">
        <f>IFERROR(IF(INDEX('DMIC List - master'!$U:$U,MATCH($B56,CONTRACT_ID,0)+5)="","",INDEX('DMIC List - master'!$U:$U,MATCH($B56,CONTRACT_ID,0)+5)),"")</f>
        <v/>
      </c>
      <c r="K56" s="23">
        <f>IFERROR(IF(OR($B56="",COUNTA(INDEX('Competency&amp;Complexity'!$K:$K,MATCH($B56,CC_CONTRACT_ID,0)+5):INDEX('Competency&amp;Complexity'!$P:$P,MATCH($B56,CC_CONTRACT_ID,0)+5))=0),"",ROUND((COUNTIF(INDEX('Competency&amp;Complexity'!$K:$K,MATCH($B56,CC_CONTRACT_ID,0)+5):INDEX('Competency&amp;Complexity'!$P:$P,MATCH($B56,CC_CONTRACT_ID,0)+5),"High")*2+COUNTIF(INDEX('Competency&amp;Complexity'!$K:$K,MATCH($B56,CC_CONTRACT_ID,0)+5):INDEX('Competency&amp;Complexity'!$P:$P,MATCH($B56,CC_CONTRACT_ID,0)+5),"Medium")*1)/12*10,1)),"")</f>
        <v/>
      </c>
      <c r="L56" s="23">
        <f>IFERROR(IF(OR($B56="",COUNTA(INDEX('Competency&amp;Complexity'!$R:$R,MATCH($B56,CC_CONTRACT_ID,0)+5):INDEX('Competency&amp;Complexity'!$V:$V,MATCH($B56,CC_CONTRACT_ID,0)+5))=0),"",ROUND((COUNTIF(INDEX('Competency&amp;Complexity'!$R:$R,MATCH($B56,CC_CONTRACT_ID,0)+5):INDEX('Competency&amp;Complexity'!$V:$V,MATCH($B56,CC_CONTRACT_ID,0)+5),"Low")*2+COUNTIF(INDEX('Competency&amp;Complexity'!$R:$R,MATCH($B56,CC_CONTRACT_ID,0)+5):INDEX('Competency&amp;Complexity'!$V:$V,MATCH($B56,CC_CONTRACT_ID,0)+5),"Medium")*1)/10*10,1)),"")</f>
        <v/>
      </c>
      <c r="N56" s="25" t="n"/>
      <c r="O56" s="23" t="n"/>
      <c r="Q56" s="23" t="n"/>
      <c r="R56" s="23" t="n"/>
      <c r="S56" s="23" t="n"/>
      <c r="T56" s="23" t="n"/>
      <c r="U56" s="24">
        <f>IF($B56="","",IF(COUNT(Q56:T56)=0,"",(Q56+R56+S56+T56)/20))</f>
        <v/>
      </c>
      <c r="V56" s="23" t="n"/>
      <c r="X56" s="23" t="n"/>
      <c r="Y56" s="23" t="n"/>
      <c r="Z56" s="23">
        <f t="array" ref="Z56">IFERROR(TEXTJOIN(", ",TRUE,IF(Systems!$B$6:$B$65=$B56,Systems!$C$6:$C$65,"")),"")</f>
        <v/>
      </c>
    </row>
    <row r="57">
      <c r="B57" s="26">
        <f>IF('DMIC List - master'!B57="","",'DMIC List - master'!B57)</f>
        <v/>
      </c>
      <c r="C57" s="26">
        <f>IFERROR(IF(INDEX('DMIC List - master'!$C:$C,MATCH($B57,CONTRACT_ID,0)+5)="","",INDEX('DMIC List - master'!$C:$C,MATCH($B57,CONTRACT_ID,0)+5)),"")</f>
        <v/>
      </c>
      <c r="D57" s="26">
        <f>IFERROR(IF(INDEX('DMIC List - master'!$D:$D,MATCH($B57,CONTRACT_ID,0)+5)="","",INDEX('DMIC List - master'!$D:$D,MATCH($B57,CONTRACT_ID,0)+5)),"")</f>
        <v/>
      </c>
      <c r="E57" s="26">
        <f>IFERROR(IF(INDEX('DMIC List - master'!$E:$E,MATCH($B57,CONTRACT_ID,0)+5)="","",INDEX('DMIC List - master'!$E:$E,MATCH($B57,CONTRACT_ID,0)+5)),"")</f>
        <v/>
      </c>
      <c r="G57" s="26">
        <f>IFERROR(IF(INDEX('DMIC List - master'!$P:$P,MATCH($B57,CONTRACT_ID,0)+5)="","",INDEX('DMIC List - master'!$P:$P,MATCH($B57,CONTRACT_ID,0)+5)),"")</f>
        <v/>
      </c>
      <c r="H57" s="26">
        <f>IFERROR(IF(INDEX('DMIC List - master'!$Q:$Q,MATCH($B57,CONTRACT_ID,0)+5)="","",INDEX('DMIC List - master'!$Q:$Q,MATCH($B57,CONTRACT_ID,0)+5)),"")</f>
        <v/>
      </c>
      <c r="I57" s="26">
        <f>IFERROR(IF(INDEX('DMIC List - master'!$U:$U,MATCH($B57,CONTRACT_ID,0)+5)="","",INDEX('DMIC List - master'!$U:$U,MATCH($B57,CONTRACT_ID,0)+5)),"")</f>
        <v/>
      </c>
      <c r="K57" s="26">
        <f>IFERROR(IF(OR($B57="",COUNTA(INDEX('Competency&amp;Complexity'!$K:$K,MATCH($B57,CC_CONTRACT_ID,0)+5):INDEX('Competency&amp;Complexity'!$P:$P,MATCH($B57,CC_CONTRACT_ID,0)+5))=0),"",ROUND((COUNTIF(INDEX('Competency&amp;Complexity'!$K:$K,MATCH($B57,CC_CONTRACT_ID,0)+5):INDEX('Competency&amp;Complexity'!$P:$P,MATCH($B57,CC_CONTRACT_ID,0)+5),"High")*2+COUNTIF(INDEX('Competency&amp;Complexity'!$K:$K,MATCH($B57,CC_CONTRACT_ID,0)+5):INDEX('Competency&amp;Complexity'!$P:$P,MATCH($B57,CC_CONTRACT_ID,0)+5),"Medium")*1)/12*10,1)),"")</f>
        <v/>
      </c>
      <c r="L57" s="26">
        <f>IFERROR(IF(OR($B57="",COUNTA(INDEX('Competency&amp;Complexity'!$R:$R,MATCH($B57,CC_CONTRACT_ID,0)+5):INDEX('Competency&amp;Complexity'!$V:$V,MATCH($B57,CC_CONTRACT_ID,0)+5))=0),"",ROUND((COUNTIF(INDEX('Competency&amp;Complexity'!$R:$R,MATCH($B57,CC_CONTRACT_ID,0)+5):INDEX('Competency&amp;Complexity'!$V:$V,MATCH($B57,CC_CONTRACT_ID,0)+5),"Low")*2+COUNTIF(INDEX('Competency&amp;Complexity'!$R:$R,MATCH($B57,CC_CONTRACT_ID,0)+5):INDEX('Competency&amp;Complexity'!$V:$V,MATCH($B57,CC_CONTRACT_ID,0)+5),"Medium")*1)/10*10,1)),"")</f>
        <v/>
      </c>
      <c r="N57" s="28" t="n"/>
      <c r="O57" s="26" t="n"/>
      <c r="Q57" s="26" t="n"/>
      <c r="R57" s="26" t="n"/>
      <c r="S57" s="26" t="n"/>
      <c r="T57" s="26" t="n"/>
      <c r="U57" s="27">
        <f>IF($B57="","",IF(COUNT(Q57:T57)=0,"",(Q57+R57+S57+T57)/20))</f>
        <v/>
      </c>
      <c r="V57" s="26" t="n"/>
      <c r="X57" s="26" t="n"/>
      <c r="Y57" s="26" t="n"/>
      <c r="Z57" s="26">
        <f t="array" ref="Z57">IFERROR(TEXTJOIN(", ",TRUE,IF(Systems!$B$6:$B$65=$B57,Systems!$C$6:$C$65,"")),"")</f>
        <v/>
      </c>
    </row>
    <row r="58">
      <c r="B58" s="23">
        <f>IF('DMIC List - master'!B58="","",'DMIC List - master'!B58)</f>
        <v/>
      </c>
      <c r="C58" s="23">
        <f>IFERROR(IF(INDEX('DMIC List - master'!$C:$C,MATCH($B58,CONTRACT_ID,0)+5)="","",INDEX('DMIC List - master'!$C:$C,MATCH($B58,CONTRACT_ID,0)+5)),"")</f>
        <v/>
      </c>
      <c r="D58" s="23">
        <f>IFERROR(IF(INDEX('DMIC List - master'!$D:$D,MATCH($B58,CONTRACT_ID,0)+5)="","",INDEX('DMIC List - master'!$D:$D,MATCH($B58,CONTRACT_ID,0)+5)),"")</f>
        <v/>
      </c>
      <c r="E58" s="23">
        <f>IFERROR(IF(INDEX('DMIC List - master'!$E:$E,MATCH($B58,CONTRACT_ID,0)+5)="","",INDEX('DMIC List - master'!$E:$E,MATCH($B58,CONTRACT_ID,0)+5)),"")</f>
        <v/>
      </c>
      <c r="G58" s="23">
        <f>IFERROR(IF(INDEX('DMIC List - master'!$P:$P,MATCH($B58,CONTRACT_ID,0)+5)="","",INDEX('DMIC List - master'!$P:$P,MATCH($B58,CONTRACT_ID,0)+5)),"")</f>
        <v/>
      </c>
      <c r="H58" s="23">
        <f>IFERROR(IF(INDEX('DMIC List - master'!$Q:$Q,MATCH($B58,CONTRACT_ID,0)+5)="","",INDEX('DMIC List - master'!$Q:$Q,MATCH($B58,CONTRACT_ID,0)+5)),"")</f>
        <v/>
      </c>
      <c r="I58" s="23">
        <f>IFERROR(IF(INDEX('DMIC List - master'!$U:$U,MATCH($B58,CONTRACT_ID,0)+5)="","",INDEX('DMIC List - master'!$U:$U,MATCH($B58,CONTRACT_ID,0)+5)),"")</f>
        <v/>
      </c>
      <c r="K58" s="23">
        <f>IFERROR(IF(OR($B58="",COUNTA(INDEX('Competency&amp;Complexity'!$K:$K,MATCH($B58,CC_CONTRACT_ID,0)+5):INDEX('Competency&amp;Complexity'!$P:$P,MATCH($B58,CC_CONTRACT_ID,0)+5))=0),"",ROUND((COUNTIF(INDEX('Competency&amp;Complexity'!$K:$K,MATCH($B58,CC_CONTRACT_ID,0)+5):INDEX('Competency&amp;Complexity'!$P:$P,MATCH($B58,CC_CONTRACT_ID,0)+5),"High")*2+COUNTIF(INDEX('Competency&amp;Complexity'!$K:$K,MATCH($B58,CC_CONTRACT_ID,0)+5):INDEX('Competency&amp;Complexity'!$P:$P,MATCH($B58,CC_CONTRACT_ID,0)+5),"Medium")*1)/12*10,1)),"")</f>
        <v/>
      </c>
      <c r="L58" s="23">
        <f>IFERROR(IF(OR($B58="",COUNTA(INDEX('Competency&amp;Complexity'!$R:$R,MATCH($B58,CC_CONTRACT_ID,0)+5):INDEX('Competency&amp;Complexity'!$V:$V,MATCH($B58,CC_CONTRACT_ID,0)+5))=0),"",ROUND((COUNTIF(INDEX('Competency&amp;Complexity'!$R:$R,MATCH($B58,CC_CONTRACT_ID,0)+5):INDEX('Competency&amp;Complexity'!$V:$V,MATCH($B58,CC_CONTRACT_ID,0)+5),"Low")*2+COUNTIF(INDEX('Competency&amp;Complexity'!$R:$R,MATCH($B58,CC_CONTRACT_ID,0)+5):INDEX('Competency&amp;Complexity'!$V:$V,MATCH($B58,CC_CONTRACT_ID,0)+5),"Medium")*1)/10*10,1)),"")</f>
        <v/>
      </c>
      <c r="N58" s="25" t="n"/>
      <c r="O58" s="23" t="n"/>
      <c r="Q58" s="23" t="n"/>
      <c r="R58" s="23" t="n"/>
      <c r="S58" s="23" t="n"/>
      <c r="T58" s="23" t="n"/>
      <c r="U58" s="24">
        <f>IF($B58="","",IF(COUNT(Q58:T58)=0,"",(Q58+R58+S58+T58)/20))</f>
        <v/>
      </c>
      <c r="V58" s="23" t="n"/>
      <c r="X58" s="23" t="n"/>
      <c r="Y58" s="23" t="n"/>
      <c r="Z58" s="23">
        <f t="array" ref="Z58">IFERROR(TEXTJOIN(", ",TRUE,IF(Systems!$B$6:$B$65=$B58,Systems!$C$6:$C$65,"")),"")</f>
        <v/>
      </c>
    </row>
    <row r="59">
      <c r="B59" s="26">
        <f>IF('DMIC List - master'!B59="","",'DMIC List - master'!B59)</f>
        <v/>
      </c>
      <c r="C59" s="26">
        <f>IFERROR(IF(INDEX('DMIC List - master'!$C:$C,MATCH($B59,CONTRACT_ID,0)+5)="","",INDEX('DMIC List - master'!$C:$C,MATCH($B59,CONTRACT_ID,0)+5)),"")</f>
        <v/>
      </c>
      <c r="D59" s="26">
        <f>IFERROR(IF(INDEX('DMIC List - master'!$D:$D,MATCH($B59,CONTRACT_ID,0)+5)="","",INDEX('DMIC List - master'!$D:$D,MATCH($B59,CONTRACT_ID,0)+5)),"")</f>
        <v/>
      </c>
      <c r="E59" s="26">
        <f>IFERROR(IF(INDEX('DMIC List - master'!$E:$E,MATCH($B59,CONTRACT_ID,0)+5)="","",INDEX('DMIC List - master'!$E:$E,MATCH($B59,CONTRACT_ID,0)+5)),"")</f>
        <v/>
      </c>
      <c r="G59" s="26">
        <f>IFERROR(IF(INDEX('DMIC List - master'!$P:$P,MATCH($B59,CONTRACT_ID,0)+5)="","",INDEX('DMIC List - master'!$P:$P,MATCH($B59,CONTRACT_ID,0)+5)),"")</f>
        <v/>
      </c>
      <c r="H59" s="26">
        <f>IFERROR(IF(INDEX('DMIC List - master'!$Q:$Q,MATCH($B59,CONTRACT_ID,0)+5)="","",INDEX('DMIC List - master'!$Q:$Q,MATCH($B59,CONTRACT_ID,0)+5)),"")</f>
        <v/>
      </c>
      <c r="I59" s="26">
        <f>IFERROR(IF(INDEX('DMIC List - master'!$U:$U,MATCH($B59,CONTRACT_ID,0)+5)="","",INDEX('DMIC List - master'!$U:$U,MATCH($B59,CONTRACT_ID,0)+5)),"")</f>
        <v/>
      </c>
      <c r="K59" s="26">
        <f>IFERROR(IF(OR($B59="",COUNTA(INDEX('Competency&amp;Complexity'!$K:$K,MATCH($B59,CC_CONTRACT_ID,0)+5):INDEX('Competency&amp;Complexity'!$P:$P,MATCH($B59,CC_CONTRACT_ID,0)+5))=0),"",ROUND((COUNTIF(INDEX('Competency&amp;Complexity'!$K:$K,MATCH($B59,CC_CONTRACT_ID,0)+5):INDEX('Competency&amp;Complexity'!$P:$P,MATCH($B59,CC_CONTRACT_ID,0)+5),"High")*2+COUNTIF(INDEX('Competency&amp;Complexity'!$K:$K,MATCH($B59,CC_CONTRACT_ID,0)+5):INDEX('Competency&amp;Complexity'!$P:$P,MATCH($B59,CC_CONTRACT_ID,0)+5),"Medium")*1)/12*10,1)),"")</f>
        <v/>
      </c>
      <c r="L59" s="26">
        <f>IFERROR(IF(OR($B59="",COUNTA(INDEX('Competency&amp;Complexity'!$R:$R,MATCH($B59,CC_CONTRACT_ID,0)+5):INDEX('Competency&amp;Complexity'!$V:$V,MATCH($B59,CC_CONTRACT_ID,0)+5))=0),"",ROUND((COUNTIF(INDEX('Competency&amp;Complexity'!$R:$R,MATCH($B59,CC_CONTRACT_ID,0)+5):INDEX('Competency&amp;Complexity'!$V:$V,MATCH($B59,CC_CONTRACT_ID,0)+5),"Low")*2+COUNTIF(INDEX('Competency&amp;Complexity'!$R:$R,MATCH($B59,CC_CONTRACT_ID,0)+5):INDEX('Competency&amp;Complexity'!$V:$V,MATCH($B59,CC_CONTRACT_ID,0)+5),"Medium")*1)/10*10,1)),"")</f>
        <v/>
      </c>
      <c r="N59" s="28" t="n"/>
      <c r="O59" s="26" t="n"/>
      <c r="Q59" s="26" t="n"/>
      <c r="R59" s="26" t="n"/>
      <c r="S59" s="26" t="n"/>
      <c r="T59" s="26" t="n"/>
      <c r="U59" s="27">
        <f>IF($B59="","",IF(COUNT(Q59:T59)=0,"",(Q59+R59+S59+T59)/20))</f>
        <v/>
      </c>
      <c r="V59" s="26" t="n"/>
      <c r="X59" s="26" t="n"/>
      <c r="Y59" s="26" t="n"/>
      <c r="Z59" s="26">
        <f t="array" ref="Z59">IFERROR(TEXTJOIN(", ",TRUE,IF(Systems!$B$6:$B$65=$B59,Systems!$C$6:$C$65,"")),"")</f>
        <v/>
      </c>
    </row>
    <row r="60">
      <c r="B60" s="23">
        <f>IF('DMIC List - master'!B60="","",'DMIC List - master'!B60)</f>
        <v/>
      </c>
      <c r="C60" s="23">
        <f>IFERROR(IF(INDEX('DMIC List - master'!$C:$C,MATCH($B60,CONTRACT_ID,0)+5)="","",INDEX('DMIC List - master'!$C:$C,MATCH($B60,CONTRACT_ID,0)+5)),"")</f>
        <v/>
      </c>
      <c r="D60" s="23">
        <f>IFERROR(IF(INDEX('DMIC List - master'!$D:$D,MATCH($B60,CONTRACT_ID,0)+5)="","",INDEX('DMIC List - master'!$D:$D,MATCH($B60,CONTRACT_ID,0)+5)),"")</f>
        <v/>
      </c>
      <c r="E60" s="23">
        <f>IFERROR(IF(INDEX('DMIC List - master'!$E:$E,MATCH($B60,CONTRACT_ID,0)+5)="","",INDEX('DMIC List - master'!$E:$E,MATCH($B60,CONTRACT_ID,0)+5)),"")</f>
        <v/>
      </c>
      <c r="G60" s="23">
        <f>IFERROR(IF(INDEX('DMIC List - master'!$P:$P,MATCH($B60,CONTRACT_ID,0)+5)="","",INDEX('DMIC List - master'!$P:$P,MATCH($B60,CONTRACT_ID,0)+5)),"")</f>
        <v/>
      </c>
      <c r="H60" s="23">
        <f>IFERROR(IF(INDEX('DMIC List - master'!$Q:$Q,MATCH($B60,CONTRACT_ID,0)+5)="","",INDEX('DMIC List - master'!$Q:$Q,MATCH($B60,CONTRACT_ID,0)+5)),"")</f>
        <v/>
      </c>
      <c r="I60" s="23">
        <f>IFERROR(IF(INDEX('DMIC List - master'!$U:$U,MATCH($B60,CONTRACT_ID,0)+5)="","",INDEX('DMIC List - master'!$U:$U,MATCH($B60,CONTRACT_ID,0)+5)),"")</f>
        <v/>
      </c>
      <c r="K60" s="23">
        <f>IFERROR(IF(OR($B60="",COUNTA(INDEX('Competency&amp;Complexity'!$K:$K,MATCH($B60,CC_CONTRACT_ID,0)+5):INDEX('Competency&amp;Complexity'!$P:$P,MATCH($B60,CC_CONTRACT_ID,0)+5))=0),"",ROUND((COUNTIF(INDEX('Competency&amp;Complexity'!$K:$K,MATCH($B60,CC_CONTRACT_ID,0)+5):INDEX('Competency&amp;Complexity'!$P:$P,MATCH($B60,CC_CONTRACT_ID,0)+5),"High")*2+COUNTIF(INDEX('Competency&amp;Complexity'!$K:$K,MATCH($B60,CC_CONTRACT_ID,0)+5):INDEX('Competency&amp;Complexity'!$P:$P,MATCH($B60,CC_CONTRACT_ID,0)+5),"Medium")*1)/12*10,1)),"")</f>
        <v/>
      </c>
      <c r="L60" s="23">
        <f>IFERROR(IF(OR($B60="",COUNTA(INDEX('Competency&amp;Complexity'!$R:$R,MATCH($B60,CC_CONTRACT_ID,0)+5):INDEX('Competency&amp;Complexity'!$V:$V,MATCH($B60,CC_CONTRACT_ID,0)+5))=0),"",ROUND((COUNTIF(INDEX('Competency&amp;Complexity'!$R:$R,MATCH($B60,CC_CONTRACT_ID,0)+5):INDEX('Competency&amp;Complexity'!$V:$V,MATCH($B60,CC_CONTRACT_ID,0)+5),"Low")*2+COUNTIF(INDEX('Competency&amp;Complexity'!$R:$R,MATCH($B60,CC_CONTRACT_ID,0)+5):INDEX('Competency&amp;Complexity'!$V:$V,MATCH($B60,CC_CONTRACT_ID,0)+5),"Medium")*1)/10*10,1)),"")</f>
        <v/>
      </c>
      <c r="N60" s="25" t="n"/>
      <c r="O60" s="23" t="n"/>
      <c r="Q60" s="23" t="n"/>
      <c r="R60" s="23" t="n"/>
      <c r="S60" s="23" t="n"/>
      <c r="T60" s="23" t="n"/>
      <c r="U60" s="24">
        <f>IF($B60="","",IF(COUNT(Q60:T60)=0,"",(Q60+R60+S60+T60)/20))</f>
        <v/>
      </c>
      <c r="V60" s="23" t="n"/>
      <c r="X60" s="23" t="n"/>
      <c r="Y60" s="23" t="n"/>
      <c r="Z60" s="23">
        <f t="array" ref="Z60">IFERROR(TEXTJOIN(", ",TRUE,IF(Systems!$B$6:$B$65=$B60,Systems!$C$6:$C$65,"")),"")</f>
        <v/>
      </c>
    </row>
    <row r="61">
      <c r="B61" s="26">
        <f>IF('DMIC List - master'!B61="","",'DMIC List - master'!B61)</f>
        <v/>
      </c>
      <c r="C61" s="26">
        <f>IFERROR(IF(INDEX('DMIC List - master'!$C:$C,MATCH($B61,CONTRACT_ID,0)+5)="","",INDEX('DMIC List - master'!$C:$C,MATCH($B61,CONTRACT_ID,0)+5)),"")</f>
        <v/>
      </c>
      <c r="D61" s="26">
        <f>IFERROR(IF(INDEX('DMIC List - master'!$D:$D,MATCH($B61,CONTRACT_ID,0)+5)="","",INDEX('DMIC List - master'!$D:$D,MATCH($B61,CONTRACT_ID,0)+5)),"")</f>
        <v/>
      </c>
      <c r="E61" s="26">
        <f>IFERROR(IF(INDEX('DMIC List - master'!$E:$E,MATCH($B61,CONTRACT_ID,0)+5)="","",INDEX('DMIC List - master'!$E:$E,MATCH($B61,CONTRACT_ID,0)+5)),"")</f>
        <v/>
      </c>
      <c r="G61" s="26">
        <f>IFERROR(IF(INDEX('DMIC List - master'!$P:$P,MATCH($B61,CONTRACT_ID,0)+5)="","",INDEX('DMIC List - master'!$P:$P,MATCH($B61,CONTRACT_ID,0)+5)),"")</f>
        <v/>
      </c>
      <c r="H61" s="26">
        <f>IFERROR(IF(INDEX('DMIC List - master'!$Q:$Q,MATCH($B61,CONTRACT_ID,0)+5)="","",INDEX('DMIC List - master'!$Q:$Q,MATCH($B61,CONTRACT_ID,0)+5)),"")</f>
        <v/>
      </c>
      <c r="I61" s="26">
        <f>IFERROR(IF(INDEX('DMIC List - master'!$U:$U,MATCH($B61,CONTRACT_ID,0)+5)="","",INDEX('DMIC List - master'!$U:$U,MATCH($B61,CONTRACT_ID,0)+5)),"")</f>
        <v/>
      </c>
      <c r="K61" s="26">
        <f>IFERROR(IF(OR($B61="",COUNTA(INDEX('Competency&amp;Complexity'!$K:$K,MATCH($B61,CC_CONTRACT_ID,0)+5):INDEX('Competency&amp;Complexity'!$P:$P,MATCH($B61,CC_CONTRACT_ID,0)+5))=0),"",ROUND((COUNTIF(INDEX('Competency&amp;Complexity'!$K:$K,MATCH($B61,CC_CONTRACT_ID,0)+5):INDEX('Competency&amp;Complexity'!$P:$P,MATCH($B61,CC_CONTRACT_ID,0)+5),"High")*2+COUNTIF(INDEX('Competency&amp;Complexity'!$K:$K,MATCH($B61,CC_CONTRACT_ID,0)+5):INDEX('Competency&amp;Complexity'!$P:$P,MATCH($B61,CC_CONTRACT_ID,0)+5),"Medium")*1)/12*10,1)),"")</f>
        <v/>
      </c>
      <c r="L61" s="26">
        <f>IFERROR(IF(OR($B61="",COUNTA(INDEX('Competency&amp;Complexity'!$R:$R,MATCH($B61,CC_CONTRACT_ID,0)+5):INDEX('Competency&amp;Complexity'!$V:$V,MATCH($B61,CC_CONTRACT_ID,0)+5))=0),"",ROUND((COUNTIF(INDEX('Competency&amp;Complexity'!$R:$R,MATCH($B61,CC_CONTRACT_ID,0)+5):INDEX('Competency&amp;Complexity'!$V:$V,MATCH($B61,CC_CONTRACT_ID,0)+5),"Low")*2+COUNTIF(INDEX('Competency&amp;Complexity'!$R:$R,MATCH($B61,CC_CONTRACT_ID,0)+5):INDEX('Competency&amp;Complexity'!$V:$V,MATCH($B61,CC_CONTRACT_ID,0)+5),"Medium")*1)/10*10,1)),"")</f>
        <v/>
      </c>
      <c r="N61" s="28" t="n"/>
      <c r="O61" s="26" t="n"/>
      <c r="Q61" s="26" t="n"/>
      <c r="R61" s="26" t="n"/>
      <c r="S61" s="26" t="n"/>
      <c r="T61" s="26" t="n"/>
      <c r="U61" s="27">
        <f>IF($B61="","",IF(COUNT(Q61:T61)=0,"",(Q61+R61+S61+T61)/20))</f>
        <v/>
      </c>
      <c r="V61" s="26" t="n"/>
      <c r="X61" s="26" t="n"/>
      <c r="Y61" s="26" t="n"/>
      <c r="Z61" s="26">
        <f t="array" ref="Z61">IFERROR(TEXTJOIN(", ",TRUE,IF(Systems!$B$6:$B$65=$B61,Systems!$C$6:$C$65,"")),"")</f>
        <v/>
      </c>
    </row>
    <row r="62">
      <c r="B62" s="23">
        <f>IF('DMIC List - master'!B62="","",'DMIC List - master'!B62)</f>
        <v/>
      </c>
      <c r="C62" s="23">
        <f>IFERROR(IF(INDEX('DMIC List - master'!$C:$C,MATCH($B62,CONTRACT_ID,0)+5)="","",INDEX('DMIC List - master'!$C:$C,MATCH($B62,CONTRACT_ID,0)+5)),"")</f>
        <v/>
      </c>
      <c r="D62" s="23">
        <f>IFERROR(IF(INDEX('DMIC List - master'!$D:$D,MATCH($B62,CONTRACT_ID,0)+5)="","",INDEX('DMIC List - master'!$D:$D,MATCH($B62,CONTRACT_ID,0)+5)),"")</f>
        <v/>
      </c>
      <c r="E62" s="23">
        <f>IFERROR(IF(INDEX('DMIC List - master'!$E:$E,MATCH($B62,CONTRACT_ID,0)+5)="","",INDEX('DMIC List - master'!$E:$E,MATCH($B62,CONTRACT_ID,0)+5)),"")</f>
        <v/>
      </c>
      <c r="G62" s="23">
        <f>IFERROR(IF(INDEX('DMIC List - master'!$P:$P,MATCH($B62,CONTRACT_ID,0)+5)="","",INDEX('DMIC List - master'!$P:$P,MATCH($B62,CONTRACT_ID,0)+5)),"")</f>
        <v/>
      </c>
      <c r="H62" s="23">
        <f>IFERROR(IF(INDEX('DMIC List - master'!$Q:$Q,MATCH($B62,CONTRACT_ID,0)+5)="","",INDEX('DMIC List - master'!$Q:$Q,MATCH($B62,CONTRACT_ID,0)+5)),"")</f>
        <v/>
      </c>
      <c r="I62" s="23">
        <f>IFERROR(IF(INDEX('DMIC List - master'!$U:$U,MATCH($B62,CONTRACT_ID,0)+5)="","",INDEX('DMIC List - master'!$U:$U,MATCH($B62,CONTRACT_ID,0)+5)),"")</f>
        <v/>
      </c>
      <c r="K62" s="23">
        <f>IFERROR(IF(OR($B62="",COUNTA(INDEX('Competency&amp;Complexity'!$K:$K,MATCH($B62,CC_CONTRACT_ID,0)+5):INDEX('Competency&amp;Complexity'!$P:$P,MATCH($B62,CC_CONTRACT_ID,0)+5))=0),"",ROUND((COUNTIF(INDEX('Competency&amp;Complexity'!$K:$K,MATCH($B62,CC_CONTRACT_ID,0)+5):INDEX('Competency&amp;Complexity'!$P:$P,MATCH($B62,CC_CONTRACT_ID,0)+5),"High")*2+COUNTIF(INDEX('Competency&amp;Complexity'!$K:$K,MATCH($B62,CC_CONTRACT_ID,0)+5):INDEX('Competency&amp;Complexity'!$P:$P,MATCH($B62,CC_CONTRACT_ID,0)+5),"Medium")*1)/12*10,1)),"")</f>
        <v/>
      </c>
      <c r="L62" s="23">
        <f>IFERROR(IF(OR($B62="",COUNTA(INDEX('Competency&amp;Complexity'!$R:$R,MATCH($B62,CC_CONTRACT_ID,0)+5):INDEX('Competency&amp;Complexity'!$V:$V,MATCH($B62,CC_CONTRACT_ID,0)+5))=0),"",ROUND((COUNTIF(INDEX('Competency&amp;Complexity'!$R:$R,MATCH($B62,CC_CONTRACT_ID,0)+5):INDEX('Competency&amp;Complexity'!$V:$V,MATCH($B62,CC_CONTRACT_ID,0)+5),"Low")*2+COUNTIF(INDEX('Competency&amp;Complexity'!$R:$R,MATCH($B62,CC_CONTRACT_ID,0)+5):INDEX('Competency&amp;Complexity'!$V:$V,MATCH($B62,CC_CONTRACT_ID,0)+5),"Medium")*1)/10*10,1)),"")</f>
        <v/>
      </c>
      <c r="N62" s="25" t="n"/>
      <c r="O62" s="23" t="n"/>
      <c r="Q62" s="23" t="n"/>
      <c r="R62" s="23" t="n"/>
      <c r="S62" s="23" t="n"/>
      <c r="T62" s="23" t="n"/>
      <c r="U62" s="24">
        <f>IF($B62="","",IF(COUNT(Q62:T62)=0,"",(Q62+R62+S62+T62)/20))</f>
        <v/>
      </c>
      <c r="V62" s="23" t="n"/>
      <c r="X62" s="23" t="n"/>
      <c r="Y62" s="23" t="n"/>
      <c r="Z62" s="23">
        <f t="array" ref="Z62">IFERROR(TEXTJOIN(", ",TRUE,IF(Systems!$B$6:$B$65=$B62,Systems!$C$6:$C$65,"")),"")</f>
        <v/>
      </c>
    </row>
    <row r="63">
      <c r="B63" s="26">
        <f>IF('DMIC List - master'!B63="","",'DMIC List - master'!B63)</f>
        <v/>
      </c>
      <c r="C63" s="26">
        <f>IFERROR(IF(INDEX('DMIC List - master'!$C:$C,MATCH($B63,CONTRACT_ID,0)+5)="","",INDEX('DMIC List - master'!$C:$C,MATCH($B63,CONTRACT_ID,0)+5)),"")</f>
        <v/>
      </c>
      <c r="D63" s="26">
        <f>IFERROR(IF(INDEX('DMIC List - master'!$D:$D,MATCH($B63,CONTRACT_ID,0)+5)="","",INDEX('DMIC List - master'!$D:$D,MATCH($B63,CONTRACT_ID,0)+5)),"")</f>
        <v/>
      </c>
      <c r="E63" s="26">
        <f>IFERROR(IF(INDEX('DMIC List - master'!$E:$E,MATCH($B63,CONTRACT_ID,0)+5)="","",INDEX('DMIC List - master'!$E:$E,MATCH($B63,CONTRACT_ID,0)+5)),"")</f>
        <v/>
      </c>
      <c r="G63" s="26">
        <f>IFERROR(IF(INDEX('DMIC List - master'!$P:$P,MATCH($B63,CONTRACT_ID,0)+5)="","",INDEX('DMIC List - master'!$P:$P,MATCH($B63,CONTRACT_ID,0)+5)),"")</f>
        <v/>
      </c>
      <c r="H63" s="26">
        <f>IFERROR(IF(INDEX('DMIC List - master'!$Q:$Q,MATCH($B63,CONTRACT_ID,0)+5)="","",INDEX('DMIC List - master'!$Q:$Q,MATCH($B63,CONTRACT_ID,0)+5)),"")</f>
        <v/>
      </c>
      <c r="I63" s="26">
        <f>IFERROR(IF(INDEX('DMIC List - master'!$U:$U,MATCH($B63,CONTRACT_ID,0)+5)="","",INDEX('DMIC List - master'!$U:$U,MATCH($B63,CONTRACT_ID,0)+5)),"")</f>
        <v/>
      </c>
      <c r="K63" s="26">
        <f>IFERROR(IF(OR($B63="",COUNTA(INDEX('Competency&amp;Complexity'!$K:$K,MATCH($B63,CC_CONTRACT_ID,0)+5):INDEX('Competency&amp;Complexity'!$P:$P,MATCH($B63,CC_CONTRACT_ID,0)+5))=0),"",ROUND((COUNTIF(INDEX('Competency&amp;Complexity'!$K:$K,MATCH($B63,CC_CONTRACT_ID,0)+5):INDEX('Competency&amp;Complexity'!$P:$P,MATCH($B63,CC_CONTRACT_ID,0)+5),"High")*2+COUNTIF(INDEX('Competency&amp;Complexity'!$K:$K,MATCH($B63,CC_CONTRACT_ID,0)+5):INDEX('Competency&amp;Complexity'!$P:$P,MATCH($B63,CC_CONTRACT_ID,0)+5),"Medium")*1)/12*10,1)),"")</f>
        <v/>
      </c>
      <c r="L63" s="26">
        <f>IFERROR(IF(OR($B63="",COUNTA(INDEX('Competency&amp;Complexity'!$R:$R,MATCH($B63,CC_CONTRACT_ID,0)+5):INDEX('Competency&amp;Complexity'!$V:$V,MATCH($B63,CC_CONTRACT_ID,0)+5))=0),"",ROUND((COUNTIF(INDEX('Competency&amp;Complexity'!$R:$R,MATCH($B63,CC_CONTRACT_ID,0)+5):INDEX('Competency&amp;Complexity'!$V:$V,MATCH($B63,CC_CONTRACT_ID,0)+5),"Low")*2+COUNTIF(INDEX('Competency&amp;Complexity'!$R:$R,MATCH($B63,CC_CONTRACT_ID,0)+5):INDEX('Competency&amp;Complexity'!$V:$V,MATCH($B63,CC_CONTRACT_ID,0)+5),"Medium")*1)/10*10,1)),"")</f>
        <v/>
      </c>
      <c r="N63" s="28" t="n"/>
      <c r="O63" s="26" t="n"/>
      <c r="Q63" s="26" t="n"/>
      <c r="R63" s="26" t="n"/>
      <c r="S63" s="26" t="n"/>
      <c r="T63" s="26" t="n"/>
      <c r="U63" s="27">
        <f>IF($B63="","",IF(COUNT(Q63:T63)=0,"",(Q63+R63+S63+T63)/20))</f>
        <v/>
      </c>
      <c r="V63" s="26" t="n"/>
      <c r="X63" s="26" t="n"/>
      <c r="Y63" s="26" t="n"/>
      <c r="Z63" s="26">
        <f t="array" ref="Z63">IFERROR(TEXTJOIN(", ",TRUE,IF(Systems!$B$6:$B$65=$B63,Systems!$C$6:$C$65,"")),"")</f>
        <v/>
      </c>
    </row>
    <row r="64">
      <c r="B64" s="23">
        <f>IF('DMIC List - master'!B64="","",'DMIC List - master'!B64)</f>
        <v/>
      </c>
      <c r="C64" s="23">
        <f>IFERROR(IF(INDEX('DMIC List - master'!$C:$C,MATCH($B64,CONTRACT_ID,0)+5)="","",INDEX('DMIC List - master'!$C:$C,MATCH($B64,CONTRACT_ID,0)+5)),"")</f>
        <v/>
      </c>
      <c r="D64" s="23">
        <f>IFERROR(IF(INDEX('DMIC List - master'!$D:$D,MATCH($B64,CONTRACT_ID,0)+5)="","",INDEX('DMIC List - master'!$D:$D,MATCH($B64,CONTRACT_ID,0)+5)),"")</f>
        <v/>
      </c>
      <c r="E64" s="23">
        <f>IFERROR(IF(INDEX('DMIC List - master'!$E:$E,MATCH($B64,CONTRACT_ID,0)+5)="","",INDEX('DMIC List - master'!$E:$E,MATCH($B64,CONTRACT_ID,0)+5)),"")</f>
        <v/>
      </c>
      <c r="G64" s="23">
        <f>IFERROR(IF(INDEX('DMIC List - master'!$P:$P,MATCH($B64,CONTRACT_ID,0)+5)="","",INDEX('DMIC List - master'!$P:$P,MATCH($B64,CONTRACT_ID,0)+5)),"")</f>
        <v/>
      </c>
      <c r="H64" s="23">
        <f>IFERROR(IF(INDEX('DMIC List - master'!$Q:$Q,MATCH($B64,CONTRACT_ID,0)+5)="","",INDEX('DMIC List - master'!$Q:$Q,MATCH($B64,CONTRACT_ID,0)+5)),"")</f>
        <v/>
      </c>
      <c r="I64" s="23">
        <f>IFERROR(IF(INDEX('DMIC List - master'!$U:$U,MATCH($B64,CONTRACT_ID,0)+5)="","",INDEX('DMIC List - master'!$U:$U,MATCH($B64,CONTRACT_ID,0)+5)),"")</f>
        <v/>
      </c>
      <c r="K64" s="23">
        <f>IFERROR(IF(OR($B64="",COUNTA(INDEX('Competency&amp;Complexity'!$K:$K,MATCH($B64,CC_CONTRACT_ID,0)+5):INDEX('Competency&amp;Complexity'!$P:$P,MATCH($B64,CC_CONTRACT_ID,0)+5))=0),"",ROUND((COUNTIF(INDEX('Competency&amp;Complexity'!$K:$K,MATCH($B64,CC_CONTRACT_ID,0)+5):INDEX('Competency&amp;Complexity'!$P:$P,MATCH($B64,CC_CONTRACT_ID,0)+5),"High")*2+COUNTIF(INDEX('Competency&amp;Complexity'!$K:$K,MATCH($B64,CC_CONTRACT_ID,0)+5):INDEX('Competency&amp;Complexity'!$P:$P,MATCH($B64,CC_CONTRACT_ID,0)+5),"Medium")*1)/12*10,1)),"")</f>
        <v/>
      </c>
      <c r="L64" s="23">
        <f>IFERROR(IF(OR($B64="",COUNTA(INDEX('Competency&amp;Complexity'!$R:$R,MATCH($B64,CC_CONTRACT_ID,0)+5):INDEX('Competency&amp;Complexity'!$V:$V,MATCH($B64,CC_CONTRACT_ID,0)+5))=0),"",ROUND((COUNTIF(INDEX('Competency&amp;Complexity'!$R:$R,MATCH($B64,CC_CONTRACT_ID,0)+5):INDEX('Competency&amp;Complexity'!$V:$V,MATCH($B64,CC_CONTRACT_ID,0)+5),"Low")*2+COUNTIF(INDEX('Competency&amp;Complexity'!$R:$R,MATCH($B64,CC_CONTRACT_ID,0)+5):INDEX('Competency&amp;Complexity'!$V:$V,MATCH($B64,CC_CONTRACT_ID,0)+5),"Medium")*1)/10*10,1)),"")</f>
        <v/>
      </c>
      <c r="N64" s="25" t="n"/>
      <c r="O64" s="23" t="n"/>
      <c r="Q64" s="23" t="n"/>
      <c r="R64" s="23" t="n"/>
      <c r="S64" s="23" t="n"/>
      <c r="T64" s="23" t="n"/>
      <c r="U64" s="24">
        <f>IF($B64="","",IF(COUNT(Q64:T64)=0,"",(Q64+R64+S64+T64)/20))</f>
        <v/>
      </c>
      <c r="V64" s="23" t="n"/>
      <c r="X64" s="23" t="n"/>
      <c r="Y64" s="23" t="n"/>
      <c r="Z64" s="23">
        <f t="array" ref="Z64">IFERROR(TEXTJOIN(", ",TRUE,IF(Systems!$B$6:$B$65=$B64,Systems!$C$6:$C$65,"")),"")</f>
        <v/>
      </c>
    </row>
    <row r="65">
      <c r="B65" s="26">
        <f>IF('DMIC List - master'!B65="","",'DMIC List - master'!B65)</f>
        <v/>
      </c>
      <c r="C65" s="26">
        <f>IFERROR(IF(INDEX('DMIC List - master'!$C:$C,MATCH($B65,CONTRACT_ID,0)+5)="","",INDEX('DMIC List - master'!$C:$C,MATCH($B65,CONTRACT_ID,0)+5)),"")</f>
        <v/>
      </c>
      <c r="D65" s="26">
        <f>IFERROR(IF(INDEX('DMIC List - master'!$D:$D,MATCH($B65,CONTRACT_ID,0)+5)="","",INDEX('DMIC List - master'!$D:$D,MATCH($B65,CONTRACT_ID,0)+5)),"")</f>
        <v/>
      </c>
      <c r="E65" s="26">
        <f>IFERROR(IF(INDEX('DMIC List - master'!$E:$E,MATCH($B65,CONTRACT_ID,0)+5)="","",INDEX('DMIC List - master'!$E:$E,MATCH($B65,CONTRACT_ID,0)+5)),"")</f>
        <v/>
      </c>
      <c r="G65" s="26">
        <f>IFERROR(IF(INDEX('DMIC List - master'!$P:$P,MATCH($B65,CONTRACT_ID,0)+5)="","",INDEX('DMIC List - master'!$P:$P,MATCH($B65,CONTRACT_ID,0)+5)),"")</f>
        <v/>
      </c>
      <c r="H65" s="26">
        <f>IFERROR(IF(INDEX('DMIC List - master'!$Q:$Q,MATCH($B65,CONTRACT_ID,0)+5)="","",INDEX('DMIC List - master'!$Q:$Q,MATCH($B65,CONTRACT_ID,0)+5)),"")</f>
        <v/>
      </c>
      <c r="I65" s="26">
        <f>IFERROR(IF(INDEX('DMIC List - master'!$U:$U,MATCH($B65,CONTRACT_ID,0)+5)="","",INDEX('DMIC List - master'!$U:$U,MATCH($B65,CONTRACT_ID,0)+5)),"")</f>
        <v/>
      </c>
      <c r="K65" s="26">
        <f>IFERROR(IF(OR($B65="",COUNTA(INDEX('Competency&amp;Complexity'!$K:$K,MATCH($B65,CC_CONTRACT_ID,0)+5):INDEX('Competency&amp;Complexity'!$P:$P,MATCH($B65,CC_CONTRACT_ID,0)+5))=0),"",ROUND((COUNTIF(INDEX('Competency&amp;Complexity'!$K:$K,MATCH($B65,CC_CONTRACT_ID,0)+5):INDEX('Competency&amp;Complexity'!$P:$P,MATCH($B65,CC_CONTRACT_ID,0)+5),"High")*2+COUNTIF(INDEX('Competency&amp;Complexity'!$K:$K,MATCH($B65,CC_CONTRACT_ID,0)+5):INDEX('Competency&amp;Complexity'!$P:$P,MATCH($B65,CC_CONTRACT_ID,0)+5),"Medium")*1)/12*10,1)),"")</f>
        <v/>
      </c>
      <c r="L65" s="26">
        <f>IFERROR(IF(OR($B65="",COUNTA(INDEX('Competency&amp;Complexity'!$R:$R,MATCH($B65,CC_CONTRACT_ID,0)+5):INDEX('Competency&amp;Complexity'!$V:$V,MATCH($B65,CC_CONTRACT_ID,0)+5))=0),"",ROUND((COUNTIF(INDEX('Competency&amp;Complexity'!$R:$R,MATCH($B65,CC_CONTRACT_ID,0)+5):INDEX('Competency&amp;Complexity'!$V:$V,MATCH($B65,CC_CONTRACT_ID,0)+5),"Low")*2+COUNTIF(INDEX('Competency&amp;Complexity'!$R:$R,MATCH($B65,CC_CONTRACT_ID,0)+5):INDEX('Competency&amp;Complexity'!$V:$V,MATCH($B65,CC_CONTRACT_ID,0)+5),"Medium")*1)/10*10,1)),"")</f>
        <v/>
      </c>
      <c r="N65" s="28" t="n"/>
      <c r="O65" s="26" t="n"/>
      <c r="Q65" s="26" t="n"/>
      <c r="R65" s="26" t="n"/>
      <c r="S65" s="26" t="n"/>
      <c r="T65" s="26" t="n"/>
      <c r="U65" s="27">
        <f>IF($B65="","",IF(COUNT(Q65:T65)=0,"",(Q65+R65+S65+T65)/20))</f>
        <v/>
      </c>
      <c r="V65" s="26" t="n"/>
      <c r="X65" s="26" t="n"/>
      <c r="Y65" s="26" t="n"/>
      <c r="Z65" s="26">
        <f t="array" ref="Z65">IFERROR(TEXTJOIN(", ",TRUE,IF(Systems!$B$6:$B$65=$B65,Systems!$C$6:$C$65,"")),"")</f>
        <v/>
      </c>
    </row>
  </sheetData>
  <mergeCells count="6">
    <mergeCell ref="B4:E4"/>
    <mergeCell ref="G4:I4"/>
    <mergeCell ref="Q4:V4"/>
    <mergeCell ref="X4:Z4"/>
    <mergeCell ref="K4:L4"/>
    <mergeCell ref="N4:O4"/>
  </mergeCells>
  <conditionalFormatting sqref="U6:U65">
    <cfRule type="cellIs" priority="1" operator="greaterThanOrEqual" dxfId="9">
      <formula>0.6</formula>
    </cfRule>
    <cfRule type="expression" priority="2" dxfId="10">
      <formula>AND(U6&lt;&gt;"",U6&gt;=0.3,U6&lt;0.6)</formula>
    </cfRule>
    <cfRule type="expression" priority="3" dxfId="11">
      <formula>AND(U6&lt;&gt;"",U6&lt;0.3)</formula>
    </cfRule>
  </conditionalFormatting>
  <conditionalFormatting sqref="K6:K65">
    <cfRule type="cellIs" priority="4" operator="greaterThanOrEqual" dxfId="11">
      <formula>7</formula>
    </cfRule>
    <cfRule type="expression" priority="5" dxfId="10">
      <formula>AND(K6&lt;&gt;"",K6&gt;=4,K6&lt;7)</formula>
    </cfRule>
    <cfRule type="expression" priority="6" dxfId="9">
      <formula>AND(K6&lt;&gt;"",K6&lt;4)</formula>
    </cfRule>
  </conditionalFormatting>
  <conditionalFormatting sqref="L6:L65">
    <cfRule type="cellIs" priority="7" operator="greaterThanOrEqual" dxfId="11">
      <formula>7</formula>
    </cfRule>
    <cfRule type="expression" priority="8" dxfId="10">
      <formula>AND(L6&lt;&gt;"",L6&gt;=4,L6&lt;7)</formula>
    </cfRule>
    <cfRule type="expression" priority="9" dxfId="9">
      <formula>AND(L6&lt;&gt;"",L6&lt;4)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6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24" customWidth="1" min="5" max="5"/>
    <col width="3.6" customWidth="1" min="6" max="6"/>
    <col width="16" customWidth="1" min="7" max="7"/>
    <col width="16" customWidth="1" min="8" max="8"/>
    <col width="16" customWidth="1" min="9" max="9"/>
    <col width="3.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.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3.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/>
    <row r="2">
      <c r="B2" s="1" t="inlineStr">
        <is>
          <t>Competency &amp; Complexity</t>
        </is>
      </c>
    </row>
    <row r="3">
      <c r="B3" s="4" t="inlineStr">
        <is>
          <t>Contract identity is a live look-up from Contracts. Score combines the capability and complexity ratings below.</t>
        </is>
      </c>
    </row>
    <row r="4" ht="22" customHeight="1">
      <c r="B4" s="29" t="inlineStr">
        <is>
          <t>Contract Information</t>
        </is>
      </c>
      <c r="C4" s="29" t="n"/>
      <c r="D4" s="29" t="n"/>
      <c r="E4" s="29" t="n"/>
      <c r="F4" s="30" t="n"/>
      <c r="G4" s="31" t="inlineStr">
        <is>
          <t>Key Personnel</t>
        </is>
      </c>
      <c r="H4" s="31" t="n"/>
      <c r="I4" s="31" t="n"/>
      <c r="J4" s="30" t="n"/>
      <c r="K4" s="37" t="inlineStr">
        <is>
          <t>Contractor Capability</t>
        </is>
      </c>
      <c r="L4" s="37" t="n"/>
      <c r="M4" s="37" t="n"/>
      <c r="N4" s="37" t="n"/>
      <c r="O4" s="37" t="n"/>
      <c r="P4" s="37" t="n"/>
      <c r="Q4" s="30" t="n"/>
      <c r="R4" s="36" t="inlineStr">
        <is>
          <t>Scope Complexity</t>
        </is>
      </c>
      <c r="S4" s="36" t="n"/>
      <c r="T4" s="36" t="n"/>
      <c r="U4" s="36" t="n"/>
      <c r="V4" s="36" t="n"/>
      <c r="W4" s="30" t="n"/>
      <c r="X4" s="38" t="inlineStr">
        <is>
          <t>NNB Integration</t>
        </is>
      </c>
      <c r="Y4" s="38" t="n"/>
      <c r="Z4" s="38" t="n"/>
      <c r="AA4" s="38" t="n"/>
      <c r="AB4" s="38" t="n"/>
      <c r="AC4" s="38" t="n"/>
      <c r="AD4" s="38" t="n"/>
      <c r="AE4" s="38" t="n"/>
    </row>
    <row r="5" ht="40" customHeight="1">
      <c r="B5" s="33" t="inlineStr">
        <is>
          <t>Contract Number</t>
        </is>
      </c>
      <c r="C5" s="33" t="inlineStr">
        <is>
          <t>Area</t>
        </is>
      </c>
      <c r="D5" s="33" t="inlineStr">
        <is>
          <t>Contractor</t>
        </is>
      </c>
      <c r="E5" s="33" t="inlineStr">
        <is>
          <t>Description</t>
        </is>
      </c>
      <c r="F5" s="30" t="n"/>
      <c r="G5" s="34" t="inlineStr">
        <is>
          <t>Commissioning Engineer</t>
        </is>
      </c>
      <c r="H5" s="34" t="inlineStr">
        <is>
          <t>Commissioning Manager</t>
        </is>
      </c>
      <c r="I5" s="34" t="inlineStr">
        <is>
          <t>DMIC Co-ordinator</t>
        </is>
      </c>
      <c r="J5" s="30" t="n"/>
      <c r="K5" s="41" t="inlineStr">
        <is>
          <t>Tier 1 Capability</t>
        </is>
      </c>
      <c r="L5" s="41" t="inlineStr">
        <is>
          <t>Quality of Site Documents</t>
        </is>
      </c>
      <c r="M5" s="41" t="inlineStr">
        <is>
          <t>Installation Capability</t>
        </is>
      </c>
      <c r="N5" s="41" t="inlineStr">
        <is>
          <t>Commissioning Capability</t>
        </is>
      </c>
      <c r="O5" s="41" t="inlineStr">
        <is>
          <t>Ability to Meet HPC Safety Requirements</t>
        </is>
      </c>
      <c r="P5" s="41" t="inlineStr">
        <is>
          <t>Previous EPR Experience</t>
        </is>
      </c>
      <c r="Q5" s="30" t="n"/>
      <c r="R5" s="40" t="inlineStr">
        <is>
          <t>Technical Complexity</t>
        </is>
      </c>
      <c r="S5" s="40" t="inlineStr">
        <is>
          <t>Complexity of Interfaces</t>
        </is>
      </c>
      <c r="T5" s="40" t="inlineStr">
        <is>
          <t>Coordination with Others</t>
        </is>
      </c>
      <c r="U5" s="40" t="inlineStr">
        <is>
          <t>Level of NNB Surveillance</t>
        </is>
      </c>
      <c r="V5" s="40" t="inlineStr">
        <is>
          <t>Impact on other Systems and Works</t>
        </is>
      </c>
      <c r="W5" s="30" t="n"/>
      <c r="X5" s="42" t="inlineStr">
        <is>
          <t>Score</t>
        </is>
      </c>
      <c r="Y5" s="42" t="inlineStr">
        <is>
          <t>Need for Integrated Team Approach</t>
        </is>
      </c>
      <c r="Z5" s="42" t="inlineStr">
        <is>
          <t>DMIC PM</t>
        </is>
      </c>
      <c r="AA5" s="42" t="inlineStr">
        <is>
          <t>NNB PM</t>
        </is>
      </c>
      <c r="AB5" s="42" t="inlineStr">
        <is>
          <t>NNB Construction Lead</t>
        </is>
      </c>
      <c r="AC5" s="42" t="inlineStr">
        <is>
          <t>NNB Commissioning Lead</t>
        </is>
      </c>
      <c r="AD5" s="42" t="inlineStr">
        <is>
          <t>NNB Technical Lead</t>
        </is>
      </c>
      <c r="AE5" s="42" t="inlineStr">
        <is>
          <t>NNB QML</t>
        </is>
      </c>
    </row>
    <row r="6">
      <c r="B6" s="23">
        <f>IF('DMIC List - master'!B6="","",'DMIC List - master'!B6)</f>
        <v/>
      </c>
      <c r="C6" s="23">
        <f>IFERROR(IF(INDEX('DMIC List - master'!$C:$C,MATCH($B6,CONTRACT_ID,0)+5)="","",INDEX('DMIC List - master'!$C:$C,MATCH($B6,CONTRACT_ID,0)+5)),"")</f>
        <v/>
      </c>
      <c r="D6" s="23">
        <f>IFERROR(IF(INDEX('DMIC List - master'!$D:$D,MATCH($B6,CONTRACT_ID,0)+5)="","",INDEX('DMIC List - master'!$D:$D,MATCH($B6,CONTRACT_ID,0)+5)),"")</f>
        <v/>
      </c>
      <c r="E6" s="23">
        <f>IFERROR(IF(INDEX('DMIC List - master'!$E:$E,MATCH($B6,CONTRACT_ID,0)+5)="","",INDEX('DMIC List - master'!$E:$E,MATCH($B6,CONTRACT_ID,0)+5)),"")</f>
        <v/>
      </c>
      <c r="G6" s="23">
        <f>IFERROR(IF(INDEX('DMIC List - master'!$P:$P,MATCH($B6,CONTRACT_ID,0)+5)="","",INDEX('DMIC List - master'!$P:$P,MATCH($B6,CONTRACT_ID,0)+5)),"")</f>
        <v/>
      </c>
      <c r="H6" s="23">
        <f>IFERROR(IF(INDEX('DMIC List - master'!$Q:$Q,MATCH($B6,CONTRACT_ID,0)+5)="","",INDEX('DMIC List - master'!$Q:$Q,MATCH($B6,CONTRACT_ID,0)+5)),"")</f>
        <v/>
      </c>
      <c r="I6" s="23">
        <f>IFERROR(IF(INDEX('DMIC List - master'!$U:$U,MATCH($B6,CONTRACT_ID,0)+5)="","",INDEX('DMIC List - master'!$U:$U,MATCH($B6,CONTRACT_ID,0)+5)),"")</f>
        <v/>
      </c>
      <c r="K6" s="23" t="inlineStr">
        <is>
          <t>High</t>
        </is>
      </c>
      <c r="L6" s="23" t="inlineStr">
        <is>
          <t>Medium</t>
        </is>
      </c>
      <c r="M6" s="23" t="inlineStr">
        <is>
          <t>High</t>
        </is>
      </c>
      <c r="N6" s="23" t="inlineStr">
        <is>
          <t>Medium</t>
        </is>
      </c>
      <c r="O6" s="23" t="inlineStr">
        <is>
          <t>Medium</t>
        </is>
      </c>
      <c r="P6" s="23" t="inlineStr">
        <is>
          <t>High</t>
        </is>
      </c>
      <c r="R6" s="23" t="inlineStr">
        <is>
          <t>Medium</t>
        </is>
      </c>
      <c r="S6" s="23" t="inlineStr">
        <is>
          <t>Low</t>
        </is>
      </c>
      <c r="T6" s="23" t="inlineStr">
        <is>
          <t>Medium</t>
        </is>
      </c>
      <c r="U6" s="23" t="inlineStr">
        <is>
          <t>Medium</t>
        </is>
      </c>
      <c r="V6" s="23" t="inlineStr">
        <is>
          <t>Low</t>
        </is>
      </c>
      <c r="X6" s="23">
        <f>IF($B6="","",IF(COUNTA(K6:P6)+COUNTA(R6:V6)=0,"",(2*COUNTIF(K6:P6,"low")+COUNTIF(K6:P6,"medium")+2*COUNTIF(K6:P6,"unknown"))+(COUNTIF(R6:V6,"medium")+2*COUNTIF(R6:V6,"High"))))</f>
        <v/>
      </c>
      <c r="Y6" s="23">
        <f>IF(X6&lt;&gt;"",IF(X6&gt;9,1,0),"")</f>
        <v/>
      </c>
      <c r="Z6" s="23" t="n">
        <v>1</v>
      </c>
      <c r="AA6" s="23" t="n">
        <v>1</v>
      </c>
      <c r="AB6" s="23" t="n">
        <v>0</v>
      </c>
      <c r="AC6" s="23" t="n">
        <v>0</v>
      </c>
      <c r="AD6" s="23" t="n">
        <v>0</v>
      </c>
      <c r="AE6" s="23" t="n">
        <v>0</v>
      </c>
    </row>
    <row r="7">
      <c r="B7" s="26">
        <f>IF('DMIC List - master'!B7="","",'DMIC List - master'!B7)</f>
        <v/>
      </c>
      <c r="C7" s="26">
        <f>IFERROR(IF(INDEX('DMIC List - master'!$C:$C,MATCH($B7,CONTRACT_ID,0)+5)="","",INDEX('DMIC List - master'!$C:$C,MATCH($B7,CONTRACT_ID,0)+5)),"")</f>
        <v/>
      </c>
      <c r="D7" s="26">
        <f>IFERROR(IF(INDEX('DMIC List - master'!$D:$D,MATCH($B7,CONTRACT_ID,0)+5)="","",INDEX('DMIC List - master'!$D:$D,MATCH($B7,CONTRACT_ID,0)+5)),"")</f>
        <v/>
      </c>
      <c r="E7" s="26">
        <f>IFERROR(IF(INDEX('DMIC List - master'!$E:$E,MATCH($B7,CONTRACT_ID,0)+5)="","",INDEX('DMIC List - master'!$E:$E,MATCH($B7,CONTRACT_ID,0)+5)),"")</f>
        <v/>
      </c>
      <c r="G7" s="26">
        <f>IFERROR(IF(INDEX('DMIC List - master'!$P:$P,MATCH($B7,CONTRACT_ID,0)+5)="","",INDEX('DMIC List - master'!$P:$P,MATCH($B7,CONTRACT_ID,0)+5)),"")</f>
        <v/>
      </c>
      <c r="H7" s="26">
        <f>IFERROR(IF(INDEX('DMIC List - master'!$Q:$Q,MATCH($B7,CONTRACT_ID,0)+5)="","",INDEX('DMIC List - master'!$Q:$Q,MATCH($B7,CONTRACT_ID,0)+5)),"")</f>
        <v/>
      </c>
      <c r="I7" s="26">
        <f>IFERROR(IF(INDEX('DMIC List - master'!$U:$U,MATCH($B7,CONTRACT_ID,0)+5)="","",INDEX('DMIC List - master'!$U:$U,MATCH($B7,CONTRACT_ID,0)+5)),"")</f>
        <v/>
      </c>
      <c r="K7" s="26" t="inlineStr">
        <is>
          <t>Medium</t>
        </is>
      </c>
      <c r="L7" s="26" t="inlineStr">
        <is>
          <t>Low</t>
        </is>
      </c>
      <c r="M7" s="26" t="inlineStr">
        <is>
          <t>Medium</t>
        </is>
      </c>
      <c r="N7" s="26" t="inlineStr">
        <is>
          <t>Low</t>
        </is>
      </c>
      <c r="O7" s="26" t="inlineStr">
        <is>
          <t>Low</t>
        </is>
      </c>
      <c r="P7" s="26" t="inlineStr">
        <is>
          <t>Medium</t>
        </is>
      </c>
      <c r="R7" s="26" t="inlineStr">
        <is>
          <t>High</t>
        </is>
      </c>
      <c r="S7" s="26" t="inlineStr">
        <is>
          <t>High</t>
        </is>
      </c>
      <c r="T7" s="26" t="inlineStr">
        <is>
          <t>Medium</t>
        </is>
      </c>
      <c r="U7" s="26" t="inlineStr">
        <is>
          <t>High</t>
        </is>
      </c>
      <c r="V7" s="26" t="inlineStr">
        <is>
          <t>Medium</t>
        </is>
      </c>
      <c r="X7" s="26">
        <f>IF($B7="","",IF(COUNTA(K7:P7)+COUNTA(R7:V7)=0,"",(2*COUNTIF(K7:P7,"low")+COUNTIF(K7:P7,"medium")+2*COUNTIF(K7:P7,"unknown"))+(COUNTIF(R7:V7,"medium")+2*COUNTIF(R7:V7,"High"))))</f>
        <v/>
      </c>
      <c r="Y7" s="26">
        <f>IF(X7&lt;&gt;"",IF(X7&gt;9,1,0),"")</f>
        <v/>
      </c>
      <c r="Z7" s="26" t="n">
        <v>1</v>
      </c>
      <c r="AA7" s="26" t="n">
        <v>1</v>
      </c>
      <c r="AB7" s="26" t="n">
        <v>1</v>
      </c>
      <c r="AC7" s="26" t="n">
        <v>1</v>
      </c>
      <c r="AD7" s="26" t="n">
        <v>1</v>
      </c>
      <c r="AE7" s="26" t="n">
        <v>1</v>
      </c>
    </row>
    <row r="8">
      <c r="B8" s="23">
        <f>IF('DMIC List - master'!B8="","",'DMIC List - master'!B8)</f>
        <v/>
      </c>
      <c r="C8" s="23">
        <f>IFERROR(IF(INDEX('DMIC List - master'!$C:$C,MATCH($B8,CONTRACT_ID,0)+5)="","",INDEX('DMIC List - master'!$C:$C,MATCH($B8,CONTRACT_ID,0)+5)),"")</f>
        <v/>
      </c>
      <c r="D8" s="23">
        <f>IFERROR(IF(INDEX('DMIC List - master'!$D:$D,MATCH($B8,CONTRACT_ID,0)+5)="","",INDEX('DMIC List - master'!$D:$D,MATCH($B8,CONTRACT_ID,0)+5)),"")</f>
        <v/>
      </c>
      <c r="E8" s="23">
        <f>IFERROR(IF(INDEX('DMIC List - master'!$E:$E,MATCH($B8,CONTRACT_ID,0)+5)="","",INDEX('DMIC List - master'!$E:$E,MATCH($B8,CONTRACT_ID,0)+5)),"")</f>
        <v/>
      </c>
      <c r="G8" s="23">
        <f>IFERROR(IF(INDEX('DMIC List - master'!$P:$P,MATCH($B8,CONTRACT_ID,0)+5)="","",INDEX('DMIC List - master'!$P:$P,MATCH($B8,CONTRACT_ID,0)+5)),"")</f>
        <v/>
      </c>
      <c r="H8" s="23">
        <f>IFERROR(IF(INDEX('DMIC List - master'!$Q:$Q,MATCH($B8,CONTRACT_ID,0)+5)="","",INDEX('DMIC List - master'!$Q:$Q,MATCH($B8,CONTRACT_ID,0)+5)),"")</f>
        <v/>
      </c>
      <c r="I8" s="23">
        <f>IFERROR(IF(INDEX('DMIC List - master'!$U:$U,MATCH($B8,CONTRACT_ID,0)+5)="","",INDEX('DMIC List - master'!$U:$U,MATCH($B8,CONTRACT_ID,0)+5)),"")</f>
        <v/>
      </c>
      <c r="K8" s="23" t="inlineStr">
        <is>
          <t>High</t>
        </is>
      </c>
      <c r="L8" s="23" t="inlineStr">
        <is>
          <t>High</t>
        </is>
      </c>
      <c r="M8" s="23" t="inlineStr">
        <is>
          <t>High</t>
        </is>
      </c>
      <c r="N8" s="23" t="inlineStr">
        <is>
          <t>High</t>
        </is>
      </c>
      <c r="O8" s="23" t="inlineStr">
        <is>
          <t>Medium</t>
        </is>
      </c>
      <c r="P8" s="23" t="inlineStr">
        <is>
          <t>High</t>
        </is>
      </c>
      <c r="R8" s="23" t="inlineStr">
        <is>
          <t>Low</t>
        </is>
      </c>
      <c r="S8" s="23" t="inlineStr">
        <is>
          <t>Low</t>
        </is>
      </c>
      <c r="T8" s="23" t="inlineStr">
        <is>
          <t>Low</t>
        </is>
      </c>
      <c r="U8" s="23" t="inlineStr">
        <is>
          <t>Medium</t>
        </is>
      </c>
      <c r="V8" s="23" t="inlineStr">
        <is>
          <t>Low</t>
        </is>
      </c>
      <c r="X8" s="23">
        <f>IF($B8="","",IF(COUNTA(K8:P8)+COUNTA(R8:V8)=0,"",(2*COUNTIF(K8:P8,"low")+COUNTIF(K8:P8,"medium")+2*COUNTIF(K8:P8,"unknown"))+(COUNTIF(R8:V8,"medium")+2*COUNTIF(R8:V8,"High"))))</f>
        <v/>
      </c>
      <c r="Y8" s="23">
        <f>IF(X8&lt;&gt;"",IF(X8&gt;9,1,0),"")</f>
        <v/>
      </c>
      <c r="Z8" s="23" t="n">
        <v>0</v>
      </c>
      <c r="AA8" s="23" t="n">
        <v>0</v>
      </c>
      <c r="AB8" s="23" t="n">
        <v>0</v>
      </c>
      <c r="AC8" s="23" t="n">
        <v>0</v>
      </c>
      <c r="AD8" s="23" t="n">
        <v>0</v>
      </c>
      <c r="AE8" s="23" t="n">
        <v>0</v>
      </c>
    </row>
    <row r="9">
      <c r="B9" s="26">
        <f>IF('DMIC List - master'!B9="","",'DMIC List - master'!B9)</f>
        <v/>
      </c>
      <c r="C9" s="26">
        <f>IFERROR(IF(INDEX('DMIC List - master'!$C:$C,MATCH($B9,CONTRACT_ID,0)+5)="","",INDEX('DMIC List - master'!$C:$C,MATCH($B9,CONTRACT_ID,0)+5)),"")</f>
        <v/>
      </c>
      <c r="D9" s="26">
        <f>IFERROR(IF(INDEX('DMIC List - master'!$D:$D,MATCH($B9,CONTRACT_ID,0)+5)="","",INDEX('DMIC List - master'!$D:$D,MATCH($B9,CONTRACT_ID,0)+5)),"")</f>
        <v/>
      </c>
      <c r="E9" s="26">
        <f>IFERROR(IF(INDEX('DMIC List - master'!$E:$E,MATCH($B9,CONTRACT_ID,0)+5)="","",INDEX('DMIC List - master'!$E:$E,MATCH($B9,CONTRACT_ID,0)+5)),"")</f>
        <v/>
      </c>
      <c r="G9" s="26">
        <f>IFERROR(IF(INDEX('DMIC List - master'!$P:$P,MATCH($B9,CONTRACT_ID,0)+5)="","",INDEX('DMIC List - master'!$P:$P,MATCH($B9,CONTRACT_ID,0)+5)),"")</f>
        <v/>
      </c>
      <c r="H9" s="26">
        <f>IFERROR(IF(INDEX('DMIC List - master'!$Q:$Q,MATCH($B9,CONTRACT_ID,0)+5)="","",INDEX('DMIC List - master'!$Q:$Q,MATCH($B9,CONTRACT_ID,0)+5)),"")</f>
        <v/>
      </c>
      <c r="I9" s="26">
        <f>IFERROR(IF(INDEX('DMIC List - master'!$U:$U,MATCH($B9,CONTRACT_ID,0)+5)="","",INDEX('DMIC List - master'!$U:$U,MATCH($B9,CONTRACT_ID,0)+5)),"")</f>
        <v/>
      </c>
      <c r="K9" s="26" t="n"/>
      <c r="L9" s="26" t="n"/>
      <c r="M9" s="26" t="n"/>
      <c r="N9" s="26" t="n"/>
      <c r="O9" s="26" t="n"/>
      <c r="P9" s="26" t="n"/>
      <c r="R9" s="26" t="n"/>
      <c r="S9" s="26" t="n"/>
      <c r="T9" s="26" t="n"/>
      <c r="U9" s="26" t="n"/>
      <c r="V9" s="26" t="n"/>
      <c r="X9" s="26">
        <f>IF($B9="","",IF(COUNTA(K9:P9)+COUNTA(R9:V9)=0,"",(2*COUNTIF(K9:P9,"low")+COUNTIF(K9:P9,"medium")+2*COUNTIF(K9:P9,"unknown"))+(COUNTIF(R9:V9,"medium")+2*COUNTIF(R9:V9,"High"))))</f>
        <v/>
      </c>
      <c r="Y9" s="26">
        <f>IF(X9&lt;&gt;"",IF(X9&gt;9,1,0),"")</f>
        <v/>
      </c>
      <c r="Z9" s="26" t="n"/>
      <c r="AA9" s="26" t="n"/>
      <c r="AB9" s="26" t="n"/>
      <c r="AC9" s="26" t="n"/>
      <c r="AD9" s="26" t="n"/>
      <c r="AE9" s="26" t="n"/>
    </row>
    <row r="10">
      <c r="B10" s="23">
        <f>IF('DMIC List - master'!B10="","",'DMIC List - master'!B10)</f>
        <v/>
      </c>
      <c r="C10" s="23">
        <f>IFERROR(IF(INDEX('DMIC List - master'!$C:$C,MATCH($B10,CONTRACT_ID,0)+5)="","",INDEX('DMIC List - master'!$C:$C,MATCH($B10,CONTRACT_ID,0)+5)),"")</f>
        <v/>
      </c>
      <c r="D10" s="23">
        <f>IFERROR(IF(INDEX('DMIC List - master'!$D:$D,MATCH($B10,CONTRACT_ID,0)+5)="","",INDEX('DMIC List - master'!$D:$D,MATCH($B10,CONTRACT_ID,0)+5)),"")</f>
        <v/>
      </c>
      <c r="E10" s="23">
        <f>IFERROR(IF(INDEX('DMIC List - master'!$E:$E,MATCH($B10,CONTRACT_ID,0)+5)="","",INDEX('DMIC List - master'!$E:$E,MATCH($B10,CONTRACT_ID,0)+5)),"")</f>
        <v/>
      </c>
      <c r="G10" s="23">
        <f>IFERROR(IF(INDEX('DMIC List - master'!$P:$P,MATCH($B10,CONTRACT_ID,0)+5)="","",INDEX('DMIC List - master'!$P:$P,MATCH($B10,CONTRACT_ID,0)+5)),"")</f>
        <v/>
      </c>
      <c r="H10" s="23">
        <f>IFERROR(IF(INDEX('DMIC List - master'!$Q:$Q,MATCH($B10,CONTRACT_ID,0)+5)="","",INDEX('DMIC List - master'!$Q:$Q,MATCH($B10,CONTRACT_ID,0)+5)),"")</f>
        <v/>
      </c>
      <c r="I10" s="23">
        <f>IFERROR(IF(INDEX('DMIC List - master'!$U:$U,MATCH($B10,CONTRACT_ID,0)+5)="","",INDEX('DMIC List - master'!$U:$U,MATCH($B10,CONTRACT_ID,0)+5)),"")</f>
        <v/>
      </c>
      <c r="K10" s="23" t="n"/>
      <c r="L10" s="23" t="n"/>
      <c r="M10" s="23" t="n"/>
      <c r="N10" s="23" t="n"/>
      <c r="O10" s="23" t="n"/>
      <c r="P10" s="23" t="n"/>
      <c r="R10" s="23" t="n"/>
      <c r="S10" s="23" t="n"/>
      <c r="T10" s="23" t="n"/>
      <c r="U10" s="23" t="n"/>
      <c r="V10" s="23" t="n"/>
      <c r="X10" s="23">
        <f>IF($B10="","",IF(COUNTA(K10:P10)+COUNTA(R10:V10)=0,"",(2*COUNTIF(K10:P10,"low")+COUNTIF(K10:P10,"medium")+2*COUNTIF(K10:P10,"unknown"))+(COUNTIF(R10:V10,"medium")+2*COUNTIF(R10:V10,"High"))))</f>
        <v/>
      </c>
      <c r="Y10" s="23">
        <f>IF(X10&lt;&gt;"",IF(X10&gt;9,1,0),"")</f>
        <v/>
      </c>
      <c r="Z10" s="23" t="n"/>
      <c r="AA10" s="23" t="n"/>
      <c r="AB10" s="23" t="n"/>
      <c r="AC10" s="23" t="n"/>
      <c r="AD10" s="23" t="n"/>
      <c r="AE10" s="23" t="n"/>
    </row>
    <row r="11">
      <c r="B11" s="26">
        <f>IF('DMIC List - master'!B11="","",'DMIC List - master'!B11)</f>
        <v/>
      </c>
      <c r="C11" s="26">
        <f>IFERROR(IF(INDEX('DMIC List - master'!$C:$C,MATCH($B11,CONTRACT_ID,0)+5)="","",INDEX('DMIC List - master'!$C:$C,MATCH($B11,CONTRACT_ID,0)+5)),"")</f>
        <v/>
      </c>
      <c r="D11" s="26">
        <f>IFERROR(IF(INDEX('DMIC List - master'!$D:$D,MATCH($B11,CONTRACT_ID,0)+5)="","",INDEX('DMIC List - master'!$D:$D,MATCH($B11,CONTRACT_ID,0)+5)),"")</f>
        <v/>
      </c>
      <c r="E11" s="26">
        <f>IFERROR(IF(INDEX('DMIC List - master'!$E:$E,MATCH($B11,CONTRACT_ID,0)+5)="","",INDEX('DMIC List - master'!$E:$E,MATCH($B11,CONTRACT_ID,0)+5)),"")</f>
        <v/>
      </c>
      <c r="G11" s="26">
        <f>IFERROR(IF(INDEX('DMIC List - master'!$P:$P,MATCH($B11,CONTRACT_ID,0)+5)="","",INDEX('DMIC List - master'!$P:$P,MATCH($B11,CONTRACT_ID,0)+5)),"")</f>
        <v/>
      </c>
      <c r="H11" s="26">
        <f>IFERROR(IF(INDEX('DMIC List - master'!$Q:$Q,MATCH($B11,CONTRACT_ID,0)+5)="","",INDEX('DMIC List - master'!$Q:$Q,MATCH($B11,CONTRACT_ID,0)+5)),"")</f>
        <v/>
      </c>
      <c r="I11" s="26">
        <f>IFERROR(IF(INDEX('DMIC List - master'!$U:$U,MATCH($B11,CONTRACT_ID,0)+5)="","",INDEX('DMIC List - master'!$U:$U,MATCH($B11,CONTRACT_ID,0)+5)),"")</f>
        <v/>
      </c>
      <c r="K11" s="26" t="n"/>
      <c r="L11" s="26" t="n"/>
      <c r="M11" s="26" t="n"/>
      <c r="N11" s="26" t="n"/>
      <c r="O11" s="26" t="n"/>
      <c r="P11" s="26" t="n"/>
      <c r="R11" s="26" t="n"/>
      <c r="S11" s="26" t="n"/>
      <c r="T11" s="26" t="n"/>
      <c r="U11" s="26" t="n"/>
      <c r="V11" s="26" t="n"/>
      <c r="X11" s="26">
        <f>IF($B11="","",IF(COUNTA(K11:P11)+COUNTA(R11:V11)=0,"",(2*COUNTIF(K11:P11,"low")+COUNTIF(K11:P11,"medium")+2*COUNTIF(K11:P11,"unknown"))+(COUNTIF(R11:V11,"medium")+2*COUNTIF(R11:V11,"High"))))</f>
        <v/>
      </c>
      <c r="Y11" s="26">
        <f>IF(X11&lt;&gt;"",IF(X11&gt;9,1,0),"")</f>
        <v/>
      </c>
      <c r="Z11" s="26" t="n"/>
      <c r="AA11" s="26" t="n"/>
      <c r="AB11" s="26" t="n"/>
      <c r="AC11" s="26" t="n"/>
      <c r="AD11" s="26" t="n"/>
      <c r="AE11" s="26" t="n"/>
    </row>
    <row r="12">
      <c r="B12" s="23">
        <f>IF('DMIC List - master'!B12="","",'DMIC List - master'!B12)</f>
        <v/>
      </c>
      <c r="C12" s="23">
        <f>IFERROR(IF(INDEX('DMIC List - master'!$C:$C,MATCH($B12,CONTRACT_ID,0)+5)="","",INDEX('DMIC List - master'!$C:$C,MATCH($B12,CONTRACT_ID,0)+5)),"")</f>
        <v/>
      </c>
      <c r="D12" s="23">
        <f>IFERROR(IF(INDEX('DMIC List - master'!$D:$D,MATCH($B12,CONTRACT_ID,0)+5)="","",INDEX('DMIC List - master'!$D:$D,MATCH($B12,CONTRACT_ID,0)+5)),"")</f>
        <v/>
      </c>
      <c r="E12" s="23">
        <f>IFERROR(IF(INDEX('DMIC List - master'!$E:$E,MATCH($B12,CONTRACT_ID,0)+5)="","",INDEX('DMIC List - master'!$E:$E,MATCH($B12,CONTRACT_ID,0)+5)),"")</f>
        <v/>
      </c>
      <c r="G12" s="23">
        <f>IFERROR(IF(INDEX('DMIC List - master'!$P:$P,MATCH($B12,CONTRACT_ID,0)+5)="","",INDEX('DMIC List - master'!$P:$P,MATCH($B12,CONTRACT_ID,0)+5)),"")</f>
        <v/>
      </c>
      <c r="H12" s="23">
        <f>IFERROR(IF(INDEX('DMIC List - master'!$Q:$Q,MATCH($B12,CONTRACT_ID,0)+5)="","",INDEX('DMIC List - master'!$Q:$Q,MATCH($B12,CONTRACT_ID,0)+5)),"")</f>
        <v/>
      </c>
      <c r="I12" s="23">
        <f>IFERROR(IF(INDEX('DMIC List - master'!$U:$U,MATCH($B12,CONTRACT_ID,0)+5)="","",INDEX('DMIC List - master'!$U:$U,MATCH($B12,CONTRACT_ID,0)+5)),"")</f>
        <v/>
      </c>
      <c r="K12" s="23" t="n"/>
      <c r="L12" s="23" t="n"/>
      <c r="M12" s="23" t="n"/>
      <c r="N12" s="23" t="n"/>
      <c r="O12" s="23" t="n"/>
      <c r="P12" s="23" t="n"/>
      <c r="R12" s="23" t="n"/>
      <c r="S12" s="23" t="n"/>
      <c r="T12" s="23" t="n"/>
      <c r="U12" s="23" t="n"/>
      <c r="V12" s="23" t="n"/>
      <c r="X12" s="23">
        <f>IF($B12="","",IF(COUNTA(K12:P12)+COUNTA(R12:V12)=0,"",(2*COUNTIF(K12:P12,"low")+COUNTIF(K12:P12,"medium")+2*COUNTIF(K12:P12,"unknown"))+(COUNTIF(R12:V12,"medium")+2*COUNTIF(R12:V12,"High"))))</f>
        <v/>
      </c>
      <c r="Y12" s="23">
        <f>IF(X12&lt;&gt;"",IF(X12&gt;9,1,0),"")</f>
        <v/>
      </c>
      <c r="Z12" s="23" t="n"/>
      <c r="AA12" s="23" t="n"/>
      <c r="AB12" s="23" t="n"/>
      <c r="AC12" s="23" t="n"/>
      <c r="AD12" s="23" t="n"/>
      <c r="AE12" s="23" t="n"/>
    </row>
    <row r="13">
      <c r="B13" s="26">
        <f>IF('DMIC List - master'!B13="","",'DMIC List - master'!B13)</f>
        <v/>
      </c>
      <c r="C13" s="26">
        <f>IFERROR(IF(INDEX('DMIC List - master'!$C:$C,MATCH($B13,CONTRACT_ID,0)+5)="","",INDEX('DMIC List - master'!$C:$C,MATCH($B13,CONTRACT_ID,0)+5)),"")</f>
        <v/>
      </c>
      <c r="D13" s="26">
        <f>IFERROR(IF(INDEX('DMIC List - master'!$D:$D,MATCH($B13,CONTRACT_ID,0)+5)="","",INDEX('DMIC List - master'!$D:$D,MATCH($B13,CONTRACT_ID,0)+5)),"")</f>
        <v/>
      </c>
      <c r="E13" s="26">
        <f>IFERROR(IF(INDEX('DMIC List - master'!$E:$E,MATCH($B13,CONTRACT_ID,0)+5)="","",INDEX('DMIC List - master'!$E:$E,MATCH($B13,CONTRACT_ID,0)+5)),"")</f>
        <v/>
      </c>
      <c r="G13" s="26">
        <f>IFERROR(IF(INDEX('DMIC List - master'!$P:$P,MATCH($B13,CONTRACT_ID,0)+5)="","",INDEX('DMIC List - master'!$P:$P,MATCH($B13,CONTRACT_ID,0)+5)),"")</f>
        <v/>
      </c>
      <c r="H13" s="26">
        <f>IFERROR(IF(INDEX('DMIC List - master'!$Q:$Q,MATCH($B13,CONTRACT_ID,0)+5)="","",INDEX('DMIC List - master'!$Q:$Q,MATCH($B13,CONTRACT_ID,0)+5)),"")</f>
        <v/>
      </c>
      <c r="I13" s="26">
        <f>IFERROR(IF(INDEX('DMIC List - master'!$U:$U,MATCH($B13,CONTRACT_ID,0)+5)="","",INDEX('DMIC List - master'!$U:$U,MATCH($B13,CONTRACT_ID,0)+5)),"")</f>
        <v/>
      </c>
      <c r="K13" s="26" t="n"/>
      <c r="L13" s="26" t="n"/>
      <c r="M13" s="26" t="n"/>
      <c r="N13" s="26" t="n"/>
      <c r="O13" s="26" t="n"/>
      <c r="P13" s="26" t="n"/>
      <c r="R13" s="26" t="n"/>
      <c r="S13" s="26" t="n"/>
      <c r="T13" s="26" t="n"/>
      <c r="U13" s="26" t="n"/>
      <c r="V13" s="26" t="n"/>
      <c r="X13" s="26">
        <f>IF($B13="","",IF(COUNTA(K13:P13)+COUNTA(R13:V13)=0,"",(2*COUNTIF(K13:P13,"low")+COUNTIF(K13:P13,"medium")+2*COUNTIF(K13:P13,"unknown"))+(COUNTIF(R13:V13,"medium")+2*COUNTIF(R13:V13,"High"))))</f>
        <v/>
      </c>
      <c r="Y13" s="26">
        <f>IF(X13&lt;&gt;"",IF(X13&gt;9,1,0),"")</f>
        <v/>
      </c>
      <c r="Z13" s="26" t="n"/>
      <c r="AA13" s="26" t="n"/>
      <c r="AB13" s="26" t="n"/>
      <c r="AC13" s="26" t="n"/>
      <c r="AD13" s="26" t="n"/>
      <c r="AE13" s="26" t="n"/>
    </row>
    <row r="14">
      <c r="B14" s="23">
        <f>IF('DMIC List - master'!B14="","",'DMIC List - master'!B14)</f>
        <v/>
      </c>
      <c r="C14" s="23">
        <f>IFERROR(IF(INDEX('DMIC List - master'!$C:$C,MATCH($B14,CONTRACT_ID,0)+5)="","",INDEX('DMIC List - master'!$C:$C,MATCH($B14,CONTRACT_ID,0)+5)),"")</f>
        <v/>
      </c>
      <c r="D14" s="23">
        <f>IFERROR(IF(INDEX('DMIC List - master'!$D:$D,MATCH($B14,CONTRACT_ID,0)+5)="","",INDEX('DMIC List - master'!$D:$D,MATCH($B14,CONTRACT_ID,0)+5)),"")</f>
        <v/>
      </c>
      <c r="E14" s="23">
        <f>IFERROR(IF(INDEX('DMIC List - master'!$E:$E,MATCH($B14,CONTRACT_ID,0)+5)="","",INDEX('DMIC List - master'!$E:$E,MATCH($B14,CONTRACT_ID,0)+5)),"")</f>
        <v/>
      </c>
      <c r="G14" s="23">
        <f>IFERROR(IF(INDEX('DMIC List - master'!$P:$P,MATCH($B14,CONTRACT_ID,0)+5)="","",INDEX('DMIC List - master'!$P:$P,MATCH($B14,CONTRACT_ID,0)+5)),"")</f>
        <v/>
      </c>
      <c r="H14" s="23">
        <f>IFERROR(IF(INDEX('DMIC List - master'!$Q:$Q,MATCH($B14,CONTRACT_ID,0)+5)="","",INDEX('DMIC List - master'!$Q:$Q,MATCH($B14,CONTRACT_ID,0)+5)),"")</f>
        <v/>
      </c>
      <c r="I14" s="23">
        <f>IFERROR(IF(INDEX('DMIC List - master'!$U:$U,MATCH($B14,CONTRACT_ID,0)+5)="","",INDEX('DMIC List - master'!$U:$U,MATCH($B14,CONTRACT_ID,0)+5)),"")</f>
        <v/>
      </c>
      <c r="K14" s="23" t="n"/>
      <c r="L14" s="23" t="n"/>
      <c r="M14" s="23" t="n"/>
      <c r="N14" s="23" t="n"/>
      <c r="O14" s="23" t="n"/>
      <c r="P14" s="23" t="n"/>
      <c r="R14" s="23" t="n"/>
      <c r="S14" s="23" t="n"/>
      <c r="T14" s="23" t="n"/>
      <c r="U14" s="23" t="n"/>
      <c r="V14" s="23" t="n"/>
      <c r="X14" s="23">
        <f>IF($B14="","",IF(COUNTA(K14:P14)+COUNTA(R14:V14)=0,"",(2*COUNTIF(K14:P14,"low")+COUNTIF(K14:P14,"medium")+2*COUNTIF(K14:P14,"unknown"))+(COUNTIF(R14:V14,"medium")+2*COUNTIF(R14:V14,"High"))))</f>
        <v/>
      </c>
      <c r="Y14" s="23">
        <f>IF(X14&lt;&gt;"",IF(X14&gt;9,1,0),"")</f>
        <v/>
      </c>
      <c r="Z14" s="23" t="n"/>
      <c r="AA14" s="23" t="n"/>
      <c r="AB14" s="23" t="n"/>
      <c r="AC14" s="23" t="n"/>
      <c r="AD14" s="23" t="n"/>
      <c r="AE14" s="23" t="n"/>
    </row>
    <row r="15">
      <c r="B15" s="26">
        <f>IF('DMIC List - master'!B15="","",'DMIC List - master'!B15)</f>
        <v/>
      </c>
      <c r="C15" s="26">
        <f>IFERROR(IF(INDEX('DMIC List - master'!$C:$C,MATCH($B15,CONTRACT_ID,0)+5)="","",INDEX('DMIC List - master'!$C:$C,MATCH($B15,CONTRACT_ID,0)+5)),"")</f>
        <v/>
      </c>
      <c r="D15" s="26">
        <f>IFERROR(IF(INDEX('DMIC List - master'!$D:$D,MATCH($B15,CONTRACT_ID,0)+5)="","",INDEX('DMIC List - master'!$D:$D,MATCH($B15,CONTRACT_ID,0)+5)),"")</f>
        <v/>
      </c>
      <c r="E15" s="26">
        <f>IFERROR(IF(INDEX('DMIC List - master'!$E:$E,MATCH($B15,CONTRACT_ID,0)+5)="","",INDEX('DMIC List - master'!$E:$E,MATCH($B15,CONTRACT_ID,0)+5)),"")</f>
        <v/>
      </c>
      <c r="G15" s="26">
        <f>IFERROR(IF(INDEX('DMIC List - master'!$P:$P,MATCH($B15,CONTRACT_ID,0)+5)="","",INDEX('DMIC List - master'!$P:$P,MATCH($B15,CONTRACT_ID,0)+5)),"")</f>
        <v/>
      </c>
      <c r="H15" s="26">
        <f>IFERROR(IF(INDEX('DMIC List - master'!$Q:$Q,MATCH($B15,CONTRACT_ID,0)+5)="","",INDEX('DMIC List - master'!$Q:$Q,MATCH($B15,CONTRACT_ID,0)+5)),"")</f>
        <v/>
      </c>
      <c r="I15" s="26">
        <f>IFERROR(IF(INDEX('DMIC List - master'!$U:$U,MATCH($B15,CONTRACT_ID,0)+5)="","",INDEX('DMIC List - master'!$U:$U,MATCH($B15,CONTRACT_ID,0)+5)),"")</f>
        <v/>
      </c>
      <c r="K15" s="26" t="n"/>
      <c r="L15" s="26" t="n"/>
      <c r="M15" s="26" t="n"/>
      <c r="N15" s="26" t="n"/>
      <c r="O15" s="26" t="n"/>
      <c r="P15" s="26" t="n"/>
      <c r="R15" s="26" t="n"/>
      <c r="S15" s="26" t="n"/>
      <c r="T15" s="26" t="n"/>
      <c r="U15" s="26" t="n"/>
      <c r="V15" s="26" t="n"/>
      <c r="X15" s="26">
        <f>IF($B15="","",IF(COUNTA(K15:P15)+COUNTA(R15:V15)=0,"",(2*COUNTIF(K15:P15,"low")+COUNTIF(K15:P15,"medium")+2*COUNTIF(K15:P15,"unknown"))+(COUNTIF(R15:V15,"medium")+2*COUNTIF(R15:V15,"High"))))</f>
        <v/>
      </c>
      <c r="Y15" s="26">
        <f>IF(X15&lt;&gt;"",IF(X15&gt;9,1,0),"")</f>
        <v/>
      </c>
      <c r="Z15" s="26" t="n"/>
      <c r="AA15" s="26" t="n"/>
      <c r="AB15" s="26" t="n"/>
      <c r="AC15" s="26" t="n"/>
      <c r="AD15" s="26" t="n"/>
      <c r="AE15" s="26" t="n"/>
    </row>
    <row r="16">
      <c r="B16" s="23">
        <f>IF('DMIC List - master'!B16="","",'DMIC List - master'!B16)</f>
        <v/>
      </c>
      <c r="C16" s="23">
        <f>IFERROR(IF(INDEX('DMIC List - master'!$C:$C,MATCH($B16,CONTRACT_ID,0)+5)="","",INDEX('DMIC List - master'!$C:$C,MATCH($B16,CONTRACT_ID,0)+5)),"")</f>
        <v/>
      </c>
      <c r="D16" s="23">
        <f>IFERROR(IF(INDEX('DMIC List - master'!$D:$D,MATCH($B16,CONTRACT_ID,0)+5)="","",INDEX('DMIC List - master'!$D:$D,MATCH($B16,CONTRACT_ID,0)+5)),"")</f>
        <v/>
      </c>
      <c r="E16" s="23">
        <f>IFERROR(IF(INDEX('DMIC List - master'!$E:$E,MATCH($B16,CONTRACT_ID,0)+5)="","",INDEX('DMIC List - master'!$E:$E,MATCH($B16,CONTRACT_ID,0)+5)),"")</f>
        <v/>
      </c>
      <c r="G16" s="23">
        <f>IFERROR(IF(INDEX('DMIC List - master'!$P:$P,MATCH($B16,CONTRACT_ID,0)+5)="","",INDEX('DMIC List - master'!$P:$P,MATCH($B16,CONTRACT_ID,0)+5)),"")</f>
        <v/>
      </c>
      <c r="H16" s="23">
        <f>IFERROR(IF(INDEX('DMIC List - master'!$Q:$Q,MATCH($B16,CONTRACT_ID,0)+5)="","",INDEX('DMIC List - master'!$Q:$Q,MATCH($B16,CONTRACT_ID,0)+5)),"")</f>
        <v/>
      </c>
      <c r="I16" s="23">
        <f>IFERROR(IF(INDEX('DMIC List - master'!$U:$U,MATCH($B16,CONTRACT_ID,0)+5)="","",INDEX('DMIC List - master'!$U:$U,MATCH($B16,CONTRACT_ID,0)+5)),"")</f>
        <v/>
      </c>
      <c r="K16" s="23" t="n"/>
      <c r="L16" s="23" t="n"/>
      <c r="M16" s="23" t="n"/>
      <c r="N16" s="23" t="n"/>
      <c r="O16" s="23" t="n"/>
      <c r="P16" s="23" t="n"/>
      <c r="R16" s="23" t="n"/>
      <c r="S16" s="23" t="n"/>
      <c r="T16" s="23" t="n"/>
      <c r="U16" s="23" t="n"/>
      <c r="V16" s="23" t="n"/>
      <c r="X16" s="23">
        <f>IF($B16="","",IF(COUNTA(K16:P16)+COUNTA(R16:V16)=0,"",(2*COUNTIF(K16:P16,"low")+COUNTIF(K16:P16,"medium")+2*COUNTIF(K16:P16,"unknown"))+(COUNTIF(R16:V16,"medium")+2*COUNTIF(R16:V16,"High"))))</f>
        <v/>
      </c>
      <c r="Y16" s="23">
        <f>IF(X16&lt;&gt;"",IF(X16&gt;9,1,0),"")</f>
        <v/>
      </c>
      <c r="Z16" s="23" t="n"/>
      <c r="AA16" s="23" t="n"/>
      <c r="AB16" s="23" t="n"/>
      <c r="AC16" s="23" t="n"/>
      <c r="AD16" s="23" t="n"/>
      <c r="AE16" s="23" t="n"/>
    </row>
    <row r="17">
      <c r="B17" s="26">
        <f>IF('DMIC List - master'!B17="","",'DMIC List - master'!B17)</f>
        <v/>
      </c>
      <c r="C17" s="26">
        <f>IFERROR(IF(INDEX('DMIC List - master'!$C:$C,MATCH($B17,CONTRACT_ID,0)+5)="","",INDEX('DMIC List - master'!$C:$C,MATCH($B17,CONTRACT_ID,0)+5)),"")</f>
        <v/>
      </c>
      <c r="D17" s="26">
        <f>IFERROR(IF(INDEX('DMIC List - master'!$D:$D,MATCH($B17,CONTRACT_ID,0)+5)="","",INDEX('DMIC List - master'!$D:$D,MATCH($B17,CONTRACT_ID,0)+5)),"")</f>
        <v/>
      </c>
      <c r="E17" s="26">
        <f>IFERROR(IF(INDEX('DMIC List - master'!$E:$E,MATCH($B17,CONTRACT_ID,0)+5)="","",INDEX('DMIC List - master'!$E:$E,MATCH($B17,CONTRACT_ID,0)+5)),"")</f>
        <v/>
      </c>
      <c r="G17" s="26">
        <f>IFERROR(IF(INDEX('DMIC List - master'!$P:$P,MATCH($B17,CONTRACT_ID,0)+5)="","",INDEX('DMIC List - master'!$P:$P,MATCH($B17,CONTRACT_ID,0)+5)),"")</f>
        <v/>
      </c>
      <c r="H17" s="26">
        <f>IFERROR(IF(INDEX('DMIC List - master'!$Q:$Q,MATCH($B17,CONTRACT_ID,0)+5)="","",INDEX('DMIC List - master'!$Q:$Q,MATCH($B17,CONTRACT_ID,0)+5)),"")</f>
        <v/>
      </c>
      <c r="I17" s="26">
        <f>IFERROR(IF(INDEX('DMIC List - master'!$U:$U,MATCH($B17,CONTRACT_ID,0)+5)="","",INDEX('DMIC List - master'!$U:$U,MATCH($B17,CONTRACT_ID,0)+5)),"")</f>
        <v/>
      </c>
      <c r="K17" s="26" t="n"/>
      <c r="L17" s="26" t="n"/>
      <c r="M17" s="26" t="n"/>
      <c r="N17" s="26" t="n"/>
      <c r="O17" s="26" t="n"/>
      <c r="P17" s="26" t="n"/>
      <c r="R17" s="26" t="n"/>
      <c r="S17" s="26" t="n"/>
      <c r="T17" s="26" t="n"/>
      <c r="U17" s="26" t="n"/>
      <c r="V17" s="26" t="n"/>
      <c r="X17" s="26">
        <f>IF($B17="","",IF(COUNTA(K17:P17)+COUNTA(R17:V17)=0,"",(2*COUNTIF(K17:P17,"low")+COUNTIF(K17:P17,"medium")+2*COUNTIF(K17:P17,"unknown"))+(COUNTIF(R17:V17,"medium")+2*COUNTIF(R17:V17,"High"))))</f>
        <v/>
      </c>
      <c r="Y17" s="26">
        <f>IF(X17&lt;&gt;"",IF(X17&gt;9,1,0),"")</f>
        <v/>
      </c>
      <c r="Z17" s="26" t="n"/>
      <c r="AA17" s="26" t="n"/>
      <c r="AB17" s="26" t="n"/>
      <c r="AC17" s="26" t="n"/>
      <c r="AD17" s="26" t="n"/>
      <c r="AE17" s="26" t="n"/>
    </row>
    <row r="18">
      <c r="B18" s="23">
        <f>IF('DMIC List - master'!B18="","",'DMIC List - master'!B18)</f>
        <v/>
      </c>
      <c r="C18" s="23">
        <f>IFERROR(IF(INDEX('DMIC List - master'!$C:$C,MATCH($B18,CONTRACT_ID,0)+5)="","",INDEX('DMIC List - master'!$C:$C,MATCH($B18,CONTRACT_ID,0)+5)),"")</f>
        <v/>
      </c>
      <c r="D18" s="23">
        <f>IFERROR(IF(INDEX('DMIC List - master'!$D:$D,MATCH($B18,CONTRACT_ID,0)+5)="","",INDEX('DMIC List - master'!$D:$D,MATCH($B18,CONTRACT_ID,0)+5)),"")</f>
        <v/>
      </c>
      <c r="E18" s="23">
        <f>IFERROR(IF(INDEX('DMIC List - master'!$E:$E,MATCH($B18,CONTRACT_ID,0)+5)="","",INDEX('DMIC List - master'!$E:$E,MATCH($B18,CONTRACT_ID,0)+5)),"")</f>
        <v/>
      </c>
      <c r="G18" s="23">
        <f>IFERROR(IF(INDEX('DMIC List - master'!$P:$P,MATCH($B18,CONTRACT_ID,0)+5)="","",INDEX('DMIC List - master'!$P:$P,MATCH($B18,CONTRACT_ID,0)+5)),"")</f>
        <v/>
      </c>
      <c r="H18" s="23">
        <f>IFERROR(IF(INDEX('DMIC List - master'!$Q:$Q,MATCH($B18,CONTRACT_ID,0)+5)="","",INDEX('DMIC List - master'!$Q:$Q,MATCH($B18,CONTRACT_ID,0)+5)),"")</f>
        <v/>
      </c>
      <c r="I18" s="23">
        <f>IFERROR(IF(INDEX('DMIC List - master'!$U:$U,MATCH($B18,CONTRACT_ID,0)+5)="","",INDEX('DMIC List - master'!$U:$U,MATCH($B18,CONTRACT_ID,0)+5)),"")</f>
        <v/>
      </c>
      <c r="K18" s="23" t="n"/>
      <c r="L18" s="23" t="n"/>
      <c r="M18" s="23" t="n"/>
      <c r="N18" s="23" t="n"/>
      <c r="O18" s="23" t="n"/>
      <c r="P18" s="23" t="n"/>
      <c r="R18" s="23" t="n"/>
      <c r="S18" s="23" t="n"/>
      <c r="T18" s="23" t="n"/>
      <c r="U18" s="23" t="n"/>
      <c r="V18" s="23" t="n"/>
      <c r="X18" s="23">
        <f>IF($B18="","",IF(COUNTA(K18:P18)+COUNTA(R18:V18)=0,"",(2*COUNTIF(K18:P18,"low")+COUNTIF(K18:P18,"medium")+2*COUNTIF(K18:P18,"unknown"))+(COUNTIF(R18:V18,"medium")+2*COUNTIF(R18:V18,"High"))))</f>
        <v/>
      </c>
      <c r="Y18" s="23">
        <f>IF(X18&lt;&gt;"",IF(X18&gt;9,1,0),"")</f>
        <v/>
      </c>
      <c r="Z18" s="23" t="n"/>
      <c r="AA18" s="23" t="n"/>
      <c r="AB18" s="23" t="n"/>
      <c r="AC18" s="23" t="n"/>
      <c r="AD18" s="23" t="n"/>
      <c r="AE18" s="23" t="n"/>
    </row>
    <row r="19">
      <c r="B19" s="26">
        <f>IF('DMIC List - master'!B19="","",'DMIC List - master'!B19)</f>
        <v/>
      </c>
      <c r="C19" s="26">
        <f>IFERROR(IF(INDEX('DMIC List - master'!$C:$C,MATCH($B19,CONTRACT_ID,0)+5)="","",INDEX('DMIC List - master'!$C:$C,MATCH($B19,CONTRACT_ID,0)+5)),"")</f>
        <v/>
      </c>
      <c r="D19" s="26">
        <f>IFERROR(IF(INDEX('DMIC List - master'!$D:$D,MATCH($B19,CONTRACT_ID,0)+5)="","",INDEX('DMIC List - master'!$D:$D,MATCH($B19,CONTRACT_ID,0)+5)),"")</f>
        <v/>
      </c>
      <c r="E19" s="26">
        <f>IFERROR(IF(INDEX('DMIC List - master'!$E:$E,MATCH($B19,CONTRACT_ID,0)+5)="","",INDEX('DMIC List - master'!$E:$E,MATCH($B19,CONTRACT_ID,0)+5)),"")</f>
        <v/>
      </c>
      <c r="G19" s="26">
        <f>IFERROR(IF(INDEX('DMIC List - master'!$P:$P,MATCH($B19,CONTRACT_ID,0)+5)="","",INDEX('DMIC List - master'!$P:$P,MATCH($B19,CONTRACT_ID,0)+5)),"")</f>
        <v/>
      </c>
      <c r="H19" s="26">
        <f>IFERROR(IF(INDEX('DMIC List - master'!$Q:$Q,MATCH($B19,CONTRACT_ID,0)+5)="","",INDEX('DMIC List - master'!$Q:$Q,MATCH($B19,CONTRACT_ID,0)+5)),"")</f>
        <v/>
      </c>
      <c r="I19" s="26">
        <f>IFERROR(IF(INDEX('DMIC List - master'!$U:$U,MATCH($B19,CONTRACT_ID,0)+5)="","",INDEX('DMIC List - master'!$U:$U,MATCH($B19,CONTRACT_ID,0)+5)),"")</f>
        <v/>
      </c>
      <c r="K19" s="26" t="n"/>
      <c r="L19" s="26" t="n"/>
      <c r="M19" s="26" t="n"/>
      <c r="N19" s="26" t="n"/>
      <c r="O19" s="26" t="n"/>
      <c r="P19" s="26" t="n"/>
      <c r="R19" s="26" t="n"/>
      <c r="S19" s="26" t="n"/>
      <c r="T19" s="26" t="n"/>
      <c r="U19" s="26" t="n"/>
      <c r="V19" s="26" t="n"/>
      <c r="X19" s="26">
        <f>IF($B19="","",IF(COUNTA(K19:P19)+COUNTA(R19:V19)=0,"",(2*COUNTIF(K19:P19,"low")+COUNTIF(K19:P19,"medium")+2*COUNTIF(K19:P19,"unknown"))+(COUNTIF(R19:V19,"medium")+2*COUNTIF(R19:V19,"High"))))</f>
        <v/>
      </c>
      <c r="Y19" s="26">
        <f>IF(X19&lt;&gt;"",IF(X19&gt;9,1,0),"")</f>
        <v/>
      </c>
      <c r="Z19" s="26" t="n"/>
      <c r="AA19" s="26" t="n"/>
      <c r="AB19" s="26" t="n"/>
      <c r="AC19" s="26" t="n"/>
      <c r="AD19" s="26" t="n"/>
      <c r="AE19" s="26" t="n"/>
    </row>
    <row r="20">
      <c r="B20" s="23">
        <f>IF('DMIC List - master'!B20="","",'DMIC List - master'!B20)</f>
        <v/>
      </c>
      <c r="C20" s="23">
        <f>IFERROR(IF(INDEX('DMIC List - master'!$C:$C,MATCH($B20,CONTRACT_ID,0)+5)="","",INDEX('DMIC List - master'!$C:$C,MATCH($B20,CONTRACT_ID,0)+5)),"")</f>
        <v/>
      </c>
      <c r="D20" s="23">
        <f>IFERROR(IF(INDEX('DMIC List - master'!$D:$D,MATCH($B20,CONTRACT_ID,0)+5)="","",INDEX('DMIC List - master'!$D:$D,MATCH($B20,CONTRACT_ID,0)+5)),"")</f>
        <v/>
      </c>
      <c r="E20" s="23">
        <f>IFERROR(IF(INDEX('DMIC List - master'!$E:$E,MATCH($B20,CONTRACT_ID,0)+5)="","",INDEX('DMIC List - master'!$E:$E,MATCH($B20,CONTRACT_ID,0)+5)),"")</f>
        <v/>
      </c>
      <c r="G20" s="23">
        <f>IFERROR(IF(INDEX('DMIC List - master'!$P:$P,MATCH($B20,CONTRACT_ID,0)+5)="","",INDEX('DMIC List - master'!$P:$P,MATCH($B20,CONTRACT_ID,0)+5)),"")</f>
        <v/>
      </c>
      <c r="H20" s="23">
        <f>IFERROR(IF(INDEX('DMIC List - master'!$Q:$Q,MATCH($B20,CONTRACT_ID,0)+5)="","",INDEX('DMIC List - master'!$Q:$Q,MATCH($B20,CONTRACT_ID,0)+5)),"")</f>
        <v/>
      </c>
      <c r="I20" s="23">
        <f>IFERROR(IF(INDEX('DMIC List - master'!$U:$U,MATCH($B20,CONTRACT_ID,0)+5)="","",INDEX('DMIC List - master'!$U:$U,MATCH($B20,CONTRACT_ID,0)+5)),"")</f>
        <v/>
      </c>
      <c r="K20" s="23" t="n"/>
      <c r="L20" s="23" t="n"/>
      <c r="M20" s="23" t="n"/>
      <c r="N20" s="23" t="n"/>
      <c r="O20" s="23" t="n"/>
      <c r="P20" s="23" t="n"/>
      <c r="R20" s="23" t="n"/>
      <c r="S20" s="23" t="n"/>
      <c r="T20" s="23" t="n"/>
      <c r="U20" s="23" t="n"/>
      <c r="V20" s="23" t="n"/>
      <c r="X20" s="23">
        <f>IF($B20="","",IF(COUNTA(K20:P20)+COUNTA(R20:V20)=0,"",(2*COUNTIF(K20:P20,"low")+COUNTIF(K20:P20,"medium")+2*COUNTIF(K20:P20,"unknown"))+(COUNTIF(R20:V20,"medium")+2*COUNTIF(R20:V20,"High"))))</f>
        <v/>
      </c>
      <c r="Y20" s="23">
        <f>IF(X20&lt;&gt;"",IF(X20&gt;9,1,0),"")</f>
        <v/>
      </c>
      <c r="Z20" s="23" t="n"/>
      <c r="AA20" s="23" t="n"/>
      <c r="AB20" s="23" t="n"/>
      <c r="AC20" s="23" t="n"/>
      <c r="AD20" s="23" t="n"/>
      <c r="AE20" s="23" t="n"/>
    </row>
    <row r="21">
      <c r="B21" s="26">
        <f>IF('DMIC List - master'!B21="","",'DMIC List - master'!B21)</f>
        <v/>
      </c>
      <c r="C21" s="26">
        <f>IFERROR(IF(INDEX('DMIC List - master'!$C:$C,MATCH($B21,CONTRACT_ID,0)+5)="","",INDEX('DMIC List - master'!$C:$C,MATCH($B21,CONTRACT_ID,0)+5)),"")</f>
        <v/>
      </c>
      <c r="D21" s="26">
        <f>IFERROR(IF(INDEX('DMIC List - master'!$D:$D,MATCH($B21,CONTRACT_ID,0)+5)="","",INDEX('DMIC List - master'!$D:$D,MATCH($B21,CONTRACT_ID,0)+5)),"")</f>
        <v/>
      </c>
      <c r="E21" s="26">
        <f>IFERROR(IF(INDEX('DMIC List - master'!$E:$E,MATCH($B21,CONTRACT_ID,0)+5)="","",INDEX('DMIC List - master'!$E:$E,MATCH($B21,CONTRACT_ID,0)+5)),"")</f>
        <v/>
      </c>
      <c r="G21" s="26">
        <f>IFERROR(IF(INDEX('DMIC List - master'!$P:$P,MATCH($B21,CONTRACT_ID,0)+5)="","",INDEX('DMIC List - master'!$P:$P,MATCH($B21,CONTRACT_ID,0)+5)),"")</f>
        <v/>
      </c>
      <c r="H21" s="26">
        <f>IFERROR(IF(INDEX('DMIC List - master'!$Q:$Q,MATCH($B21,CONTRACT_ID,0)+5)="","",INDEX('DMIC List - master'!$Q:$Q,MATCH($B21,CONTRACT_ID,0)+5)),"")</f>
        <v/>
      </c>
      <c r="I21" s="26">
        <f>IFERROR(IF(INDEX('DMIC List - master'!$U:$U,MATCH($B21,CONTRACT_ID,0)+5)="","",INDEX('DMIC List - master'!$U:$U,MATCH($B21,CONTRACT_ID,0)+5)),"")</f>
        <v/>
      </c>
      <c r="K21" s="26" t="n"/>
      <c r="L21" s="26" t="n"/>
      <c r="M21" s="26" t="n"/>
      <c r="N21" s="26" t="n"/>
      <c r="O21" s="26" t="n"/>
      <c r="P21" s="26" t="n"/>
      <c r="R21" s="26" t="n"/>
      <c r="S21" s="26" t="n"/>
      <c r="T21" s="26" t="n"/>
      <c r="U21" s="26" t="n"/>
      <c r="V21" s="26" t="n"/>
      <c r="X21" s="26">
        <f>IF($B21="","",IF(COUNTA(K21:P21)+COUNTA(R21:V21)=0,"",(2*COUNTIF(K21:P21,"low")+COUNTIF(K21:P21,"medium")+2*COUNTIF(K21:P21,"unknown"))+(COUNTIF(R21:V21,"medium")+2*COUNTIF(R21:V21,"High"))))</f>
        <v/>
      </c>
      <c r="Y21" s="26">
        <f>IF(X21&lt;&gt;"",IF(X21&gt;9,1,0),"")</f>
        <v/>
      </c>
      <c r="Z21" s="26" t="n"/>
      <c r="AA21" s="26" t="n"/>
      <c r="AB21" s="26" t="n"/>
      <c r="AC21" s="26" t="n"/>
      <c r="AD21" s="26" t="n"/>
      <c r="AE21" s="26" t="n"/>
    </row>
    <row r="22">
      <c r="B22" s="23">
        <f>IF('DMIC List - master'!B22="","",'DMIC List - master'!B22)</f>
        <v/>
      </c>
      <c r="C22" s="23">
        <f>IFERROR(IF(INDEX('DMIC List - master'!$C:$C,MATCH($B22,CONTRACT_ID,0)+5)="","",INDEX('DMIC List - master'!$C:$C,MATCH($B22,CONTRACT_ID,0)+5)),"")</f>
        <v/>
      </c>
      <c r="D22" s="23">
        <f>IFERROR(IF(INDEX('DMIC List - master'!$D:$D,MATCH($B22,CONTRACT_ID,0)+5)="","",INDEX('DMIC List - master'!$D:$D,MATCH($B22,CONTRACT_ID,0)+5)),"")</f>
        <v/>
      </c>
      <c r="E22" s="23">
        <f>IFERROR(IF(INDEX('DMIC List - master'!$E:$E,MATCH($B22,CONTRACT_ID,0)+5)="","",INDEX('DMIC List - master'!$E:$E,MATCH($B22,CONTRACT_ID,0)+5)),"")</f>
        <v/>
      </c>
      <c r="G22" s="23">
        <f>IFERROR(IF(INDEX('DMIC List - master'!$P:$P,MATCH($B22,CONTRACT_ID,0)+5)="","",INDEX('DMIC List - master'!$P:$P,MATCH($B22,CONTRACT_ID,0)+5)),"")</f>
        <v/>
      </c>
      <c r="H22" s="23">
        <f>IFERROR(IF(INDEX('DMIC List - master'!$Q:$Q,MATCH($B22,CONTRACT_ID,0)+5)="","",INDEX('DMIC List - master'!$Q:$Q,MATCH($B22,CONTRACT_ID,0)+5)),"")</f>
        <v/>
      </c>
      <c r="I22" s="23">
        <f>IFERROR(IF(INDEX('DMIC List - master'!$U:$U,MATCH($B22,CONTRACT_ID,0)+5)="","",INDEX('DMIC List - master'!$U:$U,MATCH($B22,CONTRACT_ID,0)+5)),"")</f>
        <v/>
      </c>
      <c r="K22" s="23" t="n"/>
      <c r="L22" s="23" t="n"/>
      <c r="M22" s="23" t="n"/>
      <c r="N22" s="23" t="n"/>
      <c r="O22" s="23" t="n"/>
      <c r="P22" s="23" t="n"/>
      <c r="R22" s="23" t="n"/>
      <c r="S22" s="23" t="n"/>
      <c r="T22" s="23" t="n"/>
      <c r="U22" s="23" t="n"/>
      <c r="V22" s="23" t="n"/>
      <c r="X22" s="23">
        <f>IF($B22="","",IF(COUNTA(K22:P22)+COUNTA(R22:V22)=0,"",(2*COUNTIF(K22:P22,"low")+COUNTIF(K22:P22,"medium")+2*COUNTIF(K22:P22,"unknown"))+(COUNTIF(R22:V22,"medium")+2*COUNTIF(R22:V22,"High"))))</f>
        <v/>
      </c>
      <c r="Y22" s="23">
        <f>IF(X22&lt;&gt;"",IF(X22&gt;9,1,0),"")</f>
        <v/>
      </c>
      <c r="Z22" s="23" t="n"/>
      <c r="AA22" s="23" t="n"/>
      <c r="AB22" s="23" t="n"/>
      <c r="AC22" s="23" t="n"/>
      <c r="AD22" s="23" t="n"/>
      <c r="AE22" s="23" t="n"/>
    </row>
    <row r="23">
      <c r="B23" s="26">
        <f>IF('DMIC List - master'!B23="","",'DMIC List - master'!B23)</f>
        <v/>
      </c>
      <c r="C23" s="26">
        <f>IFERROR(IF(INDEX('DMIC List - master'!$C:$C,MATCH($B23,CONTRACT_ID,0)+5)="","",INDEX('DMIC List - master'!$C:$C,MATCH($B23,CONTRACT_ID,0)+5)),"")</f>
        <v/>
      </c>
      <c r="D23" s="26">
        <f>IFERROR(IF(INDEX('DMIC List - master'!$D:$D,MATCH($B23,CONTRACT_ID,0)+5)="","",INDEX('DMIC List - master'!$D:$D,MATCH($B23,CONTRACT_ID,0)+5)),"")</f>
        <v/>
      </c>
      <c r="E23" s="26">
        <f>IFERROR(IF(INDEX('DMIC List - master'!$E:$E,MATCH($B23,CONTRACT_ID,0)+5)="","",INDEX('DMIC List - master'!$E:$E,MATCH($B23,CONTRACT_ID,0)+5)),"")</f>
        <v/>
      </c>
      <c r="G23" s="26">
        <f>IFERROR(IF(INDEX('DMIC List - master'!$P:$P,MATCH($B23,CONTRACT_ID,0)+5)="","",INDEX('DMIC List - master'!$P:$P,MATCH($B23,CONTRACT_ID,0)+5)),"")</f>
        <v/>
      </c>
      <c r="H23" s="26">
        <f>IFERROR(IF(INDEX('DMIC List - master'!$Q:$Q,MATCH($B23,CONTRACT_ID,0)+5)="","",INDEX('DMIC List - master'!$Q:$Q,MATCH($B23,CONTRACT_ID,0)+5)),"")</f>
        <v/>
      </c>
      <c r="I23" s="26">
        <f>IFERROR(IF(INDEX('DMIC List - master'!$U:$U,MATCH($B23,CONTRACT_ID,0)+5)="","",INDEX('DMIC List - master'!$U:$U,MATCH($B23,CONTRACT_ID,0)+5)),"")</f>
        <v/>
      </c>
      <c r="K23" s="26" t="n"/>
      <c r="L23" s="26" t="n"/>
      <c r="M23" s="26" t="n"/>
      <c r="N23" s="26" t="n"/>
      <c r="O23" s="26" t="n"/>
      <c r="P23" s="26" t="n"/>
      <c r="R23" s="26" t="n"/>
      <c r="S23" s="26" t="n"/>
      <c r="T23" s="26" t="n"/>
      <c r="U23" s="26" t="n"/>
      <c r="V23" s="26" t="n"/>
      <c r="X23" s="26">
        <f>IF($B23="","",IF(COUNTA(K23:P23)+COUNTA(R23:V23)=0,"",(2*COUNTIF(K23:P23,"low")+COUNTIF(K23:P23,"medium")+2*COUNTIF(K23:P23,"unknown"))+(COUNTIF(R23:V23,"medium")+2*COUNTIF(R23:V23,"High"))))</f>
        <v/>
      </c>
      <c r="Y23" s="26">
        <f>IF(X23&lt;&gt;"",IF(X23&gt;9,1,0),"")</f>
        <v/>
      </c>
      <c r="Z23" s="26" t="n"/>
      <c r="AA23" s="26" t="n"/>
      <c r="AB23" s="26" t="n"/>
      <c r="AC23" s="26" t="n"/>
      <c r="AD23" s="26" t="n"/>
      <c r="AE23" s="26" t="n"/>
    </row>
    <row r="24">
      <c r="B24" s="23">
        <f>IF('DMIC List - master'!B24="","",'DMIC List - master'!B24)</f>
        <v/>
      </c>
      <c r="C24" s="23">
        <f>IFERROR(IF(INDEX('DMIC List - master'!$C:$C,MATCH($B24,CONTRACT_ID,0)+5)="","",INDEX('DMIC List - master'!$C:$C,MATCH($B24,CONTRACT_ID,0)+5)),"")</f>
        <v/>
      </c>
      <c r="D24" s="23">
        <f>IFERROR(IF(INDEX('DMIC List - master'!$D:$D,MATCH($B24,CONTRACT_ID,0)+5)="","",INDEX('DMIC List - master'!$D:$D,MATCH($B24,CONTRACT_ID,0)+5)),"")</f>
        <v/>
      </c>
      <c r="E24" s="23">
        <f>IFERROR(IF(INDEX('DMIC List - master'!$E:$E,MATCH($B24,CONTRACT_ID,0)+5)="","",INDEX('DMIC List - master'!$E:$E,MATCH($B24,CONTRACT_ID,0)+5)),"")</f>
        <v/>
      </c>
      <c r="G24" s="23">
        <f>IFERROR(IF(INDEX('DMIC List - master'!$P:$P,MATCH($B24,CONTRACT_ID,0)+5)="","",INDEX('DMIC List - master'!$P:$P,MATCH($B24,CONTRACT_ID,0)+5)),"")</f>
        <v/>
      </c>
      <c r="H24" s="23">
        <f>IFERROR(IF(INDEX('DMIC List - master'!$Q:$Q,MATCH($B24,CONTRACT_ID,0)+5)="","",INDEX('DMIC List - master'!$Q:$Q,MATCH($B24,CONTRACT_ID,0)+5)),"")</f>
        <v/>
      </c>
      <c r="I24" s="23">
        <f>IFERROR(IF(INDEX('DMIC List - master'!$U:$U,MATCH($B24,CONTRACT_ID,0)+5)="","",INDEX('DMIC List - master'!$U:$U,MATCH($B24,CONTRACT_ID,0)+5)),"")</f>
        <v/>
      </c>
      <c r="K24" s="23" t="n"/>
      <c r="L24" s="23" t="n"/>
      <c r="M24" s="23" t="n"/>
      <c r="N24" s="23" t="n"/>
      <c r="O24" s="23" t="n"/>
      <c r="P24" s="23" t="n"/>
      <c r="R24" s="23" t="n"/>
      <c r="S24" s="23" t="n"/>
      <c r="T24" s="23" t="n"/>
      <c r="U24" s="23" t="n"/>
      <c r="V24" s="23" t="n"/>
      <c r="X24" s="23">
        <f>IF($B24="","",IF(COUNTA(K24:P24)+COUNTA(R24:V24)=0,"",(2*COUNTIF(K24:P24,"low")+COUNTIF(K24:P24,"medium")+2*COUNTIF(K24:P24,"unknown"))+(COUNTIF(R24:V24,"medium")+2*COUNTIF(R24:V24,"High"))))</f>
        <v/>
      </c>
      <c r="Y24" s="23">
        <f>IF(X24&lt;&gt;"",IF(X24&gt;9,1,0),"")</f>
        <v/>
      </c>
      <c r="Z24" s="23" t="n"/>
      <c r="AA24" s="23" t="n"/>
      <c r="AB24" s="23" t="n"/>
      <c r="AC24" s="23" t="n"/>
      <c r="AD24" s="23" t="n"/>
      <c r="AE24" s="23" t="n"/>
    </row>
    <row r="25">
      <c r="B25" s="26">
        <f>IF('DMIC List - master'!B25="","",'DMIC List - master'!B25)</f>
        <v/>
      </c>
      <c r="C25" s="26">
        <f>IFERROR(IF(INDEX('DMIC List - master'!$C:$C,MATCH($B25,CONTRACT_ID,0)+5)="","",INDEX('DMIC List - master'!$C:$C,MATCH($B25,CONTRACT_ID,0)+5)),"")</f>
        <v/>
      </c>
      <c r="D25" s="26">
        <f>IFERROR(IF(INDEX('DMIC List - master'!$D:$D,MATCH($B25,CONTRACT_ID,0)+5)="","",INDEX('DMIC List - master'!$D:$D,MATCH($B25,CONTRACT_ID,0)+5)),"")</f>
        <v/>
      </c>
      <c r="E25" s="26">
        <f>IFERROR(IF(INDEX('DMIC List - master'!$E:$E,MATCH($B25,CONTRACT_ID,0)+5)="","",INDEX('DMIC List - master'!$E:$E,MATCH($B25,CONTRACT_ID,0)+5)),"")</f>
        <v/>
      </c>
      <c r="G25" s="26">
        <f>IFERROR(IF(INDEX('DMIC List - master'!$P:$P,MATCH($B25,CONTRACT_ID,0)+5)="","",INDEX('DMIC List - master'!$P:$P,MATCH($B25,CONTRACT_ID,0)+5)),"")</f>
        <v/>
      </c>
      <c r="H25" s="26">
        <f>IFERROR(IF(INDEX('DMIC List - master'!$Q:$Q,MATCH($B25,CONTRACT_ID,0)+5)="","",INDEX('DMIC List - master'!$Q:$Q,MATCH($B25,CONTRACT_ID,0)+5)),"")</f>
        <v/>
      </c>
      <c r="I25" s="26">
        <f>IFERROR(IF(INDEX('DMIC List - master'!$U:$U,MATCH($B25,CONTRACT_ID,0)+5)="","",INDEX('DMIC List - master'!$U:$U,MATCH($B25,CONTRACT_ID,0)+5)),"")</f>
        <v/>
      </c>
      <c r="K25" s="26" t="n"/>
      <c r="L25" s="26" t="n"/>
      <c r="M25" s="26" t="n"/>
      <c r="N25" s="26" t="n"/>
      <c r="O25" s="26" t="n"/>
      <c r="P25" s="26" t="n"/>
      <c r="R25" s="26" t="n"/>
      <c r="S25" s="26" t="n"/>
      <c r="T25" s="26" t="n"/>
      <c r="U25" s="26" t="n"/>
      <c r="V25" s="26" t="n"/>
      <c r="X25" s="26">
        <f>IF($B25="","",IF(COUNTA(K25:P25)+COUNTA(R25:V25)=0,"",(2*COUNTIF(K25:P25,"low")+COUNTIF(K25:P25,"medium")+2*COUNTIF(K25:P25,"unknown"))+(COUNTIF(R25:V25,"medium")+2*COUNTIF(R25:V25,"High"))))</f>
        <v/>
      </c>
      <c r="Y25" s="26">
        <f>IF(X25&lt;&gt;"",IF(X25&gt;9,1,0),"")</f>
        <v/>
      </c>
      <c r="Z25" s="26" t="n"/>
      <c r="AA25" s="26" t="n"/>
      <c r="AB25" s="26" t="n"/>
      <c r="AC25" s="26" t="n"/>
      <c r="AD25" s="26" t="n"/>
      <c r="AE25" s="26" t="n"/>
    </row>
    <row r="26">
      <c r="B26" s="23">
        <f>IF('DMIC List - master'!B26="","",'DMIC List - master'!B26)</f>
        <v/>
      </c>
      <c r="C26" s="23">
        <f>IFERROR(IF(INDEX('DMIC List - master'!$C:$C,MATCH($B26,CONTRACT_ID,0)+5)="","",INDEX('DMIC List - master'!$C:$C,MATCH($B26,CONTRACT_ID,0)+5)),"")</f>
        <v/>
      </c>
      <c r="D26" s="23">
        <f>IFERROR(IF(INDEX('DMIC List - master'!$D:$D,MATCH($B26,CONTRACT_ID,0)+5)="","",INDEX('DMIC List - master'!$D:$D,MATCH($B26,CONTRACT_ID,0)+5)),"")</f>
        <v/>
      </c>
      <c r="E26" s="23">
        <f>IFERROR(IF(INDEX('DMIC List - master'!$E:$E,MATCH($B26,CONTRACT_ID,0)+5)="","",INDEX('DMIC List - master'!$E:$E,MATCH($B26,CONTRACT_ID,0)+5)),"")</f>
        <v/>
      </c>
      <c r="G26" s="23">
        <f>IFERROR(IF(INDEX('DMIC List - master'!$P:$P,MATCH($B26,CONTRACT_ID,0)+5)="","",INDEX('DMIC List - master'!$P:$P,MATCH($B26,CONTRACT_ID,0)+5)),"")</f>
        <v/>
      </c>
      <c r="H26" s="23">
        <f>IFERROR(IF(INDEX('DMIC List - master'!$Q:$Q,MATCH($B26,CONTRACT_ID,0)+5)="","",INDEX('DMIC List - master'!$Q:$Q,MATCH($B26,CONTRACT_ID,0)+5)),"")</f>
        <v/>
      </c>
      <c r="I26" s="23">
        <f>IFERROR(IF(INDEX('DMIC List - master'!$U:$U,MATCH($B26,CONTRACT_ID,0)+5)="","",INDEX('DMIC List - master'!$U:$U,MATCH($B26,CONTRACT_ID,0)+5)),"")</f>
        <v/>
      </c>
      <c r="K26" s="23" t="n"/>
      <c r="L26" s="23" t="n"/>
      <c r="M26" s="23" t="n"/>
      <c r="N26" s="23" t="n"/>
      <c r="O26" s="23" t="n"/>
      <c r="P26" s="23" t="n"/>
      <c r="R26" s="23" t="n"/>
      <c r="S26" s="23" t="n"/>
      <c r="T26" s="23" t="n"/>
      <c r="U26" s="23" t="n"/>
      <c r="V26" s="23" t="n"/>
      <c r="X26" s="23">
        <f>IF($B26="","",IF(COUNTA(K26:P26)+COUNTA(R26:V26)=0,"",(2*COUNTIF(K26:P26,"low")+COUNTIF(K26:P26,"medium")+2*COUNTIF(K26:P26,"unknown"))+(COUNTIF(R26:V26,"medium")+2*COUNTIF(R26:V26,"High"))))</f>
        <v/>
      </c>
      <c r="Y26" s="23">
        <f>IF(X26&lt;&gt;"",IF(X26&gt;9,1,0),"")</f>
        <v/>
      </c>
      <c r="Z26" s="23" t="n"/>
      <c r="AA26" s="23" t="n"/>
      <c r="AB26" s="23" t="n"/>
      <c r="AC26" s="23" t="n"/>
      <c r="AD26" s="23" t="n"/>
      <c r="AE26" s="23" t="n"/>
    </row>
    <row r="27">
      <c r="B27" s="26">
        <f>IF('DMIC List - master'!B27="","",'DMIC List - master'!B27)</f>
        <v/>
      </c>
      <c r="C27" s="26">
        <f>IFERROR(IF(INDEX('DMIC List - master'!$C:$C,MATCH($B27,CONTRACT_ID,0)+5)="","",INDEX('DMIC List - master'!$C:$C,MATCH($B27,CONTRACT_ID,0)+5)),"")</f>
        <v/>
      </c>
      <c r="D27" s="26">
        <f>IFERROR(IF(INDEX('DMIC List - master'!$D:$D,MATCH($B27,CONTRACT_ID,0)+5)="","",INDEX('DMIC List - master'!$D:$D,MATCH($B27,CONTRACT_ID,0)+5)),"")</f>
        <v/>
      </c>
      <c r="E27" s="26">
        <f>IFERROR(IF(INDEX('DMIC List - master'!$E:$E,MATCH($B27,CONTRACT_ID,0)+5)="","",INDEX('DMIC List - master'!$E:$E,MATCH($B27,CONTRACT_ID,0)+5)),"")</f>
        <v/>
      </c>
      <c r="G27" s="26">
        <f>IFERROR(IF(INDEX('DMIC List - master'!$P:$P,MATCH($B27,CONTRACT_ID,0)+5)="","",INDEX('DMIC List - master'!$P:$P,MATCH($B27,CONTRACT_ID,0)+5)),"")</f>
        <v/>
      </c>
      <c r="H27" s="26">
        <f>IFERROR(IF(INDEX('DMIC List - master'!$Q:$Q,MATCH($B27,CONTRACT_ID,0)+5)="","",INDEX('DMIC List - master'!$Q:$Q,MATCH($B27,CONTRACT_ID,0)+5)),"")</f>
        <v/>
      </c>
      <c r="I27" s="26">
        <f>IFERROR(IF(INDEX('DMIC List - master'!$U:$U,MATCH($B27,CONTRACT_ID,0)+5)="","",INDEX('DMIC List - master'!$U:$U,MATCH($B27,CONTRACT_ID,0)+5)),"")</f>
        <v/>
      </c>
      <c r="K27" s="26" t="n"/>
      <c r="L27" s="26" t="n"/>
      <c r="M27" s="26" t="n"/>
      <c r="N27" s="26" t="n"/>
      <c r="O27" s="26" t="n"/>
      <c r="P27" s="26" t="n"/>
      <c r="R27" s="26" t="n"/>
      <c r="S27" s="26" t="n"/>
      <c r="T27" s="26" t="n"/>
      <c r="U27" s="26" t="n"/>
      <c r="V27" s="26" t="n"/>
      <c r="X27" s="26">
        <f>IF($B27="","",IF(COUNTA(K27:P27)+COUNTA(R27:V27)=0,"",(2*COUNTIF(K27:P27,"low")+COUNTIF(K27:P27,"medium")+2*COUNTIF(K27:P27,"unknown"))+(COUNTIF(R27:V27,"medium")+2*COUNTIF(R27:V27,"High"))))</f>
        <v/>
      </c>
      <c r="Y27" s="26">
        <f>IF(X27&lt;&gt;"",IF(X27&gt;9,1,0),"")</f>
        <v/>
      </c>
      <c r="Z27" s="26" t="n"/>
      <c r="AA27" s="26" t="n"/>
      <c r="AB27" s="26" t="n"/>
      <c r="AC27" s="26" t="n"/>
      <c r="AD27" s="26" t="n"/>
      <c r="AE27" s="26" t="n"/>
    </row>
    <row r="28">
      <c r="B28" s="23">
        <f>IF('DMIC List - master'!B28="","",'DMIC List - master'!B28)</f>
        <v/>
      </c>
      <c r="C28" s="23">
        <f>IFERROR(IF(INDEX('DMIC List - master'!$C:$C,MATCH($B28,CONTRACT_ID,0)+5)="","",INDEX('DMIC List - master'!$C:$C,MATCH($B28,CONTRACT_ID,0)+5)),"")</f>
        <v/>
      </c>
      <c r="D28" s="23">
        <f>IFERROR(IF(INDEX('DMIC List - master'!$D:$D,MATCH($B28,CONTRACT_ID,0)+5)="","",INDEX('DMIC List - master'!$D:$D,MATCH($B28,CONTRACT_ID,0)+5)),"")</f>
        <v/>
      </c>
      <c r="E28" s="23">
        <f>IFERROR(IF(INDEX('DMIC List - master'!$E:$E,MATCH($B28,CONTRACT_ID,0)+5)="","",INDEX('DMIC List - master'!$E:$E,MATCH($B28,CONTRACT_ID,0)+5)),"")</f>
        <v/>
      </c>
      <c r="G28" s="23">
        <f>IFERROR(IF(INDEX('DMIC List - master'!$P:$P,MATCH($B28,CONTRACT_ID,0)+5)="","",INDEX('DMIC List - master'!$P:$P,MATCH($B28,CONTRACT_ID,0)+5)),"")</f>
        <v/>
      </c>
      <c r="H28" s="23">
        <f>IFERROR(IF(INDEX('DMIC List - master'!$Q:$Q,MATCH($B28,CONTRACT_ID,0)+5)="","",INDEX('DMIC List - master'!$Q:$Q,MATCH($B28,CONTRACT_ID,0)+5)),"")</f>
        <v/>
      </c>
      <c r="I28" s="23">
        <f>IFERROR(IF(INDEX('DMIC List - master'!$U:$U,MATCH($B28,CONTRACT_ID,0)+5)="","",INDEX('DMIC List - master'!$U:$U,MATCH($B28,CONTRACT_ID,0)+5)),"")</f>
        <v/>
      </c>
      <c r="K28" s="23" t="n"/>
      <c r="L28" s="23" t="n"/>
      <c r="M28" s="23" t="n"/>
      <c r="N28" s="23" t="n"/>
      <c r="O28" s="23" t="n"/>
      <c r="P28" s="23" t="n"/>
      <c r="R28" s="23" t="n"/>
      <c r="S28" s="23" t="n"/>
      <c r="T28" s="23" t="n"/>
      <c r="U28" s="23" t="n"/>
      <c r="V28" s="23" t="n"/>
      <c r="X28" s="23">
        <f>IF($B28="","",IF(COUNTA(K28:P28)+COUNTA(R28:V28)=0,"",(2*COUNTIF(K28:P28,"low")+COUNTIF(K28:P28,"medium")+2*COUNTIF(K28:P28,"unknown"))+(COUNTIF(R28:V28,"medium")+2*COUNTIF(R28:V28,"High"))))</f>
        <v/>
      </c>
      <c r="Y28" s="23">
        <f>IF(X28&lt;&gt;"",IF(X28&gt;9,1,0),"")</f>
        <v/>
      </c>
      <c r="Z28" s="23" t="n"/>
      <c r="AA28" s="23" t="n"/>
      <c r="AB28" s="23" t="n"/>
      <c r="AC28" s="23" t="n"/>
      <c r="AD28" s="23" t="n"/>
      <c r="AE28" s="23" t="n"/>
    </row>
    <row r="29">
      <c r="B29" s="26">
        <f>IF('DMIC List - master'!B29="","",'DMIC List - master'!B29)</f>
        <v/>
      </c>
      <c r="C29" s="26">
        <f>IFERROR(IF(INDEX('DMIC List - master'!$C:$C,MATCH($B29,CONTRACT_ID,0)+5)="","",INDEX('DMIC List - master'!$C:$C,MATCH($B29,CONTRACT_ID,0)+5)),"")</f>
        <v/>
      </c>
      <c r="D29" s="26">
        <f>IFERROR(IF(INDEX('DMIC List - master'!$D:$D,MATCH($B29,CONTRACT_ID,0)+5)="","",INDEX('DMIC List - master'!$D:$D,MATCH($B29,CONTRACT_ID,0)+5)),"")</f>
        <v/>
      </c>
      <c r="E29" s="26">
        <f>IFERROR(IF(INDEX('DMIC List - master'!$E:$E,MATCH($B29,CONTRACT_ID,0)+5)="","",INDEX('DMIC List - master'!$E:$E,MATCH($B29,CONTRACT_ID,0)+5)),"")</f>
        <v/>
      </c>
      <c r="G29" s="26">
        <f>IFERROR(IF(INDEX('DMIC List - master'!$P:$P,MATCH($B29,CONTRACT_ID,0)+5)="","",INDEX('DMIC List - master'!$P:$P,MATCH($B29,CONTRACT_ID,0)+5)),"")</f>
        <v/>
      </c>
      <c r="H29" s="26">
        <f>IFERROR(IF(INDEX('DMIC List - master'!$Q:$Q,MATCH($B29,CONTRACT_ID,0)+5)="","",INDEX('DMIC List - master'!$Q:$Q,MATCH($B29,CONTRACT_ID,0)+5)),"")</f>
        <v/>
      </c>
      <c r="I29" s="26">
        <f>IFERROR(IF(INDEX('DMIC List - master'!$U:$U,MATCH($B29,CONTRACT_ID,0)+5)="","",INDEX('DMIC List - master'!$U:$U,MATCH($B29,CONTRACT_ID,0)+5)),"")</f>
        <v/>
      </c>
      <c r="K29" s="26" t="n"/>
      <c r="L29" s="26" t="n"/>
      <c r="M29" s="26" t="n"/>
      <c r="N29" s="26" t="n"/>
      <c r="O29" s="26" t="n"/>
      <c r="P29" s="26" t="n"/>
      <c r="R29" s="26" t="n"/>
      <c r="S29" s="26" t="n"/>
      <c r="T29" s="26" t="n"/>
      <c r="U29" s="26" t="n"/>
      <c r="V29" s="26" t="n"/>
      <c r="X29" s="26">
        <f>IF($B29="","",IF(COUNTA(K29:P29)+COUNTA(R29:V29)=0,"",(2*COUNTIF(K29:P29,"low")+COUNTIF(K29:P29,"medium")+2*COUNTIF(K29:P29,"unknown"))+(COUNTIF(R29:V29,"medium")+2*COUNTIF(R29:V29,"High"))))</f>
        <v/>
      </c>
      <c r="Y29" s="26">
        <f>IF(X29&lt;&gt;"",IF(X29&gt;9,1,0),"")</f>
        <v/>
      </c>
      <c r="Z29" s="26" t="n"/>
      <c r="AA29" s="26" t="n"/>
      <c r="AB29" s="26" t="n"/>
      <c r="AC29" s="26" t="n"/>
      <c r="AD29" s="26" t="n"/>
      <c r="AE29" s="26" t="n"/>
    </row>
    <row r="30">
      <c r="B30" s="23">
        <f>IF('DMIC List - master'!B30="","",'DMIC List - master'!B30)</f>
        <v/>
      </c>
      <c r="C30" s="23">
        <f>IFERROR(IF(INDEX('DMIC List - master'!$C:$C,MATCH($B30,CONTRACT_ID,0)+5)="","",INDEX('DMIC List - master'!$C:$C,MATCH($B30,CONTRACT_ID,0)+5)),"")</f>
        <v/>
      </c>
      <c r="D30" s="23">
        <f>IFERROR(IF(INDEX('DMIC List - master'!$D:$D,MATCH($B30,CONTRACT_ID,0)+5)="","",INDEX('DMIC List - master'!$D:$D,MATCH($B30,CONTRACT_ID,0)+5)),"")</f>
        <v/>
      </c>
      <c r="E30" s="23">
        <f>IFERROR(IF(INDEX('DMIC List - master'!$E:$E,MATCH($B30,CONTRACT_ID,0)+5)="","",INDEX('DMIC List - master'!$E:$E,MATCH($B30,CONTRACT_ID,0)+5)),"")</f>
        <v/>
      </c>
      <c r="G30" s="23">
        <f>IFERROR(IF(INDEX('DMIC List - master'!$P:$P,MATCH($B30,CONTRACT_ID,0)+5)="","",INDEX('DMIC List - master'!$P:$P,MATCH($B30,CONTRACT_ID,0)+5)),"")</f>
        <v/>
      </c>
      <c r="H30" s="23">
        <f>IFERROR(IF(INDEX('DMIC List - master'!$Q:$Q,MATCH($B30,CONTRACT_ID,0)+5)="","",INDEX('DMIC List - master'!$Q:$Q,MATCH($B30,CONTRACT_ID,0)+5)),"")</f>
        <v/>
      </c>
      <c r="I30" s="23">
        <f>IFERROR(IF(INDEX('DMIC List - master'!$U:$U,MATCH($B30,CONTRACT_ID,0)+5)="","",INDEX('DMIC List - master'!$U:$U,MATCH($B30,CONTRACT_ID,0)+5)),"")</f>
        <v/>
      </c>
      <c r="K30" s="23" t="n"/>
      <c r="L30" s="23" t="n"/>
      <c r="M30" s="23" t="n"/>
      <c r="N30" s="23" t="n"/>
      <c r="O30" s="23" t="n"/>
      <c r="P30" s="23" t="n"/>
      <c r="R30" s="23" t="n"/>
      <c r="S30" s="23" t="n"/>
      <c r="T30" s="23" t="n"/>
      <c r="U30" s="23" t="n"/>
      <c r="V30" s="23" t="n"/>
      <c r="X30" s="23">
        <f>IF($B30="","",IF(COUNTA(K30:P30)+COUNTA(R30:V30)=0,"",(2*COUNTIF(K30:P30,"low")+COUNTIF(K30:P30,"medium")+2*COUNTIF(K30:P30,"unknown"))+(COUNTIF(R30:V30,"medium")+2*COUNTIF(R30:V30,"High"))))</f>
        <v/>
      </c>
      <c r="Y30" s="23">
        <f>IF(X30&lt;&gt;"",IF(X30&gt;9,1,0),"")</f>
        <v/>
      </c>
      <c r="Z30" s="23" t="n"/>
      <c r="AA30" s="23" t="n"/>
      <c r="AB30" s="23" t="n"/>
      <c r="AC30" s="23" t="n"/>
      <c r="AD30" s="23" t="n"/>
      <c r="AE30" s="23" t="n"/>
    </row>
    <row r="31">
      <c r="B31" s="26">
        <f>IF('DMIC List - master'!B31="","",'DMIC List - master'!B31)</f>
        <v/>
      </c>
      <c r="C31" s="26">
        <f>IFERROR(IF(INDEX('DMIC List - master'!$C:$C,MATCH($B31,CONTRACT_ID,0)+5)="","",INDEX('DMIC List - master'!$C:$C,MATCH($B31,CONTRACT_ID,0)+5)),"")</f>
        <v/>
      </c>
      <c r="D31" s="26">
        <f>IFERROR(IF(INDEX('DMIC List - master'!$D:$D,MATCH($B31,CONTRACT_ID,0)+5)="","",INDEX('DMIC List - master'!$D:$D,MATCH($B31,CONTRACT_ID,0)+5)),"")</f>
        <v/>
      </c>
      <c r="E31" s="26">
        <f>IFERROR(IF(INDEX('DMIC List - master'!$E:$E,MATCH($B31,CONTRACT_ID,0)+5)="","",INDEX('DMIC List - master'!$E:$E,MATCH($B31,CONTRACT_ID,0)+5)),"")</f>
        <v/>
      </c>
      <c r="G31" s="26">
        <f>IFERROR(IF(INDEX('DMIC List - master'!$P:$P,MATCH($B31,CONTRACT_ID,0)+5)="","",INDEX('DMIC List - master'!$P:$P,MATCH($B31,CONTRACT_ID,0)+5)),"")</f>
        <v/>
      </c>
      <c r="H31" s="26">
        <f>IFERROR(IF(INDEX('DMIC List - master'!$Q:$Q,MATCH($B31,CONTRACT_ID,0)+5)="","",INDEX('DMIC List - master'!$Q:$Q,MATCH($B31,CONTRACT_ID,0)+5)),"")</f>
        <v/>
      </c>
      <c r="I31" s="26">
        <f>IFERROR(IF(INDEX('DMIC List - master'!$U:$U,MATCH($B31,CONTRACT_ID,0)+5)="","",INDEX('DMIC List - master'!$U:$U,MATCH($B31,CONTRACT_ID,0)+5)),"")</f>
        <v/>
      </c>
      <c r="K31" s="26" t="n"/>
      <c r="L31" s="26" t="n"/>
      <c r="M31" s="26" t="n"/>
      <c r="N31" s="26" t="n"/>
      <c r="O31" s="26" t="n"/>
      <c r="P31" s="26" t="n"/>
      <c r="R31" s="26" t="n"/>
      <c r="S31" s="26" t="n"/>
      <c r="T31" s="26" t="n"/>
      <c r="U31" s="26" t="n"/>
      <c r="V31" s="26" t="n"/>
      <c r="X31" s="26">
        <f>IF($B31="","",IF(COUNTA(K31:P31)+COUNTA(R31:V31)=0,"",(2*COUNTIF(K31:P31,"low")+COUNTIF(K31:P31,"medium")+2*COUNTIF(K31:P31,"unknown"))+(COUNTIF(R31:V31,"medium")+2*COUNTIF(R31:V31,"High"))))</f>
        <v/>
      </c>
      <c r="Y31" s="26">
        <f>IF(X31&lt;&gt;"",IF(X31&gt;9,1,0),"")</f>
        <v/>
      </c>
      <c r="Z31" s="26" t="n"/>
      <c r="AA31" s="26" t="n"/>
      <c r="AB31" s="26" t="n"/>
      <c r="AC31" s="26" t="n"/>
      <c r="AD31" s="26" t="n"/>
      <c r="AE31" s="26" t="n"/>
    </row>
    <row r="32">
      <c r="B32" s="23">
        <f>IF('DMIC List - master'!B32="","",'DMIC List - master'!B32)</f>
        <v/>
      </c>
      <c r="C32" s="23">
        <f>IFERROR(IF(INDEX('DMIC List - master'!$C:$C,MATCH($B32,CONTRACT_ID,0)+5)="","",INDEX('DMIC List - master'!$C:$C,MATCH($B32,CONTRACT_ID,0)+5)),"")</f>
        <v/>
      </c>
      <c r="D32" s="23">
        <f>IFERROR(IF(INDEX('DMIC List - master'!$D:$D,MATCH($B32,CONTRACT_ID,0)+5)="","",INDEX('DMIC List - master'!$D:$D,MATCH($B32,CONTRACT_ID,0)+5)),"")</f>
        <v/>
      </c>
      <c r="E32" s="23">
        <f>IFERROR(IF(INDEX('DMIC List - master'!$E:$E,MATCH($B32,CONTRACT_ID,0)+5)="","",INDEX('DMIC List - master'!$E:$E,MATCH($B32,CONTRACT_ID,0)+5)),"")</f>
        <v/>
      </c>
      <c r="G32" s="23">
        <f>IFERROR(IF(INDEX('DMIC List - master'!$P:$P,MATCH($B32,CONTRACT_ID,0)+5)="","",INDEX('DMIC List - master'!$P:$P,MATCH($B32,CONTRACT_ID,0)+5)),"")</f>
        <v/>
      </c>
      <c r="H32" s="23">
        <f>IFERROR(IF(INDEX('DMIC List - master'!$Q:$Q,MATCH($B32,CONTRACT_ID,0)+5)="","",INDEX('DMIC List - master'!$Q:$Q,MATCH($B32,CONTRACT_ID,0)+5)),"")</f>
        <v/>
      </c>
      <c r="I32" s="23">
        <f>IFERROR(IF(INDEX('DMIC List - master'!$U:$U,MATCH($B32,CONTRACT_ID,0)+5)="","",INDEX('DMIC List - master'!$U:$U,MATCH($B32,CONTRACT_ID,0)+5)),"")</f>
        <v/>
      </c>
      <c r="K32" s="23" t="n"/>
      <c r="L32" s="23" t="n"/>
      <c r="M32" s="23" t="n"/>
      <c r="N32" s="23" t="n"/>
      <c r="O32" s="23" t="n"/>
      <c r="P32" s="23" t="n"/>
      <c r="R32" s="23" t="n"/>
      <c r="S32" s="23" t="n"/>
      <c r="T32" s="23" t="n"/>
      <c r="U32" s="23" t="n"/>
      <c r="V32" s="23" t="n"/>
      <c r="X32" s="23">
        <f>IF($B32="","",IF(COUNTA(K32:P32)+COUNTA(R32:V32)=0,"",(2*COUNTIF(K32:P32,"low")+COUNTIF(K32:P32,"medium")+2*COUNTIF(K32:P32,"unknown"))+(COUNTIF(R32:V32,"medium")+2*COUNTIF(R32:V32,"High"))))</f>
        <v/>
      </c>
      <c r="Y32" s="23">
        <f>IF(X32&lt;&gt;"",IF(X32&gt;9,1,0),"")</f>
        <v/>
      </c>
      <c r="Z32" s="23" t="n"/>
      <c r="AA32" s="23" t="n"/>
      <c r="AB32" s="23" t="n"/>
      <c r="AC32" s="23" t="n"/>
      <c r="AD32" s="23" t="n"/>
      <c r="AE32" s="23" t="n"/>
    </row>
    <row r="33">
      <c r="B33" s="26">
        <f>IF('DMIC List - master'!B33="","",'DMIC List - master'!B33)</f>
        <v/>
      </c>
      <c r="C33" s="26">
        <f>IFERROR(IF(INDEX('DMIC List - master'!$C:$C,MATCH($B33,CONTRACT_ID,0)+5)="","",INDEX('DMIC List - master'!$C:$C,MATCH($B33,CONTRACT_ID,0)+5)),"")</f>
        <v/>
      </c>
      <c r="D33" s="26">
        <f>IFERROR(IF(INDEX('DMIC List - master'!$D:$D,MATCH($B33,CONTRACT_ID,0)+5)="","",INDEX('DMIC List - master'!$D:$D,MATCH($B33,CONTRACT_ID,0)+5)),"")</f>
        <v/>
      </c>
      <c r="E33" s="26">
        <f>IFERROR(IF(INDEX('DMIC List - master'!$E:$E,MATCH($B33,CONTRACT_ID,0)+5)="","",INDEX('DMIC List - master'!$E:$E,MATCH($B33,CONTRACT_ID,0)+5)),"")</f>
        <v/>
      </c>
      <c r="G33" s="26">
        <f>IFERROR(IF(INDEX('DMIC List - master'!$P:$P,MATCH($B33,CONTRACT_ID,0)+5)="","",INDEX('DMIC List - master'!$P:$P,MATCH($B33,CONTRACT_ID,0)+5)),"")</f>
        <v/>
      </c>
      <c r="H33" s="26">
        <f>IFERROR(IF(INDEX('DMIC List - master'!$Q:$Q,MATCH($B33,CONTRACT_ID,0)+5)="","",INDEX('DMIC List - master'!$Q:$Q,MATCH($B33,CONTRACT_ID,0)+5)),"")</f>
        <v/>
      </c>
      <c r="I33" s="26">
        <f>IFERROR(IF(INDEX('DMIC List - master'!$U:$U,MATCH($B33,CONTRACT_ID,0)+5)="","",INDEX('DMIC List - master'!$U:$U,MATCH($B33,CONTRACT_ID,0)+5)),"")</f>
        <v/>
      </c>
      <c r="K33" s="26" t="n"/>
      <c r="L33" s="26" t="n"/>
      <c r="M33" s="26" t="n"/>
      <c r="N33" s="26" t="n"/>
      <c r="O33" s="26" t="n"/>
      <c r="P33" s="26" t="n"/>
      <c r="R33" s="26" t="n"/>
      <c r="S33" s="26" t="n"/>
      <c r="T33" s="26" t="n"/>
      <c r="U33" s="26" t="n"/>
      <c r="V33" s="26" t="n"/>
      <c r="X33" s="26">
        <f>IF($B33="","",IF(COUNTA(K33:P33)+COUNTA(R33:V33)=0,"",(2*COUNTIF(K33:P33,"low")+COUNTIF(K33:P33,"medium")+2*COUNTIF(K33:P33,"unknown"))+(COUNTIF(R33:V33,"medium")+2*COUNTIF(R33:V33,"High"))))</f>
        <v/>
      </c>
      <c r="Y33" s="26">
        <f>IF(X33&lt;&gt;"",IF(X33&gt;9,1,0),"")</f>
        <v/>
      </c>
      <c r="Z33" s="26" t="n"/>
      <c r="AA33" s="26" t="n"/>
      <c r="AB33" s="26" t="n"/>
      <c r="AC33" s="26" t="n"/>
      <c r="AD33" s="26" t="n"/>
      <c r="AE33" s="26" t="n"/>
    </row>
    <row r="34">
      <c r="B34" s="23">
        <f>IF('DMIC List - master'!B34="","",'DMIC List - master'!B34)</f>
        <v/>
      </c>
      <c r="C34" s="23">
        <f>IFERROR(IF(INDEX('DMIC List - master'!$C:$C,MATCH($B34,CONTRACT_ID,0)+5)="","",INDEX('DMIC List - master'!$C:$C,MATCH($B34,CONTRACT_ID,0)+5)),"")</f>
        <v/>
      </c>
      <c r="D34" s="23">
        <f>IFERROR(IF(INDEX('DMIC List - master'!$D:$D,MATCH($B34,CONTRACT_ID,0)+5)="","",INDEX('DMIC List - master'!$D:$D,MATCH($B34,CONTRACT_ID,0)+5)),"")</f>
        <v/>
      </c>
      <c r="E34" s="23">
        <f>IFERROR(IF(INDEX('DMIC List - master'!$E:$E,MATCH($B34,CONTRACT_ID,0)+5)="","",INDEX('DMIC List - master'!$E:$E,MATCH($B34,CONTRACT_ID,0)+5)),"")</f>
        <v/>
      </c>
      <c r="G34" s="23">
        <f>IFERROR(IF(INDEX('DMIC List - master'!$P:$P,MATCH($B34,CONTRACT_ID,0)+5)="","",INDEX('DMIC List - master'!$P:$P,MATCH($B34,CONTRACT_ID,0)+5)),"")</f>
        <v/>
      </c>
      <c r="H34" s="23">
        <f>IFERROR(IF(INDEX('DMIC List - master'!$Q:$Q,MATCH($B34,CONTRACT_ID,0)+5)="","",INDEX('DMIC List - master'!$Q:$Q,MATCH($B34,CONTRACT_ID,0)+5)),"")</f>
        <v/>
      </c>
      <c r="I34" s="23">
        <f>IFERROR(IF(INDEX('DMIC List - master'!$U:$U,MATCH($B34,CONTRACT_ID,0)+5)="","",INDEX('DMIC List - master'!$U:$U,MATCH($B34,CONTRACT_ID,0)+5)),"")</f>
        <v/>
      </c>
      <c r="K34" s="23" t="n"/>
      <c r="L34" s="23" t="n"/>
      <c r="M34" s="23" t="n"/>
      <c r="N34" s="23" t="n"/>
      <c r="O34" s="23" t="n"/>
      <c r="P34" s="23" t="n"/>
      <c r="R34" s="23" t="n"/>
      <c r="S34" s="23" t="n"/>
      <c r="T34" s="23" t="n"/>
      <c r="U34" s="23" t="n"/>
      <c r="V34" s="23" t="n"/>
      <c r="X34" s="23">
        <f>IF($B34="","",IF(COUNTA(K34:P34)+COUNTA(R34:V34)=0,"",(2*COUNTIF(K34:P34,"low")+COUNTIF(K34:P34,"medium")+2*COUNTIF(K34:P34,"unknown"))+(COUNTIF(R34:V34,"medium")+2*COUNTIF(R34:V34,"High"))))</f>
        <v/>
      </c>
      <c r="Y34" s="23">
        <f>IF(X34&lt;&gt;"",IF(X34&gt;9,1,0),"")</f>
        <v/>
      </c>
      <c r="Z34" s="23" t="n"/>
      <c r="AA34" s="23" t="n"/>
      <c r="AB34" s="23" t="n"/>
      <c r="AC34" s="23" t="n"/>
      <c r="AD34" s="23" t="n"/>
      <c r="AE34" s="23" t="n"/>
    </row>
    <row r="35">
      <c r="B35" s="26">
        <f>IF('DMIC List - master'!B35="","",'DMIC List - master'!B35)</f>
        <v/>
      </c>
      <c r="C35" s="26">
        <f>IFERROR(IF(INDEX('DMIC List - master'!$C:$C,MATCH($B35,CONTRACT_ID,0)+5)="","",INDEX('DMIC List - master'!$C:$C,MATCH($B35,CONTRACT_ID,0)+5)),"")</f>
        <v/>
      </c>
      <c r="D35" s="26">
        <f>IFERROR(IF(INDEX('DMIC List - master'!$D:$D,MATCH($B35,CONTRACT_ID,0)+5)="","",INDEX('DMIC List - master'!$D:$D,MATCH($B35,CONTRACT_ID,0)+5)),"")</f>
        <v/>
      </c>
      <c r="E35" s="26">
        <f>IFERROR(IF(INDEX('DMIC List - master'!$E:$E,MATCH($B35,CONTRACT_ID,0)+5)="","",INDEX('DMIC List - master'!$E:$E,MATCH($B35,CONTRACT_ID,0)+5)),"")</f>
        <v/>
      </c>
      <c r="G35" s="26">
        <f>IFERROR(IF(INDEX('DMIC List - master'!$P:$P,MATCH($B35,CONTRACT_ID,0)+5)="","",INDEX('DMIC List - master'!$P:$P,MATCH($B35,CONTRACT_ID,0)+5)),"")</f>
        <v/>
      </c>
      <c r="H35" s="26">
        <f>IFERROR(IF(INDEX('DMIC List - master'!$Q:$Q,MATCH($B35,CONTRACT_ID,0)+5)="","",INDEX('DMIC List - master'!$Q:$Q,MATCH($B35,CONTRACT_ID,0)+5)),"")</f>
        <v/>
      </c>
      <c r="I35" s="26">
        <f>IFERROR(IF(INDEX('DMIC List - master'!$U:$U,MATCH($B35,CONTRACT_ID,0)+5)="","",INDEX('DMIC List - master'!$U:$U,MATCH($B35,CONTRACT_ID,0)+5)),"")</f>
        <v/>
      </c>
      <c r="K35" s="26" t="n"/>
      <c r="L35" s="26" t="n"/>
      <c r="M35" s="26" t="n"/>
      <c r="N35" s="26" t="n"/>
      <c r="O35" s="26" t="n"/>
      <c r="P35" s="26" t="n"/>
      <c r="R35" s="26" t="n"/>
      <c r="S35" s="26" t="n"/>
      <c r="T35" s="26" t="n"/>
      <c r="U35" s="26" t="n"/>
      <c r="V35" s="26" t="n"/>
      <c r="X35" s="26">
        <f>IF($B35="","",IF(COUNTA(K35:P35)+COUNTA(R35:V35)=0,"",(2*COUNTIF(K35:P35,"low")+COUNTIF(K35:P35,"medium")+2*COUNTIF(K35:P35,"unknown"))+(COUNTIF(R35:V35,"medium")+2*COUNTIF(R35:V35,"High"))))</f>
        <v/>
      </c>
      <c r="Y35" s="26">
        <f>IF(X35&lt;&gt;"",IF(X35&gt;9,1,0),"")</f>
        <v/>
      </c>
      <c r="Z35" s="26" t="n"/>
      <c r="AA35" s="26" t="n"/>
      <c r="AB35" s="26" t="n"/>
      <c r="AC35" s="26" t="n"/>
      <c r="AD35" s="26" t="n"/>
      <c r="AE35" s="26" t="n"/>
    </row>
    <row r="36">
      <c r="B36" s="23">
        <f>IF('DMIC List - master'!B36="","",'DMIC List - master'!B36)</f>
        <v/>
      </c>
      <c r="C36" s="23">
        <f>IFERROR(IF(INDEX('DMIC List - master'!$C:$C,MATCH($B36,CONTRACT_ID,0)+5)="","",INDEX('DMIC List - master'!$C:$C,MATCH($B36,CONTRACT_ID,0)+5)),"")</f>
        <v/>
      </c>
      <c r="D36" s="23">
        <f>IFERROR(IF(INDEX('DMIC List - master'!$D:$D,MATCH($B36,CONTRACT_ID,0)+5)="","",INDEX('DMIC List - master'!$D:$D,MATCH($B36,CONTRACT_ID,0)+5)),"")</f>
        <v/>
      </c>
      <c r="E36" s="23">
        <f>IFERROR(IF(INDEX('DMIC List - master'!$E:$E,MATCH($B36,CONTRACT_ID,0)+5)="","",INDEX('DMIC List - master'!$E:$E,MATCH($B36,CONTRACT_ID,0)+5)),"")</f>
        <v/>
      </c>
      <c r="G36" s="23">
        <f>IFERROR(IF(INDEX('DMIC List - master'!$P:$P,MATCH($B36,CONTRACT_ID,0)+5)="","",INDEX('DMIC List - master'!$P:$P,MATCH($B36,CONTRACT_ID,0)+5)),"")</f>
        <v/>
      </c>
      <c r="H36" s="23">
        <f>IFERROR(IF(INDEX('DMIC List - master'!$Q:$Q,MATCH($B36,CONTRACT_ID,0)+5)="","",INDEX('DMIC List - master'!$Q:$Q,MATCH($B36,CONTRACT_ID,0)+5)),"")</f>
        <v/>
      </c>
      <c r="I36" s="23">
        <f>IFERROR(IF(INDEX('DMIC List - master'!$U:$U,MATCH($B36,CONTRACT_ID,0)+5)="","",INDEX('DMIC List - master'!$U:$U,MATCH($B36,CONTRACT_ID,0)+5)),"")</f>
        <v/>
      </c>
      <c r="K36" s="23" t="n"/>
      <c r="L36" s="23" t="n"/>
      <c r="M36" s="23" t="n"/>
      <c r="N36" s="23" t="n"/>
      <c r="O36" s="23" t="n"/>
      <c r="P36" s="23" t="n"/>
      <c r="R36" s="23" t="n"/>
      <c r="S36" s="23" t="n"/>
      <c r="T36" s="23" t="n"/>
      <c r="U36" s="23" t="n"/>
      <c r="V36" s="23" t="n"/>
      <c r="X36" s="23">
        <f>IF($B36="","",IF(COUNTA(K36:P36)+COUNTA(R36:V36)=0,"",(2*COUNTIF(K36:P36,"low")+COUNTIF(K36:P36,"medium")+2*COUNTIF(K36:P36,"unknown"))+(COUNTIF(R36:V36,"medium")+2*COUNTIF(R36:V36,"High"))))</f>
        <v/>
      </c>
      <c r="Y36" s="23">
        <f>IF(X36&lt;&gt;"",IF(X36&gt;9,1,0),"")</f>
        <v/>
      </c>
      <c r="Z36" s="23" t="n"/>
      <c r="AA36" s="23" t="n"/>
      <c r="AB36" s="23" t="n"/>
      <c r="AC36" s="23" t="n"/>
      <c r="AD36" s="23" t="n"/>
      <c r="AE36" s="23" t="n"/>
    </row>
    <row r="37">
      <c r="B37" s="26">
        <f>IF('DMIC List - master'!B37="","",'DMIC List - master'!B37)</f>
        <v/>
      </c>
      <c r="C37" s="26">
        <f>IFERROR(IF(INDEX('DMIC List - master'!$C:$C,MATCH($B37,CONTRACT_ID,0)+5)="","",INDEX('DMIC List - master'!$C:$C,MATCH($B37,CONTRACT_ID,0)+5)),"")</f>
        <v/>
      </c>
      <c r="D37" s="26">
        <f>IFERROR(IF(INDEX('DMIC List - master'!$D:$D,MATCH($B37,CONTRACT_ID,0)+5)="","",INDEX('DMIC List - master'!$D:$D,MATCH($B37,CONTRACT_ID,0)+5)),"")</f>
        <v/>
      </c>
      <c r="E37" s="26">
        <f>IFERROR(IF(INDEX('DMIC List - master'!$E:$E,MATCH($B37,CONTRACT_ID,0)+5)="","",INDEX('DMIC List - master'!$E:$E,MATCH($B37,CONTRACT_ID,0)+5)),"")</f>
        <v/>
      </c>
      <c r="G37" s="26">
        <f>IFERROR(IF(INDEX('DMIC List - master'!$P:$P,MATCH($B37,CONTRACT_ID,0)+5)="","",INDEX('DMIC List - master'!$P:$P,MATCH($B37,CONTRACT_ID,0)+5)),"")</f>
        <v/>
      </c>
      <c r="H37" s="26">
        <f>IFERROR(IF(INDEX('DMIC List - master'!$Q:$Q,MATCH($B37,CONTRACT_ID,0)+5)="","",INDEX('DMIC List - master'!$Q:$Q,MATCH($B37,CONTRACT_ID,0)+5)),"")</f>
        <v/>
      </c>
      <c r="I37" s="26">
        <f>IFERROR(IF(INDEX('DMIC List - master'!$U:$U,MATCH($B37,CONTRACT_ID,0)+5)="","",INDEX('DMIC List - master'!$U:$U,MATCH($B37,CONTRACT_ID,0)+5)),"")</f>
        <v/>
      </c>
      <c r="K37" s="26" t="n"/>
      <c r="L37" s="26" t="n"/>
      <c r="M37" s="26" t="n"/>
      <c r="N37" s="26" t="n"/>
      <c r="O37" s="26" t="n"/>
      <c r="P37" s="26" t="n"/>
      <c r="R37" s="26" t="n"/>
      <c r="S37" s="26" t="n"/>
      <c r="T37" s="26" t="n"/>
      <c r="U37" s="26" t="n"/>
      <c r="V37" s="26" t="n"/>
      <c r="X37" s="26">
        <f>IF($B37="","",IF(COUNTA(K37:P37)+COUNTA(R37:V37)=0,"",(2*COUNTIF(K37:P37,"low")+COUNTIF(K37:P37,"medium")+2*COUNTIF(K37:P37,"unknown"))+(COUNTIF(R37:V37,"medium")+2*COUNTIF(R37:V37,"High"))))</f>
        <v/>
      </c>
      <c r="Y37" s="26">
        <f>IF(X37&lt;&gt;"",IF(X37&gt;9,1,0),"")</f>
        <v/>
      </c>
      <c r="Z37" s="26" t="n"/>
      <c r="AA37" s="26" t="n"/>
      <c r="AB37" s="26" t="n"/>
      <c r="AC37" s="26" t="n"/>
      <c r="AD37" s="26" t="n"/>
      <c r="AE37" s="26" t="n"/>
    </row>
    <row r="38">
      <c r="B38" s="23">
        <f>IF('DMIC List - master'!B38="","",'DMIC List - master'!B38)</f>
        <v/>
      </c>
      <c r="C38" s="23">
        <f>IFERROR(IF(INDEX('DMIC List - master'!$C:$C,MATCH($B38,CONTRACT_ID,0)+5)="","",INDEX('DMIC List - master'!$C:$C,MATCH($B38,CONTRACT_ID,0)+5)),"")</f>
        <v/>
      </c>
      <c r="D38" s="23">
        <f>IFERROR(IF(INDEX('DMIC List - master'!$D:$D,MATCH($B38,CONTRACT_ID,0)+5)="","",INDEX('DMIC List - master'!$D:$D,MATCH($B38,CONTRACT_ID,0)+5)),"")</f>
        <v/>
      </c>
      <c r="E38" s="23">
        <f>IFERROR(IF(INDEX('DMIC List - master'!$E:$E,MATCH($B38,CONTRACT_ID,0)+5)="","",INDEX('DMIC List - master'!$E:$E,MATCH($B38,CONTRACT_ID,0)+5)),"")</f>
        <v/>
      </c>
      <c r="G38" s="23">
        <f>IFERROR(IF(INDEX('DMIC List - master'!$P:$P,MATCH($B38,CONTRACT_ID,0)+5)="","",INDEX('DMIC List - master'!$P:$P,MATCH($B38,CONTRACT_ID,0)+5)),"")</f>
        <v/>
      </c>
      <c r="H38" s="23">
        <f>IFERROR(IF(INDEX('DMIC List - master'!$Q:$Q,MATCH($B38,CONTRACT_ID,0)+5)="","",INDEX('DMIC List - master'!$Q:$Q,MATCH($B38,CONTRACT_ID,0)+5)),"")</f>
        <v/>
      </c>
      <c r="I38" s="23">
        <f>IFERROR(IF(INDEX('DMIC List - master'!$U:$U,MATCH($B38,CONTRACT_ID,0)+5)="","",INDEX('DMIC List - master'!$U:$U,MATCH($B38,CONTRACT_ID,0)+5)),"")</f>
        <v/>
      </c>
      <c r="K38" s="23" t="n"/>
      <c r="L38" s="23" t="n"/>
      <c r="M38" s="23" t="n"/>
      <c r="N38" s="23" t="n"/>
      <c r="O38" s="23" t="n"/>
      <c r="P38" s="23" t="n"/>
      <c r="R38" s="23" t="n"/>
      <c r="S38" s="23" t="n"/>
      <c r="T38" s="23" t="n"/>
      <c r="U38" s="23" t="n"/>
      <c r="V38" s="23" t="n"/>
      <c r="X38" s="23">
        <f>IF($B38="","",IF(COUNTA(K38:P38)+COUNTA(R38:V38)=0,"",(2*COUNTIF(K38:P38,"low")+COUNTIF(K38:P38,"medium")+2*COUNTIF(K38:P38,"unknown"))+(COUNTIF(R38:V38,"medium")+2*COUNTIF(R38:V38,"High"))))</f>
        <v/>
      </c>
      <c r="Y38" s="23">
        <f>IF(X38&lt;&gt;"",IF(X38&gt;9,1,0),"")</f>
        <v/>
      </c>
      <c r="Z38" s="23" t="n"/>
      <c r="AA38" s="23" t="n"/>
      <c r="AB38" s="23" t="n"/>
      <c r="AC38" s="23" t="n"/>
      <c r="AD38" s="23" t="n"/>
      <c r="AE38" s="23" t="n"/>
    </row>
    <row r="39">
      <c r="B39" s="26">
        <f>IF('DMIC List - master'!B39="","",'DMIC List - master'!B39)</f>
        <v/>
      </c>
      <c r="C39" s="26">
        <f>IFERROR(IF(INDEX('DMIC List - master'!$C:$C,MATCH($B39,CONTRACT_ID,0)+5)="","",INDEX('DMIC List - master'!$C:$C,MATCH($B39,CONTRACT_ID,0)+5)),"")</f>
        <v/>
      </c>
      <c r="D39" s="26">
        <f>IFERROR(IF(INDEX('DMIC List - master'!$D:$D,MATCH($B39,CONTRACT_ID,0)+5)="","",INDEX('DMIC List - master'!$D:$D,MATCH($B39,CONTRACT_ID,0)+5)),"")</f>
        <v/>
      </c>
      <c r="E39" s="26">
        <f>IFERROR(IF(INDEX('DMIC List - master'!$E:$E,MATCH($B39,CONTRACT_ID,0)+5)="","",INDEX('DMIC List - master'!$E:$E,MATCH($B39,CONTRACT_ID,0)+5)),"")</f>
        <v/>
      </c>
      <c r="G39" s="26">
        <f>IFERROR(IF(INDEX('DMIC List - master'!$P:$P,MATCH($B39,CONTRACT_ID,0)+5)="","",INDEX('DMIC List - master'!$P:$P,MATCH($B39,CONTRACT_ID,0)+5)),"")</f>
        <v/>
      </c>
      <c r="H39" s="26">
        <f>IFERROR(IF(INDEX('DMIC List - master'!$Q:$Q,MATCH($B39,CONTRACT_ID,0)+5)="","",INDEX('DMIC List - master'!$Q:$Q,MATCH($B39,CONTRACT_ID,0)+5)),"")</f>
        <v/>
      </c>
      <c r="I39" s="26">
        <f>IFERROR(IF(INDEX('DMIC List - master'!$U:$U,MATCH($B39,CONTRACT_ID,0)+5)="","",INDEX('DMIC List - master'!$U:$U,MATCH($B39,CONTRACT_ID,0)+5)),"")</f>
        <v/>
      </c>
      <c r="K39" s="26" t="n"/>
      <c r="L39" s="26" t="n"/>
      <c r="M39" s="26" t="n"/>
      <c r="N39" s="26" t="n"/>
      <c r="O39" s="26" t="n"/>
      <c r="P39" s="26" t="n"/>
      <c r="R39" s="26" t="n"/>
      <c r="S39" s="26" t="n"/>
      <c r="T39" s="26" t="n"/>
      <c r="U39" s="26" t="n"/>
      <c r="V39" s="26" t="n"/>
      <c r="X39" s="26">
        <f>IF($B39="","",IF(COUNTA(K39:P39)+COUNTA(R39:V39)=0,"",(2*COUNTIF(K39:P39,"low")+COUNTIF(K39:P39,"medium")+2*COUNTIF(K39:P39,"unknown"))+(COUNTIF(R39:V39,"medium")+2*COUNTIF(R39:V39,"High"))))</f>
        <v/>
      </c>
      <c r="Y39" s="26">
        <f>IF(X39&lt;&gt;"",IF(X39&gt;9,1,0),"")</f>
        <v/>
      </c>
      <c r="Z39" s="26" t="n"/>
      <c r="AA39" s="26" t="n"/>
      <c r="AB39" s="26" t="n"/>
      <c r="AC39" s="26" t="n"/>
      <c r="AD39" s="26" t="n"/>
      <c r="AE39" s="26" t="n"/>
    </row>
    <row r="40">
      <c r="B40" s="23">
        <f>IF('DMIC List - master'!B40="","",'DMIC List - master'!B40)</f>
        <v/>
      </c>
      <c r="C40" s="23">
        <f>IFERROR(IF(INDEX('DMIC List - master'!$C:$C,MATCH($B40,CONTRACT_ID,0)+5)="","",INDEX('DMIC List - master'!$C:$C,MATCH($B40,CONTRACT_ID,0)+5)),"")</f>
        <v/>
      </c>
      <c r="D40" s="23">
        <f>IFERROR(IF(INDEX('DMIC List - master'!$D:$D,MATCH($B40,CONTRACT_ID,0)+5)="","",INDEX('DMIC List - master'!$D:$D,MATCH($B40,CONTRACT_ID,0)+5)),"")</f>
        <v/>
      </c>
      <c r="E40" s="23">
        <f>IFERROR(IF(INDEX('DMIC List - master'!$E:$E,MATCH($B40,CONTRACT_ID,0)+5)="","",INDEX('DMIC List - master'!$E:$E,MATCH($B40,CONTRACT_ID,0)+5)),"")</f>
        <v/>
      </c>
      <c r="G40" s="23">
        <f>IFERROR(IF(INDEX('DMIC List - master'!$P:$P,MATCH($B40,CONTRACT_ID,0)+5)="","",INDEX('DMIC List - master'!$P:$P,MATCH($B40,CONTRACT_ID,0)+5)),"")</f>
        <v/>
      </c>
      <c r="H40" s="23">
        <f>IFERROR(IF(INDEX('DMIC List - master'!$Q:$Q,MATCH($B40,CONTRACT_ID,0)+5)="","",INDEX('DMIC List - master'!$Q:$Q,MATCH($B40,CONTRACT_ID,0)+5)),"")</f>
        <v/>
      </c>
      <c r="I40" s="23">
        <f>IFERROR(IF(INDEX('DMIC List - master'!$U:$U,MATCH($B40,CONTRACT_ID,0)+5)="","",INDEX('DMIC List - master'!$U:$U,MATCH($B40,CONTRACT_ID,0)+5)),"")</f>
        <v/>
      </c>
      <c r="K40" s="23" t="n"/>
      <c r="L40" s="23" t="n"/>
      <c r="M40" s="23" t="n"/>
      <c r="N40" s="23" t="n"/>
      <c r="O40" s="23" t="n"/>
      <c r="P40" s="23" t="n"/>
      <c r="R40" s="23" t="n"/>
      <c r="S40" s="23" t="n"/>
      <c r="T40" s="23" t="n"/>
      <c r="U40" s="23" t="n"/>
      <c r="V40" s="23" t="n"/>
      <c r="X40" s="23">
        <f>IF($B40="","",IF(COUNTA(K40:P40)+COUNTA(R40:V40)=0,"",(2*COUNTIF(K40:P40,"low")+COUNTIF(K40:P40,"medium")+2*COUNTIF(K40:P40,"unknown"))+(COUNTIF(R40:V40,"medium")+2*COUNTIF(R40:V40,"High"))))</f>
        <v/>
      </c>
      <c r="Y40" s="23">
        <f>IF(X40&lt;&gt;"",IF(X40&gt;9,1,0),"")</f>
        <v/>
      </c>
      <c r="Z40" s="23" t="n"/>
      <c r="AA40" s="23" t="n"/>
      <c r="AB40" s="23" t="n"/>
      <c r="AC40" s="23" t="n"/>
      <c r="AD40" s="23" t="n"/>
      <c r="AE40" s="23" t="n"/>
    </row>
    <row r="41">
      <c r="B41" s="26">
        <f>IF('DMIC List - master'!B41="","",'DMIC List - master'!B41)</f>
        <v/>
      </c>
      <c r="C41" s="26">
        <f>IFERROR(IF(INDEX('DMIC List - master'!$C:$C,MATCH($B41,CONTRACT_ID,0)+5)="","",INDEX('DMIC List - master'!$C:$C,MATCH($B41,CONTRACT_ID,0)+5)),"")</f>
        <v/>
      </c>
      <c r="D41" s="26">
        <f>IFERROR(IF(INDEX('DMIC List - master'!$D:$D,MATCH($B41,CONTRACT_ID,0)+5)="","",INDEX('DMIC List - master'!$D:$D,MATCH($B41,CONTRACT_ID,0)+5)),"")</f>
        <v/>
      </c>
      <c r="E41" s="26">
        <f>IFERROR(IF(INDEX('DMIC List - master'!$E:$E,MATCH($B41,CONTRACT_ID,0)+5)="","",INDEX('DMIC List - master'!$E:$E,MATCH($B41,CONTRACT_ID,0)+5)),"")</f>
        <v/>
      </c>
      <c r="G41" s="26">
        <f>IFERROR(IF(INDEX('DMIC List - master'!$P:$P,MATCH($B41,CONTRACT_ID,0)+5)="","",INDEX('DMIC List - master'!$P:$P,MATCH($B41,CONTRACT_ID,0)+5)),"")</f>
        <v/>
      </c>
      <c r="H41" s="26">
        <f>IFERROR(IF(INDEX('DMIC List - master'!$Q:$Q,MATCH($B41,CONTRACT_ID,0)+5)="","",INDEX('DMIC List - master'!$Q:$Q,MATCH($B41,CONTRACT_ID,0)+5)),"")</f>
        <v/>
      </c>
      <c r="I41" s="26">
        <f>IFERROR(IF(INDEX('DMIC List - master'!$U:$U,MATCH($B41,CONTRACT_ID,0)+5)="","",INDEX('DMIC List - master'!$U:$U,MATCH($B41,CONTRACT_ID,0)+5)),"")</f>
        <v/>
      </c>
      <c r="K41" s="26" t="n"/>
      <c r="L41" s="26" t="n"/>
      <c r="M41" s="26" t="n"/>
      <c r="N41" s="26" t="n"/>
      <c r="O41" s="26" t="n"/>
      <c r="P41" s="26" t="n"/>
      <c r="R41" s="26" t="n"/>
      <c r="S41" s="26" t="n"/>
      <c r="T41" s="26" t="n"/>
      <c r="U41" s="26" t="n"/>
      <c r="V41" s="26" t="n"/>
      <c r="X41" s="26">
        <f>IF($B41="","",IF(COUNTA(K41:P41)+COUNTA(R41:V41)=0,"",(2*COUNTIF(K41:P41,"low")+COUNTIF(K41:P41,"medium")+2*COUNTIF(K41:P41,"unknown"))+(COUNTIF(R41:V41,"medium")+2*COUNTIF(R41:V41,"High"))))</f>
        <v/>
      </c>
      <c r="Y41" s="26">
        <f>IF(X41&lt;&gt;"",IF(X41&gt;9,1,0),"")</f>
        <v/>
      </c>
      <c r="Z41" s="26" t="n"/>
      <c r="AA41" s="26" t="n"/>
      <c r="AB41" s="26" t="n"/>
      <c r="AC41" s="26" t="n"/>
      <c r="AD41" s="26" t="n"/>
      <c r="AE41" s="26" t="n"/>
    </row>
    <row r="42">
      <c r="B42" s="23">
        <f>IF('DMIC List - master'!B42="","",'DMIC List - master'!B42)</f>
        <v/>
      </c>
      <c r="C42" s="23">
        <f>IFERROR(IF(INDEX('DMIC List - master'!$C:$C,MATCH($B42,CONTRACT_ID,0)+5)="","",INDEX('DMIC List - master'!$C:$C,MATCH($B42,CONTRACT_ID,0)+5)),"")</f>
        <v/>
      </c>
      <c r="D42" s="23">
        <f>IFERROR(IF(INDEX('DMIC List - master'!$D:$D,MATCH($B42,CONTRACT_ID,0)+5)="","",INDEX('DMIC List - master'!$D:$D,MATCH($B42,CONTRACT_ID,0)+5)),"")</f>
        <v/>
      </c>
      <c r="E42" s="23">
        <f>IFERROR(IF(INDEX('DMIC List - master'!$E:$E,MATCH($B42,CONTRACT_ID,0)+5)="","",INDEX('DMIC List - master'!$E:$E,MATCH($B42,CONTRACT_ID,0)+5)),"")</f>
        <v/>
      </c>
      <c r="G42" s="23">
        <f>IFERROR(IF(INDEX('DMIC List - master'!$P:$P,MATCH($B42,CONTRACT_ID,0)+5)="","",INDEX('DMIC List - master'!$P:$P,MATCH($B42,CONTRACT_ID,0)+5)),"")</f>
        <v/>
      </c>
      <c r="H42" s="23">
        <f>IFERROR(IF(INDEX('DMIC List - master'!$Q:$Q,MATCH($B42,CONTRACT_ID,0)+5)="","",INDEX('DMIC List - master'!$Q:$Q,MATCH($B42,CONTRACT_ID,0)+5)),"")</f>
        <v/>
      </c>
      <c r="I42" s="23">
        <f>IFERROR(IF(INDEX('DMIC List - master'!$U:$U,MATCH($B42,CONTRACT_ID,0)+5)="","",INDEX('DMIC List - master'!$U:$U,MATCH($B42,CONTRACT_ID,0)+5)),"")</f>
        <v/>
      </c>
      <c r="K42" s="23" t="n"/>
      <c r="L42" s="23" t="n"/>
      <c r="M42" s="23" t="n"/>
      <c r="N42" s="23" t="n"/>
      <c r="O42" s="23" t="n"/>
      <c r="P42" s="23" t="n"/>
      <c r="R42" s="23" t="n"/>
      <c r="S42" s="23" t="n"/>
      <c r="T42" s="23" t="n"/>
      <c r="U42" s="23" t="n"/>
      <c r="V42" s="23" t="n"/>
      <c r="X42" s="23">
        <f>IF($B42="","",IF(COUNTA(K42:P42)+COUNTA(R42:V42)=0,"",(2*COUNTIF(K42:P42,"low")+COUNTIF(K42:P42,"medium")+2*COUNTIF(K42:P42,"unknown"))+(COUNTIF(R42:V42,"medium")+2*COUNTIF(R42:V42,"High"))))</f>
        <v/>
      </c>
      <c r="Y42" s="23">
        <f>IF(X42&lt;&gt;"",IF(X42&gt;9,1,0),"")</f>
        <v/>
      </c>
      <c r="Z42" s="23" t="n"/>
      <c r="AA42" s="23" t="n"/>
      <c r="AB42" s="23" t="n"/>
      <c r="AC42" s="23" t="n"/>
      <c r="AD42" s="23" t="n"/>
      <c r="AE42" s="23" t="n"/>
    </row>
    <row r="43">
      <c r="B43" s="26">
        <f>IF('DMIC List - master'!B43="","",'DMIC List - master'!B43)</f>
        <v/>
      </c>
      <c r="C43" s="26">
        <f>IFERROR(IF(INDEX('DMIC List - master'!$C:$C,MATCH($B43,CONTRACT_ID,0)+5)="","",INDEX('DMIC List - master'!$C:$C,MATCH($B43,CONTRACT_ID,0)+5)),"")</f>
        <v/>
      </c>
      <c r="D43" s="26">
        <f>IFERROR(IF(INDEX('DMIC List - master'!$D:$D,MATCH($B43,CONTRACT_ID,0)+5)="","",INDEX('DMIC List - master'!$D:$D,MATCH($B43,CONTRACT_ID,0)+5)),"")</f>
        <v/>
      </c>
      <c r="E43" s="26">
        <f>IFERROR(IF(INDEX('DMIC List - master'!$E:$E,MATCH($B43,CONTRACT_ID,0)+5)="","",INDEX('DMIC List - master'!$E:$E,MATCH($B43,CONTRACT_ID,0)+5)),"")</f>
        <v/>
      </c>
      <c r="G43" s="26">
        <f>IFERROR(IF(INDEX('DMIC List - master'!$P:$P,MATCH($B43,CONTRACT_ID,0)+5)="","",INDEX('DMIC List - master'!$P:$P,MATCH($B43,CONTRACT_ID,0)+5)),"")</f>
        <v/>
      </c>
      <c r="H43" s="26">
        <f>IFERROR(IF(INDEX('DMIC List - master'!$Q:$Q,MATCH($B43,CONTRACT_ID,0)+5)="","",INDEX('DMIC List - master'!$Q:$Q,MATCH($B43,CONTRACT_ID,0)+5)),"")</f>
        <v/>
      </c>
      <c r="I43" s="26">
        <f>IFERROR(IF(INDEX('DMIC List - master'!$U:$U,MATCH($B43,CONTRACT_ID,0)+5)="","",INDEX('DMIC List - master'!$U:$U,MATCH($B43,CONTRACT_ID,0)+5)),"")</f>
        <v/>
      </c>
      <c r="K43" s="26" t="n"/>
      <c r="L43" s="26" t="n"/>
      <c r="M43" s="26" t="n"/>
      <c r="N43" s="26" t="n"/>
      <c r="O43" s="26" t="n"/>
      <c r="P43" s="26" t="n"/>
      <c r="R43" s="26" t="n"/>
      <c r="S43" s="26" t="n"/>
      <c r="T43" s="26" t="n"/>
      <c r="U43" s="26" t="n"/>
      <c r="V43" s="26" t="n"/>
      <c r="X43" s="26">
        <f>IF($B43="","",IF(COUNTA(K43:P43)+COUNTA(R43:V43)=0,"",(2*COUNTIF(K43:P43,"low")+COUNTIF(K43:P43,"medium")+2*COUNTIF(K43:P43,"unknown"))+(COUNTIF(R43:V43,"medium")+2*COUNTIF(R43:V43,"High"))))</f>
        <v/>
      </c>
      <c r="Y43" s="26">
        <f>IF(X43&lt;&gt;"",IF(X43&gt;9,1,0),"")</f>
        <v/>
      </c>
      <c r="Z43" s="26" t="n"/>
      <c r="AA43" s="26" t="n"/>
      <c r="AB43" s="26" t="n"/>
      <c r="AC43" s="26" t="n"/>
      <c r="AD43" s="26" t="n"/>
      <c r="AE43" s="26" t="n"/>
    </row>
    <row r="44">
      <c r="B44" s="23">
        <f>IF('DMIC List - master'!B44="","",'DMIC List - master'!B44)</f>
        <v/>
      </c>
      <c r="C44" s="23">
        <f>IFERROR(IF(INDEX('DMIC List - master'!$C:$C,MATCH($B44,CONTRACT_ID,0)+5)="","",INDEX('DMIC List - master'!$C:$C,MATCH($B44,CONTRACT_ID,0)+5)),"")</f>
        <v/>
      </c>
      <c r="D44" s="23">
        <f>IFERROR(IF(INDEX('DMIC List - master'!$D:$D,MATCH($B44,CONTRACT_ID,0)+5)="","",INDEX('DMIC List - master'!$D:$D,MATCH($B44,CONTRACT_ID,0)+5)),"")</f>
        <v/>
      </c>
      <c r="E44" s="23">
        <f>IFERROR(IF(INDEX('DMIC List - master'!$E:$E,MATCH($B44,CONTRACT_ID,0)+5)="","",INDEX('DMIC List - master'!$E:$E,MATCH($B44,CONTRACT_ID,0)+5)),"")</f>
        <v/>
      </c>
      <c r="G44" s="23">
        <f>IFERROR(IF(INDEX('DMIC List - master'!$P:$P,MATCH($B44,CONTRACT_ID,0)+5)="","",INDEX('DMIC List - master'!$P:$P,MATCH($B44,CONTRACT_ID,0)+5)),"")</f>
        <v/>
      </c>
      <c r="H44" s="23">
        <f>IFERROR(IF(INDEX('DMIC List - master'!$Q:$Q,MATCH($B44,CONTRACT_ID,0)+5)="","",INDEX('DMIC List - master'!$Q:$Q,MATCH($B44,CONTRACT_ID,0)+5)),"")</f>
        <v/>
      </c>
      <c r="I44" s="23">
        <f>IFERROR(IF(INDEX('DMIC List - master'!$U:$U,MATCH($B44,CONTRACT_ID,0)+5)="","",INDEX('DMIC List - master'!$U:$U,MATCH($B44,CONTRACT_ID,0)+5)),"")</f>
        <v/>
      </c>
      <c r="K44" s="23" t="n"/>
      <c r="L44" s="23" t="n"/>
      <c r="M44" s="23" t="n"/>
      <c r="N44" s="23" t="n"/>
      <c r="O44" s="23" t="n"/>
      <c r="P44" s="23" t="n"/>
      <c r="R44" s="23" t="n"/>
      <c r="S44" s="23" t="n"/>
      <c r="T44" s="23" t="n"/>
      <c r="U44" s="23" t="n"/>
      <c r="V44" s="23" t="n"/>
      <c r="X44" s="23">
        <f>IF($B44="","",IF(COUNTA(K44:P44)+COUNTA(R44:V44)=0,"",(2*COUNTIF(K44:P44,"low")+COUNTIF(K44:P44,"medium")+2*COUNTIF(K44:P44,"unknown"))+(COUNTIF(R44:V44,"medium")+2*COUNTIF(R44:V44,"High"))))</f>
        <v/>
      </c>
      <c r="Y44" s="23">
        <f>IF(X44&lt;&gt;"",IF(X44&gt;9,1,0),"")</f>
        <v/>
      </c>
      <c r="Z44" s="23" t="n"/>
      <c r="AA44" s="23" t="n"/>
      <c r="AB44" s="23" t="n"/>
      <c r="AC44" s="23" t="n"/>
      <c r="AD44" s="23" t="n"/>
      <c r="AE44" s="23" t="n"/>
    </row>
    <row r="45">
      <c r="B45" s="26">
        <f>IF('DMIC List - master'!B45="","",'DMIC List - master'!B45)</f>
        <v/>
      </c>
      <c r="C45" s="26">
        <f>IFERROR(IF(INDEX('DMIC List - master'!$C:$C,MATCH($B45,CONTRACT_ID,0)+5)="","",INDEX('DMIC List - master'!$C:$C,MATCH($B45,CONTRACT_ID,0)+5)),"")</f>
        <v/>
      </c>
      <c r="D45" s="26">
        <f>IFERROR(IF(INDEX('DMIC List - master'!$D:$D,MATCH($B45,CONTRACT_ID,0)+5)="","",INDEX('DMIC List - master'!$D:$D,MATCH($B45,CONTRACT_ID,0)+5)),"")</f>
        <v/>
      </c>
      <c r="E45" s="26">
        <f>IFERROR(IF(INDEX('DMIC List - master'!$E:$E,MATCH($B45,CONTRACT_ID,0)+5)="","",INDEX('DMIC List - master'!$E:$E,MATCH($B45,CONTRACT_ID,0)+5)),"")</f>
        <v/>
      </c>
      <c r="G45" s="26">
        <f>IFERROR(IF(INDEX('DMIC List - master'!$P:$P,MATCH($B45,CONTRACT_ID,0)+5)="","",INDEX('DMIC List - master'!$P:$P,MATCH($B45,CONTRACT_ID,0)+5)),"")</f>
        <v/>
      </c>
      <c r="H45" s="26">
        <f>IFERROR(IF(INDEX('DMIC List - master'!$Q:$Q,MATCH($B45,CONTRACT_ID,0)+5)="","",INDEX('DMIC List - master'!$Q:$Q,MATCH($B45,CONTRACT_ID,0)+5)),"")</f>
        <v/>
      </c>
      <c r="I45" s="26">
        <f>IFERROR(IF(INDEX('DMIC List - master'!$U:$U,MATCH($B45,CONTRACT_ID,0)+5)="","",INDEX('DMIC List - master'!$U:$U,MATCH($B45,CONTRACT_ID,0)+5)),"")</f>
        <v/>
      </c>
      <c r="K45" s="26" t="n"/>
      <c r="L45" s="26" t="n"/>
      <c r="M45" s="26" t="n"/>
      <c r="N45" s="26" t="n"/>
      <c r="O45" s="26" t="n"/>
      <c r="P45" s="26" t="n"/>
      <c r="R45" s="26" t="n"/>
      <c r="S45" s="26" t="n"/>
      <c r="T45" s="26" t="n"/>
      <c r="U45" s="26" t="n"/>
      <c r="V45" s="26" t="n"/>
      <c r="X45" s="26">
        <f>IF($B45="","",IF(COUNTA(K45:P45)+COUNTA(R45:V45)=0,"",(2*COUNTIF(K45:P45,"low")+COUNTIF(K45:P45,"medium")+2*COUNTIF(K45:P45,"unknown"))+(COUNTIF(R45:V45,"medium")+2*COUNTIF(R45:V45,"High"))))</f>
        <v/>
      </c>
      <c r="Y45" s="26">
        <f>IF(X45&lt;&gt;"",IF(X45&gt;9,1,0),"")</f>
        <v/>
      </c>
      <c r="Z45" s="26" t="n"/>
      <c r="AA45" s="26" t="n"/>
      <c r="AB45" s="26" t="n"/>
      <c r="AC45" s="26" t="n"/>
      <c r="AD45" s="26" t="n"/>
      <c r="AE45" s="26" t="n"/>
    </row>
    <row r="46">
      <c r="B46" s="23">
        <f>IF('DMIC List - master'!B46="","",'DMIC List - master'!B46)</f>
        <v/>
      </c>
      <c r="C46" s="23">
        <f>IFERROR(IF(INDEX('DMIC List - master'!$C:$C,MATCH($B46,CONTRACT_ID,0)+5)="","",INDEX('DMIC List - master'!$C:$C,MATCH($B46,CONTRACT_ID,0)+5)),"")</f>
        <v/>
      </c>
      <c r="D46" s="23">
        <f>IFERROR(IF(INDEX('DMIC List - master'!$D:$D,MATCH($B46,CONTRACT_ID,0)+5)="","",INDEX('DMIC List - master'!$D:$D,MATCH($B46,CONTRACT_ID,0)+5)),"")</f>
        <v/>
      </c>
      <c r="E46" s="23">
        <f>IFERROR(IF(INDEX('DMIC List - master'!$E:$E,MATCH($B46,CONTRACT_ID,0)+5)="","",INDEX('DMIC List - master'!$E:$E,MATCH($B46,CONTRACT_ID,0)+5)),"")</f>
        <v/>
      </c>
      <c r="G46" s="23">
        <f>IFERROR(IF(INDEX('DMIC List - master'!$P:$P,MATCH($B46,CONTRACT_ID,0)+5)="","",INDEX('DMIC List - master'!$P:$P,MATCH($B46,CONTRACT_ID,0)+5)),"")</f>
        <v/>
      </c>
      <c r="H46" s="23">
        <f>IFERROR(IF(INDEX('DMIC List - master'!$Q:$Q,MATCH($B46,CONTRACT_ID,0)+5)="","",INDEX('DMIC List - master'!$Q:$Q,MATCH($B46,CONTRACT_ID,0)+5)),"")</f>
        <v/>
      </c>
      <c r="I46" s="23">
        <f>IFERROR(IF(INDEX('DMIC List - master'!$U:$U,MATCH($B46,CONTRACT_ID,0)+5)="","",INDEX('DMIC List - master'!$U:$U,MATCH($B46,CONTRACT_ID,0)+5)),"")</f>
        <v/>
      </c>
      <c r="K46" s="23" t="n"/>
      <c r="L46" s="23" t="n"/>
      <c r="M46" s="23" t="n"/>
      <c r="N46" s="23" t="n"/>
      <c r="O46" s="23" t="n"/>
      <c r="P46" s="23" t="n"/>
      <c r="R46" s="23" t="n"/>
      <c r="S46" s="23" t="n"/>
      <c r="T46" s="23" t="n"/>
      <c r="U46" s="23" t="n"/>
      <c r="V46" s="23" t="n"/>
      <c r="X46" s="23">
        <f>IF($B46="","",IF(COUNTA(K46:P46)+COUNTA(R46:V46)=0,"",(2*COUNTIF(K46:P46,"low")+COUNTIF(K46:P46,"medium")+2*COUNTIF(K46:P46,"unknown"))+(COUNTIF(R46:V46,"medium")+2*COUNTIF(R46:V46,"High"))))</f>
        <v/>
      </c>
      <c r="Y46" s="23">
        <f>IF(X46&lt;&gt;"",IF(X46&gt;9,1,0),"")</f>
        <v/>
      </c>
      <c r="Z46" s="23" t="n"/>
      <c r="AA46" s="23" t="n"/>
      <c r="AB46" s="23" t="n"/>
      <c r="AC46" s="23" t="n"/>
      <c r="AD46" s="23" t="n"/>
      <c r="AE46" s="23" t="n"/>
    </row>
    <row r="47">
      <c r="B47" s="26">
        <f>IF('DMIC List - master'!B47="","",'DMIC List - master'!B47)</f>
        <v/>
      </c>
      <c r="C47" s="26">
        <f>IFERROR(IF(INDEX('DMIC List - master'!$C:$C,MATCH($B47,CONTRACT_ID,0)+5)="","",INDEX('DMIC List - master'!$C:$C,MATCH($B47,CONTRACT_ID,0)+5)),"")</f>
        <v/>
      </c>
      <c r="D47" s="26">
        <f>IFERROR(IF(INDEX('DMIC List - master'!$D:$D,MATCH($B47,CONTRACT_ID,0)+5)="","",INDEX('DMIC List - master'!$D:$D,MATCH($B47,CONTRACT_ID,0)+5)),"")</f>
        <v/>
      </c>
      <c r="E47" s="26">
        <f>IFERROR(IF(INDEX('DMIC List - master'!$E:$E,MATCH($B47,CONTRACT_ID,0)+5)="","",INDEX('DMIC List - master'!$E:$E,MATCH($B47,CONTRACT_ID,0)+5)),"")</f>
        <v/>
      </c>
      <c r="G47" s="26">
        <f>IFERROR(IF(INDEX('DMIC List - master'!$P:$P,MATCH($B47,CONTRACT_ID,0)+5)="","",INDEX('DMIC List - master'!$P:$P,MATCH($B47,CONTRACT_ID,0)+5)),"")</f>
        <v/>
      </c>
      <c r="H47" s="26">
        <f>IFERROR(IF(INDEX('DMIC List - master'!$Q:$Q,MATCH($B47,CONTRACT_ID,0)+5)="","",INDEX('DMIC List - master'!$Q:$Q,MATCH($B47,CONTRACT_ID,0)+5)),"")</f>
        <v/>
      </c>
      <c r="I47" s="26">
        <f>IFERROR(IF(INDEX('DMIC List - master'!$U:$U,MATCH($B47,CONTRACT_ID,0)+5)="","",INDEX('DMIC List - master'!$U:$U,MATCH($B47,CONTRACT_ID,0)+5)),"")</f>
        <v/>
      </c>
      <c r="K47" s="26" t="n"/>
      <c r="L47" s="26" t="n"/>
      <c r="M47" s="26" t="n"/>
      <c r="N47" s="26" t="n"/>
      <c r="O47" s="26" t="n"/>
      <c r="P47" s="26" t="n"/>
      <c r="R47" s="26" t="n"/>
      <c r="S47" s="26" t="n"/>
      <c r="T47" s="26" t="n"/>
      <c r="U47" s="26" t="n"/>
      <c r="V47" s="26" t="n"/>
      <c r="X47" s="26">
        <f>IF($B47="","",IF(COUNTA(K47:P47)+COUNTA(R47:V47)=0,"",(2*COUNTIF(K47:P47,"low")+COUNTIF(K47:P47,"medium")+2*COUNTIF(K47:P47,"unknown"))+(COUNTIF(R47:V47,"medium")+2*COUNTIF(R47:V47,"High"))))</f>
        <v/>
      </c>
      <c r="Y47" s="26">
        <f>IF(X47&lt;&gt;"",IF(X47&gt;9,1,0),"")</f>
        <v/>
      </c>
      <c r="Z47" s="26" t="n"/>
      <c r="AA47" s="26" t="n"/>
      <c r="AB47" s="26" t="n"/>
      <c r="AC47" s="26" t="n"/>
      <c r="AD47" s="26" t="n"/>
      <c r="AE47" s="26" t="n"/>
    </row>
    <row r="48">
      <c r="B48" s="23">
        <f>IF('DMIC List - master'!B48="","",'DMIC List - master'!B48)</f>
        <v/>
      </c>
      <c r="C48" s="23">
        <f>IFERROR(IF(INDEX('DMIC List - master'!$C:$C,MATCH($B48,CONTRACT_ID,0)+5)="","",INDEX('DMIC List - master'!$C:$C,MATCH($B48,CONTRACT_ID,0)+5)),"")</f>
        <v/>
      </c>
      <c r="D48" s="23">
        <f>IFERROR(IF(INDEX('DMIC List - master'!$D:$D,MATCH($B48,CONTRACT_ID,0)+5)="","",INDEX('DMIC List - master'!$D:$D,MATCH($B48,CONTRACT_ID,0)+5)),"")</f>
        <v/>
      </c>
      <c r="E48" s="23">
        <f>IFERROR(IF(INDEX('DMIC List - master'!$E:$E,MATCH($B48,CONTRACT_ID,0)+5)="","",INDEX('DMIC List - master'!$E:$E,MATCH($B48,CONTRACT_ID,0)+5)),"")</f>
        <v/>
      </c>
      <c r="G48" s="23">
        <f>IFERROR(IF(INDEX('DMIC List - master'!$P:$P,MATCH($B48,CONTRACT_ID,0)+5)="","",INDEX('DMIC List - master'!$P:$P,MATCH($B48,CONTRACT_ID,0)+5)),"")</f>
        <v/>
      </c>
      <c r="H48" s="23">
        <f>IFERROR(IF(INDEX('DMIC List - master'!$Q:$Q,MATCH($B48,CONTRACT_ID,0)+5)="","",INDEX('DMIC List - master'!$Q:$Q,MATCH($B48,CONTRACT_ID,0)+5)),"")</f>
        <v/>
      </c>
      <c r="I48" s="23">
        <f>IFERROR(IF(INDEX('DMIC List - master'!$U:$U,MATCH($B48,CONTRACT_ID,0)+5)="","",INDEX('DMIC List - master'!$U:$U,MATCH($B48,CONTRACT_ID,0)+5)),"")</f>
        <v/>
      </c>
      <c r="K48" s="23" t="n"/>
      <c r="L48" s="23" t="n"/>
      <c r="M48" s="23" t="n"/>
      <c r="N48" s="23" t="n"/>
      <c r="O48" s="23" t="n"/>
      <c r="P48" s="23" t="n"/>
      <c r="R48" s="23" t="n"/>
      <c r="S48" s="23" t="n"/>
      <c r="T48" s="23" t="n"/>
      <c r="U48" s="23" t="n"/>
      <c r="V48" s="23" t="n"/>
      <c r="X48" s="23">
        <f>IF($B48="","",IF(COUNTA(K48:P48)+COUNTA(R48:V48)=0,"",(2*COUNTIF(K48:P48,"low")+COUNTIF(K48:P48,"medium")+2*COUNTIF(K48:P48,"unknown"))+(COUNTIF(R48:V48,"medium")+2*COUNTIF(R48:V48,"High"))))</f>
        <v/>
      </c>
      <c r="Y48" s="23">
        <f>IF(X48&lt;&gt;"",IF(X48&gt;9,1,0),"")</f>
        <v/>
      </c>
      <c r="Z48" s="23" t="n"/>
      <c r="AA48" s="23" t="n"/>
      <c r="AB48" s="23" t="n"/>
      <c r="AC48" s="23" t="n"/>
      <c r="AD48" s="23" t="n"/>
      <c r="AE48" s="23" t="n"/>
    </row>
    <row r="49">
      <c r="B49" s="26">
        <f>IF('DMIC List - master'!B49="","",'DMIC List - master'!B49)</f>
        <v/>
      </c>
      <c r="C49" s="26">
        <f>IFERROR(IF(INDEX('DMIC List - master'!$C:$C,MATCH($B49,CONTRACT_ID,0)+5)="","",INDEX('DMIC List - master'!$C:$C,MATCH($B49,CONTRACT_ID,0)+5)),"")</f>
        <v/>
      </c>
      <c r="D49" s="26">
        <f>IFERROR(IF(INDEX('DMIC List - master'!$D:$D,MATCH($B49,CONTRACT_ID,0)+5)="","",INDEX('DMIC List - master'!$D:$D,MATCH($B49,CONTRACT_ID,0)+5)),"")</f>
        <v/>
      </c>
      <c r="E49" s="26">
        <f>IFERROR(IF(INDEX('DMIC List - master'!$E:$E,MATCH($B49,CONTRACT_ID,0)+5)="","",INDEX('DMIC List - master'!$E:$E,MATCH($B49,CONTRACT_ID,0)+5)),"")</f>
        <v/>
      </c>
      <c r="G49" s="26">
        <f>IFERROR(IF(INDEX('DMIC List - master'!$P:$P,MATCH($B49,CONTRACT_ID,0)+5)="","",INDEX('DMIC List - master'!$P:$P,MATCH($B49,CONTRACT_ID,0)+5)),"")</f>
        <v/>
      </c>
      <c r="H49" s="26">
        <f>IFERROR(IF(INDEX('DMIC List - master'!$Q:$Q,MATCH($B49,CONTRACT_ID,0)+5)="","",INDEX('DMIC List - master'!$Q:$Q,MATCH($B49,CONTRACT_ID,0)+5)),"")</f>
        <v/>
      </c>
      <c r="I49" s="26">
        <f>IFERROR(IF(INDEX('DMIC List - master'!$U:$U,MATCH($B49,CONTRACT_ID,0)+5)="","",INDEX('DMIC List - master'!$U:$U,MATCH($B49,CONTRACT_ID,0)+5)),"")</f>
        <v/>
      </c>
      <c r="K49" s="26" t="n"/>
      <c r="L49" s="26" t="n"/>
      <c r="M49" s="26" t="n"/>
      <c r="N49" s="26" t="n"/>
      <c r="O49" s="26" t="n"/>
      <c r="P49" s="26" t="n"/>
      <c r="R49" s="26" t="n"/>
      <c r="S49" s="26" t="n"/>
      <c r="T49" s="26" t="n"/>
      <c r="U49" s="26" t="n"/>
      <c r="V49" s="26" t="n"/>
      <c r="X49" s="26">
        <f>IF($B49="","",IF(COUNTA(K49:P49)+COUNTA(R49:V49)=0,"",(2*COUNTIF(K49:P49,"low")+COUNTIF(K49:P49,"medium")+2*COUNTIF(K49:P49,"unknown"))+(COUNTIF(R49:V49,"medium")+2*COUNTIF(R49:V49,"High"))))</f>
        <v/>
      </c>
      <c r="Y49" s="26">
        <f>IF(X49&lt;&gt;"",IF(X49&gt;9,1,0),"")</f>
        <v/>
      </c>
      <c r="Z49" s="26" t="n"/>
      <c r="AA49" s="26" t="n"/>
      <c r="AB49" s="26" t="n"/>
      <c r="AC49" s="26" t="n"/>
      <c r="AD49" s="26" t="n"/>
      <c r="AE49" s="26" t="n"/>
    </row>
    <row r="50">
      <c r="B50" s="23">
        <f>IF('DMIC List - master'!B50="","",'DMIC List - master'!B50)</f>
        <v/>
      </c>
      <c r="C50" s="23">
        <f>IFERROR(IF(INDEX('DMIC List - master'!$C:$C,MATCH($B50,CONTRACT_ID,0)+5)="","",INDEX('DMIC List - master'!$C:$C,MATCH($B50,CONTRACT_ID,0)+5)),"")</f>
        <v/>
      </c>
      <c r="D50" s="23">
        <f>IFERROR(IF(INDEX('DMIC List - master'!$D:$D,MATCH($B50,CONTRACT_ID,0)+5)="","",INDEX('DMIC List - master'!$D:$D,MATCH($B50,CONTRACT_ID,0)+5)),"")</f>
        <v/>
      </c>
      <c r="E50" s="23">
        <f>IFERROR(IF(INDEX('DMIC List - master'!$E:$E,MATCH($B50,CONTRACT_ID,0)+5)="","",INDEX('DMIC List - master'!$E:$E,MATCH($B50,CONTRACT_ID,0)+5)),"")</f>
        <v/>
      </c>
      <c r="G50" s="23">
        <f>IFERROR(IF(INDEX('DMIC List - master'!$P:$P,MATCH($B50,CONTRACT_ID,0)+5)="","",INDEX('DMIC List - master'!$P:$P,MATCH($B50,CONTRACT_ID,0)+5)),"")</f>
        <v/>
      </c>
      <c r="H50" s="23">
        <f>IFERROR(IF(INDEX('DMIC List - master'!$Q:$Q,MATCH($B50,CONTRACT_ID,0)+5)="","",INDEX('DMIC List - master'!$Q:$Q,MATCH($B50,CONTRACT_ID,0)+5)),"")</f>
        <v/>
      </c>
      <c r="I50" s="23">
        <f>IFERROR(IF(INDEX('DMIC List - master'!$U:$U,MATCH($B50,CONTRACT_ID,0)+5)="","",INDEX('DMIC List - master'!$U:$U,MATCH($B50,CONTRACT_ID,0)+5)),"")</f>
        <v/>
      </c>
      <c r="K50" s="23" t="n"/>
      <c r="L50" s="23" t="n"/>
      <c r="M50" s="23" t="n"/>
      <c r="N50" s="23" t="n"/>
      <c r="O50" s="23" t="n"/>
      <c r="P50" s="23" t="n"/>
      <c r="R50" s="23" t="n"/>
      <c r="S50" s="23" t="n"/>
      <c r="T50" s="23" t="n"/>
      <c r="U50" s="23" t="n"/>
      <c r="V50" s="23" t="n"/>
      <c r="X50" s="23">
        <f>IF($B50="","",IF(COUNTA(K50:P50)+COUNTA(R50:V50)=0,"",(2*COUNTIF(K50:P50,"low")+COUNTIF(K50:P50,"medium")+2*COUNTIF(K50:P50,"unknown"))+(COUNTIF(R50:V50,"medium")+2*COUNTIF(R50:V50,"High"))))</f>
        <v/>
      </c>
      <c r="Y50" s="23">
        <f>IF(X50&lt;&gt;"",IF(X50&gt;9,1,0),"")</f>
        <v/>
      </c>
      <c r="Z50" s="23" t="n"/>
      <c r="AA50" s="23" t="n"/>
      <c r="AB50" s="23" t="n"/>
      <c r="AC50" s="23" t="n"/>
      <c r="AD50" s="23" t="n"/>
      <c r="AE50" s="23" t="n"/>
    </row>
    <row r="51">
      <c r="B51" s="26">
        <f>IF('DMIC List - master'!B51="","",'DMIC List - master'!B51)</f>
        <v/>
      </c>
      <c r="C51" s="26">
        <f>IFERROR(IF(INDEX('DMIC List - master'!$C:$C,MATCH($B51,CONTRACT_ID,0)+5)="","",INDEX('DMIC List - master'!$C:$C,MATCH($B51,CONTRACT_ID,0)+5)),"")</f>
        <v/>
      </c>
      <c r="D51" s="26">
        <f>IFERROR(IF(INDEX('DMIC List - master'!$D:$D,MATCH($B51,CONTRACT_ID,0)+5)="","",INDEX('DMIC List - master'!$D:$D,MATCH($B51,CONTRACT_ID,0)+5)),"")</f>
        <v/>
      </c>
      <c r="E51" s="26">
        <f>IFERROR(IF(INDEX('DMIC List - master'!$E:$E,MATCH($B51,CONTRACT_ID,0)+5)="","",INDEX('DMIC List - master'!$E:$E,MATCH($B51,CONTRACT_ID,0)+5)),"")</f>
        <v/>
      </c>
      <c r="G51" s="26">
        <f>IFERROR(IF(INDEX('DMIC List - master'!$P:$P,MATCH($B51,CONTRACT_ID,0)+5)="","",INDEX('DMIC List - master'!$P:$P,MATCH($B51,CONTRACT_ID,0)+5)),"")</f>
        <v/>
      </c>
      <c r="H51" s="26">
        <f>IFERROR(IF(INDEX('DMIC List - master'!$Q:$Q,MATCH($B51,CONTRACT_ID,0)+5)="","",INDEX('DMIC List - master'!$Q:$Q,MATCH($B51,CONTRACT_ID,0)+5)),"")</f>
        <v/>
      </c>
      <c r="I51" s="26">
        <f>IFERROR(IF(INDEX('DMIC List - master'!$U:$U,MATCH($B51,CONTRACT_ID,0)+5)="","",INDEX('DMIC List - master'!$U:$U,MATCH($B51,CONTRACT_ID,0)+5)),"")</f>
        <v/>
      </c>
      <c r="K51" s="26" t="n"/>
      <c r="L51" s="26" t="n"/>
      <c r="M51" s="26" t="n"/>
      <c r="N51" s="26" t="n"/>
      <c r="O51" s="26" t="n"/>
      <c r="P51" s="26" t="n"/>
      <c r="R51" s="26" t="n"/>
      <c r="S51" s="26" t="n"/>
      <c r="T51" s="26" t="n"/>
      <c r="U51" s="26" t="n"/>
      <c r="V51" s="26" t="n"/>
      <c r="X51" s="26">
        <f>IF($B51="","",IF(COUNTA(K51:P51)+COUNTA(R51:V51)=0,"",(2*COUNTIF(K51:P51,"low")+COUNTIF(K51:P51,"medium")+2*COUNTIF(K51:P51,"unknown"))+(COUNTIF(R51:V51,"medium")+2*COUNTIF(R51:V51,"High"))))</f>
        <v/>
      </c>
      <c r="Y51" s="26">
        <f>IF(X51&lt;&gt;"",IF(X51&gt;9,1,0),"")</f>
        <v/>
      </c>
      <c r="Z51" s="26" t="n"/>
      <c r="AA51" s="26" t="n"/>
      <c r="AB51" s="26" t="n"/>
      <c r="AC51" s="26" t="n"/>
      <c r="AD51" s="26" t="n"/>
      <c r="AE51" s="26" t="n"/>
    </row>
    <row r="52">
      <c r="B52" s="23">
        <f>IF('DMIC List - master'!B52="","",'DMIC List - master'!B52)</f>
        <v/>
      </c>
      <c r="C52" s="23">
        <f>IFERROR(IF(INDEX('DMIC List - master'!$C:$C,MATCH($B52,CONTRACT_ID,0)+5)="","",INDEX('DMIC List - master'!$C:$C,MATCH($B52,CONTRACT_ID,0)+5)),"")</f>
        <v/>
      </c>
      <c r="D52" s="23">
        <f>IFERROR(IF(INDEX('DMIC List - master'!$D:$D,MATCH($B52,CONTRACT_ID,0)+5)="","",INDEX('DMIC List - master'!$D:$D,MATCH($B52,CONTRACT_ID,0)+5)),"")</f>
        <v/>
      </c>
      <c r="E52" s="23">
        <f>IFERROR(IF(INDEX('DMIC List - master'!$E:$E,MATCH($B52,CONTRACT_ID,0)+5)="","",INDEX('DMIC List - master'!$E:$E,MATCH($B52,CONTRACT_ID,0)+5)),"")</f>
        <v/>
      </c>
      <c r="G52" s="23">
        <f>IFERROR(IF(INDEX('DMIC List - master'!$P:$P,MATCH($B52,CONTRACT_ID,0)+5)="","",INDEX('DMIC List - master'!$P:$P,MATCH($B52,CONTRACT_ID,0)+5)),"")</f>
        <v/>
      </c>
      <c r="H52" s="23">
        <f>IFERROR(IF(INDEX('DMIC List - master'!$Q:$Q,MATCH($B52,CONTRACT_ID,0)+5)="","",INDEX('DMIC List - master'!$Q:$Q,MATCH($B52,CONTRACT_ID,0)+5)),"")</f>
        <v/>
      </c>
      <c r="I52" s="23">
        <f>IFERROR(IF(INDEX('DMIC List - master'!$U:$U,MATCH($B52,CONTRACT_ID,0)+5)="","",INDEX('DMIC List - master'!$U:$U,MATCH($B52,CONTRACT_ID,0)+5)),"")</f>
        <v/>
      </c>
      <c r="K52" s="23" t="n"/>
      <c r="L52" s="23" t="n"/>
      <c r="M52" s="23" t="n"/>
      <c r="N52" s="23" t="n"/>
      <c r="O52" s="23" t="n"/>
      <c r="P52" s="23" t="n"/>
      <c r="R52" s="23" t="n"/>
      <c r="S52" s="23" t="n"/>
      <c r="T52" s="23" t="n"/>
      <c r="U52" s="23" t="n"/>
      <c r="V52" s="23" t="n"/>
      <c r="X52" s="23">
        <f>IF($B52="","",IF(COUNTA(K52:P52)+COUNTA(R52:V52)=0,"",(2*COUNTIF(K52:P52,"low")+COUNTIF(K52:P52,"medium")+2*COUNTIF(K52:P52,"unknown"))+(COUNTIF(R52:V52,"medium")+2*COUNTIF(R52:V52,"High"))))</f>
        <v/>
      </c>
      <c r="Y52" s="23">
        <f>IF(X52&lt;&gt;"",IF(X52&gt;9,1,0),"")</f>
        <v/>
      </c>
      <c r="Z52" s="23" t="n"/>
      <c r="AA52" s="23" t="n"/>
      <c r="AB52" s="23" t="n"/>
      <c r="AC52" s="23" t="n"/>
      <c r="AD52" s="23" t="n"/>
      <c r="AE52" s="23" t="n"/>
    </row>
    <row r="53">
      <c r="B53" s="26">
        <f>IF('DMIC List - master'!B53="","",'DMIC List - master'!B53)</f>
        <v/>
      </c>
      <c r="C53" s="26">
        <f>IFERROR(IF(INDEX('DMIC List - master'!$C:$C,MATCH($B53,CONTRACT_ID,0)+5)="","",INDEX('DMIC List - master'!$C:$C,MATCH($B53,CONTRACT_ID,0)+5)),"")</f>
        <v/>
      </c>
      <c r="D53" s="26">
        <f>IFERROR(IF(INDEX('DMIC List - master'!$D:$D,MATCH($B53,CONTRACT_ID,0)+5)="","",INDEX('DMIC List - master'!$D:$D,MATCH($B53,CONTRACT_ID,0)+5)),"")</f>
        <v/>
      </c>
      <c r="E53" s="26">
        <f>IFERROR(IF(INDEX('DMIC List - master'!$E:$E,MATCH($B53,CONTRACT_ID,0)+5)="","",INDEX('DMIC List - master'!$E:$E,MATCH($B53,CONTRACT_ID,0)+5)),"")</f>
        <v/>
      </c>
      <c r="G53" s="26">
        <f>IFERROR(IF(INDEX('DMIC List - master'!$P:$P,MATCH($B53,CONTRACT_ID,0)+5)="","",INDEX('DMIC List - master'!$P:$P,MATCH($B53,CONTRACT_ID,0)+5)),"")</f>
        <v/>
      </c>
      <c r="H53" s="26">
        <f>IFERROR(IF(INDEX('DMIC List - master'!$Q:$Q,MATCH($B53,CONTRACT_ID,0)+5)="","",INDEX('DMIC List - master'!$Q:$Q,MATCH($B53,CONTRACT_ID,0)+5)),"")</f>
        <v/>
      </c>
      <c r="I53" s="26">
        <f>IFERROR(IF(INDEX('DMIC List - master'!$U:$U,MATCH($B53,CONTRACT_ID,0)+5)="","",INDEX('DMIC List - master'!$U:$U,MATCH($B53,CONTRACT_ID,0)+5)),"")</f>
        <v/>
      </c>
      <c r="K53" s="26" t="n"/>
      <c r="L53" s="26" t="n"/>
      <c r="M53" s="26" t="n"/>
      <c r="N53" s="26" t="n"/>
      <c r="O53" s="26" t="n"/>
      <c r="P53" s="26" t="n"/>
      <c r="R53" s="26" t="n"/>
      <c r="S53" s="26" t="n"/>
      <c r="T53" s="26" t="n"/>
      <c r="U53" s="26" t="n"/>
      <c r="V53" s="26" t="n"/>
      <c r="X53" s="26">
        <f>IF($B53="","",IF(COUNTA(K53:P53)+COUNTA(R53:V53)=0,"",(2*COUNTIF(K53:P53,"low")+COUNTIF(K53:P53,"medium")+2*COUNTIF(K53:P53,"unknown"))+(COUNTIF(R53:V53,"medium")+2*COUNTIF(R53:V53,"High"))))</f>
        <v/>
      </c>
      <c r="Y53" s="26">
        <f>IF(X53&lt;&gt;"",IF(X53&gt;9,1,0),"")</f>
        <v/>
      </c>
      <c r="Z53" s="26" t="n"/>
      <c r="AA53" s="26" t="n"/>
      <c r="AB53" s="26" t="n"/>
      <c r="AC53" s="26" t="n"/>
      <c r="AD53" s="26" t="n"/>
      <c r="AE53" s="26" t="n"/>
    </row>
    <row r="54">
      <c r="B54" s="23">
        <f>IF('DMIC List - master'!B54="","",'DMIC List - master'!B54)</f>
        <v/>
      </c>
      <c r="C54" s="23">
        <f>IFERROR(IF(INDEX('DMIC List - master'!$C:$C,MATCH($B54,CONTRACT_ID,0)+5)="","",INDEX('DMIC List - master'!$C:$C,MATCH($B54,CONTRACT_ID,0)+5)),"")</f>
        <v/>
      </c>
      <c r="D54" s="23">
        <f>IFERROR(IF(INDEX('DMIC List - master'!$D:$D,MATCH($B54,CONTRACT_ID,0)+5)="","",INDEX('DMIC List - master'!$D:$D,MATCH($B54,CONTRACT_ID,0)+5)),"")</f>
        <v/>
      </c>
      <c r="E54" s="23">
        <f>IFERROR(IF(INDEX('DMIC List - master'!$E:$E,MATCH($B54,CONTRACT_ID,0)+5)="","",INDEX('DMIC List - master'!$E:$E,MATCH($B54,CONTRACT_ID,0)+5)),"")</f>
        <v/>
      </c>
      <c r="G54" s="23">
        <f>IFERROR(IF(INDEX('DMIC List - master'!$P:$P,MATCH($B54,CONTRACT_ID,0)+5)="","",INDEX('DMIC List - master'!$P:$P,MATCH($B54,CONTRACT_ID,0)+5)),"")</f>
        <v/>
      </c>
      <c r="H54" s="23">
        <f>IFERROR(IF(INDEX('DMIC List - master'!$Q:$Q,MATCH($B54,CONTRACT_ID,0)+5)="","",INDEX('DMIC List - master'!$Q:$Q,MATCH($B54,CONTRACT_ID,0)+5)),"")</f>
        <v/>
      </c>
      <c r="I54" s="23">
        <f>IFERROR(IF(INDEX('DMIC List - master'!$U:$U,MATCH($B54,CONTRACT_ID,0)+5)="","",INDEX('DMIC List - master'!$U:$U,MATCH($B54,CONTRACT_ID,0)+5)),"")</f>
        <v/>
      </c>
      <c r="K54" s="23" t="n"/>
      <c r="L54" s="23" t="n"/>
      <c r="M54" s="23" t="n"/>
      <c r="N54" s="23" t="n"/>
      <c r="O54" s="23" t="n"/>
      <c r="P54" s="23" t="n"/>
      <c r="R54" s="23" t="n"/>
      <c r="S54" s="23" t="n"/>
      <c r="T54" s="23" t="n"/>
      <c r="U54" s="23" t="n"/>
      <c r="V54" s="23" t="n"/>
      <c r="X54" s="23">
        <f>IF($B54="","",IF(COUNTA(K54:P54)+COUNTA(R54:V54)=0,"",(2*COUNTIF(K54:P54,"low")+COUNTIF(K54:P54,"medium")+2*COUNTIF(K54:P54,"unknown"))+(COUNTIF(R54:V54,"medium")+2*COUNTIF(R54:V54,"High"))))</f>
        <v/>
      </c>
      <c r="Y54" s="23">
        <f>IF(X54&lt;&gt;"",IF(X54&gt;9,1,0),"")</f>
        <v/>
      </c>
      <c r="Z54" s="23" t="n"/>
      <c r="AA54" s="23" t="n"/>
      <c r="AB54" s="23" t="n"/>
      <c r="AC54" s="23" t="n"/>
      <c r="AD54" s="23" t="n"/>
      <c r="AE54" s="23" t="n"/>
    </row>
    <row r="55">
      <c r="B55" s="26">
        <f>IF('DMIC List - master'!B55="","",'DMIC List - master'!B55)</f>
        <v/>
      </c>
      <c r="C55" s="26">
        <f>IFERROR(IF(INDEX('DMIC List - master'!$C:$C,MATCH($B55,CONTRACT_ID,0)+5)="","",INDEX('DMIC List - master'!$C:$C,MATCH($B55,CONTRACT_ID,0)+5)),"")</f>
        <v/>
      </c>
      <c r="D55" s="26">
        <f>IFERROR(IF(INDEX('DMIC List - master'!$D:$D,MATCH($B55,CONTRACT_ID,0)+5)="","",INDEX('DMIC List - master'!$D:$D,MATCH($B55,CONTRACT_ID,0)+5)),"")</f>
        <v/>
      </c>
      <c r="E55" s="26">
        <f>IFERROR(IF(INDEX('DMIC List - master'!$E:$E,MATCH($B55,CONTRACT_ID,0)+5)="","",INDEX('DMIC List - master'!$E:$E,MATCH($B55,CONTRACT_ID,0)+5)),"")</f>
        <v/>
      </c>
      <c r="G55" s="26">
        <f>IFERROR(IF(INDEX('DMIC List - master'!$P:$P,MATCH($B55,CONTRACT_ID,0)+5)="","",INDEX('DMIC List - master'!$P:$P,MATCH($B55,CONTRACT_ID,0)+5)),"")</f>
        <v/>
      </c>
      <c r="H55" s="26">
        <f>IFERROR(IF(INDEX('DMIC List - master'!$Q:$Q,MATCH($B55,CONTRACT_ID,0)+5)="","",INDEX('DMIC List - master'!$Q:$Q,MATCH($B55,CONTRACT_ID,0)+5)),"")</f>
        <v/>
      </c>
      <c r="I55" s="26">
        <f>IFERROR(IF(INDEX('DMIC List - master'!$U:$U,MATCH($B55,CONTRACT_ID,0)+5)="","",INDEX('DMIC List - master'!$U:$U,MATCH($B55,CONTRACT_ID,0)+5)),"")</f>
        <v/>
      </c>
      <c r="K55" s="26" t="n"/>
      <c r="L55" s="26" t="n"/>
      <c r="M55" s="26" t="n"/>
      <c r="N55" s="26" t="n"/>
      <c r="O55" s="26" t="n"/>
      <c r="P55" s="26" t="n"/>
      <c r="R55" s="26" t="n"/>
      <c r="S55" s="26" t="n"/>
      <c r="T55" s="26" t="n"/>
      <c r="U55" s="26" t="n"/>
      <c r="V55" s="26" t="n"/>
      <c r="X55" s="26">
        <f>IF($B55="","",IF(COUNTA(K55:P55)+COUNTA(R55:V55)=0,"",(2*COUNTIF(K55:P55,"low")+COUNTIF(K55:P55,"medium")+2*COUNTIF(K55:P55,"unknown"))+(COUNTIF(R55:V55,"medium")+2*COUNTIF(R55:V55,"High"))))</f>
        <v/>
      </c>
      <c r="Y55" s="26">
        <f>IF(X55&lt;&gt;"",IF(X55&gt;9,1,0),"")</f>
        <v/>
      </c>
      <c r="Z55" s="26" t="n"/>
      <c r="AA55" s="26" t="n"/>
      <c r="AB55" s="26" t="n"/>
      <c r="AC55" s="26" t="n"/>
      <c r="AD55" s="26" t="n"/>
      <c r="AE55" s="26" t="n"/>
    </row>
    <row r="56">
      <c r="B56" s="23">
        <f>IF('DMIC List - master'!B56="","",'DMIC List - master'!B56)</f>
        <v/>
      </c>
      <c r="C56" s="23">
        <f>IFERROR(IF(INDEX('DMIC List - master'!$C:$C,MATCH($B56,CONTRACT_ID,0)+5)="","",INDEX('DMIC List - master'!$C:$C,MATCH($B56,CONTRACT_ID,0)+5)),"")</f>
        <v/>
      </c>
      <c r="D56" s="23">
        <f>IFERROR(IF(INDEX('DMIC List - master'!$D:$D,MATCH($B56,CONTRACT_ID,0)+5)="","",INDEX('DMIC List - master'!$D:$D,MATCH($B56,CONTRACT_ID,0)+5)),"")</f>
        <v/>
      </c>
      <c r="E56" s="23">
        <f>IFERROR(IF(INDEX('DMIC List - master'!$E:$E,MATCH($B56,CONTRACT_ID,0)+5)="","",INDEX('DMIC List - master'!$E:$E,MATCH($B56,CONTRACT_ID,0)+5)),"")</f>
        <v/>
      </c>
      <c r="G56" s="23">
        <f>IFERROR(IF(INDEX('DMIC List - master'!$P:$P,MATCH($B56,CONTRACT_ID,0)+5)="","",INDEX('DMIC List - master'!$P:$P,MATCH($B56,CONTRACT_ID,0)+5)),"")</f>
        <v/>
      </c>
      <c r="H56" s="23">
        <f>IFERROR(IF(INDEX('DMIC List - master'!$Q:$Q,MATCH($B56,CONTRACT_ID,0)+5)="","",INDEX('DMIC List - master'!$Q:$Q,MATCH($B56,CONTRACT_ID,0)+5)),"")</f>
        <v/>
      </c>
      <c r="I56" s="23">
        <f>IFERROR(IF(INDEX('DMIC List - master'!$U:$U,MATCH($B56,CONTRACT_ID,0)+5)="","",INDEX('DMIC List - master'!$U:$U,MATCH($B56,CONTRACT_ID,0)+5)),"")</f>
        <v/>
      </c>
      <c r="K56" s="23" t="n"/>
      <c r="L56" s="23" t="n"/>
      <c r="M56" s="23" t="n"/>
      <c r="N56" s="23" t="n"/>
      <c r="O56" s="23" t="n"/>
      <c r="P56" s="23" t="n"/>
      <c r="R56" s="23" t="n"/>
      <c r="S56" s="23" t="n"/>
      <c r="T56" s="23" t="n"/>
      <c r="U56" s="23" t="n"/>
      <c r="V56" s="23" t="n"/>
      <c r="X56" s="23">
        <f>IF($B56="","",IF(COUNTA(K56:P56)+COUNTA(R56:V56)=0,"",(2*COUNTIF(K56:P56,"low")+COUNTIF(K56:P56,"medium")+2*COUNTIF(K56:P56,"unknown"))+(COUNTIF(R56:V56,"medium")+2*COUNTIF(R56:V56,"High"))))</f>
        <v/>
      </c>
      <c r="Y56" s="23">
        <f>IF(X56&lt;&gt;"",IF(X56&gt;9,1,0),"")</f>
        <v/>
      </c>
      <c r="Z56" s="23" t="n"/>
      <c r="AA56" s="23" t="n"/>
      <c r="AB56" s="23" t="n"/>
      <c r="AC56" s="23" t="n"/>
      <c r="AD56" s="23" t="n"/>
      <c r="AE56" s="23" t="n"/>
    </row>
    <row r="57">
      <c r="B57" s="26">
        <f>IF('DMIC List - master'!B57="","",'DMIC List - master'!B57)</f>
        <v/>
      </c>
      <c r="C57" s="26">
        <f>IFERROR(IF(INDEX('DMIC List - master'!$C:$C,MATCH($B57,CONTRACT_ID,0)+5)="","",INDEX('DMIC List - master'!$C:$C,MATCH($B57,CONTRACT_ID,0)+5)),"")</f>
        <v/>
      </c>
      <c r="D57" s="26">
        <f>IFERROR(IF(INDEX('DMIC List - master'!$D:$D,MATCH($B57,CONTRACT_ID,0)+5)="","",INDEX('DMIC List - master'!$D:$D,MATCH($B57,CONTRACT_ID,0)+5)),"")</f>
        <v/>
      </c>
      <c r="E57" s="26">
        <f>IFERROR(IF(INDEX('DMIC List - master'!$E:$E,MATCH($B57,CONTRACT_ID,0)+5)="","",INDEX('DMIC List - master'!$E:$E,MATCH($B57,CONTRACT_ID,0)+5)),"")</f>
        <v/>
      </c>
      <c r="G57" s="26">
        <f>IFERROR(IF(INDEX('DMIC List - master'!$P:$P,MATCH($B57,CONTRACT_ID,0)+5)="","",INDEX('DMIC List - master'!$P:$P,MATCH($B57,CONTRACT_ID,0)+5)),"")</f>
        <v/>
      </c>
      <c r="H57" s="26">
        <f>IFERROR(IF(INDEX('DMIC List - master'!$Q:$Q,MATCH($B57,CONTRACT_ID,0)+5)="","",INDEX('DMIC List - master'!$Q:$Q,MATCH($B57,CONTRACT_ID,0)+5)),"")</f>
        <v/>
      </c>
      <c r="I57" s="26">
        <f>IFERROR(IF(INDEX('DMIC List - master'!$U:$U,MATCH($B57,CONTRACT_ID,0)+5)="","",INDEX('DMIC List - master'!$U:$U,MATCH($B57,CONTRACT_ID,0)+5)),"")</f>
        <v/>
      </c>
      <c r="K57" s="26" t="n"/>
      <c r="L57" s="26" t="n"/>
      <c r="M57" s="26" t="n"/>
      <c r="N57" s="26" t="n"/>
      <c r="O57" s="26" t="n"/>
      <c r="P57" s="26" t="n"/>
      <c r="R57" s="26" t="n"/>
      <c r="S57" s="26" t="n"/>
      <c r="T57" s="26" t="n"/>
      <c r="U57" s="26" t="n"/>
      <c r="V57" s="26" t="n"/>
      <c r="X57" s="26">
        <f>IF($B57="","",IF(COUNTA(K57:P57)+COUNTA(R57:V57)=0,"",(2*COUNTIF(K57:P57,"low")+COUNTIF(K57:P57,"medium")+2*COUNTIF(K57:P57,"unknown"))+(COUNTIF(R57:V57,"medium")+2*COUNTIF(R57:V57,"High"))))</f>
        <v/>
      </c>
      <c r="Y57" s="26">
        <f>IF(X57&lt;&gt;"",IF(X57&gt;9,1,0),"")</f>
        <v/>
      </c>
      <c r="Z57" s="26" t="n"/>
      <c r="AA57" s="26" t="n"/>
      <c r="AB57" s="26" t="n"/>
      <c r="AC57" s="26" t="n"/>
      <c r="AD57" s="26" t="n"/>
      <c r="AE57" s="26" t="n"/>
    </row>
    <row r="58">
      <c r="B58" s="23">
        <f>IF('DMIC List - master'!B58="","",'DMIC List - master'!B58)</f>
        <v/>
      </c>
      <c r="C58" s="23">
        <f>IFERROR(IF(INDEX('DMIC List - master'!$C:$C,MATCH($B58,CONTRACT_ID,0)+5)="","",INDEX('DMIC List - master'!$C:$C,MATCH($B58,CONTRACT_ID,0)+5)),"")</f>
        <v/>
      </c>
      <c r="D58" s="23">
        <f>IFERROR(IF(INDEX('DMIC List - master'!$D:$D,MATCH($B58,CONTRACT_ID,0)+5)="","",INDEX('DMIC List - master'!$D:$D,MATCH($B58,CONTRACT_ID,0)+5)),"")</f>
        <v/>
      </c>
      <c r="E58" s="23">
        <f>IFERROR(IF(INDEX('DMIC List - master'!$E:$E,MATCH($B58,CONTRACT_ID,0)+5)="","",INDEX('DMIC List - master'!$E:$E,MATCH($B58,CONTRACT_ID,0)+5)),"")</f>
        <v/>
      </c>
      <c r="G58" s="23">
        <f>IFERROR(IF(INDEX('DMIC List - master'!$P:$P,MATCH($B58,CONTRACT_ID,0)+5)="","",INDEX('DMIC List - master'!$P:$P,MATCH($B58,CONTRACT_ID,0)+5)),"")</f>
        <v/>
      </c>
      <c r="H58" s="23">
        <f>IFERROR(IF(INDEX('DMIC List - master'!$Q:$Q,MATCH($B58,CONTRACT_ID,0)+5)="","",INDEX('DMIC List - master'!$Q:$Q,MATCH($B58,CONTRACT_ID,0)+5)),"")</f>
        <v/>
      </c>
      <c r="I58" s="23">
        <f>IFERROR(IF(INDEX('DMIC List - master'!$U:$U,MATCH($B58,CONTRACT_ID,0)+5)="","",INDEX('DMIC List - master'!$U:$U,MATCH($B58,CONTRACT_ID,0)+5)),"")</f>
        <v/>
      </c>
      <c r="K58" s="23" t="n"/>
      <c r="L58" s="23" t="n"/>
      <c r="M58" s="23" t="n"/>
      <c r="N58" s="23" t="n"/>
      <c r="O58" s="23" t="n"/>
      <c r="P58" s="23" t="n"/>
      <c r="R58" s="23" t="n"/>
      <c r="S58" s="23" t="n"/>
      <c r="T58" s="23" t="n"/>
      <c r="U58" s="23" t="n"/>
      <c r="V58" s="23" t="n"/>
      <c r="X58" s="23">
        <f>IF($B58="","",IF(COUNTA(K58:P58)+COUNTA(R58:V58)=0,"",(2*COUNTIF(K58:P58,"low")+COUNTIF(K58:P58,"medium")+2*COUNTIF(K58:P58,"unknown"))+(COUNTIF(R58:V58,"medium")+2*COUNTIF(R58:V58,"High"))))</f>
        <v/>
      </c>
      <c r="Y58" s="23">
        <f>IF(X58&lt;&gt;"",IF(X58&gt;9,1,0),"")</f>
        <v/>
      </c>
      <c r="Z58" s="23" t="n"/>
      <c r="AA58" s="23" t="n"/>
      <c r="AB58" s="23" t="n"/>
      <c r="AC58" s="23" t="n"/>
      <c r="AD58" s="23" t="n"/>
      <c r="AE58" s="23" t="n"/>
    </row>
    <row r="59">
      <c r="B59" s="26">
        <f>IF('DMIC List - master'!B59="","",'DMIC List - master'!B59)</f>
        <v/>
      </c>
      <c r="C59" s="26">
        <f>IFERROR(IF(INDEX('DMIC List - master'!$C:$C,MATCH($B59,CONTRACT_ID,0)+5)="","",INDEX('DMIC List - master'!$C:$C,MATCH($B59,CONTRACT_ID,0)+5)),"")</f>
        <v/>
      </c>
      <c r="D59" s="26">
        <f>IFERROR(IF(INDEX('DMIC List - master'!$D:$D,MATCH($B59,CONTRACT_ID,0)+5)="","",INDEX('DMIC List - master'!$D:$D,MATCH($B59,CONTRACT_ID,0)+5)),"")</f>
        <v/>
      </c>
      <c r="E59" s="26">
        <f>IFERROR(IF(INDEX('DMIC List - master'!$E:$E,MATCH($B59,CONTRACT_ID,0)+5)="","",INDEX('DMIC List - master'!$E:$E,MATCH($B59,CONTRACT_ID,0)+5)),"")</f>
        <v/>
      </c>
      <c r="G59" s="26">
        <f>IFERROR(IF(INDEX('DMIC List - master'!$P:$P,MATCH($B59,CONTRACT_ID,0)+5)="","",INDEX('DMIC List - master'!$P:$P,MATCH($B59,CONTRACT_ID,0)+5)),"")</f>
        <v/>
      </c>
      <c r="H59" s="26">
        <f>IFERROR(IF(INDEX('DMIC List - master'!$Q:$Q,MATCH($B59,CONTRACT_ID,0)+5)="","",INDEX('DMIC List - master'!$Q:$Q,MATCH($B59,CONTRACT_ID,0)+5)),"")</f>
        <v/>
      </c>
      <c r="I59" s="26">
        <f>IFERROR(IF(INDEX('DMIC List - master'!$U:$U,MATCH($B59,CONTRACT_ID,0)+5)="","",INDEX('DMIC List - master'!$U:$U,MATCH($B59,CONTRACT_ID,0)+5)),"")</f>
        <v/>
      </c>
      <c r="K59" s="26" t="n"/>
      <c r="L59" s="26" t="n"/>
      <c r="M59" s="26" t="n"/>
      <c r="N59" s="26" t="n"/>
      <c r="O59" s="26" t="n"/>
      <c r="P59" s="26" t="n"/>
      <c r="R59" s="26" t="n"/>
      <c r="S59" s="26" t="n"/>
      <c r="T59" s="26" t="n"/>
      <c r="U59" s="26" t="n"/>
      <c r="V59" s="26" t="n"/>
      <c r="X59" s="26">
        <f>IF($B59="","",IF(COUNTA(K59:P59)+COUNTA(R59:V59)=0,"",(2*COUNTIF(K59:P59,"low")+COUNTIF(K59:P59,"medium")+2*COUNTIF(K59:P59,"unknown"))+(COUNTIF(R59:V59,"medium")+2*COUNTIF(R59:V59,"High"))))</f>
        <v/>
      </c>
      <c r="Y59" s="26">
        <f>IF(X59&lt;&gt;"",IF(X59&gt;9,1,0),"")</f>
        <v/>
      </c>
      <c r="Z59" s="26" t="n"/>
      <c r="AA59" s="26" t="n"/>
      <c r="AB59" s="26" t="n"/>
      <c r="AC59" s="26" t="n"/>
      <c r="AD59" s="26" t="n"/>
      <c r="AE59" s="26" t="n"/>
    </row>
    <row r="60">
      <c r="B60" s="23">
        <f>IF('DMIC List - master'!B60="","",'DMIC List - master'!B60)</f>
        <v/>
      </c>
      <c r="C60" s="23">
        <f>IFERROR(IF(INDEX('DMIC List - master'!$C:$C,MATCH($B60,CONTRACT_ID,0)+5)="","",INDEX('DMIC List - master'!$C:$C,MATCH($B60,CONTRACT_ID,0)+5)),"")</f>
        <v/>
      </c>
      <c r="D60" s="23">
        <f>IFERROR(IF(INDEX('DMIC List - master'!$D:$D,MATCH($B60,CONTRACT_ID,0)+5)="","",INDEX('DMIC List - master'!$D:$D,MATCH($B60,CONTRACT_ID,0)+5)),"")</f>
        <v/>
      </c>
      <c r="E60" s="23">
        <f>IFERROR(IF(INDEX('DMIC List - master'!$E:$E,MATCH($B60,CONTRACT_ID,0)+5)="","",INDEX('DMIC List - master'!$E:$E,MATCH($B60,CONTRACT_ID,0)+5)),"")</f>
        <v/>
      </c>
      <c r="G60" s="23">
        <f>IFERROR(IF(INDEX('DMIC List - master'!$P:$P,MATCH($B60,CONTRACT_ID,0)+5)="","",INDEX('DMIC List - master'!$P:$P,MATCH($B60,CONTRACT_ID,0)+5)),"")</f>
        <v/>
      </c>
      <c r="H60" s="23">
        <f>IFERROR(IF(INDEX('DMIC List - master'!$Q:$Q,MATCH($B60,CONTRACT_ID,0)+5)="","",INDEX('DMIC List - master'!$Q:$Q,MATCH($B60,CONTRACT_ID,0)+5)),"")</f>
        <v/>
      </c>
      <c r="I60" s="23">
        <f>IFERROR(IF(INDEX('DMIC List - master'!$U:$U,MATCH($B60,CONTRACT_ID,0)+5)="","",INDEX('DMIC List - master'!$U:$U,MATCH($B60,CONTRACT_ID,0)+5)),"")</f>
        <v/>
      </c>
      <c r="K60" s="23" t="n"/>
      <c r="L60" s="23" t="n"/>
      <c r="M60" s="23" t="n"/>
      <c r="N60" s="23" t="n"/>
      <c r="O60" s="23" t="n"/>
      <c r="P60" s="23" t="n"/>
      <c r="R60" s="23" t="n"/>
      <c r="S60" s="23" t="n"/>
      <c r="T60" s="23" t="n"/>
      <c r="U60" s="23" t="n"/>
      <c r="V60" s="23" t="n"/>
      <c r="X60" s="23">
        <f>IF($B60="","",IF(COUNTA(K60:P60)+COUNTA(R60:V60)=0,"",(2*COUNTIF(K60:P60,"low")+COUNTIF(K60:P60,"medium")+2*COUNTIF(K60:P60,"unknown"))+(COUNTIF(R60:V60,"medium")+2*COUNTIF(R60:V60,"High"))))</f>
        <v/>
      </c>
      <c r="Y60" s="23">
        <f>IF(X60&lt;&gt;"",IF(X60&gt;9,1,0),"")</f>
        <v/>
      </c>
      <c r="Z60" s="23" t="n"/>
      <c r="AA60" s="23" t="n"/>
      <c r="AB60" s="23" t="n"/>
      <c r="AC60" s="23" t="n"/>
      <c r="AD60" s="23" t="n"/>
      <c r="AE60" s="23" t="n"/>
    </row>
    <row r="61">
      <c r="B61" s="26">
        <f>IF('DMIC List - master'!B61="","",'DMIC List - master'!B61)</f>
        <v/>
      </c>
      <c r="C61" s="26">
        <f>IFERROR(IF(INDEX('DMIC List - master'!$C:$C,MATCH($B61,CONTRACT_ID,0)+5)="","",INDEX('DMIC List - master'!$C:$C,MATCH($B61,CONTRACT_ID,0)+5)),"")</f>
        <v/>
      </c>
      <c r="D61" s="26">
        <f>IFERROR(IF(INDEX('DMIC List - master'!$D:$D,MATCH($B61,CONTRACT_ID,0)+5)="","",INDEX('DMIC List - master'!$D:$D,MATCH($B61,CONTRACT_ID,0)+5)),"")</f>
        <v/>
      </c>
      <c r="E61" s="26">
        <f>IFERROR(IF(INDEX('DMIC List - master'!$E:$E,MATCH($B61,CONTRACT_ID,0)+5)="","",INDEX('DMIC List - master'!$E:$E,MATCH($B61,CONTRACT_ID,0)+5)),"")</f>
        <v/>
      </c>
      <c r="G61" s="26">
        <f>IFERROR(IF(INDEX('DMIC List - master'!$P:$P,MATCH($B61,CONTRACT_ID,0)+5)="","",INDEX('DMIC List - master'!$P:$P,MATCH($B61,CONTRACT_ID,0)+5)),"")</f>
        <v/>
      </c>
      <c r="H61" s="26">
        <f>IFERROR(IF(INDEX('DMIC List - master'!$Q:$Q,MATCH($B61,CONTRACT_ID,0)+5)="","",INDEX('DMIC List - master'!$Q:$Q,MATCH($B61,CONTRACT_ID,0)+5)),"")</f>
        <v/>
      </c>
      <c r="I61" s="26">
        <f>IFERROR(IF(INDEX('DMIC List - master'!$U:$U,MATCH($B61,CONTRACT_ID,0)+5)="","",INDEX('DMIC List - master'!$U:$U,MATCH($B61,CONTRACT_ID,0)+5)),"")</f>
        <v/>
      </c>
      <c r="K61" s="26" t="n"/>
      <c r="L61" s="26" t="n"/>
      <c r="M61" s="26" t="n"/>
      <c r="N61" s="26" t="n"/>
      <c r="O61" s="26" t="n"/>
      <c r="P61" s="26" t="n"/>
      <c r="R61" s="26" t="n"/>
      <c r="S61" s="26" t="n"/>
      <c r="T61" s="26" t="n"/>
      <c r="U61" s="26" t="n"/>
      <c r="V61" s="26" t="n"/>
      <c r="X61" s="26">
        <f>IF($B61="","",IF(COUNTA(K61:P61)+COUNTA(R61:V61)=0,"",(2*COUNTIF(K61:P61,"low")+COUNTIF(K61:P61,"medium")+2*COUNTIF(K61:P61,"unknown"))+(COUNTIF(R61:V61,"medium")+2*COUNTIF(R61:V61,"High"))))</f>
        <v/>
      </c>
      <c r="Y61" s="26">
        <f>IF(X61&lt;&gt;"",IF(X61&gt;9,1,0),"")</f>
        <v/>
      </c>
      <c r="Z61" s="26" t="n"/>
      <c r="AA61" s="26" t="n"/>
      <c r="AB61" s="26" t="n"/>
      <c r="AC61" s="26" t="n"/>
      <c r="AD61" s="26" t="n"/>
      <c r="AE61" s="26" t="n"/>
    </row>
    <row r="62">
      <c r="B62" s="23">
        <f>IF('DMIC List - master'!B62="","",'DMIC List - master'!B62)</f>
        <v/>
      </c>
      <c r="C62" s="23">
        <f>IFERROR(IF(INDEX('DMIC List - master'!$C:$C,MATCH($B62,CONTRACT_ID,0)+5)="","",INDEX('DMIC List - master'!$C:$C,MATCH($B62,CONTRACT_ID,0)+5)),"")</f>
        <v/>
      </c>
      <c r="D62" s="23">
        <f>IFERROR(IF(INDEX('DMIC List - master'!$D:$D,MATCH($B62,CONTRACT_ID,0)+5)="","",INDEX('DMIC List - master'!$D:$D,MATCH($B62,CONTRACT_ID,0)+5)),"")</f>
        <v/>
      </c>
      <c r="E62" s="23">
        <f>IFERROR(IF(INDEX('DMIC List - master'!$E:$E,MATCH($B62,CONTRACT_ID,0)+5)="","",INDEX('DMIC List - master'!$E:$E,MATCH($B62,CONTRACT_ID,0)+5)),"")</f>
        <v/>
      </c>
      <c r="G62" s="23">
        <f>IFERROR(IF(INDEX('DMIC List - master'!$P:$P,MATCH($B62,CONTRACT_ID,0)+5)="","",INDEX('DMIC List - master'!$P:$P,MATCH($B62,CONTRACT_ID,0)+5)),"")</f>
        <v/>
      </c>
      <c r="H62" s="23">
        <f>IFERROR(IF(INDEX('DMIC List - master'!$Q:$Q,MATCH($B62,CONTRACT_ID,0)+5)="","",INDEX('DMIC List - master'!$Q:$Q,MATCH($B62,CONTRACT_ID,0)+5)),"")</f>
        <v/>
      </c>
      <c r="I62" s="23">
        <f>IFERROR(IF(INDEX('DMIC List - master'!$U:$U,MATCH($B62,CONTRACT_ID,0)+5)="","",INDEX('DMIC List - master'!$U:$U,MATCH($B62,CONTRACT_ID,0)+5)),"")</f>
        <v/>
      </c>
      <c r="K62" s="23" t="n"/>
      <c r="L62" s="23" t="n"/>
      <c r="M62" s="23" t="n"/>
      <c r="N62" s="23" t="n"/>
      <c r="O62" s="23" t="n"/>
      <c r="P62" s="23" t="n"/>
      <c r="R62" s="23" t="n"/>
      <c r="S62" s="23" t="n"/>
      <c r="T62" s="23" t="n"/>
      <c r="U62" s="23" t="n"/>
      <c r="V62" s="23" t="n"/>
      <c r="X62" s="23">
        <f>IF($B62="","",IF(COUNTA(K62:P62)+COUNTA(R62:V62)=0,"",(2*COUNTIF(K62:P62,"low")+COUNTIF(K62:P62,"medium")+2*COUNTIF(K62:P62,"unknown"))+(COUNTIF(R62:V62,"medium")+2*COUNTIF(R62:V62,"High"))))</f>
        <v/>
      </c>
      <c r="Y62" s="23">
        <f>IF(X62&lt;&gt;"",IF(X62&gt;9,1,0),"")</f>
        <v/>
      </c>
      <c r="Z62" s="23" t="n"/>
      <c r="AA62" s="23" t="n"/>
      <c r="AB62" s="23" t="n"/>
      <c r="AC62" s="23" t="n"/>
      <c r="AD62" s="23" t="n"/>
      <c r="AE62" s="23" t="n"/>
    </row>
    <row r="63">
      <c r="B63" s="26">
        <f>IF('DMIC List - master'!B63="","",'DMIC List - master'!B63)</f>
        <v/>
      </c>
      <c r="C63" s="26">
        <f>IFERROR(IF(INDEX('DMIC List - master'!$C:$C,MATCH($B63,CONTRACT_ID,0)+5)="","",INDEX('DMIC List - master'!$C:$C,MATCH($B63,CONTRACT_ID,0)+5)),"")</f>
        <v/>
      </c>
      <c r="D63" s="26">
        <f>IFERROR(IF(INDEX('DMIC List - master'!$D:$D,MATCH($B63,CONTRACT_ID,0)+5)="","",INDEX('DMIC List - master'!$D:$D,MATCH($B63,CONTRACT_ID,0)+5)),"")</f>
        <v/>
      </c>
      <c r="E63" s="26">
        <f>IFERROR(IF(INDEX('DMIC List - master'!$E:$E,MATCH($B63,CONTRACT_ID,0)+5)="","",INDEX('DMIC List - master'!$E:$E,MATCH($B63,CONTRACT_ID,0)+5)),"")</f>
        <v/>
      </c>
      <c r="G63" s="26">
        <f>IFERROR(IF(INDEX('DMIC List - master'!$P:$P,MATCH($B63,CONTRACT_ID,0)+5)="","",INDEX('DMIC List - master'!$P:$P,MATCH($B63,CONTRACT_ID,0)+5)),"")</f>
        <v/>
      </c>
      <c r="H63" s="26">
        <f>IFERROR(IF(INDEX('DMIC List - master'!$Q:$Q,MATCH($B63,CONTRACT_ID,0)+5)="","",INDEX('DMIC List - master'!$Q:$Q,MATCH($B63,CONTRACT_ID,0)+5)),"")</f>
        <v/>
      </c>
      <c r="I63" s="26">
        <f>IFERROR(IF(INDEX('DMIC List - master'!$U:$U,MATCH($B63,CONTRACT_ID,0)+5)="","",INDEX('DMIC List - master'!$U:$U,MATCH($B63,CONTRACT_ID,0)+5)),"")</f>
        <v/>
      </c>
      <c r="K63" s="26" t="n"/>
      <c r="L63" s="26" t="n"/>
      <c r="M63" s="26" t="n"/>
      <c r="N63" s="26" t="n"/>
      <c r="O63" s="26" t="n"/>
      <c r="P63" s="26" t="n"/>
      <c r="R63" s="26" t="n"/>
      <c r="S63" s="26" t="n"/>
      <c r="T63" s="26" t="n"/>
      <c r="U63" s="26" t="n"/>
      <c r="V63" s="26" t="n"/>
      <c r="X63" s="26">
        <f>IF($B63="","",IF(COUNTA(K63:P63)+COUNTA(R63:V63)=0,"",(2*COUNTIF(K63:P63,"low")+COUNTIF(K63:P63,"medium")+2*COUNTIF(K63:P63,"unknown"))+(COUNTIF(R63:V63,"medium")+2*COUNTIF(R63:V63,"High"))))</f>
        <v/>
      </c>
      <c r="Y63" s="26">
        <f>IF(X63&lt;&gt;"",IF(X63&gt;9,1,0),"")</f>
        <v/>
      </c>
      <c r="Z63" s="26" t="n"/>
      <c r="AA63" s="26" t="n"/>
      <c r="AB63" s="26" t="n"/>
      <c r="AC63" s="26" t="n"/>
      <c r="AD63" s="26" t="n"/>
      <c r="AE63" s="26" t="n"/>
    </row>
    <row r="64">
      <c r="B64" s="23">
        <f>IF('DMIC List - master'!B64="","",'DMIC List - master'!B64)</f>
        <v/>
      </c>
      <c r="C64" s="23">
        <f>IFERROR(IF(INDEX('DMIC List - master'!$C:$C,MATCH($B64,CONTRACT_ID,0)+5)="","",INDEX('DMIC List - master'!$C:$C,MATCH($B64,CONTRACT_ID,0)+5)),"")</f>
        <v/>
      </c>
      <c r="D64" s="23">
        <f>IFERROR(IF(INDEX('DMIC List - master'!$D:$D,MATCH($B64,CONTRACT_ID,0)+5)="","",INDEX('DMIC List - master'!$D:$D,MATCH($B64,CONTRACT_ID,0)+5)),"")</f>
        <v/>
      </c>
      <c r="E64" s="23">
        <f>IFERROR(IF(INDEX('DMIC List - master'!$E:$E,MATCH($B64,CONTRACT_ID,0)+5)="","",INDEX('DMIC List - master'!$E:$E,MATCH($B64,CONTRACT_ID,0)+5)),"")</f>
        <v/>
      </c>
      <c r="G64" s="23">
        <f>IFERROR(IF(INDEX('DMIC List - master'!$P:$P,MATCH($B64,CONTRACT_ID,0)+5)="","",INDEX('DMIC List - master'!$P:$P,MATCH($B64,CONTRACT_ID,0)+5)),"")</f>
        <v/>
      </c>
      <c r="H64" s="23">
        <f>IFERROR(IF(INDEX('DMIC List - master'!$Q:$Q,MATCH($B64,CONTRACT_ID,0)+5)="","",INDEX('DMIC List - master'!$Q:$Q,MATCH($B64,CONTRACT_ID,0)+5)),"")</f>
        <v/>
      </c>
      <c r="I64" s="23">
        <f>IFERROR(IF(INDEX('DMIC List - master'!$U:$U,MATCH($B64,CONTRACT_ID,0)+5)="","",INDEX('DMIC List - master'!$U:$U,MATCH($B64,CONTRACT_ID,0)+5)),"")</f>
        <v/>
      </c>
      <c r="K64" s="23" t="n"/>
      <c r="L64" s="23" t="n"/>
      <c r="M64" s="23" t="n"/>
      <c r="N64" s="23" t="n"/>
      <c r="O64" s="23" t="n"/>
      <c r="P64" s="23" t="n"/>
      <c r="R64" s="23" t="n"/>
      <c r="S64" s="23" t="n"/>
      <c r="T64" s="23" t="n"/>
      <c r="U64" s="23" t="n"/>
      <c r="V64" s="23" t="n"/>
      <c r="X64" s="23">
        <f>IF($B64="","",IF(COUNTA(K64:P64)+COUNTA(R64:V64)=0,"",(2*COUNTIF(K64:P64,"low")+COUNTIF(K64:P64,"medium")+2*COUNTIF(K64:P64,"unknown"))+(COUNTIF(R64:V64,"medium")+2*COUNTIF(R64:V64,"High"))))</f>
        <v/>
      </c>
      <c r="Y64" s="23">
        <f>IF(X64&lt;&gt;"",IF(X64&gt;9,1,0),"")</f>
        <v/>
      </c>
      <c r="Z64" s="23" t="n"/>
      <c r="AA64" s="23" t="n"/>
      <c r="AB64" s="23" t="n"/>
      <c r="AC64" s="23" t="n"/>
      <c r="AD64" s="23" t="n"/>
      <c r="AE64" s="23" t="n"/>
    </row>
    <row r="65">
      <c r="B65" s="26">
        <f>IF('DMIC List - master'!B65="","",'DMIC List - master'!B65)</f>
        <v/>
      </c>
      <c r="C65" s="26">
        <f>IFERROR(IF(INDEX('DMIC List - master'!$C:$C,MATCH($B65,CONTRACT_ID,0)+5)="","",INDEX('DMIC List - master'!$C:$C,MATCH($B65,CONTRACT_ID,0)+5)),"")</f>
        <v/>
      </c>
      <c r="D65" s="26">
        <f>IFERROR(IF(INDEX('DMIC List - master'!$D:$D,MATCH($B65,CONTRACT_ID,0)+5)="","",INDEX('DMIC List - master'!$D:$D,MATCH($B65,CONTRACT_ID,0)+5)),"")</f>
        <v/>
      </c>
      <c r="E65" s="26">
        <f>IFERROR(IF(INDEX('DMIC List - master'!$E:$E,MATCH($B65,CONTRACT_ID,0)+5)="","",INDEX('DMIC List - master'!$E:$E,MATCH($B65,CONTRACT_ID,0)+5)),"")</f>
        <v/>
      </c>
      <c r="G65" s="26">
        <f>IFERROR(IF(INDEX('DMIC List - master'!$P:$P,MATCH($B65,CONTRACT_ID,0)+5)="","",INDEX('DMIC List - master'!$P:$P,MATCH($B65,CONTRACT_ID,0)+5)),"")</f>
        <v/>
      </c>
      <c r="H65" s="26">
        <f>IFERROR(IF(INDEX('DMIC List - master'!$Q:$Q,MATCH($B65,CONTRACT_ID,0)+5)="","",INDEX('DMIC List - master'!$Q:$Q,MATCH($B65,CONTRACT_ID,0)+5)),"")</f>
        <v/>
      </c>
      <c r="I65" s="26">
        <f>IFERROR(IF(INDEX('DMIC List - master'!$U:$U,MATCH($B65,CONTRACT_ID,0)+5)="","",INDEX('DMIC List - master'!$U:$U,MATCH($B65,CONTRACT_ID,0)+5)),"")</f>
        <v/>
      </c>
      <c r="K65" s="26" t="n"/>
      <c r="L65" s="26" t="n"/>
      <c r="M65" s="26" t="n"/>
      <c r="N65" s="26" t="n"/>
      <c r="O65" s="26" t="n"/>
      <c r="P65" s="26" t="n"/>
      <c r="R65" s="26" t="n"/>
      <c r="S65" s="26" t="n"/>
      <c r="T65" s="26" t="n"/>
      <c r="U65" s="26" t="n"/>
      <c r="V65" s="26" t="n"/>
      <c r="X65" s="26">
        <f>IF($B65="","",IF(COUNTA(K65:P65)+COUNTA(R65:V65)=0,"",(2*COUNTIF(K65:P65,"low")+COUNTIF(K65:P65,"medium")+2*COUNTIF(K65:P65,"unknown"))+(COUNTIF(R65:V65,"medium")+2*COUNTIF(R65:V65,"High"))))</f>
        <v/>
      </c>
      <c r="Y65" s="26">
        <f>IF(X65&lt;&gt;"",IF(X65&gt;9,1,0),"")</f>
        <v/>
      </c>
      <c r="Z65" s="26" t="n"/>
      <c r="AA65" s="26" t="n"/>
      <c r="AB65" s="26" t="n"/>
      <c r="AC65" s="26" t="n"/>
      <c r="AD65" s="26" t="n"/>
      <c r="AE65" s="26" t="n"/>
    </row>
  </sheetData>
  <mergeCells count="5">
    <mergeCell ref="X4:AE4"/>
    <mergeCell ref="B4:E4"/>
    <mergeCell ref="K4:P4"/>
    <mergeCell ref="G4:I4"/>
    <mergeCell ref="R4:V4"/>
  </mergeCells>
  <conditionalFormatting sqref="K6:K65">
    <cfRule type="cellIs" priority="1" operator="equal" dxfId="11">
      <formula>"High"</formula>
    </cfRule>
    <cfRule type="cellIs" priority="2" operator="equal" dxfId="10">
      <formula>"Medium"</formula>
    </cfRule>
    <cfRule type="cellIs" priority="3" operator="equal" dxfId="9">
      <formula>"Low"</formula>
    </cfRule>
  </conditionalFormatting>
  <conditionalFormatting sqref="L6:L65">
    <cfRule type="cellIs" priority="4" operator="equal" dxfId="11">
      <formula>"High"</formula>
    </cfRule>
    <cfRule type="cellIs" priority="5" operator="equal" dxfId="10">
      <formula>"Medium"</formula>
    </cfRule>
    <cfRule type="cellIs" priority="6" operator="equal" dxfId="9">
      <formula>"Low"</formula>
    </cfRule>
  </conditionalFormatting>
  <conditionalFormatting sqref="M6:M65">
    <cfRule type="cellIs" priority="7" operator="equal" dxfId="11">
      <formula>"High"</formula>
    </cfRule>
    <cfRule type="cellIs" priority="8" operator="equal" dxfId="10">
      <formula>"Medium"</formula>
    </cfRule>
    <cfRule type="cellIs" priority="9" operator="equal" dxfId="9">
      <formula>"Low"</formula>
    </cfRule>
  </conditionalFormatting>
  <conditionalFormatting sqref="N6:N65">
    <cfRule type="cellIs" priority="10" operator="equal" dxfId="11">
      <formula>"High"</formula>
    </cfRule>
    <cfRule type="cellIs" priority="11" operator="equal" dxfId="10">
      <formula>"Medium"</formula>
    </cfRule>
    <cfRule type="cellIs" priority="12" operator="equal" dxfId="9">
      <formula>"Low"</formula>
    </cfRule>
  </conditionalFormatting>
  <conditionalFormatting sqref="O6:O65">
    <cfRule type="cellIs" priority="13" operator="equal" dxfId="11">
      <formula>"High"</formula>
    </cfRule>
    <cfRule type="cellIs" priority="14" operator="equal" dxfId="10">
      <formula>"Medium"</formula>
    </cfRule>
    <cfRule type="cellIs" priority="15" operator="equal" dxfId="9">
      <formula>"Low"</formula>
    </cfRule>
  </conditionalFormatting>
  <conditionalFormatting sqref="P6:P65">
    <cfRule type="cellIs" priority="16" operator="equal" dxfId="11">
      <formula>"High"</formula>
    </cfRule>
    <cfRule type="cellIs" priority="17" operator="equal" dxfId="10">
      <formula>"Medium"</formula>
    </cfRule>
    <cfRule type="cellIs" priority="18" operator="equal" dxfId="9">
      <formula>"Low"</formula>
    </cfRule>
  </conditionalFormatting>
  <conditionalFormatting sqref="R6:R65">
    <cfRule type="cellIs" priority="19" operator="equal" dxfId="11">
      <formula>"Low"</formula>
    </cfRule>
    <cfRule type="cellIs" priority="20" operator="equal" dxfId="10">
      <formula>"Medium"</formula>
    </cfRule>
    <cfRule type="cellIs" priority="21" operator="equal" dxfId="9">
      <formula>"High"</formula>
    </cfRule>
  </conditionalFormatting>
  <conditionalFormatting sqref="S6:S65">
    <cfRule type="cellIs" priority="22" operator="equal" dxfId="11">
      <formula>"Low"</formula>
    </cfRule>
    <cfRule type="cellIs" priority="23" operator="equal" dxfId="10">
      <formula>"Medium"</formula>
    </cfRule>
    <cfRule type="cellIs" priority="24" operator="equal" dxfId="9">
      <formula>"High"</formula>
    </cfRule>
  </conditionalFormatting>
  <conditionalFormatting sqref="T6:T65">
    <cfRule type="cellIs" priority="25" operator="equal" dxfId="11">
      <formula>"Low"</formula>
    </cfRule>
    <cfRule type="cellIs" priority="26" operator="equal" dxfId="10">
      <formula>"Medium"</formula>
    </cfRule>
    <cfRule type="cellIs" priority="27" operator="equal" dxfId="9">
      <formula>"High"</formula>
    </cfRule>
  </conditionalFormatting>
  <conditionalFormatting sqref="U6:U65">
    <cfRule type="cellIs" priority="28" operator="equal" dxfId="11">
      <formula>"Low"</formula>
    </cfRule>
    <cfRule type="cellIs" priority="29" operator="equal" dxfId="10">
      <formula>"Medium"</formula>
    </cfRule>
    <cfRule type="cellIs" priority="30" operator="equal" dxfId="9">
      <formula>"High"</formula>
    </cfRule>
  </conditionalFormatting>
  <conditionalFormatting sqref="V6:V65">
    <cfRule type="cellIs" priority="31" operator="equal" dxfId="11">
      <formula>"Low"</formula>
    </cfRule>
    <cfRule type="cellIs" priority="32" operator="equal" dxfId="10">
      <formula>"Medium"</formula>
    </cfRule>
    <cfRule type="cellIs" priority="33" operator="equal" dxfId="9">
      <formula>"High"</formula>
    </cfRule>
  </conditionalFormatting>
  <conditionalFormatting sqref="Y6:AE65">
    <cfRule type="iconSet" priority="34">
      <iconSet iconSet="3Symbols2" showValue="0" reverse="0">
        <cfvo type="num" val="0"/>
        <cfvo type="num" val="0.5"/>
        <cfvo type="num" val="1"/>
      </iconSet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24" customWidth="1" min="5" max="5"/>
    <col width="3.6" customWidth="1" min="6" max="6"/>
    <col width="16" customWidth="1" min="7" max="7"/>
    <col width="16" customWidth="1" min="8" max="8"/>
    <col width="16" customWidth="1" min="9" max="9"/>
    <col width="3.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.6" customWidth="1" min="17" max="17"/>
    <col width="30" customWidth="1" min="18" max="18"/>
  </cols>
  <sheetData>
    <row r="1"/>
    <row r="2">
      <c r="B2" s="1" t="inlineStr">
        <is>
          <t>Useful Docs</t>
        </is>
      </c>
    </row>
    <row r="3">
      <c r="B3" s="4" t="inlineStr">
        <is>
          <t>Contract Number, Area, contractor and key personnel are live look-ups from Contracts — never retyped here.</t>
        </is>
      </c>
    </row>
    <row r="4" ht="22" customHeight="1">
      <c r="B4" s="29" t="inlineStr">
        <is>
          <t>Contract Information</t>
        </is>
      </c>
      <c r="C4" s="29" t="n"/>
      <c r="D4" s="29" t="n"/>
      <c r="E4" s="29" t="n"/>
      <c r="F4" s="30" t="n"/>
      <c r="G4" s="31" t="inlineStr">
        <is>
          <t>Key Personnel</t>
        </is>
      </c>
      <c r="H4" s="31" t="n"/>
      <c r="I4" s="31" t="n"/>
      <c r="J4" s="30" t="n"/>
      <c r="K4" s="36" t="inlineStr">
        <is>
          <t>Useful Documents</t>
        </is>
      </c>
      <c r="L4" s="36" t="n"/>
      <c r="M4" s="36" t="n"/>
      <c r="N4" s="36" t="n"/>
      <c r="O4" s="36" t="n"/>
      <c r="P4" s="36" t="n"/>
      <c r="Q4" s="30" t="n"/>
      <c r="R4" s="32" t="inlineStr">
        <is>
          <t>Notes</t>
        </is>
      </c>
    </row>
    <row r="5" ht="40" customHeight="1">
      <c r="B5" s="33" t="inlineStr">
        <is>
          <t>Contract Number</t>
        </is>
      </c>
      <c r="C5" s="33" t="inlineStr">
        <is>
          <t>Area</t>
        </is>
      </c>
      <c r="D5" s="33" t="inlineStr">
        <is>
          <t>Contractor</t>
        </is>
      </c>
      <c r="E5" s="33" t="inlineStr">
        <is>
          <t>Description</t>
        </is>
      </c>
      <c r="F5" s="30" t="n"/>
      <c r="G5" s="34" t="inlineStr">
        <is>
          <t>Commissioning Engineer</t>
        </is>
      </c>
      <c r="H5" s="34" t="inlineStr">
        <is>
          <t>Commissioning Manager</t>
        </is>
      </c>
      <c r="I5" s="34" t="inlineStr">
        <is>
          <t>DMIC Co-ordinator</t>
        </is>
      </c>
      <c r="J5" s="30" t="n"/>
      <c r="K5" s="40" t="inlineStr">
        <is>
          <t>Team Centre Contract</t>
        </is>
      </c>
      <c r="L5" s="40" t="inlineStr">
        <is>
          <t>Commissioning Surveillance Strategy Doc. No.</t>
        </is>
      </c>
      <c r="M5" s="40" t="inlineStr">
        <is>
          <t>NNB PQCP</t>
        </is>
      </c>
      <c r="N5" s="40" t="inlineStr">
        <is>
          <t>Partitioning Strategy</t>
        </is>
      </c>
      <c r="O5" s="40" t="inlineStr">
        <is>
          <t>DMIC Folder</t>
        </is>
      </c>
      <c r="P5" s="40" t="inlineStr">
        <is>
          <t>Commissioning Sharepoint (Delivery)</t>
        </is>
      </c>
      <c r="Q5" s="30" t="n"/>
      <c r="R5" s="35" t="inlineStr">
        <is>
          <t>Notes</t>
        </is>
      </c>
    </row>
    <row r="6">
      <c r="B6" s="23">
        <f>IF('DMIC List - master'!B6="","",'DMIC List - master'!B6)</f>
        <v/>
      </c>
      <c r="C6" s="23">
        <f>IFERROR(IF(INDEX('DMIC List - master'!$C:$C,MATCH($B6,CONTRACT_ID,0)+5)="","",INDEX('DMIC List - master'!$C:$C,MATCH($B6,CONTRACT_ID,0)+5)),"")</f>
        <v/>
      </c>
      <c r="D6" s="23">
        <f>IFERROR(IF(INDEX('DMIC List - master'!$D:$D,MATCH($B6,CONTRACT_ID,0)+5)="","",INDEX('DMIC List - master'!$D:$D,MATCH($B6,CONTRACT_ID,0)+5)),"")</f>
        <v/>
      </c>
      <c r="E6" s="23">
        <f>IFERROR(IF(INDEX('DMIC List - master'!$E:$E,MATCH($B6,CONTRACT_ID,0)+5)="","",INDEX('DMIC List - master'!$E:$E,MATCH($B6,CONTRACT_ID,0)+5)),"")</f>
        <v/>
      </c>
      <c r="G6" s="23">
        <f>IFERROR(IF(INDEX('DMIC List - master'!$P:$P,MATCH($B6,CONTRACT_ID,0)+5)="","",INDEX('DMIC List - master'!$P:$P,MATCH($B6,CONTRACT_ID,0)+5)),"")</f>
        <v/>
      </c>
      <c r="H6" s="23">
        <f>IFERROR(IF(INDEX('DMIC List - master'!$Q:$Q,MATCH($B6,CONTRACT_ID,0)+5)="","",INDEX('DMIC List - master'!$Q:$Q,MATCH($B6,CONTRACT_ID,0)+5)),"")</f>
        <v/>
      </c>
      <c r="I6" s="23">
        <f>IFERROR(IF(INDEX('DMIC List - master'!$U:$U,MATCH($B6,CONTRACT_ID,0)+5)="","",INDEX('DMIC List - master'!$U:$U,MATCH($B6,CONTRACT_ID,0)+5)),"")</f>
        <v/>
      </c>
      <c r="K6" s="23" t="n"/>
      <c r="L6" s="23" t="n"/>
      <c r="M6" s="23" t="n"/>
      <c r="N6" s="23" t="n"/>
      <c r="O6" s="23" t="n"/>
      <c r="P6" s="23" t="n"/>
      <c r="R6" s="23" t="n"/>
    </row>
    <row r="7">
      <c r="B7" s="26">
        <f>IF('DMIC List - master'!B7="","",'DMIC List - master'!B7)</f>
        <v/>
      </c>
      <c r="C7" s="26">
        <f>IFERROR(IF(INDEX('DMIC List - master'!$C:$C,MATCH($B7,CONTRACT_ID,0)+5)="","",INDEX('DMIC List - master'!$C:$C,MATCH($B7,CONTRACT_ID,0)+5)),"")</f>
        <v/>
      </c>
      <c r="D7" s="26">
        <f>IFERROR(IF(INDEX('DMIC List - master'!$D:$D,MATCH($B7,CONTRACT_ID,0)+5)="","",INDEX('DMIC List - master'!$D:$D,MATCH($B7,CONTRACT_ID,0)+5)),"")</f>
        <v/>
      </c>
      <c r="E7" s="26">
        <f>IFERROR(IF(INDEX('DMIC List - master'!$E:$E,MATCH($B7,CONTRACT_ID,0)+5)="","",INDEX('DMIC List - master'!$E:$E,MATCH($B7,CONTRACT_ID,0)+5)),"")</f>
        <v/>
      </c>
      <c r="G7" s="26">
        <f>IFERROR(IF(INDEX('DMIC List - master'!$P:$P,MATCH($B7,CONTRACT_ID,0)+5)="","",INDEX('DMIC List - master'!$P:$P,MATCH($B7,CONTRACT_ID,0)+5)),"")</f>
        <v/>
      </c>
      <c r="H7" s="26">
        <f>IFERROR(IF(INDEX('DMIC List - master'!$Q:$Q,MATCH($B7,CONTRACT_ID,0)+5)="","",INDEX('DMIC List - master'!$Q:$Q,MATCH($B7,CONTRACT_ID,0)+5)),"")</f>
        <v/>
      </c>
      <c r="I7" s="26">
        <f>IFERROR(IF(INDEX('DMIC List - master'!$U:$U,MATCH($B7,CONTRACT_ID,0)+5)="","",INDEX('DMIC List - master'!$U:$U,MATCH($B7,CONTRACT_ID,0)+5)),"")</f>
        <v/>
      </c>
      <c r="K7" s="26" t="n"/>
      <c r="L7" s="26" t="n"/>
      <c r="M7" s="26" t="n"/>
      <c r="N7" s="26" t="n"/>
      <c r="O7" s="26" t="n"/>
      <c r="P7" s="26" t="n"/>
      <c r="R7" s="26" t="n"/>
    </row>
    <row r="8">
      <c r="B8" s="23">
        <f>IF('DMIC List - master'!B8="","",'DMIC List - master'!B8)</f>
        <v/>
      </c>
      <c r="C8" s="23">
        <f>IFERROR(IF(INDEX('DMIC List - master'!$C:$C,MATCH($B8,CONTRACT_ID,0)+5)="","",INDEX('DMIC List - master'!$C:$C,MATCH($B8,CONTRACT_ID,0)+5)),"")</f>
        <v/>
      </c>
      <c r="D8" s="23">
        <f>IFERROR(IF(INDEX('DMIC List - master'!$D:$D,MATCH($B8,CONTRACT_ID,0)+5)="","",INDEX('DMIC List - master'!$D:$D,MATCH($B8,CONTRACT_ID,0)+5)),"")</f>
        <v/>
      </c>
      <c r="E8" s="23">
        <f>IFERROR(IF(INDEX('DMIC List - master'!$E:$E,MATCH($B8,CONTRACT_ID,0)+5)="","",INDEX('DMIC List - master'!$E:$E,MATCH($B8,CONTRACT_ID,0)+5)),"")</f>
        <v/>
      </c>
      <c r="G8" s="23">
        <f>IFERROR(IF(INDEX('DMIC List - master'!$P:$P,MATCH($B8,CONTRACT_ID,0)+5)="","",INDEX('DMIC List - master'!$P:$P,MATCH($B8,CONTRACT_ID,0)+5)),"")</f>
        <v/>
      </c>
      <c r="H8" s="23">
        <f>IFERROR(IF(INDEX('DMIC List - master'!$Q:$Q,MATCH($B8,CONTRACT_ID,0)+5)="","",INDEX('DMIC List - master'!$Q:$Q,MATCH($B8,CONTRACT_ID,0)+5)),"")</f>
        <v/>
      </c>
      <c r="I8" s="23">
        <f>IFERROR(IF(INDEX('DMIC List - master'!$U:$U,MATCH($B8,CONTRACT_ID,0)+5)="","",INDEX('DMIC List - master'!$U:$U,MATCH($B8,CONTRACT_ID,0)+5)),"")</f>
        <v/>
      </c>
      <c r="K8" s="23" t="n"/>
      <c r="L8" s="23" t="n"/>
      <c r="M8" s="23" t="n"/>
      <c r="N8" s="23" t="n"/>
      <c r="O8" s="23" t="n"/>
      <c r="P8" s="23" t="n"/>
      <c r="R8" s="23" t="n"/>
    </row>
    <row r="9">
      <c r="B9" s="26">
        <f>IF('DMIC List - master'!B9="","",'DMIC List - master'!B9)</f>
        <v/>
      </c>
      <c r="C9" s="26">
        <f>IFERROR(IF(INDEX('DMIC List - master'!$C:$C,MATCH($B9,CONTRACT_ID,0)+5)="","",INDEX('DMIC List - master'!$C:$C,MATCH($B9,CONTRACT_ID,0)+5)),"")</f>
        <v/>
      </c>
      <c r="D9" s="26">
        <f>IFERROR(IF(INDEX('DMIC List - master'!$D:$D,MATCH($B9,CONTRACT_ID,0)+5)="","",INDEX('DMIC List - master'!$D:$D,MATCH($B9,CONTRACT_ID,0)+5)),"")</f>
        <v/>
      </c>
      <c r="E9" s="26">
        <f>IFERROR(IF(INDEX('DMIC List - master'!$E:$E,MATCH($B9,CONTRACT_ID,0)+5)="","",INDEX('DMIC List - master'!$E:$E,MATCH($B9,CONTRACT_ID,0)+5)),"")</f>
        <v/>
      </c>
      <c r="G9" s="26">
        <f>IFERROR(IF(INDEX('DMIC List - master'!$P:$P,MATCH($B9,CONTRACT_ID,0)+5)="","",INDEX('DMIC List - master'!$P:$P,MATCH($B9,CONTRACT_ID,0)+5)),"")</f>
        <v/>
      </c>
      <c r="H9" s="26">
        <f>IFERROR(IF(INDEX('DMIC List - master'!$Q:$Q,MATCH($B9,CONTRACT_ID,0)+5)="","",INDEX('DMIC List - master'!$Q:$Q,MATCH($B9,CONTRACT_ID,0)+5)),"")</f>
        <v/>
      </c>
      <c r="I9" s="26">
        <f>IFERROR(IF(INDEX('DMIC List - master'!$U:$U,MATCH($B9,CONTRACT_ID,0)+5)="","",INDEX('DMIC List - master'!$U:$U,MATCH($B9,CONTRACT_ID,0)+5)),"")</f>
        <v/>
      </c>
      <c r="K9" s="26" t="n"/>
      <c r="L9" s="26" t="n"/>
      <c r="M9" s="26" t="n"/>
      <c r="N9" s="26" t="n"/>
      <c r="O9" s="26" t="n"/>
      <c r="P9" s="26" t="n"/>
      <c r="R9" s="26" t="n"/>
    </row>
    <row r="10">
      <c r="B10" s="23">
        <f>IF('DMIC List - master'!B10="","",'DMIC List - master'!B10)</f>
        <v/>
      </c>
      <c r="C10" s="23">
        <f>IFERROR(IF(INDEX('DMIC List - master'!$C:$C,MATCH($B10,CONTRACT_ID,0)+5)="","",INDEX('DMIC List - master'!$C:$C,MATCH($B10,CONTRACT_ID,0)+5)),"")</f>
        <v/>
      </c>
      <c r="D10" s="23">
        <f>IFERROR(IF(INDEX('DMIC List - master'!$D:$D,MATCH($B10,CONTRACT_ID,0)+5)="","",INDEX('DMIC List - master'!$D:$D,MATCH($B10,CONTRACT_ID,0)+5)),"")</f>
        <v/>
      </c>
      <c r="E10" s="23">
        <f>IFERROR(IF(INDEX('DMIC List - master'!$E:$E,MATCH($B10,CONTRACT_ID,0)+5)="","",INDEX('DMIC List - master'!$E:$E,MATCH($B10,CONTRACT_ID,0)+5)),"")</f>
        <v/>
      </c>
      <c r="G10" s="23">
        <f>IFERROR(IF(INDEX('DMIC List - master'!$P:$P,MATCH($B10,CONTRACT_ID,0)+5)="","",INDEX('DMIC List - master'!$P:$P,MATCH($B10,CONTRACT_ID,0)+5)),"")</f>
        <v/>
      </c>
      <c r="H10" s="23">
        <f>IFERROR(IF(INDEX('DMIC List - master'!$Q:$Q,MATCH($B10,CONTRACT_ID,0)+5)="","",INDEX('DMIC List - master'!$Q:$Q,MATCH($B10,CONTRACT_ID,0)+5)),"")</f>
        <v/>
      </c>
      <c r="I10" s="23">
        <f>IFERROR(IF(INDEX('DMIC List - master'!$U:$U,MATCH($B10,CONTRACT_ID,0)+5)="","",INDEX('DMIC List - master'!$U:$U,MATCH($B10,CONTRACT_ID,0)+5)),"")</f>
        <v/>
      </c>
      <c r="K10" s="23" t="n"/>
      <c r="L10" s="23" t="n"/>
      <c r="M10" s="23" t="n"/>
      <c r="N10" s="23" t="n"/>
      <c r="O10" s="23" t="n"/>
      <c r="P10" s="23" t="n"/>
      <c r="R10" s="23" t="n"/>
    </row>
    <row r="11">
      <c r="B11" s="26">
        <f>IF('DMIC List - master'!B11="","",'DMIC List - master'!B11)</f>
        <v/>
      </c>
      <c r="C11" s="26">
        <f>IFERROR(IF(INDEX('DMIC List - master'!$C:$C,MATCH($B11,CONTRACT_ID,0)+5)="","",INDEX('DMIC List - master'!$C:$C,MATCH($B11,CONTRACT_ID,0)+5)),"")</f>
        <v/>
      </c>
      <c r="D11" s="26">
        <f>IFERROR(IF(INDEX('DMIC List - master'!$D:$D,MATCH($B11,CONTRACT_ID,0)+5)="","",INDEX('DMIC List - master'!$D:$D,MATCH($B11,CONTRACT_ID,0)+5)),"")</f>
        <v/>
      </c>
      <c r="E11" s="26">
        <f>IFERROR(IF(INDEX('DMIC List - master'!$E:$E,MATCH($B11,CONTRACT_ID,0)+5)="","",INDEX('DMIC List - master'!$E:$E,MATCH($B11,CONTRACT_ID,0)+5)),"")</f>
        <v/>
      </c>
      <c r="G11" s="26">
        <f>IFERROR(IF(INDEX('DMIC List - master'!$P:$P,MATCH($B11,CONTRACT_ID,0)+5)="","",INDEX('DMIC List - master'!$P:$P,MATCH($B11,CONTRACT_ID,0)+5)),"")</f>
        <v/>
      </c>
      <c r="H11" s="26">
        <f>IFERROR(IF(INDEX('DMIC List - master'!$Q:$Q,MATCH($B11,CONTRACT_ID,0)+5)="","",INDEX('DMIC List - master'!$Q:$Q,MATCH($B11,CONTRACT_ID,0)+5)),"")</f>
        <v/>
      </c>
      <c r="I11" s="26">
        <f>IFERROR(IF(INDEX('DMIC List - master'!$U:$U,MATCH($B11,CONTRACT_ID,0)+5)="","",INDEX('DMIC List - master'!$U:$U,MATCH($B11,CONTRACT_ID,0)+5)),"")</f>
        <v/>
      </c>
      <c r="K11" s="26" t="n"/>
      <c r="L11" s="26" t="n"/>
      <c r="M11" s="26" t="n"/>
      <c r="N11" s="26" t="n"/>
      <c r="O11" s="26" t="n"/>
      <c r="P11" s="26" t="n"/>
      <c r="R11" s="26" t="n"/>
    </row>
    <row r="12">
      <c r="B12" s="23">
        <f>IF('DMIC List - master'!B12="","",'DMIC List - master'!B12)</f>
        <v/>
      </c>
      <c r="C12" s="23">
        <f>IFERROR(IF(INDEX('DMIC List - master'!$C:$C,MATCH($B12,CONTRACT_ID,0)+5)="","",INDEX('DMIC List - master'!$C:$C,MATCH($B12,CONTRACT_ID,0)+5)),"")</f>
        <v/>
      </c>
      <c r="D12" s="23">
        <f>IFERROR(IF(INDEX('DMIC List - master'!$D:$D,MATCH($B12,CONTRACT_ID,0)+5)="","",INDEX('DMIC List - master'!$D:$D,MATCH($B12,CONTRACT_ID,0)+5)),"")</f>
        <v/>
      </c>
      <c r="E12" s="23">
        <f>IFERROR(IF(INDEX('DMIC List - master'!$E:$E,MATCH($B12,CONTRACT_ID,0)+5)="","",INDEX('DMIC List - master'!$E:$E,MATCH($B12,CONTRACT_ID,0)+5)),"")</f>
        <v/>
      </c>
      <c r="G12" s="23">
        <f>IFERROR(IF(INDEX('DMIC List - master'!$P:$P,MATCH($B12,CONTRACT_ID,0)+5)="","",INDEX('DMIC List - master'!$P:$P,MATCH($B12,CONTRACT_ID,0)+5)),"")</f>
        <v/>
      </c>
      <c r="H12" s="23">
        <f>IFERROR(IF(INDEX('DMIC List - master'!$Q:$Q,MATCH($B12,CONTRACT_ID,0)+5)="","",INDEX('DMIC List - master'!$Q:$Q,MATCH($B12,CONTRACT_ID,0)+5)),"")</f>
        <v/>
      </c>
      <c r="I12" s="23">
        <f>IFERROR(IF(INDEX('DMIC List - master'!$U:$U,MATCH($B12,CONTRACT_ID,0)+5)="","",INDEX('DMIC List - master'!$U:$U,MATCH($B12,CONTRACT_ID,0)+5)),"")</f>
        <v/>
      </c>
      <c r="K12" s="23" t="n"/>
      <c r="L12" s="23" t="n"/>
      <c r="M12" s="23" t="n"/>
      <c r="N12" s="23" t="n"/>
      <c r="O12" s="23" t="n"/>
      <c r="P12" s="23" t="n"/>
      <c r="R12" s="23" t="n"/>
    </row>
    <row r="13">
      <c r="B13" s="26">
        <f>IF('DMIC List - master'!B13="","",'DMIC List - master'!B13)</f>
        <v/>
      </c>
      <c r="C13" s="26">
        <f>IFERROR(IF(INDEX('DMIC List - master'!$C:$C,MATCH($B13,CONTRACT_ID,0)+5)="","",INDEX('DMIC List - master'!$C:$C,MATCH($B13,CONTRACT_ID,0)+5)),"")</f>
        <v/>
      </c>
      <c r="D13" s="26">
        <f>IFERROR(IF(INDEX('DMIC List - master'!$D:$D,MATCH($B13,CONTRACT_ID,0)+5)="","",INDEX('DMIC List - master'!$D:$D,MATCH($B13,CONTRACT_ID,0)+5)),"")</f>
        <v/>
      </c>
      <c r="E13" s="26">
        <f>IFERROR(IF(INDEX('DMIC List - master'!$E:$E,MATCH($B13,CONTRACT_ID,0)+5)="","",INDEX('DMIC List - master'!$E:$E,MATCH($B13,CONTRACT_ID,0)+5)),"")</f>
        <v/>
      </c>
      <c r="G13" s="26">
        <f>IFERROR(IF(INDEX('DMIC List - master'!$P:$P,MATCH($B13,CONTRACT_ID,0)+5)="","",INDEX('DMIC List - master'!$P:$P,MATCH($B13,CONTRACT_ID,0)+5)),"")</f>
        <v/>
      </c>
      <c r="H13" s="26">
        <f>IFERROR(IF(INDEX('DMIC List - master'!$Q:$Q,MATCH($B13,CONTRACT_ID,0)+5)="","",INDEX('DMIC List - master'!$Q:$Q,MATCH($B13,CONTRACT_ID,0)+5)),"")</f>
        <v/>
      </c>
      <c r="I13" s="26">
        <f>IFERROR(IF(INDEX('DMIC List - master'!$U:$U,MATCH($B13,CONTRACT_ID,0)+5)="","",INDEX('DMIC List - master'!$U:$U,MATCH($B13,CONTRACT_ID,0)+5)),"")</f>
        <v/>
      </c>
      <c r="K13" s="26" t="n"/>
      <c r="L13" s="26" t="n"/>
      <c r="M13" s="26" t="n"/>
      <c r="N13" s="26" t="n"/>
      <c r="O13" s="26" t="n"/>
      <c r="P13" s="26" t="n"/>
      <c r="R13" s="26" t="n"/>
    </row>
    <row r="14">
      <c r="B14" s="23">
        <f>IF('DMIC List - master'!B14="","",'DMIC List - master'!B14)</f>
        <v/>
      </c>
      <c r="C14" s="23">
        <f>IFERROR(IF(INDEX('DMIC List - master'!$C:$C,MATCH($B14,CONTRACT_ID,0)+5)="","",INDEX('DMIC List - master'!$C:$C,MATCH($B14,CONTRACT_ID,0)+5)),"")</f>
        <v/>
      </c>
      <c r="D14" s="23">
        <f>IFERROR(IF(INDEX('DMIC List - master'!$D:$D,MATCH($B14,CONTRACT_ID,0)+5)="","",INDEX('DMIC List - master'!$D:$D,MATCH($B14,CONTRACT_ID,0)+5)),"")</f>
        <v/>
      </c>
      <c r="E14" s="23">
        <f>IFERROR(IF(INDEX('DMIC List - master'!$E:$E,MATCH($B14,CONTRACT_ID,0)+5)="","",INDEX('DMIC List - master'!$E:$E,MATCH($B14,CONTRACT_ID,0)+5)),"")</f>
        <v/>
      </c>
      <c r="G14" s="23">
        <f>IFERROR(IF(INDEX('DMIC List - master'!$P:$P,MATCH($B14,CONTRACT_ID,0)+5)="","",INDEX('DMIC List - master'!$P:$P,MATCH($B14,CONTRACT_ID,0)+5)),"")</f>
        <v/>
      </c>
      <c r="H14" s="23">
        <f>IFERROR(IF(INDEX('DMIC List - master'!$Q:$Q,MATCH($B14,CONTRACT_ID,0)+5)="","",INDEX('DMIC List - master'!$Q:$Q,MATCH($B14,CONTRACT_ID,0)+5)),"")</f>
        <v/>
      </c>
      <c r="I14" s="23">
        <f>IFERROR(IF(INDEX('DMIC List - master'!$U:$U,MATCH($B14,CONTRACT_ID,0)+5)="","",INDEX('DMIC List - master'!$U:$U,MATCH($B14,CONTRACT_ID,0)+5)),"")</f>
        <v/>
      </c>
      <c r="K14" s="23" t="n"/>
      <c r="L14" s="23" t="n"/>
      <c r="M14" s="23" t="n"/>
      <c r="N14" s="23" t="n"/>
      <c r="O14" s="23" t="n"/>
      <c r="P14" s="23" t="n"/>
      <c r="R14" s="23" t="n"/>
    </row>
    <row r="15">
      <c r="B15" s="26">
        <f>IF('DMIC List - master'!B15="","",'DMIC List - master'!B15)</f>
        <v/>
      </c>
      <c r="C15" s="26">
        <f>IFERROR(IF(INDEX('DMIC List - master'!$C:$C,MATCH($B15,CONTRACT_ID,0)+5)="","",INDEX('DMIC List - master'!$C:$C,MATCH($B15,CONTRACT_ID,0)+5)),"")</f>
        <v/>
      </c>
      <c r="D15" s="26">
        <f>IFERROR(IF(INDEX('DMIC List - master'!$D:$D,MATCH($B15,CONTRACT_ID,0)+5)="","",INDEX('DMIC List - master'!$D:$D,MATCH($B15,CONTRACT_ID,0)+5)),"")</f>
        <v/>
      </c>
      <c r="E15" s="26">
        <f>IFERROR(IF(INDEX('DMIC List - master'!$E:$E,MATCH($B15,CONTRACT_ID,0)+5)="","",INDEX('DMIC List - master'!$E:$E,MATCH($B15,CONTRACT_ID,0)+5)),"")</f>
        <v/>
      </c>
      <c r="G15" s="26">
        <f>IFERROR(IF(INDEX('DMIC List - master'!$P:$P,MATCH($B15,CONTRACT_ID,0)+5)="","",INDEX('DMIC List - master'!$P:$P,MATCH($B15,CONTRACT_ID,0)+5)),"")</f>
        <v/>
      </c>
      <c r="H15" s="26">
        <f>IFERROR(IF(INDEX('DMIC List - master'!$Q:$Q,MATCH($B15,CONTRACT_ID,0)+5)="","",INDEX('DMIC List - master'!$Q:$Q,MATCH($B15,CONTRACT_ID,0)+5)),"")</f>
        <v/>
      </c>
      <c r="I15" s="26">
        <f>IFERROR(IF(INDEX('DMIC List - master'!$U:$U,MATCH($B15,CONTRACT_ID,0)+5)="","",INDEX('DMIC List - master'!$U:$U,MATCH($B15,CONTRACT_ID,0)+5)),"")</f>
        <v/>
      </c>
      <c r="K15" s="26" t="n"/>
      <c r="L15" s="26" t="n"/>
      <c r="M15" s="26" t="n"/>
      <c r="N15" s="26" t="n"/>
      <c r="O15" s="26" t="n"/>
      <c r="P15" s="26" t="n"/>
      <c r="R15" s="26" t="n"/>
    </row>
    <row r="16">
      <c r="B16" s="23">
        <f>IF('DMIC List - master'!B16="","",'DMIC List - master'!B16)</f>
        <v/>
      </c>
      <c r="C16" s="23">
        <f>IFERROR(IF(INDEX('DMIC List - master'!$C:$C,MATCH($B16,CONTRACT_ID,0)+5)="","",INDEX('DMIC List - master'!$C:$C,MATCH($B16,CONTRACT_ID,0)+5)),"")</f>
        <v/>
      </c>
      <c r="D16" s="23">
        <f>IFERROR(IF(INDEX('DMIC List - master'!$D:$D,MATCH($B16,CONTRACT_ID,0)+5)="","",INDEX('DMIC List - master'!$D:$D,MATCH($B16,CONTRACT_ID,0)+5)),"")</f>
        <v/>
      </c>
      <c r="E16" s="23">
        <f>IFERROR(IF(INDEX('DMIC List - master'!$E:$E,MATCH($B16,CONTRACT_ID,0)+5)="","",INDEX('DMIC List - master'!$E:$E,MATCH($B16,CONTRACT_ID,0)+5)),"")</f>
        <v/>
      </c>
      <c r="G16" s="23">
        <f>IFERROR(IF(INDEX('DMIC List - master'!$P:$P,MATCH($B16,CONTRACT_ID,0)+5)="","",INDEX('DMIC List - master'!$P:$P,MATCH($B16,CONTRACT_ID,0)+5)),"")</f>
        <v/>
      </c>
      <c r="H16" s="23">
        <f>IFERROR(IF(INDEX('DMIC List - master'!$Q:$Q,MATCH($B16,CONTRACT_ID,0)+5)="","",INDEX('DMIC List - master'!$Q:$Q,MATCH($B16,CONTRACT_ID,0)+5)),"")</f>
        <v/>
      </c>
      <c r="I16" s="23">
        <f>IFERROR(IF(INDEX('DMIC List - master'!$U:$U,MATCH($B16,CONTRACT_ID,0)+5)="","",INDEX('DMIC List - master'!$U:$U,MATCH($B16,CONTRACT_ID,0)+5)),"")</f>
        <v/>
      </c>
      <c r="K16" s="23" t="n"/>
      <c r="L16" s="23" t="n"/>
      <c r="M16" s="23" t="n"/>
      <c r="N16" s="23" t="n"/>
      <c r="O16" s="23" t="n"/>
      <c r="P16" s="23" t="n"/>
      <c r="R16" s="23" t="n"/>
    </row>
    <row r="17">
      <c r="B17" s="26">
        <f>IF('DMIC List - master'!B17="","",'DMIC List - master'!B17)</f>
        <v/>
      </c>
      <c r="C17" s="26">
        <f>IFERROR(IF(INDEX('DMIC List - master'!$C:$C,MATCH($B17,CONTRACT_ID,0)+5)="","",INDEX('DMIC List - master'!$C:$C,MATCH($B17,CONTRACT_ID,0)+5)),"")</f>
        <v/>
      </c>
      <c r="D17" s="26">
        <f>IFERROR(IF(INDEX('DMIC List - master'!$D:$D,MATCH($B17,CONTRACT_ID,0)+5)="","",INDEX('DMIC List - master'!$D:$D,MATCH($B17,CONTRACT_ID,0)+5)),"")</f>
        <v/>
      </c>
      <c r="E17" s="26">
        <f>IFERROR(IF(INDEX('DMIC List - master'!$E:$E,MATCH($B17,CONTRACT_ID,0)+5)="","",INDEX('DMIC List - master'!$E:$E,MATCH($B17,CONTRACT_ID,0)+5)),"")</f>
        <v/>
      </c>
      <c r="G17" s="26">
        <f>IFERROR(IF(INDEX('DMIC List - master'!$P:$P,MATCH($B17,CONTRACT_ID,0)+5)="","",INDEX('DMIC List - master'!$P:$P,MATCH($B17,CONTRACT_ID,0)+5)),"")</f>
        <v/>
      </c>
      <c r="H17" s="26">
        <f>IFERROR(IF(INDEX('DMIC List - master'!$Q:$Q,MATCH($B17,CONTRACT_ID,0)+5)="","",INDEX('DMIC List - master'!$Q:$Q,MATCH($B17,CONTRACT_ID,0)+5)),"")</f>
        <v/>
      </c>
      <c r="I17" s="26">
        <f>IFERROR(IF(INDEX('DMIC List - master'!$U:$U,MATCH($B17,CONTRACT_ID,0)+5)="","",INDEX('DMIC List - master'!$U:$U,MATCH($B17,CONTRACT_ID,0)+5)),"")</f>
        <v/>
      </c>
      <c r="K17" s="26" t="n"/>
      <c r="L17" s="26" t="n"/>
      <c r="M17" s="26" t="n"/>
      <c r="N17" s="26" t="n"/>
      <c r="O17" s="26" t="n"/>
      <c r="P17" s="26" t="n"/>
      <c r="R17" s="26" t="n"/>
    </row>
    <row r="18">
      <c r="B18" s="23">
        <f>IF('DMIC List - master'!B18="","",'DMIC List - master'!B18)</f>
        <v/>
      </c>
      <c r="C18" s="23">
        <f>IFERROR(IF(INDEX('DMIC List - master'!$C:$C,MATCH($B18,CONTRACT_ID,0)+5)="","",INDEX('DMIC List - master'!$C:$C,MATCH($B18,CONTRACT_ID,0)+5)),"")</f>
        <v/>
      </c>
      <c r="D18" s="23">
        <f>IFERROR(IF(INDEX('DMIC List - master'!$D:$D,MATCH($B18,CONTRACT_ID,0)+5)="","",INDEX('DMIC List - master'!$D:$D,MATCH($B18,CONTRACT_ID,0)+5)),"")</f>
        <v/>
      </c>
      <c r="E18" s="23">
        <f>IFERROR(IF(INDEX('DMIC List - master'!$E:$E,MATCH($B18,CONTRACT_ID,0)+5)="","",INDEX('DMIC List - master'!$E:$E,MATCH($B18,CONTRACT_ID,0)+5)),"")</f>
        <v/>
      </c>
      <c r="G18" s="23">
        <f>IFERROR(IF(INDEX('DMIC List - master'!$P:$P,MATCH($B18,CONTRACT_ID,0)+5)="","",INDEX('DMIC List - master'!$P:$P,MATCH($B18,CONTRACT_ID,0)+5)),"")</f>
        <v/>
      </c>
      <c r="H18" s="23">
        <f>IFERROR(IF(INDEX('DMIC List - master'!$Q:$Q,MATCH($B18,CONTRACT_ID,0)+5)="","",INDEX('DMIC List - master'!$Q:$Q,MATCH($B18,CONTRACT_ID,0)+5)),"")</f>
        <v/>
      </c>
      <c r="I18" s="23">
        <f>IFERROR(IF(INDEX('DMIC List - master'!$U:$U,MATCH($B18,CONTRACT_ID,0)+5)="","",INDEX('DMIC List - master'!$U:$U,MATCH($B18,CONTRACT_ID,0)+5)),"")</f>
        <v/>
      </c>
      <c r="K18" s="23" t="n"/>
      <c r="L18" s="23" t="n"/>
      <c r="M18" s="23" t="n"/>
      <c r="N18" s="23" t="n"/>
      <c r="O18" s="23" t="n"/>
      <c r="P18" s="23" t="n"/>
      <c r="R18" s="23" t="n"/>
    </row>
    <row r="19">
      <c r="B19" s="26">
        <f>IF('DMIC List - master'!B19="","",'DMIC List - master'!B19)</f>
        <v/>
      </c>
      <c r="C19" s="26">
        <f>IFERROR(IF(INDEX('DMIC List - master'!$C:$C,MATCH($B19,CONTRACT_ID,0)+5)="","",INDEX('DMIC List - master'!$C:$C,MATCH($B19,CONTRACT_ID,0)+5)),"")</f>
        <v/>
      </c>
      <c r="D19" s="26">
        <f>IFERROR(IF(INDEX('DMIC List - master'!$D:$D,MATCH($B19,CONTRACT_ID,0)+5)="","",INDEX('DMIC List - master'!$D:$D,MATCH($B19,CONTRACT_ID,0)+5)),"")</f>
        <v/>
      </c>
      <c r="E19" s="26">
        <f>IFERROR(IF(INDEX('DMIC List - master'!$E:$E,MATCH($B19,CONTRACT_ID,0)+5)="","",INDEX('DMIC List - master'!$E:$E,MATCH($B19,CONTRACT_ID,0)+5)),"")</f>
        <v/>
      </c>
      <c r="G19" s="26">
        <f>IFERROR(IF(INDEX('DMIC List - master'!$P:$P,MATCH($B19,CONTRACT_ID,0)+5)="","",INDEX('DMIC List - master'!$P:$P,MATCH($B19,CONTRACT_ID,0)+5)),"")</f>
        <v/>
      </c>
      <c r="H19" s="26">
        <f>IFERROR(IF(INDEX('DMIC List - master'!$Q:$Q,MATCH($B19,CONTRACT_ID,0)+5)="","",INDEX('DMIC List - master'!$Q:$Q,MATCH($B19,CONTRACT_ID,0)+5)),"")</f>
        <v/>
      </c>
      <c r="I19" s="26">
        <f>IFERROR(IF(INDEX('DMIC List - master'!$U:$U,MATCH($B19,CONTRACT_ID,0)+5)="","",INDEX('DMIC List - master'!$U:$U,MATCH($B19,CONTRACT_ID,0)+5)),"")</f>
        <v/>
      </c>
      <c r="K19" s="26" t="n"/>
      <c r="L19" s="26" t="n"/>
      <c r="M19" s="26" t="n"/>
      <c r="N19" s="26" t="n"/>
      <c r="O19" s="26" t="n"/>
      <c r="P19" s="26" t="n"/>
      <c r="R19" s="26" t="n"/>
    </row>
    <row r="20">
      <c r="B20" s="23">
        <f>IF('DMIC List - master'!B20="","",'DMIC List - master'!B20)</f>
        <v/>
      </c>
      <c r="C20" s="23">
        <f>IFERROR(IF(INDEX('DMIC List - master'!$C:$C,MATCH($B20,CONTRACT_ID,0)+5)="","",INDEX('DMIC List - master'!$C:$C,MATCH($B20,CONTRACT_ID,0)+5)),"")</f>
        <v/>
      </c>
      <c r="D20" s="23">
        <f>IFERROR(IF(INDEX('DMIC List - master'!$D:$D,MATCH($B20,CONTRACT_ID,0)+5)="","",INDEX('DMIC List - master'!$D:$D,MATCH($B20,CONTRACT_ID,0)+5)),"")</f>
        <v/>
      </c>
      <c r="E20" s="23">
        <f>IFERROR(IF(INDEX('DMIC List - master'!$E:$E,MATCH($B20,CONTRACT_ID,0)+5)="","",INDEX('DMIC List - master'!$E:$E,MATCH($B20,CONTRACT_ID,0)+5)),"")</f>
        <v/>
      </c>
      <c r="G20" s="23">
        <f>IFERROR(IF(INDEX('DMIC List - master'!$P:$P,MATCH($B20,CONTRACT_ID,0)+5)="","",INDEX('DMIC List - master'!$P:$P,MATCH($B20,CONTRACT_ID,0)+5)),"")</f>
        <v/>
      </c>
      <c r="H20" s="23">
        <f>IFERROR(IF(INDEX('DMIC List - master'!$Q:$Q,MATCH($B20,CONTRACT_ID,0)+5)="","",INDEX('DMIC List - master'!$Q:$Q,MATCH($B20,CONTRACT_ID,0)+5)),"")</f>
        <v/>
      </c>
      <c r="I20" s="23">
        <f>IFERROR(IF(INDEX('DMIC List - master'!$U:$U,MATCH($B20,CONTRACT_ID,0)+5)="","",INDEX('DMIC List - master'!$U:$U,MATCH($B20,CONTRACT_ID,0)+5)),"")</f>
        <v/>
      </c>
      <c r="K20" s="23" t="n"/>
      <c r="L20" s="23" t="n"/>
      <c r="M20" s="23" t="n"/>
      <c r="N20" s="23" t="n"/>
      <c r="O20" s="23" t="n"/>
      <c r="P20" s="23" t="n"/>
      <c r="R20" s="23" t="n"/>
    </row>
    <row r="21">
      <c r="B21" s="26">
        <f>IF('DMIC List - master'!B21="","",'DMIC List - master'!B21)</f>
        <v/>
      </c>
      <c r="C21" s="26">
        <f>IFERROR(IF(INDEX('DMIC List - master'!$C:$C,MATCH($B21,CONTRACT_ID,0)+5)="","",INDEX('DMIC List - master'!$C:$C,MATCH($B21,CONTRACT_ID,0)+5)),"")</f>
        <v/>
      </c>
      <c r="D21" s="26">
        <f>IFERROR(IF(INDEX('DMIC List - master'!$D:$D,MATCH($B21,CONTRACT_ID,0)+5)="","",INDEX('DMIC List - master'!$D:$D,MATCH($B21,CONTRACT_ID,0)+5)),"")</f>
        <v/>
      </c>
      <c r="E21" s="26">
        <f>IFERROR(IF(INDEX('DMIC List - master'!$E:$E,MATCH($B21,CONTRACT_ID,0)+5)="","",INDEX('DMIC List - master'!$E:$E,MATCH($B21,CONTRACT_ID,0)+5)),"")</f>
        <v/>
      </c>
      <c r="G21" s="26">
        <f>IFERROR(IF(INDEX('DMIC List - master'!$P:$P,MATCH($B21,CONTRACT_ID,0)+5)="","",INDEX('DMIC List - master'!$P:$P,MATCH($B21,CONTRACT_ID,0)+5)),"")</f>
        <v/>
      </c>
      <c r="H21" s="26">
        <f>IFERROR(IF(INDEX('DMIC List - master'!$Q:$Q,MATCH($B21,CONTRACT_ID,0)+5)="","",INDEX('DMIC List - master'!$Q:$Q,MATCH($B21,CONTRACT_ID,0)+5)),"")</f>
        <v/>
      </c>
      <c r="I21" s="26">
        <f>IFERROR(IF(INDEX('DMIC List - master'!$U:$U,MATCH($B21,CONTRACT_ID,0)+5)="","",INDEX('DMIC List - master'!$U:$U,MATCH($B21,CONTRACT_ID,0)+5)),"")</f>
        <v/>
      </c>
      <c r="K21" s="26" t="n"/>
      <c r="L21" s="26" t="n"/>
      <c r="M21" s="26" t="n"/>
      <c r="N21" s="26" t="n"/>
      <c r="O21" s="26" t="n"/>
      <c r="P21" s="26" t="n"/>
      <c r="R21" s="26" t="n"/>
    </row>
    <row r="22">
      <c r="B22" s="23">
        <f>IF('DMIC List - master'!B22="","",'DMIC List - master'!B22)</f>
        <v/>
      </c>
      <c r="C22" s="23">
        <f>IFERROR(IF(INDEX('DMIC List - master'!$C:$C,MATCH($B22,CONTRACT_ID,0)+5)="","",INDEX('DMIC List - master'!$C:$C,MATCH($B22,CONTRACT_ID,0)+5)),"")</f>
        <v/>
      </c>
      <c r="D22" s="23">
        <f>IFERROR(IF(INDEX('DMIC List - master'!$D:$D,MATCH($B22,CONTRACT_ID,0)+5)="","",INDEX('DMIC List - master'!$D:$D,MATCH($B22,CONTRACT_ID,0)+5)),"")</f>
        <v/>
      </c>
      <c r="E22" s="23">
        <f>IFERROR(IF(INDEX('DMIC List - master'!$E:$E,MATCH($B22,CONTRACT_ID,0)+5)="","",INDEX('DMIC List - master'!$E:$E,MATCH($B22,CONTRACT_ID,0)+5)),"")</f>
        <v/>
      </c>
      <c r="G22" s="23">
        <f>IFERROR(IF(INDEX('DMIC List - master'!$P:$P,MATCH($B22,CONTRACT_ID,0)+5)="","",INDEX('DMIC List - master'!$P:$P,MATCH($B22,CONTRACT_ID,0)+5)),"")</f>
        <v/>
      </c>
      <c r="H22" s="23">
        <f>IFERROR(IF(INDEX('DMIC List - master'!$Q:$Q,MATCH($B22,CONTRACT_ID,0)+5)="","",INDEX('DMIC List - master'!$Q:$Q,MATCH($B22,CONTRACT_ID,0)+5)),"")</f>
        <v/>
      </c>
      <c r="I22" s="23">
        <f>IFERROR(IF(INDEX('DMIC List - master'!$U:$U,MATCH($B22,CONTRACT_ID,0)+5)="","",INDEX('DMIC List - master'!$U:$U,MATCH($B22,CONTRACT_ID,0)+5)),"")</f>
        <v/>
      </c>
      <c r="K22" s="23" t="n"/>
      <c r="L22" s="23" t="n"/>
      <c r="M22" s="23" t="n"/>
      <c r="N22" s="23" t="n"/>
      <c r="O22" s="23" t="n"/>
      <c r="P22" s="23" t="n"/>
      <c r="R22" s="23" t="n"/>
    </row>
    <row r="23">
      <c r="B23" s="26">
        <f>IF('DMIC List - master'!B23="","",'DMIC List - master'!B23)</f>
        <v/>
      </c>
      <c r="C23" s="26">
        <f>IFERROR(IF(INDEX('DMIC List - master'!$C:$C,MATCH($B23,CONTRACT_ID,0)+5)="","",INDEX('DMIC List - master'!$C:$C,MATCH($B23,CONTRACT_ID,0)+5)),"")</f>
        <v/>
      </c>
      <c r="D23" s="26">
        <f>IFERROR(IF(INDEX('DMIC List - master'!$D:$D,MATCH($B23,CONTRACT_ID,0)+5)="","",INDEX('DMIC List - master'!$D:$D,MATCH($B23,CONTRACT_ID,0)+5)),"")</f>
        <v/>
      </c>
      <c r="E23" s="26">
        <f>IFERROR(IF(INDEX('DMIC List - master'!$E:$E,MATCH($B23,CONTRACT_ID,0)+5)="","",INDEX('DMIC List - master'!$E:$E,MATCH($B23,CONTRACT_ID,0)+5)),"")</f>
        <v/>
      </c>
      <c r="G23" s="26">
        <f>IFERROR(IF(INDEX('DMIC List - master'!$P:$P,MATCH($B23,CONTRACT_ID,0)+5)="","",INDEX('DMIC List - master'!$P:$P,MATCH($B23,CONTRACT_ID,0)+5)),"")</f>
        <v/>
      </c>
      <c r="H23" s="26">
        <f>IFERROR(IF(INDEX('DMIC List - master'!$Q:$Q,MATCH($B23,CONTRACT_ID,0)+5)="","",INDEX('DMIC List - master'!$Q:$Q,MATCH($B23,CONTRACT_ID,0)+5)),"")</f>
        <v/>
      </c>
      <c r="I23" s="26">
        <f>IFERROR(IF(INDEX('DMIC List - master'!$U:$U,MATCH($B23,CONTRACT_ID,0)+5)="","",INDEX('DMIC List - master'!$U:$U,MATCH($B23,CONTRACT_ID,0)+5)),"")</f>
        <v/>
      </c>
      <c r="K23" s="26" t="n"/>
      <c r="L23" s="26" t="n"/>
      <c r="M23" s="26" t="n"/>
      <c r="N23" s="26" t="n"/>
      <c r="O23" s="26" t="n"/>
      <c r="P23" s="26" t="n"/>
      <c r="R23" s="26" t="n"/>
    </row>
    <row r="24">
      <c r="B24" s="23">
        <f>IF('DMIC List - master'!B24="","",'DMIC List - master'!B24)</f>
        <v/>
      </c>
      <c r="C24" s="23">
        <f>IFERROR(IF(INDEX('DMIC List - master'!$C:$C,MATCH($B24,CONTRACT_ID,0)+5)="","",INDEX('DMIC List - master'!$C:$C,MATCH($B24,CONTRACT_ID,0)+5)),"")</f>
        <v/>
      </c>
      <c r="D24" s="23">
        <f>IFERROR(IF(INDEX('DMIC List - master'!$D:$D,MATCH($B24,CONTRACT_ID,0)+5)="","",INDEX('DMIC List - master'!$D:$D,MATCH($B24,CONTRACT_ID,0)+5)),"")</f>
        <v/>
      </c>
      <c r="E24" s="23">
        <f>IFERROR(IF(INDEX('DMIC List - master'!$E:$E,MATCH($B24,CONTRACT_ID,0)+5)="","",INDEX('DMIC List - master'!$E:$E,MATCH($B24,CONTRACT_ID,0)+5)),"")</f>
        <v/>
      </c>
      <c r="G24" s="23">
        <f>IFERROR(IF(INDEX('DMIC List - master'!$P:$P,MATCH($B24,CONTRACT_ID,0)+5)="","",INDEX('DMIC List - master'!$P:$P,MATCH($B24,CONTRACT_ID,0)+5)),"")</f>
        <v/>
      </c>
      <c r="H24" s="23">
        <f>IFERROR(IF(INDEX('DMIC List - master'!$Q:$Q,MATCH($B24,CONTRACT_ID,0)+5)="","",INDEX('DMIC List - master'!$Q:$Q,MATCH($B24,CONTRACT_ID,0)+5)),"")</f>
        <v/>
      </c>
      <c r="I24" s="23">
        <f>IFERROR(IF(INDEX('DMIC List - master'!$U:$U,MATCH($B24,CONTRACT_ID,0)+5)="","",INDEX('DMIC List - master'!$U:$U,MATCH($B24,CONTRACT_ID,0)+5)),"")</f>
        <v/>
      </c>
      <c r="K24" s="23" t="n"/>
      <c r="L24" s="23" t="n"/>
      <c r="M24" s="23" t="n"/>
      <c r="N24" s="23" t="n"/>
      <c r="O24" s="23" t="n"/>
      <c r="P24" s="23" t="n"/>
      <c r="R24" s="23" t="n"/>
    </row>
    <row r="25">
      <c r="B25" s="26">
        <f>IF('DMIC List - master'!B25="","",'DMIC List - master'!B25)</f>
        <v/>
      </c>
      <c r="C25" s="26">
        <f>IFERROR(IF(INDEX('DMIC List - master'!$C:$C,MATCH($B25,CONTRACT_ID,0)+5)="","",INDEX('DMIC List - master'!$C:$C,MATCH($B25,CONTRACT_ID,0)+5)),"")</f>
        <v/>
      </c>
      <c r="D25" s="26">
        <f>IFERROR(IF(INDEX('DMIC List - master'!$D:$D,MATCH($B25,CONTRACT_ID,0)+5)="","",INDEX('DMIC List - master'!$D:$D,MATCH($B25,CONTRACT_ID,0)+5)),"")</f>
        <v/>
      </c>
      <c r="E25" s="26">
        <f>IFERROR(IF(INDEX('DMIC List - master'!$E:$E,MATCH($B25,CONTRACT_ID,0)+5)="","",INDEX('DMIC List - master'!$E:$E,MATCH($B25,CONTRACT_ID,0)+5)),"")</f>
        <v/>
      </c>
      <c r="G25" s="26">
        <f>IFERROR(IF(INDEX('DMIC List - master'!$P:$P,MATCH($B25,CONTRACT_ID,0)+5)="","",INDEX('DMIC List - master'!$P:$P,MATCH($B25,CONTRACT_ID,0)+5)),"")</f>
        <v/>
      </c>
      <c r="H25" s="26">
        <f>IFERROR(IF(INDEX('DMIC List - master'!$Q:$Q,MATCH($B25,CONTRACT_ID,0)+5)="","",INDEX('DMIC List - master'!$Q:$Q,MATCH($B25,CONTRACT_ID,0)+5)),"")</f>
        <v/>
      </c>
      <c r="I25" s="26">
        <f>IFERROR(IF(INDEX('DMIC List - master'!$U:$U,MATCH($B25,CONTRACT_ID,0)+5)="","",INDEX('DMIC List - master'!$U:$U,MATCH($B25,CONTRACT_ID,0)+5)),"")</f>
        <v/>
      </c>
      <c r="K25" s="26" t="n"/>
      <c r="L25" s="26" t="n"/>
      <c r="M25" s="26" t="n"/>
      <c r="N25" s="26" t="n"/>
      <c r="O25" s="26" t="n"/>
      <c r="P25" s="26" t="n"/>
      <c r="R25" s="26" t="n"/>
    </row>
    <row r="26">
      <c r="B26" s="23">
        <f>IF('DMIC List - master'!B26="","",'DMIC List - master'!B26)</f>
        <v/>
      </c>
      <c r="C26" s="23">
        <f>IFERROR(IF(INDEX('DMIC List - master'!$C:$C,MATCH($B26,CONTRACT_ID,0)+5)="","",INDEX('DMIC List - master'!$C:$C,MATCH($B26,CONTRACT_ID,0)+5)),"")</f>
        <v/>
      </c>
      <c r="D26" s="23">
        <f>IFERROR(IF(INDEX('DMIC List - master'!$D:$D,MATCH($B26,CONTRACT_ID,0)+5)="","",INDEX('DMIC List - master'!$D:$D,MATCH($B26,CONTRACT_ID,0)+5)),"")</f>
        <v/>
      </c>
      <c r="E26" s="23">
        <f>IFERROR(IF(INDEX('DMIC List - master'!$E:$E,MATCH($B26,CONTRACT_ID,0)+5)="","",INDEX('DMIC List - master'!$E:$E,MATCH($B26,CONTRACT_ID,0)+5)),"")</f>
        <v/>
      </c>
      <c r="G26" s="23">
        <f>IFERROR(IF(INDEX('DMIC List - master'!$P:$P,MATCH($B26,CONTRACT_ID,0)+5)="","",INDEX('DMIC List - master'!$P:$P,MATCH($B26,CONTRACT_ID,0)+5)),"")</f>
        <v/>
      </c>
      <c r="H26" s="23">
        <f>IFERROR(IF(INDEX('DMIC List - master'!$Q:$Q,MATCH($B26,CONTRACT_ID,0)+5)="","",INDEX('DMIC List - master'!$Q:$Q,MATCH($B26,CONTRACT_ID,0)+5)),"")</f>
        <v/>
      </c>
      <c r="I26" s="23">
        <f>IFERROR(IF(INDEX('DMIC List - master'!$U:$U,MATCH($B26,CONTRACT_ID,0)+5)="","",INDEX('DMIC List - master'!$U:$U,MATCH($B26,CONTRACT_ID,0)+5)),"")</f>
        <v/>
      </c>
      <c r="K26" s="23" t="n"/>
      <c r="L26" s="23" t="n"/>
      <c r="M26" s="23" t="n"/>
      <c r="N26" s="23" t="n"/>
      <c r="O26" s="23" t="n"/>
      <c r="P26" s="23" t="n"/>
      <c r="R26" s="23" t="n"/>
    </row>
    <row r="27">
      <c r="B27" s="26">
        <f>IF('DMIC List - master'!B27="","",'DMIC List - master'!B27)</f>
        <v/>
      </c>
      <c r="C27" s="26">
        <f>IFERROR(IF(INDEX('DMIC List - master'!$C:$C,MATCH($B27,CONTRACT_ID,0)+5)="","",INDEX('DMIC List - master'!$C:$C,MATCH($B27,CONTRACT_ID,0)+5)),"")</f>
        <v/>
      </c>
      <c r="D27" s="26">
        <f>IFERROR(IF(INDEX('DMIC List - master'!$D:$D,MATCH($B27,CONTRACT_ID,0)+5)="","",INDEX('DMIC List - master'!$D:$D,MATCH($B27,CONTRACT_ID,0)+5)),"")</f>
        <v/>
      </c>
      <c r="E27" s="26">
        <f>IFERROR(IF(INDEX('DMIC List - master'!$E:$E,MATCH($B27,CONTRACT_ID,0)+5)="","",INDEX('DMIC List - master'!$E:$E,MATCH($B27,CONTRACT_ID,0)+5)),"")</f>
        <v/>
      </c>
      <c r="G27" s="26">
        <f>IFERROR(IF(INDEX('DMIC List - master'!$P:$P,MATCH($B27,CONTRACT_ID,0)+5)="","",INDEX('DMIC List - master'!$P:$P,MATCH($B27,CONTRACT_ID,0)+5)),"")</f>
        <v/>
      </c>
      <c r="H27" s="26">
        <f>IFERROR(IF(INDEX('DMIC List - master'!$Q:$Q,MATCH($B27,CONTRACT_ID,0)+5)="","",INDEX('DMIC List - master'!$Q:$Q,MATCH($B27,CONTRACT_ID,0)+5)),"")</f>
        <v/>
      </c>
      <c r="I27" s="26">
        <f>IFERROR(IF(INDEX('DMIC List - master'!$U:$U,MATCH($B27,CONTRACT_ID,0)+5)="","",INDEX('DMIC List - master'!$U:$U,MATCH($B27,CONTRACT_ID,0)+5)),"")</f>
        <v/>
      </c>
      <c r="K27" s="26" t="n"/>
      <c r="L27" s="26" t="n"/>
      <c r="M27" s="26" t="n"/>
      <c r="N27" s="26" t="n"/>
      <c r="O27" s="26" t="n"/>
      <c r="P27" s="26" t="n"/>
      <c r="R27" s="26" t="n"/>
    </row>
    <row r="28">
      <c r="B28" s="23">
        <f>IF('DMIC List - master'!B28="","",'DMIC List - master'!B28)</f>
        <v/>
      </c>
      <c r="C28" s="23">
        <f>IFERROR(IF(INDEX('DMIC List - master'!$C:$C,MATCH($B28,CONTRACT_ID,0)+5)="","",INDEX('DMIC List - master'!$C:$C,MATCH($B28,CONTRACT_ID,0)+5)),"")</f>
        <v/>
      </c>
      <c r="D28" s="23">
        <f>IFERROR(IF(INDEX('DMIC List - master'!$D:$D,MATCH($B28,CONTRACT_ID,0)+5)="","",INDEX('DMIC List - master'!$D:$D,MATCH($B28,CONTRACT_ID,0)+5)),"")</f>
        <v/>
      </c>
      <c r="E28" s="23">
        <f>IFERROR(IF(INDEX('DMIC List - master'!$E:$E,MATCH($B28,CONTRACT_ID,0)+5)="","",INDEX('DMIC List - master'!$E:$E,MATCH($B28,CONTRACT_ID,0)+5)),"")</f>
        <v/>
      </c>
      <c r="G28" s="23">
        <f>IFERROR(IF(INDEX('DMIC List - master'!$P:$P,MATCH($B28,CONTRACT_ID,0)+5)="","",INDEX('DMIC List - master'!$P:$P,MATCH($B28,CONTRACT_ID,0)+5)),"")</f>
        <v/>
      </c>
      <c r="H28" s="23">
        <f>IFERROR(IF(INDEX('DMIC List - master'!$Q:$Q,MATCH($B28,CONTRACT_ID,0)+5)="","",INDEX('DMIC List - master'!$Q:$Q,MATCH($B28,CONTRACT_ID,0)+5)),"")</f>
        <v/>
      </c>
      <c r="I28" s="23">
        <f>IFERROR(IF(INDEX('DMIC List - master'!$U:$U,MATCH($B28,CONTRACT_ID,0)+5)="","",INDEX('DMIC List - master'!$U:$U,MATCH($B28,CONTRACT_ID,0)+5)),"")</f>
        <v/>
      </c>
      <c r="K28" s="23" t="n"/>
      <c r="L28" s="23" t="n"/>
      <c r="M28" s="23" t="n"/>
      <c r="N28" s="23" t="n"/>
      <c r="O28" s="23" t="n"/>
      <c r="P28" s="23" t="n"/>
      <c r="R28" s="23" t="n"/>
    </row>
    <row r="29">
      <c r="B29" s="26">
        <f>IF('DMIC List - master'!B29="","",'DMIC List - master'!B29)</f>
        <v/>
      </c>
      <c r="C29" s="26">
        <f>IFERROR(IF(INDEX('DMIC List - master'!$C:$C,MATCH($B29,CONTRACT_ID,0)+5)="","",INDEX('DMIC List - master'!$C:$C,MATCH($B29,CONTRACT_ID,0)+5)),"")</f>
        <v/>
      </c>
      <c r="D29" s="26">
        <f>IFERROR(IF(INDEX('DMIC List - master'!$D:$D,MATCH($B29,CONTRACT_ID,0)+5)="","",INDEX('DMIC List - master'!$D:$D,MATCH($B29,CONTRACT_ID,0)+5)),"")</f>
        <v/>
      </c>
      <c r="E29" s="26">
        <f>IFERROR(IF(INDEX('DMIC List - master'!$E:$E,MATCH($B29,CONTRACT_ID,0)+5)="","",INDEX('DMIC List - master'!$E:$E,MATCH($B29,CONTRACT_ID,0)+5)),"")</f>
        <v/>
      </c>
      <c r="G29" s="26">
        <f>IFERROR(IF(INDEX('DMIC List - master'!$P:$P,MATCH($B29,CONTRACT_ID,0)+5)="","",INDEX('DMIC List - master'!$P:$P,MATCH($B29,CONTRACT_ID,0)+5)),"")</f>
        <v/>
      </c>
      <c r="H29" s="26">
        <f>IFERROR(IF(INDEX('DMIC List - master'!$Q:$Q,MATCH($B29,CONTRACT_ID,0)+5)="","",INDEX('DMIC List - master'!$Q:$Q,MATCH($B29,CONTRACT_ID,0)+5)),"")</f>
        <v/>
      </c>
      <c r="I29" s="26">
        <f>IFERROR(IF(INDEX('DMIC List - master'!$U:$U,MATCH($B29,CONTRACT_ID,0)+5)="","",INDEX('DMIC List - master'!$U:$U,MATCH($B29,CONTRACT_ID,0)+5)),"")</f>
        <v/>
      </c>
      <c r="K29" s="26" t="n"/>
      <c r="L29" s="26" t="n"/>
      <c r="M29" s="26" t="n"/>
      <c r="N29" s="26" t="n"/>
      <c r="O29" s="26" t="n"/>
      <c r="P29" s="26" t="n"/>
      <c r="R29" s="26" t="n"/>
    </row>
    <row r="30">
      <c r="B30" s="23">
        <f>IF('DMIC List - master'!B30="","",'DMIC List - master'!B30)</f>
        <v/>
      </c>
      <c r="C30" s="23">
        <f>IFERROR(IF(INDEX('DMIC List - master'!$C:$C,MATCH($B30,CONTRACT_ID,0)+5)="","",INDEX('DMIC List - master'!$C:$C,MATCH($B30,CONTRACT_ID,0)+5)),"")</f>
        <v/>
      </c>
      <c r="D30" s="23">
        <f>IFERROR(IF(INDEX('DMIC List - master'!$D:$D,MATCH($B30,CONTRACT_ID,0)+5)="","",INDEX('DMIC List - master'!$D:$D,MATCH($B30,CONTRACT_ID,0)+5)),"")</f>
        <v/>
      </c>
      <c r="E30" s="23">
        <f>IFERROR(IF(INDEX('DMIC List - master'!$E:$E,MATCH($B30,CONTRACT_ID,0)+5)="","",INDEX('DMIC List - master'!$E:$E,MATCH($B30,CONTRACT_ID,0)+5)),"")</f>
        <v/>
      </c>
      <c r="G30" s="23">
        <f>IFERROR(IF(INDEX('DMIC List - master'!$P:$P,MATCH($B30,CONTRACT_ID,0)+5)="","",INDEX('DMIC List - master'!$P:$P,MATCH($B30,CONTRACT_ID,0)+5)),"")</f>
        <v/>
      </c>
      <c r="H30" s="23">
        <f>IFERROR(IF(INDEX('DMIC List - master'!$Q:$Q,MATCH($B30,CONTRACT_ID,0)+5)="","",INDEX('DMIC List - master'!$Q:$Q,MATCH($B30,CONTRACT_ID,0)+5)),"")</f>
        <v/>
      </c>
      <c r="I30" s="23">
        <f>IFERROR(IF(INDEX('DMIC List - master'!$U:$U,MATCH($B30,CONTRACT_ID,0)+5)="","",INDEX('DMIC List - master'!$U:$U,MATCH($B30,CONTRACT_ID,0)+5)),"")</f>
        <v/>
      </c>
      <c r="K30" s="23" t="n"/>
      <c r="L30" s="23" t="n"/>
      <c r="M30" s="23" t="n"/>
      <c r="N30" s="23" t="n"/>
      <c r="O30" s="23" t="n"/>
      <c r="P30" s="23" t="n"/>
      <c r="R30" s="23" t="n"/>
    </row>
    <row r="31">
      <c r="B31" s="26">
        <f>IF('DMIC List - master'!B31="","",'DMIC List - master'!B31)</f>
        <v/>
      </c>
      <c r="C31" s="26">
        <f>IFERROR(IF(INDEX('DMIC List - master'!$C:$C,MATCH($B31,CONTRACT_ID,0)+5)="","",INDEX('DMIC List - master'!$C:$C,MATCH($B31,CONTRACT_ID,0)+5)),"")</f>
        <v/>
      </c>
      <c r="D31" s="26">
        <f>IFERROR(IF(INDEX('DMIC List - master'!$D:$D,MATCH($B31,CONTRACT_ID,0)+5)="","",INDEX('DMIC List - master'!$D:$D,MATCH($B31,CONTRACT_ID,0)+5)),"")</f>
        <v/>
      </c>
      <c r="E31" s="26">
        <f>IFERROR(IF(INDEX('DMIC List - master'!$E:$E,MATCH($B31,CONTRACT_ID,0)+5)="","",INDEX('DMIC List - master'!$E:$E,MATCH($B31,CONTRACT_ID,0)+5)),"")</f>
        <v/>
      </c>
      <c r="G31" s="26">
        <f>IFERROR(IF(INDEX('DMIC List - master'!$P:$P,MATCH($B31,CONTRACT_ID,0)+5)="","",INDEX('DMIC List - master'!$P:$P,MATCH($B31,CONTRACT_ID,0)+5)),"")</f>
        <v/>
      </c>
      <c r="H31" s="26">
        <f>IFERROR(IF(INDEX('DMIC List - master'!$Q:$Q,MATCH($B31,CONTRACT_ID,0)+5)="","",INDEX('DMIC List - master'!$Q:$Q,MATCH($B31,CONTRACT_ID,0)+5)),"")</f>
        <v/>
      </c>
      <c r="I31" s="26">
        <f>IFERROR(IF(INDEX('DMIC List - master'!$U:$U,MATCH($B31,CONTRACT_ID,0)+5)="","",INDEX('DMIC List - master'!$U:$U,MATCH($B31,CONTRACT_ID,0)+5)),"")</f>
        <v/>
      </c>
      <c r="K31" s="26" t="n"/>
      <c r="L31" s="26" t="n"/>
      <c r="M31" s="26" t="n"/>
      <c r="N31" s="26" t="n"/>
      <c r="O31" s="26" t="n"/>
      <c r="P31" s="26" t="n"/>
      <c r="R31" s="26" t="n"/>
    </row>
    <row r="32">
      <c r="B32" s="23">
        <f>IF('DMIC List - master'!B32="","",'DMIC List - master'!B32)</f>
        <v/>
      </c>
      <c r="C32" s="23">
        <f>IFERROR(IF(INDEX('DMIC List - master'!$C:$C,MATCH($B32,CONTRACT_ID,0)+5)="","",INDEX('DMIC List - master'!$C:$C,MATCH($B32,CONTRACT_ID,0)+5)),"")</f>
        <v/>
      </c>
      <c r="D32" s="23">
        <f>IFERROR(IF(INDEX('DMIC List - master'!$D:$D,MATCH($B32,CONTRACT_ID,0)+5)="","",INDEX('DMIC List - master'!$D:$D,MATCH($B32,CONTRACT_ID,0)+5)),"")</f>
        <v/>
      </c>
      <c r="E32" s="23">
        <f>IFERROR(IF(INDEX('DMIC List - master'!$E:$E,MATCH($B32,CONTRACT_ID,0)+5)="","",INDEX('DMIC List - master'!$E:$E,MATCH($B32,CONTRACT_ID,0)+5)),"")</f>
        <v/>
      </c>
      <c r="G32" s="23">
        <f>IFERROR(IF(INDEX('DMIC List - master'!$P:$P,MATCH($B32,CONTRACT_ID,0)+5)="","",INDEX('DMIC List - master'!$P:$P,MATCH($B32,CONTRACT_ID,0)+5)),"")</f>
        <v/>
      </c>
      <c r="H32" s="23">
        <f>IFERROR(IF(INDEX('DMIC List - master'!$Q:$Q,MATCH($B32,CONTRACT_ID,0)+5)="","",INDEX('DMIC List - master'!$Q:$Q,MATCH($B32,CONTRACT_ID,0)+5)),"")</f>
        <v/>
      </c>
      <c r="I32" s="23">
        <f>IFERROR(IF(INDEX('DMIC List - master'!$U:$U,MATCH($B32,CONTRACT_ID,0)+5)="","",INDEX('DMIC List - master'!$U:$U,MATCH($B32,CONTRACT_ID,0)+5)),"")</f>
        <v/>
      </c>
      <c r="K32" s="23" t="n"/>
      <c r="L32" s="23" t="n"/>
      <c r="M32" s="23" t="n"/>
      <c r="N32" s="23" t="n"/>
      <c r="O32" s="23" t="n"/>
      <c r="P32" s="23" t="n"/>
      <c r="R32" s="23" t="n"/>
    </row>
    <row r="33">
      <c r="B33" s="26">
        <f>IF('DMIC List - master'!B33="","",'DMIC List - master'!B33)</f>
        <v/>
      </c>
      <c r="C33" s="26">
        <f>IFERROR(IF(INDEX('DMIC List - master'!$C:$C,MATCH($B33,CONTRACT_ID,0)+5)="","",INDEX('DMIC List - master'!$C:$C,MATCH($B33,CONTRACT_ID,0)+5)),"")</f>
        <v/>
      </c>
      <c r="D33" s="26">
        <f>IFERROR(IF(INDEX('DMIC List - master'!$D:$D,MATCH($B33,CONTRACT_ID,0)+5)="","",INDEX('DMIC List - master'!$D:$D,MATCH($B33,CONTRACT_ID,0)+5)),"")</f>
        <v/>
      </c>
      <c r="E33" s="26">
        <f>IFERROR(IF(INDEX('DMIC List - master'!$E:$E,MATCH($B33,CONTRACT_ID,0)+5)="","",INDEX('DMIC List - master'!$E:$E,MATCH($B33,CONTRACT_ID,0)+5)),"")</f>
        <v/>
      </c>
      <c r="G33" s="26">
        <f>IFERROR(IF(INDEX('DMIC List - master'!$P:$P,MATCH($B33,CONTRACT_ID,0)+5)="","",INDEX('DMIC List - master'!$P:$P,MATCH($B33,CONTRACT_ID,0)+5)),"")</f>
        <v/>
      </c>
      <c r="H33" s="26">
        <f>IFERROR(IF(INDEX('DMIC List - master'!$Q:$Q,MATCH($B33,CONTRACT_ID,0)+5)="","",INDEX('DMIC List - master'!$Q:$Q,MATCH($B33,CONTRACT_ID,0)+5)),"")</f>
        <v/>
      </c>
      <c r="I33" s="26">
        <f>IFERROR(IF(INDEX('DMIC List - master'!$U:$U,MATCH($B33,CONTRACT_ID,0)+5)="","",INDEX('DMIC List - master'!$U:$U,MATCH($B33,CONTRACT_ID,0)+5)),"")</f>
        <v/>
      </c>
      <c r="K33" s="26" t="n"/>
      <c r="L33" s="26" t="n"/>
      <c r="M33" s="26" t="n"/>
      <c r="N33" s="26" t="n"/>
      <c r="O33" s="26" t="n"/>
      <c r="P33" s="26" t="n"/>
      <c r="R33" s="26" t="n"/>
    </row>
    <row r="34">
      <c r="B34" s="23">
        <f>IF('DMIC List - master'!B34="","",'DMIC List - master'!B34)</f>
        <v/>
      </c>
      <c r="C34" s="23">
        <f>IFERROR(IF(INDEX('DMIC List - master'!$C:$C,MATCH($B34,CONTRACT_ID,0)+5)="","",INDEX('DMIC List - master'!$C:$C,MATCH($B34,CONTRACT_ID,0)+5)),"")</f>
        <v/>
      </c>
      <c r="D34" s="23">
        <f>IFERROR(IF(INDEX('DMIC List - master'!$D:$D,MATCH($B34,CONTRACT_ID,0)+5)="","",INDEX('DMIC List - master'!$D:$D,MATCH($B34,CONTRACT_ID,0)+5)),"")</f>
        <v/>
      </c>
      <c r="E34" s="23">
        <f>IFERROR(IF(INDEX('DMIC List - master'!$E:$E,MATCH($B34,CONTRACT_ID,0)+5)="","",INDEX('DMIC List - master'!$E:$E,MATCH($B34,CONTRACT_ID,0)+5)),"")</f>
        <v/>
      </c>
      <c r="G34" s="23">
        <f>IFERROR(IF(INDEX('DMIC List - master'!$P:$P,MATCH($B34,CONTRACT_ID,0)+5)="","",INDEX('DMIC List - master'!$P:$P,MATCH($B34,CONTRACT_ID,0)+5)),"")</f>
        <v/>
      </c>
      <c r="H34" s="23">
        <f>IFERROR(IF(INDEX('DMIC List - master'!$Q:$Q,MATCH($B34,CONTRACT_ID,0)+5)="","",INDEX('DMIC List - master'!$Q:$Q,MATCH($B34,CONTRACT_ID,0)+5)),"")</f>
        <v/>
      </c>
      <c r="I34" s="23">
        <f>IFERROR(IF(INDEX('DMIC List - master'!$U:$U,MATCH($B34,CONTRACT_ID,0)+5)="","",INDEX('DMIC List - master'!$U:$U,MATCH($B34,CONTRACT_ID,0)+5)),"")</f>
        <v/>
      </c>
      <c r="K34" s="23" t="n"/>
      <c r="L34" s="23" t="n"/>
      <c r="M34" s="23" t="n"/>
      <c r="N34" s="23" t="n"/>
      <c r="O34" s="23" t="n"/>
      <c r="P34" s="23" t="n"/>
      <c r="R34" s="23" t="n"/>
    </row>
    <row r="35">
      <c r="B35" s="26">
        <f>IF('DMIC List - master'!B35="","",'DMIC List - master'!B35)</f>
        <v/>
      </c>
      <c r="C35" s="26">
        <f>IFERROR(IF(INDEX('DMIC List - master'!$C:$C,MATCH($B35,CONTRACT_ID,0)+5)="","",INDEX('DMIC List - master'!$C:$C,MATCH($B35,CONTRACT_ID,0)+5)),"")</f>
        <v/>
      </c>
      <c r="D35" s="26">
        <f>IFERROR(IF(INDEX('DMIC List - master'!$D:$D,MATCH($B35,CONTRACT_ID,0)+5)="","",INDEX('DMIC List - master'!$D:$D,MATCH($B35,CONTRACT_ID,0)+5)),"")</f>
        <v/>
      </c>
      <c r="E35" s="26">
        <f>IFERROR(IF(INDEX('DMIC List - master'!$E:$E,MATCH($B35,CONTRACT_ID,0)+5)="","",INDEX('DMIC List - master'!$E:$E,MATCH($B35,CONTRACT_ID,0)+5)),"")</f>
        <v/>
      </c>
      <c r="G35" s="26">
        <f>IFERROR(IF(INDEX('DMIC List - master'!$P:$P,MATCH($B35,CONTRACT_ID,0)+5)="","",INDEX('DMIC List - master'!$P:$P,MATCH($B35,CONTRACT_ID,0)+5)),"")</f>
        <v/>
      </c>
      <c r="H35" s="26">
        <f>IFERROR(IF(INDEX('DMIC List - master'!$Q:$Q,MATCH($B35,CONTRACT_ID,0)+5)="","",INDEX('DMIC List - master'!$Q:$Q,MATCH($B35,CONTRACT_ID,0)+5)),"")</f>
        <v/>
      </c>
      <c r="I35" s="26">
        <f>IFERROR(IF(INDEX('DMIC List - master'!$U:$U,MATCH($B35,CONTRACT_ID,0)+5)="","",INDEX('DMIC List - master'!$U:$U,MATCH($B35,CONTRACT_ID,0)+5)),"")</f>
        <v/>
      </c>
      <c r="K35" s="26" t="n"/>
      <c r="L35" s="26" t="n"/>
      <c r="M35" s="26" t="n"/>
      <c r="N35" s="26" t="n"/>
      <c r="O35" s="26" t="n"/>
      <c r="P35" s="26" t="n"/>
      <c r="R35" s="26" t="n"/>
    </row>
    <row r="36">
      <c r="B36" s="23">
        <f>IF('DMIC List - master'!B36="","",'DMIC List - master'!B36)</f>
        <v/>
      </c>
      <c r="C36" s="23">
        <f>IFERROR(IF(INDEX('DMIC List - master'!$C:$C,MATCH($B36,CONTRACT_ID,0)+5)="","",INDEX('DMIC List - master'!$C:$C,MATCH($B36,CONTRACT_ID,0)+5)),"")</f>
        <v/>
      </c>
      <c r="D36" s="23">
        <f>IFERROR(IF(INDEX('DMIC List - master'!$D:$D,MATCH($B36,CONTRACT_ID,0)+5)="","",INDEX('DMIC List - master'!$D:$D,MATCH($B36,CONTRACT_ID,0)+5)),"")</f>
        <v/>
      </c>
      <c r="E36" s="23">
        <f>IFERROR(IF(INDEX('DMIC List - master'!$E:$E,MATCH($B36,CONTRACT_ID,0)+5)="","",INDEX('DMIC List - master'!$E:$E,MATCH($B36,CONTRACT_ID,0)+5)),"")</f>
        <v/>
      </c>
      <c r="G36" s="23">
        <f>IFERROR(IF(INDEX('DMIC List - master'!$P:$P,MATCH($B36,CONTRACT_ID,0)+5)="","",INDEX('DMIC List - master'!$P:$P,MATCH($B36,CONTRACT_ID,0)+5)),"")</f>
        <v/>
      </c>
      <c r="H36" s="23">
        <f>IFERROR(IF(INDEX('DMIC List - master'!$Q:$Q,MATCH($B36,CONTRACT_ID,0)+5)="","",INDEX('DMIC List - master'!$Q:$Q,MATCH($B36,CONTRACT_ID,0)+5)),"")</f>
        <v/>
      </c>
      <c r="I36" s="23">
        <f>IFERROR(IF(INDEX('DMIC List - master'!$U:$U,MATCH($B36,CONTRACT_ID,0)+5)="","",INDEX('DMIC List - master'!$U:$U,MATCH($B36,CONTRACT_ID,0)+5)),"")</f>
        <v/>
      </c>
      <c r="K36" s="23" t="n"/>
      <c r="L36" s="23" t="n"/>
      <c r="M36" s="23" t="n"/>
      <c r="N36" s="23" t="n"/>
      <c r="O36" s="23" t="n"/>
      <c r="P36" s="23" t="n"/>
      <c r="R36" s="23" t="n"/>
    </row>
    <row r="37">
      <c r="B37" s="26">
        <f>IF('DMIC List - master'!B37="","",'DMIC List - master'!B37)</f>
        <v/>
      </c>
      <c r="C37" s="26">
        <f>IFERROR(IF(INDEX('DMIC List - master'!$C:$C,MATCH($B37,CONTRACT_ID,0)+5)="","",INDEX('DMIC List - master'!$C:$C,MATCH($B37,CONTRACT_ID,0)+5)),"")</f>
        <v/>
      </c>
      <c r="D37" s="26">
        <f>IFERROR(IF(INDEX('DMIC List - master'!$D:$D,MATCH($B37,CONTRACT_ID,0)+5)="","",INDEX('DMIC List - master'!$D:$D,MATCH($B37,CONTRACT_ID,0)+5)),"")</f>
        <v/>
      </c>
      <c r="E37" s="26">
        <f>IFERROR(IF(INDEX('DMIC List - master'!$E:$E,MATCH($B37,CONTRACT_ID,0)+5)="","",INDEX('DMIC List - master'!$E:$E,MATCH($B37,CONTRACT_ID,0)+5)),"")</f>
        <v/>
      </c>
      <c r="G37" s="26">
        <f>IFERROR(IF(INDEX('DMIC List - master'!$P:$P,MATCH($B37,CONTRACT_ID,0)+5)="","",INDEX('DMIC List - master'!$P:$P,MATCH($B37,CONTRACT_ID,0)+5)),"")</f>
        <v/>
      </c>
      <c r="H37" s="26">
        <f>IFERROR(IF(INDEX('DMIC List - master'!$Q:$Q,MATCH($B37,CONTRACT_ID,0)+5)="","",INDEX('DMIC List - master'!$Q:$Q,MATCH($B37,CONTRACT_ID,0)+5)),"")</f>
        <v/>
      </c>
      <c r="I37" s="26">
        <f>IFERROR(IF(INDEX('DMIC List - master'!$U:$U,MATCH($B37,CONTRACT_ID,0)+5)="","",INDEX('DMIC List - master'!$U:$U,MATCH($B37,CONTRACT_ID,0)+5)),"")</f>
        <v/>
      </c>
      <c r="K37" s="26" t="n"/>
      <c r="L37" s="26" t="n"/>
      <c r="M37" s="26" t="n"/>
      <c r="N37" s="26" t="n"/>
      <c r="O37" s="26" t="n"/>
      <c r="P37" s="26" t="n"/>
      <c r="R37" s="26" t="n"/>
    </row>
    <row r="38">
      <c r="B38" s="23">
        <f>IF('DMIC List - master'!B38="","",'DMIC List - master'!B38)</f>
        <v/>
      </c>
      <c r="C38" s="23">
        <f>IFERROR(IF(INDEX('DMIC List - master'!$C:$C,MATCH($B38,CONTRACT_ID,0)+5)="","",INDEX('DMIC List - master'!$C:$C,MATCH($B38,CONTRACT_ID,0)+5)),"")</f>
        <v/>
      </c>
      <c r="D38" s="23">
        <f>IFERROR(IF(INDEX('DMIC List - master'!$D:$D,MATCH($B38,CONTRACT_ID,0)+5)="","",INDEX('DMIC List - master'!$D:$D,MATCH($B38,CONTRACT_ID,0)+5)),"")</f>
        <v/>
      </c>
      <c r="E38" s="23">
        <f>IFERROR(IF(INDEX('DMIC List - master'!$E:$E,MATCH($B38,CONTRACT_ID,0)+5)="","",INDEX('DMIC List - master'!$E:$E,MATCH($B38,CONTRACT_ID,0)+5)),"")</f>
        <v/>
      </c>
      <c r="G38" s="23">
        <f>IFERROR(IF(INDEX('DMIC List - master'!$P:$P,MATCH($B38,CONTRACT_ID,0)+5)="","",INDEX('DMIC List - master'!$P:$P,MATCH($B38,CONTRACT_ID,0)+5)),"")</f>
        <v/>
      </c>
      <c r="H38" s="23">
        <f>IFERROR(IF(INDEX('DMIC List - master'!$Q:$Q,MATCH($B38,CONTRACT_ID,0)+5)="","",INDEX('DMIC List - master'!$Q:$Q,MATCH($B38,CONTRACT_ID,0)+5)),"")</f>
        <v/>
      </c>
      <c r="I38" s="23">
        <f>IFERROR(IF(INDEX('DMIC List - master'!$U:$U,MATCH($B38,CONTRACT_ID,0)+5)="","",INDEX('DMIC List - master'!$U:$U,MATCH($B38,CONTRACT_ID,0)+5)),"")</f>
        <v/>
      </c>
      <c r="K38" s="23" t="n"/>
      <c r="L38" s="23" t="n"/>
      <c r="M38" s="23" t="n"/>
      <c r="N38" s="23" t="n"/>
      <c r="O38" s="23" t="n"/>
      <c r="P38" s="23" t="n"/>
      <c r="R38" s="23" t="n"/>
    </row>
    <row r="39">
      <c r="B39" s="26">
        <f>IF('DMIC List - master'!B39="","",'DMIC List - master'!B39)</f>
        <v/>
      </c>
      <c r="C39" s="26">
        <f>IFERROR(IF(INDEX('DMIC List - master'!$C:$C,MATCH($B39,CONTRACT_ID,0)+5)="","",INDEX('DMIC List - master'!$C:$C,MATCH($B39,CONTRACT_ID,0)+5)),"")</f>
        <v/>
      </c>
      <c r="D39" s="26">
        <f>IFERROR(IF(INDEX('DMIC List - master'!$D:$D,MATCH($B39,CONTRACT_ID,0)+5)="","",INDEX('DMIC List - master'!$D:$D,MATCH($B39,CONTRACT_ID,0)+5)),"")</f>
        <v/>
      </c>
      <c r="E39" s="26">
        <f>IFERROR(IF(INDEX('DMIC List - master'!$E:$E,MATCH($B39,CONTRACT_ID,0)+5)="","",INDEX('DMIC List - master'!$E:$E,MATCH($B39,CONTRACT_ID,0)+5)),"")</f>
        <v/>
      </c>
      <c r="G39" s="26">
        <f>IFERROR(IF(INDEX('DMIC List - master'!$P:$P,MATCH($B39,CONTRACT_ID,0)+5)="","",INDEX('DMIC List - master'!$P:$P,MATCH($B39,CONTRACT_ID,0)+5)),"")</f>
        <v/>
      </c>
      <c r="H39" s="26">
        <f>IFERROR(IF(INDEX('DMIC List - master'!$Q:$Q,MATCH($B39,CONTRACT_ID,0)+5)="","",INDEX('DMIC List - master'!$Q:$Q,MATCH($B39,CONTRACT_ID,0)+5)),"")</f>
        <v/>
      </c>
      <c r="I39" s="26">
        <f>IFERROR(IF(INDEX('DMIC List - master'!$U:$U,MATCH($B39,CONTRACT_ID,0)+5)="","",INDEX('DMIC List - master'!$U:$U,MATCH($B39,CONTRACT_ID,0)+5)),"")</f>
        <v/>
      </c>
      <c r="K39" s="26" t="n"/>
      <c r="L39" s="26" t="n"/>
      <c r="M39" s="26" t="n"/>
      <c r="N39" s="26" t="n"/>
      <c r="O39" s="26" t="n"/>
      <c r="P39" s="26" t="n"/>
      <c r="R39" s="26" t="n"/>
    </row>
    <row r="40">
      <c r="B40" s="23">
        <f>IF('DMIC List - master'!B40="","",'DMIC List - master'!B40)</f>
        <v/>
      </c>
      <c r="C40" s="23">
        <f>IFERROR(IF(INDEX('DMIC List - master'!$C:$C,MATCH($B40,CONTRACT_ID,0)+5)="","",INDEX('DMIC List - master'!$C:$C,MATCH($B40,CONTRACT_ID,0)+5)),"")</f>
        <v/>
      </c>
      <c r="D40" s="23">
        <f>IFERROR(IF(INDEX('DMIC List - master'!$D:$D,MATCH($B40,CONTRACT_ID,0)+5)="","",INDEX('DMIC List - master'!$D:$D,MATCH($B40,CONTRACT_ID,0)+5)),"")</f>
        <v/>
      </c>
      <c r="E40" s="23">
        <f>IFERROR(IF(INDEX('DMIC List - master'!$E:$E,MATCH($B40,CONTRACT_ID,0)+5)="","",INDEX('DMIC List - master'!$E:$E,MATCH($B40,CONTRACT_ID,0)+5)),"")</f>
        <v/>
      </c>
      <c r="G40" s="23">
        <f>IFERROR(IF(INDEX('DMIC List - master'!$P:$P,MATCH($B40,CONTRACT_ID,0)+5)="","",INDEX('DMIC List - master'!$P:$P,MATCH($B40,CONTRACT_ID,0)+5)),"")</f>
        <v/>
      </c>
      <c r="H40" s="23">
        <f>IFERROR(IF(INDEX('DMIC List - master'!$Q:$Q,MATCH($B40,CONTRACT_ID,0)+5)="","",INDEX('DMIC List - master'!$Q:$Q,MATCH($B40,CONTRACT_ID,0)+5)),"")</f>
        <v/>
      </c>
      <c r="I40" s="23">
        <f>IFERROR(IF(INDEX('DMIC List - master'!$U:$U,MATCH($B40,CONTRACT_ID,0)+5)="","",INDEX('DMIC List - master'!$U:$U,MATCH($B40,CONTRACT_ID,0)+5)),"")</f>
        <v/>
      </c>
      <c r="K40" s="23" t="n"/>
      <c r="L40" s="23" t="n"/>
      <c r="M40" s="23" t="n"/>
      <c r="N40" s="23" t="n"/>
      <c r="O40" s="23" t="n"/>
      <c r="P40" s="23" t="n"/>
      <c r="R40" s="23" t="n"/>
    </row>
    <row r="41">
      <c r="B41" s="26">
        <f>IF('DMIC List - master'!B41="","",'DMIC List - master'!B41)</f>
        <v/>
      </c>
      <c r="C41" s="26">
        <f>IFERROR(IF(INDEX('DMIC List - master'!$C:$C,MATCH($B41,CONTRACT_ID,0)+5)="","",INDEX('DMIC List - master'!$C:$C,MATCH($B41,CONTRACT_ID,0)+5)),"")</f>
        <v/>
      </c>
      <c r="D41" s="26">
        <f>IFERROR(IF(INDEX('DMIC List - master'!$D:$D,MATCH($B41,CONTRACT_ID,0)+5)="","",INDEX('DMIC List - master'!$D:$D,MATCH($B41,CONTRACT_ID,0)+5)),"")</f>
        <v/>
      </c>
      <c r="E41" s="26">
        <f>IFERROR(IF(INDEX('DMIC List - master'!$E:$E,MATCH($B41,CONTRACT_ID,0)+5)="","",INDEX('DMIC List - master'!$E:$E,MATCH($B41,CONTRACT_ID,0)+5)),"")</f>
        <v/>
      </c>
      <c r="G41" s="26">
        <f>IFERROR(IF(INDEX('DMIC List - master'!$P:$P,MATCH($B41,CONTRACT_ID,0)+5)="","",INDEX('DMIC List - master'!$P:$P,MATCH($B41,CONTRACT_ID,0)+5)),"")</f>
        <v/>
      </c>
      <c r="H41" s="26">
        <f>IFERROR(IF(INDEX('DMIC List - master'!$Q:$Q,MATCH($B41,CONTRACT_ID,0)+5)="","",INDEX('DMIC List - master'!$Q:$Q,MATCH($B41,CONTRACT_ID,0)+5)),"")</f>
        <v/>
      </c>
      <c r="I41" s="26">
        <f>IFERROR(IF(INDEX('DMIC List - master'!$U:$U,MATCH($B41,CONTRACT_ID,0)+5)="","",INDEX('DMIC List - master'!$U:$U,MATCH($B41,CONTRACT_ID,0)+5)),"")</f>
        <v/>
      </c>
      <c r="K41" s="26" t="n"/>
      <c r="L41" s="26" t="n"/>
      <c r="M41" s="26" t="n"/>
      <c r="N41" s="26" t="n"/>
      <c r="O41" s="26" t="n"/>
      <c r="P41" s="26" t="n"/>
      <c r="R41" s="26" t="n"/>
    </row>
    <row r="42">
      <c r="B42" s="23">
        <f>IF('DMIC List - master'!B42="","",'DMIC List - master'!B42)</f>
        <v/>
      </c>
      <c r="C42" s="23">
        <f>IFERROR(IF(INDEX('DMIC List - master'!$C:$C,MATCH($B42,CONTRACT_ID,0)+5)="","",INDEX('DMIC List - master'!$C:$C,MATCH($B42,CONTRACT_ID,0)+5)),"")</f>
        <v/>
      </c>
      <c r="D42" s="23">
        <f>IFERROR(IF(INDEX('DMIC List - master'!$D:$D,MATCH($B42,CONTRACT_ID,0)+5)="","",INDEX('DMIC List - master'!$D:$D,MATCH($B42,CONTRACT_ID,0)+5)),"")</f>
        <v/>
      </c>
      <c r="E42" s="23">
        <f>IFERROR(IF(INDEX('DMIC List - master'!$E:$E,MATCH($B42,CONTRACT_ID,0)+5)="","",INDEX('DMIC List - master'!$E:$E,MATCH($B42,CONTRACT_ID,0)+5)),"")</f>
        <v/>
      </c>
      <c r="G42" s="23">
        <f>IFERROR(IF(INDEX('DMIC List - master'!$P:$P,MATCH($B42,CONTRACT_ID,0)+5)="","",INDEX('DMIC List - master'!$P:$P,MATCH($B42,CONTRACT_ID,0)+5)),"")</f>
        <v/>
      </c>
      <c r="H42" s="23">
        <f>IFERROR(IF(INDEX('DMIC List - master'!$Q:$Q,MATCH($B42,CONTRACT_ID,0)+5)="","",INDEX('DMIC List - master'!$Q:$Q,MATCH($B42,CONTRACT_ID,0)+5)),"")</f>
        <v/>
      </c>
      <c r="I42" s="23">
        <f>IFERROR(IF(INDEX('DMIC List - master'!$U:$U,MATCH($B42,CONTRACT_ID,0)+5)="","",INDEX('DMIC List - master'!$U:$U,MATCH($B42,CONTRACT_ID,0)+5)),"")</f>
        <v/>
      </c>
      <c r="K42" s="23" t="n"/>
      <c r="L42" s="23" t="n"/>
      <c r="M42" s="23" t="n"/>
      <c r="N42" s="23" t="n"/>
      <c r="O42" s="23" t="n"/>
      <c r="P42" s="23" t="n"/>
      <c r="R42" s="23" t="n"/>
    </row>
    <row r="43">
      <c r="B43" s="26">
        <f>IF('DMIC List - master'!B43="","",'DMIC List - master'!B43)</f>
        <v/>
      </c>
      <c r="C43" s="26">
        <f>IFERROR(IF(INDEX('DMIC List - master'!$C:$C,MATCH($B43,CONTRACT_ID,0)+5)="","",INDEX('DMIC List - master'!$C:$C,MATCH($B43,CONTRACT_ID,0)+5)),"")</f>
        <v/>
      </c>
      <c r="D43" s="26">
        <f>IFERROR(IF(INDEX('DMIC List - master'!$D:$D,MATCH($B43,CONTRACT_ID,0)+5)="","",INDEX('DMIC List - master'!$D:$D,MATCH($B43,CONTRACT_ID,0)+5)),"")</f>
        <v/>
      </c>
      <c r="E43" s="26">
        <f>IFERROR(IF(INDEX('DMIC List - master'!$E:$E,MATCH($B43,CONTRACT_ID,0)+5)="","",INDEX('DMIC List - master'!$E:$E,MATCH($B43,CONTRACT_ID,0)+5)),"")</f>
        <v/>
      </c>
      <c r="G43" s="26">
        <f>IFERROR(IF(INDEX('DMIC List - master'!$P:$P,MATCH($B43,CONTRACT_ID,0)+5)="","",INDEX('DMIC List - master'!$P:$P,MATCH($B43,CONTRACT_ID,0)+5)),"")</f>
        <v/>
      </c>
      <c r="H43" s="26">
        <f>IFERROR(IF(INDEX('DMIC List - master'!$Q:$Q,MATCH($B43,CONTRACT_ID,0)+5)="","",INDEX('DMIC List - master'!$Q:$Q,MATCH($B43,CONTRACT_ID,0)+5)),"")</f>
        <v/>
      </c>
      <c r="I43" s="26">
        <f>IFERROR(IF(INDEX('DMIC List - master'!$U:$U,MATCH($B43,CONTRACT_ID,0)+5)="","",INDEX('DMIC List - master'!$U:$U,MATCH($B43,CONTRACT_ID,0)+5)),"")</f>
        <v/>
      </c>
      <c r="K43" s="26" t="n"/>
      <c r="L43" s="26" t="n"/>
      <c r="M43" s="26" t="n"/>
      <c r="N43" s="26" t="n"/>
      <c r="O43" s="26" t="n"/>
      <c r="P43" s="26" t="n"/>
      <c r="R43" s="26" t="n"/>
    </row>
    <row r="44">
      <c r="B44" s="23">
        <f>IF('DMIC List - master'!B44="","",'DMIC List - master'!B44)</f>
        <v/>
      </c>
      <c r="C44" s="23">
        <f>IFERROR(IF(INDEX('DMIC List - master'!$C:$C,MATCH($B44,CONTRACT_ID,0)+5)="","",INDEX('DMIC List - master'!$C:$C,MATCH($B44,CONTRACT_ID,0)+5)),"")</f>
        <v/>
      </c>
      <c r="D44" s="23">
        <f>IFERROR(IF(INDEX('DMIC List - master'!$D:$D,MATCH($B44,CONTRACT_ID,0)+5)="","",INDEX('DMIC List - master'!$D:$D,MATCH($B44,CONTRACT_ID,0)+5)),"")</f>
        <v/>
      </c>
      <c r="E44" s="23">
        <f>IFERROR(IF(INDEX('DMIC List - master'!$E:$E,MATCH($B44,CONTRACT_ID,0)+5)="","",INDEX('DMIC List - master'!$E:$E,MATCH($B44,CONTRACT_ID,0)+5)),"")</f>
        <v/>
      </c>
      <c r="G44" s="23">
        <f>IFERROR(IF(INDEX('DMIC List - master'!$P:$P,MATCH($B44,CONTRACT_ID,0)+5)="","",INDEX('DMIC List - master'!$P:$P,MATCH($B44,CONTRACT_ID,0)+5)),"")</f>
        <v/>
      </c>
      <c r="H44" s="23">
        <f>IFERROR(IF(INDEX('DMIC List - master'!$Q:$Q,MATCH($B44,CONTRACT_ID,0)+5)="","",INDEX('DMIC List - master'!$Q:$Q,MATCH($B44,CONTRACT_ID,0)+5)),"")</f>
        <v/>
      </c>
      <c r="I44" s="23">
        <f>IFERROR(IF(INDEX('DMIC List - master'!$U:$U,MATCH($B44,CONTRACT_ID,0)+5)="","",INDEX('DMIC List - master'!$U:$U,MATCH($B44,CONTRACT_ID,0)+5)),"")</f>
        <v/>
      </c>
      <c r="K44" s="23" t="n"/>
      <c r="L44" s="23" t="n"/>
      <c r="M44" s="23" t="n"/>
      <c r="N44" s="23" t="n"/>
      <c r="O44" s="23" t="n"/>
      <c r="P44" s="23" t="n"/>
      <c r="R44" s="23" t="n"/>
    </row>
    <row r="45">
      <c r="B45" s="26">
        <f>IF('DMIC List - master'!B45="","",'DMIC List - master'!B45)</f>
        <v/>
      </c>
      <c r="C45" s="26">
        <f>IFERROR(IF(INDEX('DMIC List - master'!$C:$C,MATCH($B45,CONTRACT_ID,0)+5)="","",INDEX('DMIC List - master'!$C:$C,MATCH($B45,CONTRACT_ID,0)+5)),"")</f>
        <v/>
      </c>
      <c r="D45" s="26">
        <f>IFERROR(IF(INDEX('DMIC List - master'!$D:$D,MATCH($B45,CONTRACT_ID,0)+5)="","",INDEX('DMIC List - master'!$D:$D,MATCH($B45,CONTRACT_ID,0)+5)),"")</f>
        <v/>
      </c>
      <c r="E45" s="26">
        <f>IFERROR(IF(INDEX('DMIC List - master'!$E:$E,MATCH($B45,CONTRACT_ID,0)+5)="","",INDEX('DMIC List - master'!$E:$E,MATCH($B45,CONTRACT_ID,0)+5)),"")</f>
        <v/>
      </c>
      <c r="G45" s="26">
        <f>IFERROR(IF(INDEX('DMIC List - master'!$P:$P,MATCH($B45,CONTRACT_ID,0)+5)="","",INDEX('DMIC List - master'!$P:$P,MATCH($B45,CONTRACT_ID,0)+5)),"")</f>
        <v/>
      </c>
      <c r="H45" s="26">
        <f>IFERROR(IF(INDEX('DMIC List - master'!$Q:$Q,MATCH($B45,CONTRACT_ID,0)+5)="","",INDEX('DMIC List - master'!$Q:$Q,MATCH($B45,CONTRACT_ID,0)+5)),"")</f>
        <v/>
      </c>
      <c r="I45" s="26">
        <f>IFERROR(IF(INDEX('DMIC List - master'!$U:$U,MATCH($B45,CONTRACT_ID,0)+5)="","",INDEX('DMIC List - master'!$U:$U,MATCH($B45,CONTRACT_ID,0)+5)),"")</f>
        <v/>
      </c>
      <c r="K45" s="26" t="n"/>
      <c r="L45" s="26" t="n"/>
      <c r="M45" s="26" t="n"/>
      <c r="N45" s="26" t="n"/>
      <c r="O45" s="26" t="n"/>
      <c r="P45" s="26" t="n"/>
      <c r="R45" s="26" t="n"/>
    </row>
    <row r="46">
      <c r="B46" s="23">
        <f>IF('DMIC List - master'!B46="","",'DMIC List - master'!B46)</f>
        <v/>
      </c>
      <c r="C46" s="23">
        <f>IFERROR(IF(INDEX('DMIC List - master'!$C:$C,MATCH($B46,CONTRACT_ID,0)+5)="","",INDEX('DMIC List - master'!$C:$C,MATCH($B46,CONTRACT_ID,0)+5)),"")</f>
        <v/>
      </c>
      <c r="D46" s="23">
        <f>IFERROR(IF(INDEX('DMIC List - master'!$D:$D,MATCH($B46,CONTRACT_ID,0)+5)="","",INDEX('DMIC List - master'!$D:$D,MATCH($B46,CONTRACT_ID,0)+5)),"")</f>
        <v/>
      </c>
      <c r="E46" s="23">
        <f>IFERROR(IF(INDEX('DMIC List - master'!$E:$E,MATCH($B46,CONTRACT_ID,0)+5)="","",INDEX('DMIC List - master'!$E:$E,MATCH($B46,CONTRACT_ID,0)+5)),"")</f>
        <v/>
      </c>
      <c r="G46" s="23">
        <f>IFERROR(IF(INDEX('DMIC List - master'!$P:$P,MATCH($B46,CONTRACT_ID,0)+5)="","",INDEX('DMIC List - master'!$P:$P,MATCH($B46,CONTRACT_ID,0)+5)),"")</f>
        <v/>
      </c>
      <c r="H46" s="23">
        <f>IFERROR(IF(INDEX('DMIC List - master'!$Q:$Q,MATCH($B46,CONTRACT_ID,0)+5)="","",INDEX('DMIC List - master'!$Q:$Q,MATCH($B46,CONTRACT_ID,0)+5)),"")</f>
        <v/>
      </c>
      <c r="I46" s="23">
        <f>IFERROR(IF(INDEX('DMIC List - master'!$U:$U,MATCH($B46,CONTRACT_ID,0)+5)="","",INDEX('DMIC List - master'!$U:$U,MATCH($B46,CONTRACT_ID,0)+5)),"")</f>
        <v/>
      </c>
      <c r="K46" s="23" t="n"/>
      <c r="L46" s="23" t="n"/>
      <c r="M46" s="23" t="n"/>
      <c r="N46" s="23" t="n"/>
      <c r="O46" s="23" t="n"/>
      <c r="P46" s="23" t="n"/>
      <c r="R46" s="23" t="n"/>
    </row>
    <row r="47">
      <c r="B47" s="26">
        <f>IF('DMIC List - master'!B47="","",'DMIC List - master'!B47)</f>
        <v/>
      </c>
      <c r="C47" s="26">
        <f>IFERROR(IF(INDEX('DMIC List - master'!$C:$C,MATCH($B47,CONTRACT_ID,0)+5)="","",INDEX('DMIC List - master'!$C:$C,MATCH($B47,CONTRACT_ID,0)+5)),"")</f>
        <v/>
      </c>
      <c r="D47" s="26">
        <f>IFERROR(IF(INDEX('DMIC List - master'!$D:$D,MATCH($B47,CONTRACT_ID,0)+5)="","",INDEX('DMIC List - master'!$D:$D,MATCH($B47,CONTRACT_ID,0)+5)),"")</f>
        <v/>
      </c>
      <c r="E47" s="26">
        <f>IFERROR(IF(INDEX('DMIC List - master'!$E:$E,MATCH($B47,CONTRACT_ID,0)+5)="","",INDEX('DMIC List - master'!$E:$E,MATCH($B47,CONTRACT_ID,0)+5)),"")</f>
        <v/>
      </c>
      <c r="G47" s="26">
        <f>IFERROR(IF(INDEX('DMIC List - master'!$P:$P,MATCH($B47,CONTRACT_ID,0)+5)="","",INDEX('DMIC List - master'!$P:$P,MATCH($B47,CONTRACT_ID,0)+5)),"")</f>
        <v/>
      </c>
      <c r="H47" s="26">
        <f>IFERROR(IF(INDEX('DMIC List - master'!$Q:$Q,MATCH($B47,CONTRACT_ID,0)+5)="","",INDEX('DMIC List - master'!$Q:$Q,MATCH($B47,CONTRACT_ID,0)+5)),"")</f>
        <v/>
      </c>
      <c r="I47" s="26">
        <f>IFERROR(IF(INDEX('DMIC List - master'!$U:$U,MATCH($B47,CONTRACT_ID,0)+5)="","",INDEX('DMIC List - master'!$U:$U,MATCH($B47,CONTRACT_ID,0)+5)),"")</f>
        <v/>
      </c>
      <c r="K47" s="26" t="n"/>
      <c r="L47" s="26" t="n"/>
      <c r="M47" s="26" t="n"/>
      <c r="N47" s="26" t="n"/>
      <c r="O47" s="26" t="n"/>
      <c r="P47" s="26" t="n"/>
      <c r="R47" s="26" t="n"/>
    </row>
    <row r="48">
      <c r="B48" s="23">
        <f>IF('DMIC List - master'!B48="","",'DMIC List - master'!B48)</f>
        <v/>
      </c>
      <c r="C48" s="23">
        <f>IFERROR(IF(INDEX('DMIC List - master'!$C:$C,MATCH($B48,CONTRACT_ID,0)+5)="","",INDEX('DMIC List - master'!$C:$C,MATCH($B48,CONTRACT_ID,0)+5)),"")</f>
        <v/>
      </c>
      <c r="D48" s="23">
        <f>IFERROR(IF(INDEX('DMIC List - master'!$D:$D,MATCH($B48,CONTRACT_ID,0)+5)="","",INDEX('DMIC List - master'!$D:$D,MATCH($B48,CONTRACT_ID,0)+5)),"")</f>
        <v/>
      </c>
      <c r="E48" s="23">
        <f>IFERROR(IF(INDEX('DMIC List - master'!$E:$E,MATCH($B48,CONTRACT_ID,0)+5)="","",INDEX('DMIC List - master'!$E:$E,MATCH($B48,CONTRACT_ID,0)+5)),"")</f>
        <v/>
      </c>
      <c r="G48" s="23">
        <f>IFERROR(IF(INDEX('DMIC List - master'!$P:$P,MATCH($B48,CONTRACT_ID,0)+5)="","",INDEX('DMIC List - master'!$P:$P,MATCH($B48,CONTRACT_ID,0)+5)),"")</f>
        <v/>
      </c>
      <c r="H48" s="23">
        <f>IFERROR(IF(INDEX('DMIC List - master'!$Q:$Q,MATCH($B48,CONTRACT_ID,0)+5)="","",INDEX('DMIC List - master'!$Q:$Q,MATCH($B48,CONTRACT_ID,0)+5)),"")</f>
        <v/>
      </c>
      <c r="I48" s="23">
        <f>IFERROR(IF(INDEX('DMIC List - master'!$U:$U,MATCH($B48,CONTRACT_ID,0)+5)="","",INDEX('DMIC List - master'!$U:$U,MATCH($B48,CONTRACT_ID,0)+5)),"")</f>
        <v/>
      </c>
      <c r="K48" s="23" t="n"/>
      <c r="L48" s="23" t="n"/>
      <c r="M48" s="23" t="n"/>
      <c r="N48" s="23" t="n"/>
      <c r="O48" s="23" t="n"/>
      <c r="P48" s="23" t="n"/>
      <c r="R48" s="23" t="n"/>
    </row>
    <row r="49">
      <c r="B49" s="26">
        <f>IF('DMIC List - master'!B49="","",'DMIC List - master'!B49)</f>
        <v/>
      </c>
      <c r="C49" s="26">
        <f>IFERROR(IF(INDEX('DMIC List - master'!$C:$C,MATCH($B49,CONTRACT_ID,0)+5)="","",INDEX('DMIC List - master'!$C:$C,MATCH($B49,CONTRACT_ID,0)+5)),"")</f>
        <v/>
      </c>
      <c r="D49" s="26">
        <f>IFERROR(IF(INDEX('DMIC List - master'!$D:$D,MATCH($B49,CONTRACT_ID,0)+5)="","",INDEX('DMIC List - master'!$D:$D,MATCH($B49,CONTRACT_ID,0)+5)),"")</f>
        <v/>
      </c>
      <c r="E49" s="26">
        <f>IFERROR(IF(INDEX('DMIC List - master'!$E:$E,MATCH($B49,CONTRACT_ID,0)+5)="","",INDEX('DMIC List - master'!$E:$E,MATCH($B49,CONTRACT_ID,0)+5)),"")</f>
        <v/>
      </c>
      <c r="G49" s="26">
        <f>IFERROR(IF(INDEX('DMIC List - master'!$P:$P,MATCH($B49,CONTRACT_ID,0)+5)="","",INDEX('DMIC List - master'!$P:$P,MATCH($B49,CONTRACT_ID,0)+5)),"")</f>
        <v/>
      </c>
      <c r="H49" s="26">
        <f>IFERROR(IF(INDEX('DMIC List - master'!$Q:$Q,MATCH($B49,CONTRACT_ID,0)+5)="","",INDEX('DMIC List - master'!$Q:$Q,MATCH($B49,CONTRACT_ID,0)+5)),"")</f>
        <v/>
      </c>
      <c r="I49" s="26">
        <f>IFERROR(IF(INDEX('DMIC List - master'!$U:$U,MATCH($B49,CONTRACT_ID,0)+5)="","",INDEX('DMIC List - master'!$U:$U,MATCH($B49,CONTRACT_ID,0)+5)),"")</f>
        <v/>
      </c>
      <c r="K49" s="26" t="n"/>
      <c r="L49" s="26" t="n"/>
      <c r="M49" s="26" t="n"/>
      <c r="N49" s="26" t="n"/>
      <c r="O49" s="26" t="n"/>
      <c r="P49" s="26" t="n"/>
      <c r="R49" s="26" t="n"/>
    </row>
    <row r="50">
      <c r="B50" s="23">
        <f>IF('DMIC List - master'!B50="","",'DMIC List - master'!B50)</f>
        <v/>
      </c>
      <c r="C50" s="23">
        <f>IFERROR(IF(INDEX('DMIC List - master'!$C:$C,MATCH($B50,CONTRACT_ID,0)+5)="","",INDEX('DMIC List - master'!$C:$C,MATCH($B50,CONTRACT_ID,0)+5)),"")</f>
        <v/>
      </c>
      <c r="D50" s="23">
        <f>IFERROR(IF(INDEX('DMIC List - master'!$D:$D,MATCH($B50,CONTRACT_ID,0)+5)="","",INDEX('DMIC List - master'!$D:$D,MATCH($B50,CONTRACT_ID,0)+5)),"")</f>
        <v/>
      </c>
      <c r="E50" s="23">
        <f>IFERROR(IF(INDEX('DMIC List - master'!$E:$E,MATCH($B50,CONTRACT_ID,0)+5)="","",INDEX('DMIC List - master'!$E:$E,MATCH($B50,CONTRACT_ID,0)+5)),"")</f>
        <v/>
      </c>
      <c r="G50" s="23">
        <f>IFERROR(IF(INDEX('DMIC List - master'!$P:$P,MATCH($B50,CONTRACT_ID,0)+5)="","",INDEX('DMIC List - master'!$P:$P,MATCH($B50,CONTRACT_ID,0)+5)),"")</f>
        <v/>
      </c>
      <c r="H50" s="23">
        <f>IFERROR(IF(INDEX('DMIC List - master'!$Q:$Q,MATCH($B50,CONTRACT_ID,0)+5)="","",INDEX('DMIC List - master'!$Q:$Q,MATCH($B50,CONTRACT_ID,0)+5)),"")</f>
        <v/>
      </c>
      <c r="I50" s="23">
        <f>IFERROR(IF(INDEX('DMIC List - master'!$U:$U,MATCH($B50,CONTRACT_ID,0)+5)="","",INDEX('DMIC List - master'!$U:$U,MATCH($B50,CONTRACT_ID,0)+5)),"")</f>
        <v/>
      </c>
      <c r="K50" s="23" t="n"/>
      <c r="L50" s="23" t="n"/>
      <c r="M50" s="23" t="n"/>
      <c r="N50" s="23" t="n"/>
      <c r="O50" s="23" t="n"/>
      <c r="P50" s="23" t="n"/>
      <c r="R50" s="23" t="n"/>
    </row>
    <row r="51">
      <c r="B51" s="26">
        <f>IF('DMIC List - master'!B51="","",'DMIC List - master'!B51)</f>
        <v/>
      </c>
      <c r="C51" s="26">
        <f>IFERROR(IF(INDEX('DMIC List - master'!$C:$C,MATCH($B51,CONTRACT_ID,0)+5)="","",INDEX('DMIC List - master'!$C:$C,MATCH($B51,CONTRACT_ID,0)+5)),"")</f>
        <v/>
      </c>
      <c r="D51" s="26">
        <f>IFERROR(IF(INDEX('DMIC List - master'!$D:$D,MATCH($B51,CONTRACT_ID,0)+5)="","",INDEX('DMIC List - master'!$D:$D,MATCH($B51,CONTRACT_ID,0)+5)),"")</f>
        <v/>
      </c>
      <c r="E51" s="26">
        <f>IFERROR(IF(INDEX('DMIC List - master'!$E:$E,MATCH($B51,CONTRACT_ID,0)+5)="","",INDEX('DMIC List - master'!$E:$E,MATCH($B51,CONTRACT_ID,0)+5)),"")</f>
        <v/>
      </c>
      <c r="G51" s="26">
        <f>IFERROR(IF(INDEX('DMIC List - master'!$P:$P,MATCH($B51,CONTRACT_ID,0)+5)="","",INDEX('DMIC List - master'!$P:$P,MATCH($B51,CONTRACT_ID,0)+5)),"")</f>
        <v/>
      </c>
      <c r="H51" s="26">
        <f>IFERROR(IF(INDEX('DMIC List - master'!$Q:$Q,MATCH($B51,CONTRACT_ID,0)+5)="","",INDEX('DMIC List - master'!$Q:$Q,MATCH($B51,CONTRACT_ID,0)+5)),"")</f>
        <v/>
      </c>
      <c r="I51" s="26">
        <f>IFERROR(IF(INDEX('DMIC List - master'!$U:$U,MATCH($B51,CONTRACT_ID,0)+5)="","",INDEX('DMIC List - master'!$U:$U,MATCH($B51,CONTRACT_ID,0)+5)),"")</f>
        <v/>
      </c>
      <c r="K51" s="26" t="n"/>
      <c r="L51" s="26" t="n"/>
      <c r="M51" s="26" t="n"/>
      <c r="N51" s="26" t="n"/>
      <c r="O51" s="26" t="n"/>
      <c r="P51" s="26" t="n"/>
      <c r="R51" s="26" t="n"/>
    </row>
    <row r="52">
      <c r="B52" s="23">
        <f>IF('DMIC List - master'!B52="","",'DMIC List - master'!B52)</f>
        <v/>
      </c>
      <c r="C52" s="23">
        <f>IFERROR(IF(INDEX('DMIC List - master'!$C:$C,MATCH($B52,CONTRACT_ID,0)+5)="","",INDEX('DMIC List - master'!$C:$C,MATCH($B52,CONTRACT_ID,0)+5)),"")</f>
        <v/>
      </c>
      <c r="D52" s="23">
        <f>IFERROR(IF(INDEX('DMIC List - master'!$D:$D,MATCH($B52,CONTRACT_ID,0)+5)="","",INDEX('DMIC List - master'!$D:$D,MATCH($B52,CONTRACT_ID,0)+5)),"")</f>
        <v/>
      </c>
      <c r="E52" s="23">
        <f>IFERROR(IF(INDEX('DMIC List - master'!$E:$E,MATCH($B52,CONTRACT_ID,0)+5)="","",INDEX('DMIC List - master'!$E:$E,MATCH($B52,CONTRACT_ID,0)+5)),"")</f>
        <v/>
      </c>
      <c r="G52" s="23">
        <f>IFERROR(IF(INDEX('DMIC List - master'!$P:$P,MATCH($B52,CONTRACT_ID,0)+5)="","",INDEX('DMIC List - master'!$P:$P,MATCH($B52,CONTRACT_ID,0)+5)),"")</f>
        <v/>
      </c>
      <c r="H52" s="23">
        <f>IFERROR(IF(INDEX('DMIC List - master'!$Q:$Q,MATCH($B52,CONTRACT_ID,0)+5)="","",INDEX('DMIC List - master'!$Q:$Q,MATCH($B52,CONTRACT_ID,0)+5)),"")</f>
        <v/>
      </c>
      <c r="I52" s="23">
        <f>IFERROR(IF(INDEX('DMIC List - master'!$U:$U,MATCH($B52,CONTRACT_ID,0)+5)="","",INDEX('DMIC List - master'!$U:$U,MATCH($B52,CONTRACT_ID,0)+5)),"")</f>
        <v/>
      </c>
      <c r="K52" s="23" t="n"/>
      <c r="L52" s="23" t="n"/>
      <c r="M52" s="23" t="n"/>
      <c r="N52" s="23" t="n"/>
      <c r="O52" s="23" t="n"/>
      <c r="P52" s="23" t="n"/>
      <c r="R52" s="23" t="n"/>
    </row>
    <row r="53">
      <c r="B53" s="26">
        <f>IF('DMIC List - master'!B53="","",'DMIC List - master'!B53)</f>
        <v/>
      </c>
      <c r="C53" s="26">
        <f>IFERROR(IF(INDEX('DMIC List - master'!$C:$C,MATCH($B53,CONTRACT_ID,0)+5)="","",INDEX('DMIC List - master'!$C:$C,MATCH($B53,CONTRACT_ID,0)+5)),"")</f>
        <v/>
      </c>
      <c r="D53" s="26">
        <f>IFERROR(IF(INDEX('DMIC List - master'!$D:$D,MATCH($B53,CONTRACT_ID,0)+5)="","",INDEX('DMIC List - master'!$D:$D,MATCH($B53,CONTRACT_ID,0)+5)),"")</f>
        <v/>
      </c>
      <c r="E53" s="26">
        <f>IFERROR(IF(INDEX('DMIC List - master'!$E:$E,MATCH($B53,CONTRACT_ID,0)+5)="","",INDEX('DMIC List - master'!$E:$E,MATCH($B53,CONTRACT_ID,0)+5)),"")</f>
        <v/>
      </c>
      <c r="G53" s="26">
        <f>IFERROR(IF(INDEX('DMIC List - master'!$P:$P,MATCH($B53,CONTRACT_ID,0)+5)="","",INDEX('DMIC List - master'!$P:$P,MATCH($B53,CONTRACT_ID,0)+5)),"")</f>
        <v/>
      </c>
      <c r="H53" s="26">
        <f>IFERROR(IF(INDEX('DMIC List - master'!$Q:$Q,MATCH($B53,CONTRACT_ID,0)+5)="","",INDEX('DMIC List - master'!$Q:$Q,MATCH($B53,CONTRACT_ID,0)+5)),"")</f>
        <v/>
      </c>
      <c r="I53" s="26">
        <f>IFERROR(IF(INDEX('DMIC List - master'!$U:$U,MATCH($B53,CONTRACT_ID,0)+5)="","",INDEX('DMIC List - master'!$U:$U,MATCH($B53,CONTRACT_ID,0)+5)),"")</f>
        <v/>
      </c>
      <c r="K53" s="26" t="n"/>
      <c r="L53" s="26" t="n"/>
      <c r="M53" s="26" t="n"/>
      <c r="N53" s="26" t="n"/>
      <c r="O53" s="26" t="n"/>
      <c r="P53" s="26" t="n"/>
      <c r="R53" s="26" t="n"/>
    </row>
    <row r="54">
      <c r="B54" s="23">
        <f>IF('DMIC List - master'!B54="","",'DMIC List - master'!B54)</f>
        <v/>
      </c>
      <c r="C54" s="23">
        <f>IFERROR(IF(INDEX('DMIC List - master'!$C:$C,MATCH($B54,CONTRACT_ID,0)+5)="","",INDEX('DMIC List - master'!$C:$C,MATCH($B54,CONTRACT_ID,0)+5)),"")</f>
        <v/>
      </c>
      <c r="D54" s="23">
        <f>IFERROR(IF(INDEX('DMIC List - master'!$D:$D,MATCH($B54,CONTRACT_ID,0)+5)="","",INDEX('DMIC List - master'!$D:$D,MATCH($B54,CONTRACT_ID,0)+5)),"")</f>
        <v/>
      </c>
      <c r="E54" s="23">
        <f>IFERROR(IF(INDEX('DMIC List - master'!$E:$E,MATCH($B54,CONTRACT_ID,0)+5)="","",INDEX('DMIC List - master'!$E:$E,MATCH($B54,CONTRACT_ID,0)+5)),"")</f>
        <v/>
      </c>
      <c r="G54" s="23">
        <f>IFERROR(IF(INDEX('DMIC List - master'!$P:$P,MATCH($B54,CONTRACT_ID,0)+5)="","",INDEX('DMIC List - master'!$P:$P,MATCH($B54,CONTRACT_ID,0)+5)),"")</f>
        <v/>
      </c>
      <c r="H54" s="23">
        <f>IFERROR(IF(INDEX('DMIC List - master'!$Q:$Q,MATCH($B54,CONTRACT_ID,0)+5)="","",INDEX('DMIC List - master'!$Q:$Q,MATCH($B54,CONTRACT_ID,0)+5)),"")</f>
        <v/>
      </c>
      <c r="I54" s="23">
        <f>IFERROR(IF(INDEX('DMIC List - master'!$U:$U,MATCH($B54,CONTRACT_ID,0)+5)="","",INDEX('DMIC List - master'!$U:$U,MATCH($B54,CONTRACT_ID,0)+5)),"")</f>
        <v/>
      </c>
      <c r="K54" s="23" t="n"/>
      <c r="L54" s="23" t="n"/>
      <c r="M54" s="23" t="n"/>
      <c r="N54" s="23" t="n"/>
      <c r="O54" s="23" t="n"/>
      <c r="P54" s="23" t="n"/>
      <c r="R54" s="23" t="n"/>
    </row>
    <row r="55">
      <c r="B55" s="26">
        <f>IF('DMIC List - master'!B55="","",'DMIC List - master'!B55)</f>
        <v/>
      </c>
      <c r="C55" s="26">
        <f>IFERROR(IF(INDEX('DMIC List - master'!$C:$C,MATCH($B55,CONTRACT_ID,0)+5)="","",INDEX('DMIC List - master'!$C:$C,MATCH($B55,CONTRACT_ID,0)+5)),"")</f>
        <v/>
      </c>
      <c r="D55" s="26">
        <f>IFERROR(IF(INDEX('DMIC List - master'!$D:$D,MATCH($B55,CONTRACT_ID,0)+5)="","",INDEX('DMIC List - master'!$D:$D,MATCH($B55,CONTRACT_ID,0)+5)),"")</f>
        <v/>
      </c>
      <c r="E55" s="26">
        <f>IFERROR(IF(INDEX('DMIC List - master'!$E:$E,MATCH($B55,CONTRACT_ID,0)+5)="","",INDEX('DMIC List - master'!$E:$E,MATCH($B55,CONTRACT_ID,0)+5)),"")</f>
        <v/>
      </c>
      <c r="G55" s="26">
        <f>IFERROR(IF(INDEX('DMIC List - master'!$P:$P,MATCH($B55,CONTRACT_ID,0)+5)="","",INDEX('DMIC List - master'!$P:$P,MATCH($B55,CONTRACT_ID,0)+5)),"")</f>
        <v/>
      </c>
      <c r="H55" s="26">
        <f>IFERROR(IF(INDEX('DMIC List - master'!$Q:$Q,MATCH($B55,CONTRACT_ID,0)+5)="","",INDEX('DMIC List - master'!$Q:$Q,MATCH($B55,CONTRACT_ID,0)+5)),"")</f>
        <v/>
      </c>
      <c r="I55" s="26">
        <f>IFERROR(IF(INDEX('DMIC List - master'!$U:$U,MATCH($B55,CONTRACT_ID,0)+5)="","",INDEX('DMIC List - master'!$U:$U,MATCH($B55,CONTRACT_ID,0)+5)),"")</f>
        <v/>
      </c>
      <c r="K55" s="26" t="n"/>
      <c r="L55" s="26" t="n"/>
      <c r="M55" s="26" t="n"/>
      <c r="N55" s="26" t="n"/>
      <c r="O55" s="26" t="n"/>
      <c r="P55" s="26" t="n"/>
      <c r="R55" s="26" t="n"/>
    </row>
    <row r="56">
      <c r="B56" s="23">
        <f>IF('DMIC List - master'!B56="","",'DMIC List - master'!B56)</f>
        <v/>
      </c>
      <c r="C56" s="23">
        <f>IFERROR(IF(INDEX('DMIC List - master'!$C:$C,MATCH($B56,CONTRACT_ID,0)+5)="","",INDEX('DMIC List - master'!$C:$C,MATCH($B56,CONTRACT_ID,0)+5)),"")</f>
        <v/>
      </c>
      <c r="D56" s="23">
        <f>IFERROR(IF(INDEX('DMIC List - master'!$D:$D,MATCH($B56,CONTRACT_ID,0)+5)="","",INDEX('DMIC List - master'!$D:$D,MATCH($B56,CONTRACT_ID,0)+5)),"")</f>
        <v/>
      </c>
      <c r="E56" s="23">
        <f>IFERROR(IF(INDEX('DMIC List - master'!$E:$E,MATCH($B56,CONTRACT_ID,0)+5)="","",INDEX('DMIC List - master'!$E:$E,MATCH($B56,CONTRACT_ID,0)+5)),"")</f>
        <v/>
      </c>
      <c r="G56" s="23">
        <f>IFERROR(IF(INDEX('DMIC List - master'!$P:$P,MATCH($B56,CONTRACT_ID,0)+5)="","",INDEX('DMIC List - master'!$P:$P,MATCH($B56,CONTRACT_ID,0)+5)),"")</f>
        <v/>
      </c>
      <c r="H56" s="23">
        <f>IFERROR(IF(INDEX('DMIC List - master'!$Q:$Q,MATCH($B56,CONTRACT_ID,0)+5)="","",INDEX('DMIC List - master'!$Q:$Q,MATCH($B56,CONTRACT_ID,0)+5)),"")</f>
        <v/>
      </c>
      <c r="I56" s="23">
        <f>IFERROR(IF(INDEX('DMIC List - master'!$U:$U,MATCH($B56,CONTRACT_ID,0)+5)="","",INDEX('DMIC List - master'!$U:$U,MATCH($B56,CONTRACT_ID,0)+5)),"")</f>
        <v/>
      </c>
      <c r="K56" s="23" t="n"/>
      <c r="L56" s="23" t="n"/>
      <c r="M56" s="23" t="n"/>
      <c r="N56" s="23" t="n"/>
      <c r="O56" s="23" t="n"/>
      <c r="P56" s="23" t="n"/>
      <c r="R56" s="23" t="n"/>
    </row>
    <row r="57">
      <c r="B57" s="26">
        <f>IF('DMIC List - master'!B57="","",'DMIC List - master'!B57)</f>
        <v/>
      </c>
      <c r="C57" s="26">
        <f>IFERROR(IF(INDEX('DMIC List - master'!$C:$C,MATCH($B57,CONTRACT_ID,0)+5)="","",INDEX('DMIC List - master'!$C:$C,MATCH($B57,CONTRACT_ID,0)+5)),"")</f>
        <v/>
      </c>
      <c r="D57" s="26">
        <f>IFERROR(IF(INDEX('DMIC List - master'!$D:$D,MATCH($B57,CONTRACT_ID,0)+5)="","",INDEX('DMIC List - master'!$D:$D,MATCH($B57,CONTRACT_ID,0)+5)),"")</f>
        <v/>
      </c>
      <c r="E57" s="26">
        <f>IFERROR(IF(INDEX('DMIC List - master'!$E:$E,MATCH($B57,CONTRACT_ID,0)+5)="","",INDEX('DMIC List - master'!$E:$E,MATCH($B57,CONTRACT_ID,0)+5)),"")</f>
        <v/>
      </c>
      <c r="G57" s="26">
        <f>IFERROR(IF(INDEX('DMIC List - master'!$P:$P,MATCH($B57,CONTRACT_ID,0)+5)="","",INDEX('DMIC List - master'!$P:$P,MATCH($B57,CONTRACT_ID,0)+5)),"")</f>
        <v/>
      </c>
      <c r="H57" s="26">
        <f>IFERROR(IF(INDEX('DMIC List - master'!$Q:$Q,MATCH($B57,CONTRACT_ID,0)+5)="","",INDEX('DMIC List - master'!$Q:$Q,MATCH($B57,CONTRACT_ID,0)+5)),"")</f>
        <v/>
      </c>
      <c r="I57" s="26">
        <f>IFERROR(IF(INDEX('DMIC List - master'!$U:$U,MATCH($B57,CONTRACT_ID,0)+5)="","",INDEX('DMIC List - master'!$U:$U,MATCH($B57,CONTRACT_ID,0)+5)),"")</f>
        <v/>
      </c>
      <c r="K57" s="26" t="n"/>
      <c r="L57" s="26" t="n"/>
      <c r="M57" s="26" t="n"/>
      <c r="N57" s="26" t="n"/>
      <c r="O57" s="26" t="n"/>
      <c r="P57" s="26" t="n"/>
      <c r="R57" s="26" t="n"/>
    </row>
    <row r="58">
      <c r="B58" s="23">
        <f>IF('DMIC List - master'!B58="","",'DMIC List - master'!B58)</f>
        <v/>
      </c>
      <c r="C58" s="23">
        <f>IFERROR(IF(INDEX('DMIC List - master'!$C:$C,MATCH($B58,CONTRACT_ID,0)+5)="","",INDEX('DMIC List - master'!$C:$C,MATCH($B58,CONTRACT_ID,0)+5)),"")</f>
        <v/>
      </c>
      <c r="D58" s="23">
        <f>IFERROR(IF(INDEX('DMIC List - master'!$D:$D,MATCH($B58,CONTRACT_ID,0)+5)="","",INDEX('DMIC List - master'!$D:$D,MATCH($B58,CONTRACT_ID,0)+5)),"")</f>
        <v/>
      </c>
      <c r="E58" s="23">
        <f>IFERROR(IF(INDEX('DMIC List - master'!$E:$E,MATCH($B58,CONTRACT_ID,0)+5)="","",INDEX('DMIC List - master'!$E:$E,MATCH($B58,CONTRACT_ID,0)+5)),"")</f>
        <v/>
      </c>
      <c r="G58" s="23">
        <f>IFERROR(IF(INDEX('DMIC List - master'!$P:$P,MATCH($B58,CONTRACT_ID,0)+5)="","",INDEX('DMIC List - master'!$P:$P,MATCH($B58,CONTRACT_ID,0)+5)),"")</f>
        <v/>
      </c>
      <c r="H58" s="23">
        <f>IFERROR(IF(INDEX('DMIC List - master'!$Q:$Q,MATCH($B58,CONTRACT_ID,0)+5)="","",INDEX('DMIC List - master'!$Q:$Q,MATCH($B58,CONTRACT_ID,0)+5)),"")</f>
        <v/>
      </c>
      <c r="I58" s="23">
        <f>IFERROR(IF(INDEX('DMIC List - master'!$U:$U,MATCH($B58,CONTRACT_ID,0)+5)="","",INDEX('DMIC List - master'!$U:$U,MATCH($B58,CONTRACT_ID,0)+5)),"")</f>
        <v/>
      </c>
      <c r="K58" s="23" t="n"/>
      <c r="L58" s="23" t="n"/>
      <c r="M58" s="23" t="n"/>
      <c r="N58" s="23" t="n"/>
      <c r="O58" s="23" t="n"/>
      <c r="P58" s="23" t="n"/>
      <c r="R58" s="23" t="n"/>
    </row>
    <row r="59">
      <c r="B59" s="26">
        <f>IF('DMIC List - master'!B59="","",'DMIC List - master'!B59)</f>
        <v/>
      </c>
      <c r="C59" s="26">
        <f>IFERROR(IF(INDEX('DMIC List - master'!$C:$C,MATCH($B59,CONTRACT_ID,0)+5)="","",INDEX('DMIC List - master'!$C:$C,MATCH($B59,CONTRACT_ID,0)+5)),"")</f>
        <v/>
      </c>
      <c r="D59" s="26">
        <f>IFERROR(IF(INDEX('DMIC List - master'!$D:$D,MATCH($B59,CONTRACT_ID,0)+5)="","",INDEX('DMIC List - master'!$D:$D,MATCH($B59,CONTRACT_ID,0)+5)),"")</f>
        <v/>
      </c>
      <c r="E59" s="26">
        <f>IFERROR(IF(INDEX('DMIC List - master'!$E:$E,MATCH($B59,CONTRACT_ID,0)+5)="","",INDEX('DMIC List - master'!$E:$E,MATCH($B59,CONTRACT_ID,0)+5)),"")</f>
        <v/>
      </c>
      <c r="G59" s="26">
        <f>IFERROR(IF(INDEX('DMIC List - master'!$P:$P,MATCH($B59,CONTRACT_ID,0)+5)="","",INDEX('DMIC List - master'!$P:$P,MATCH($B59,CONTRACT_ID,0)+5)),"")</f>
        <v/>
      </c>
      <c r="H59" s="26">
        <f>IFERROR(IF(INDEX('DMIC List - master'!$Q:$Q,MATCH($B59,CONTRACT_ID,0)+5)="","",INDEX('DMIC List - master'!$Q:$Q,MATCH($B59,CONTRACT_ID,0)+5)),"")</f>
        <v/>
      </c>
      <c r="I59" s="26">
        <f>IFERROR(IF(INDEX('DMIC List - master'!$U:$U,MATCH($B59,CONTRACT_ID,0)+5)="","",INDEX('DMIC List - master'!$U:$U,MATCH($B59,CONTRACT_ID,0)+5)),"")</f>
        <v/>
      </c>
      <c r="K59" s="26" t="n"/>
      <c r="L59" s="26" t="n"/>
      <c r="M59" s="26" t="n"/>
      <c r="N59" s="26" t="n"/>
      <c r="O59" s="26" t="n"/>
      <c r="P59" s="26" t="n"/>
      <c r="R59" s="26" t="n"/>
    </row>
    <row r="60">
      <c r="B60" s="23">
        <f>IF('DMIC List - master'!B60="","",'DMIC List - master'!B60)</f>
        <v/>
      </c>
      <c r="C60" s="23">
        <f>IFERROR(IF(INDEX('DMIC List - master'!$C:$C,MATCH($B60,CONTRACT_ID,0)+5)="","",INDEX('DMIC List - master'!$C:$C,MATCH($B60,CONTRACT_ID,0)+5)),"")</f>
        <v/>
      </c>
      <c r="D60" s="23">
        <f>IFERROR(IF(INDEX('DMIC List - master'!$D:$D,MATCH($B60,CONTRACT_ID,0)+5)="","",INDEX('DMIC List - master'!$D:$D,MATCH($B60,CONTRACT_ID,0)+5)),"")</f>
        <v/>
      </c>
      <c r="E60" s="23">
        <f>IFERROR(IF(INDEX('DMIC List - master'!$E:$E,MATCH($B60,CONTRACT_ID,0)+5)="","",INDEX('DMIC List - master'!$E:$E,MATCH($B60,CONTRACT_ID,0)+5)),"")</f>
        <v/>
      </c>
      <c r="G60" s="23">
        <f>IFERROR(IF(INDEX('DMIC List - master'!$P:$P,MATCH($B60,CONTRACT_ID,0)+5)="","",INDEX('DMIC List - master'!$P:$P,MATCH($B60,CONTRACT_ID,0)+5)),"")</f>
        <v/>
      </c>
      <c r="H60" s="23">
        <f>IFERROR(IF(INDEX('DMIC List - master'!$Q:$Q,MATCH($B60,CONTRACT_ID,0)+5)="","",INDEX('DMIC List - master'!$Q:$Q,MATCH($B60,CONTRACT_ID,0)+5)),"")</f>
        <v/>
      </c>
      <c r="I60" s="23">
        <f>IFERROR(IF(INDEX('DMIC List - master'!$U:$U,MATCH($B60,CONTRACT_ID,0)+5)="","",INDEX('DMIC List - master'!$U:$U,MATCH($B60,CONTRACT_ID,0)+5)),"")</f>
        <v/>
      </c>
      <c r="K60" s="23" t="n"/>
      <c r="L60" s="23" t="n"/>
      <c r="M60" s="23" t="n"/>
      <c r="N60" s="23" t="n"/>
      <c r="O60" s="23" t="n"/>
      <c r="P60" s="23" t="n"/>
      <c r="R60" s="23" t="n"/>
    </row>
    <row r="61">
      <c r="B61" s="26">
        <f>IF('DMIC List - master'!B61="","",'DMIC List - master'!B61)</f>
        <v/>
      </c>
      <c r="C61" s="26">
        <f>IFERROR(IF(INDEX('DMIC List - master'!$C:$C,MATCH($B61,CONTRACT_ID,0)+5)="","",INDEX('DMIC List - master'!$C:$C,MATCH($B61,CONTRACT_ID,0)+5)),"")</f>
        <v/>
      </c>
      <c r="D61" s="26">
        <f>IFERROR(IF(INDEX('DMIC List - master'!$D:$D,MATCH($B61,CONTRACT_ID,0)+5)="","",INDEX('DMIC List - master'!$D:$D,MATCH($B61,CONTRACT_ID,0)+5)),"")</f>
        <v/>
      </c>
      <c r="E61" s="26">
        <f>IFERROR(IF(INDEX('DMIC List - master'!$E:$E,MATCH($B61,CONTRACT_ID,0)+5)="","",INDEX('DMIC List - master'!$E:$E,MATCH($B61,CONTRACT_ID,0)+5)),"")</f>
        <v/>
      </c>
      <c r="G61" s="26">
        <f>IFERROR(IF(INDEX('DMIC List - master'!$P:$P,MATCH($B61,CONTRACT_ID,0)+5)="","",INDEX('DMIC List - master'!$P:$P,MATCH($B61,CONTRACT_ID,0)+5)),"")</f>
        <v/>
      </c>
      <c r="H61" s="26">
        <f>IFERROR(IF(INDEX('DMIC List - master'!$Q:$Q,MATCH($B61,CONTRACT_ID,0)+5)="","",INDEX('DMIC List - master'!$Q:$Q,MATCH($B61,CONTRACT_ID,0)+5)),"")</f>
        <v/>
      </c>
      <c r="I61" s="26">
        <f>IFERROR(IF(INDEX('DMIC List - master'!$U:$U,MATCH($B61,CONTRACT_ID,0)+5)="","",INDEX('DMIC List - master'!$U:$U,MATCH($B61,CONTRACT_ID,0)+5)),"")</f>
        <v/>
      </c>
      <c r="K61" s="26" t="n"/>
      <c r="L61" s="26" t="n"/>
      <c r="M61" s="26" t="n"/>
      <c r="N61" s="26" t="n"/>
      <c r="O61" s="26" t="n"/>
      <c r="P61" s="26" t="n"/>
      <c r="R61" s="26" t="n"/>
    </row>
    <row r="62">
      <c r="B62" s="23">
        <f>IF('DMIC List - master'!B62="","",'DMIC List - master'!B62)</f>
        <v/>
      </c>
      <c r="C62" s="23">
        <f>IFERROR(IF(INDEX('DMIC List - master'!$C:$C,MATCH($B62,CONTRACT_ID,0)+5)="","",INDEX('DMIC List - master'!$C:$C,MATCH($B62,CONTRACT_ID,0)+5)),"")</f>
        <v/>
      </c>
      <c r="D62" s="23">
        <f>IFERROR(IF(INDEX('DMIC List - master'!$D:$D,MATCH($B62,CONTRACT_ID,0)+5)="","",INDEX('DMIC List - master'!$D:$D,MATCH($B62,CONTRACT_ID,0)+5)),"")</f>
        <v/>
      </c>
      <c r="E62" s="23">
        <f>IFERROR(IF(INDEX('DMIC List - master'!$E:$E,MATCH($B62,CONTRACT_ID,0)+5)="","",INDEX('DMIC List - master'!$E:$E,MATCH($B62,CONTRACT_ID,0)+5)),"")</f>
        <v/>
      </c>
      <c r="G62" s="23">
        <f>IFERROR(IF(INDEX('DMIC List - master'!$P:$P,MATCH($B62,CONTRACT_ID,0)+5)="","",INDEX('DMIC List - master'!$P:$P,MATCH($B62,CONTRACT_ID,0)+5)),"")</f>
        <v/>
      </c>
      <c r="H62" s="23">
        <f>IFERROR(IF(INDEX('DMIC List - master'!$Q:$Q,MATCH($B62,CONTRACT_ID,0)+5)="","",INDEX('DMIC List - master'!$Q:$Q,MATCH($B62,CONTRACT_ID,0)+5)),"")</f>
        <v/>
      </c>
      <c r="I62" s="23">
        <f>IFERROR(IF(INDEX('DMIC List - master'!$U:$U,MATCH($B62,CONTRACT_ID,0)+5)="","",INDEX('DMIC List - master'!$U:$U,MATCH($B62,CONTRACT_ID,0)+5)),"")</f>
        <v/>
      </c>
      <c r="K62" s="23" t="n"/>
      <c r="L62" s="23" t="n"/>
      <c r="M62" s="23" t="n"/>
      <c r="N62" s="23" t="n"/>
      <c r="O62" s="23" t="n"/>
      <c r="P62" s="23" t="n"/>
      <c r="R62" s="23" t="n"/>
    </row>
    <row r="63">
      <c r="B63" s="26">
        <f>IF('DMIC List - master'!B63="","",'DMIC List - master'!B63)</f>
        <v/>
      </c>
      <c r="C63" s="26">
        <f>IFERROR(IF(INDEX('DMIC List - master'!$C:$C,MATCH($B63,CONTRACT_ID,0)+5)="","",INDEX('DMIC List - master'!$C:$C,MATCH($B63,CONTRACT_ID,0)+5)),"")</f>
        <v/>
      </c>
      <c r="D63" s="26">
        <f>IFERROR(IF(INDEX('DMIC List - master'!$D:$D,MATCH($B63,CONTRACT_ID,0)+5)="","",INDEX('DMIC List - master'!$D:$D,MATCH($B63,CONTRACT_ID,0)+5)),"")</f>
        <v/>
      </c>
      <c r="E63" s="26">
        <f>IFERROR(IF(INDEX('DMIC List - master'!$E:$E,MATCH($B63,CONTRACT_ID,0)+5)="","",INDEX('DMIC List - master'!$E:$E,MATCH($B63,CONTRACT_ID,0)+5)),"")</f>
        <v/>
      </c>
      <c r="G63" s="26">
        <f>IFERROR(IF(INDEX('DMIC List - master'!$P:$P,MATCH($B63,CONTRACT_ID,0)+5)="","",INDEX('DMIC List - master'!$P:$P,MATCH($B63,CONTRACT_ID,0)+5)),"")</f>
        <v/>
      </c>
      <c r="H63" s="26">
        <f>IFERROR(IF(INDEX('DMIC List - master'!$Q:$Q,MATCH($B63,CONTRACT_ID,0)+5)="","",INDEX('DMIC List - master'!$Q:$Q,MATCH($B63,CONTRACT_ID,0)+5)),"")</f>
        <v/>
      </c>
      <c r="I63" s="26">
        <f>IFERROR(IF(INDEX('DMIC List - master'!$U:$U,MATCH($B63,CONTRACT_ID,0)+5)="","",INDEX('DMIC List - master'!$U:$U,MATCH($B63,CONTRACT_ID,0)+5)),"")</f>
        <v/>
      </c>
      <c r="K63" s="26" t="n"/>
      <c r="L63" s="26" t="n"/>
      <c r="M63" s="26" t="n"/>
      <c r="N63" s="26" t="n"/>
      <c r="O63" s="26" t="n"/>
      <c r="P63" s="26" t="n"/>
      <c r="R63" s="26" t="n"/>
    </row>
    <row r="64">
      <c r="B64" s="23">
        <f>IF('DMIC List - master'!B64="","",'DMIC List - master'!B64)</f>
        <v/>
      </c>
      <c r="C64" s="23">
        <f>IFERROR(IF(INDEX('DMIC List - master'!$C:$C,MATCH($B64,CONTRACT_ID,0)+5)="","",INDEX('DMIC List - master'!$C:$C,MATCH($B64,CONTRACT_ID,0)+5)),"")</f>
        <v/>
      </c>
      <c r="D64" s="23">
        <f>IFERROR(IF(INDEX('DMIC List - master'!$D:$D,MATCH($B64,CONTRACT_ID,0)+5)="","",INDEX('DMIC List - master'!$D:$D,MATCH($B64,CONTRACT_ID,0)+5)),"")</f>
        <v/>
      </c>
      <c r="E64" s="23">
        <f>IFERROR(IF(INDEX('DMIC List - master'!$E:$E,MATCH($B64,CONTRACT_ID,0)+5)="","",INDEX('DMIC List - master'!$E:$E,MATCH($B64,CONTRACT_ID,0)+5)),"")</f>
        <v/>
      </c>
      <c r="G64" s="23">
        <f>IFERROR(IF(INDEX('DMIC List - master'!$P:$P,MATCH($B64,CONTRACT_ID,0)+5)="","",INDEX('DMIC List - master'!$P:$P,MATCH($B64,CONTRACT_ID,0)+5)),"")</f>
        <v/>
      </c>
      <c r="H64" s="23">
        <f>IFERROR(IF(INDEX('DMIC List - master'!$Q:$Q,MATCH($B64,CONTRACT_ID,0)+5)="","",INDEX('DMIC List - master'!$Q:$Q,MATCH($B64,CONTRACT_ID,0)+5)),"")</f>
        <v/>
      </c>
      <c r="I64" s="23">
        <f>IFERROR(IF(INDEX('DMIC List - master'!$U:$U,MATCH($B64,CONTRACT_ID,0)+5)="","",INDEX('DMIC List - master'!$U:$U,MATCH($B64,CONTRACT_ID,0)+5)),"")</f>
        <v/>
      </c>
      <c r="K64" s="23" t="n"/>
      <c r="L64" s="23" t="n"/>
      <c r="M64" s="23" t="n"/>
      <c r="N64" s="23" t="n"/>
      <c r="O64" s="23" t="n"/>
      <c r="P64" s="23" t="n"/>
      <c r="R64" s="23" t="n"/>
    </row>
    <row r="65">
      <c r="B65" s="26">
        <f>IF('DMIC List - master'!B65="","",'DMIC List - master'!B65)</f>
        <v/>
      </c>
      <c r="C65" s="26">
        <f>IFERROR(IF(INDEX('DMIC List - master'!$C:$C,MATCH($B65,CONTRACT_ID,0)+5)="","",INDEX('DMIC List - master'!$C:$C,MATCH($B65,CONTRACT_ID,0)+5)),"")</f>
        <v/>
      </c>
      <c r="D65" s="26">
        <f>IFERROR(IF(INDEX('DMIC List - master'!$D:$D,MATCH($B65,CONTRACT_ID,0)+5)="","",INDEX('DMIC List - master'!$D:$D,MATCH($B65,CONTRACT_ID,0)+5)),"")</f>
        <v/>
      </c>
      <c r="E65" s="26">
        <f>IFERROR(IF(INDEX('DMIC List - master'!$E:$E,MATCH($B65,CONTRACT_ID,0)+5)="","",INDEX('DMIC List - master'!$E:$E,MATCH($B65,CONTRACT_ID,0)+5)),"")</f>
        <v/>
      </c>
      <c r="G65" s="26">
        <f>IFERROR(IF(INDEX('DMIC List - master'!$P:$P,MATCH($B65,CONTRACT_ID,0)+5)="","",INDEX('DMIC List - master'!$P:$P,MATCH($B65,CONTRACT_ID,0)+5)),"")</f>
        <v/>
      </c>
      <c r="H65" s="26">
        <f>IFERROR(IF(INDEX('DMIC List - master'!$Q:$Q,MATCH($B65,CONTRACT_ID,0)+5)="","",INDEX('DMIC List - master'!$Q:$Q,MATCH($B65,CONTRACT_ID,0)+5)),"")</f>
        <v/>
      </c>
      <c r="I65" s="26">
        <f>IFERROR(IF(INDEX('DMIC List - master'!$U:$U,MATCH($B65,CONTRACT_ID,0)+5)="","",INDEX('DMIC List - master'!$U:$U,MATCH($B65,CONTRACT_ID,0)+5)),"")</f>
        <v/>
      </c>
      <c r="K65" s="26" t="n"/>
      <c r="L65" s="26" t="n"/>
      <c r="M65" s="26" t="n"/>
      <c r="N65" s="26" t="n"/>
      <c r="O65" s="26" t="n"/>
      <c r="P65" s="26" t="n"/>
      <c r="R65" s="26" t="n"/>
    </row>
  </sheetData>
  <mergeCells count="3">
    <mergeCell ref="G4:I4"/>
    <mergeCell ref="K4:P4"/>
    <mergeCell ref="B4:E4"/>
  </mergeCells>
  <printOptions horizontalCentered="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40" customWidth="1" min="7" max="7"/>
    <col width="20" customWidth="1" min="8" max="8"/>
    <col width="40" customWidth="1" min="9" max="9"/>
  </cols>
  <sheetData>
    <row r="1"/>
    <row r="2">
      <c r="B2" s="1" t="inlineStr">
        <is>
          <t>Site Services</t>
        </is>
      </c>
    </row>
    <row r="3">
      <c r="B3" s="4" t="inlineStr">
        <is>
          <t>Common building logistics and who is responsible - not contract-specific.</t>
        </is>
      </c>
    </row>
    <row r="4"/>
    <row r="5"/>
    <row r="6" ht="34" customHeight="1">
      <c r="B6" s="47" t="inlineStr">
        <is>
          <t>Common Building Logistics</t>
        </is>
      </c>
      <c r="C6" s="47" t="inlineStr">
        <is>
          <t>Employer/Contractor Obligation</t>
        </is>
      </c>
      <c r="D6" s="47" t="inlineStr">
        <is>
          <t>Service Provider</t>
        </is>
      </c>
      <c r="E6" s="47" t="inlineStr">
        <is>
          <t>Service Available</t>
        </is>
      </c>
      <c r="F6" s="47" t="inlineStr">
        <is>
          <t>Responsible Party for Costs</t>
        </is>
      </c>
      <c r="G6" s="47" t="inlineStr">
        <is>
          <t>Notes</t>
        </is>
      </c>
      <c r="H6" s="47" t="inlineStr">
        <is>
          <t>NNB Responsible Team</t>
        </is>
      </c>
      <c r="I6" s="47" t="inlineStr">
        <is>
          <t>How this is arranged - details</t>
        </is>
      </c>
    </row>
    <row r="7">
      <c r="B7" s="23" t="inlineStr">
        <is>
          <t>Task Lighting</t>
        </is>
      </c>
      <c r="C7" s="23" t="inlineStr">
        <is>
          <t>DMIC Contractor</t>
        </is>
      </c>
      <c r="D7" s="23" t="inlineStr">
        <is>
          <t>DMIC Contractor</t>
        </is>
      </c>
      <c r="E7" s="23" t="inlineStr">
        <is>
          <t>DMIC Contractor</t>
        </is>
      </c>
      <c r="F7" s="23" t="inlineStr">
        <is>
          <t>DMIC Contractor</t>
        </is>
      </c>
      <c r="G7" s="23" t="n"/>
      <c r="H7" s="23" t="n"/>
      <c r="I7" s="23" t="n"/>
    </row>
    <row r="8">
      <c r="B8" s="26" t="inlineStr">
        <is>
          <t>Work Area Cleaning</t>
        </is>
      </c>
      <c r="C8" s="26" t="inlineStr">
        <is>
          <t>DMIC Contractor</t>
        </is>
      </c>
      <c r="D8" s="26" t="inlineStr">
        <is>
          <t>DMIC Contractor</t>
        </is>
      </c>
      <c r="E8" s="26" t="inlineStr">
        <is>
          <t>DMIC Contractor</t>
        </is>
      </c>
      <c r="F8" s="26" t="inlineStr">
        <is>
          <t>DMIC Contractor</t>
        </is>
      </c>
      <c r="G8" s="26" t="n"/>
      <c r="H8" s="26" t="n"/>
      <c r="I8" s="26" t="n"/>
    </row>
    <row r="9">
      <c r="B9" s="23" t="inlineStr">
        <is>
          <t>Task Fire Protection/Suppression</t>
        </is>
      </c>
      <c r="C9" s="23" t="inlineStr">
        <is>
          <t>DMIC Contractor</t>
        </is>
      </c>
      <c r="D9" s="23" t="inlineStr">
        <is>
          <t>DMIC Contractor</t>
        </is>
      </c>
      <c r="E9" s="23" t="inlineStr">
        <is>
          <t>DMIC Contractor</t>
        </is>
      </c>
      <c r="F9" s="23" t="inlineStr">
        <is>
          <t>DMIC Contractor</t>
        </is>
      </c>
      <c r="G9" s="23" t="n"/>
      <c r="H9" s="23" t="n"/>
      <c r="I9" s="23" t="n"/>
    </row>
    <row r="10">
      <c r="B10" s="26" t="inlineStr">
        <is>
          <t>Temporary Power Supplies</t>
        </is>
      </c>
      <c r="C10" s="26" t="inlineStr">
        <is>
          <t>Employer</t>
        </is>
      </c>
      <c r="D10" s="26" t="inlineStr">
        <is>
          <t>Dalkia</t>
        </is>
      </c>
      <c r="E10" s="26" t="inlineStr">
        <is>
          <t>Dalkia Contract xx</t>
        </is>
      </c>
      <c r="F10" s="26" t="inlineStr">
        <is>
          <t>Employer</t>
        </is>
      </c>
      <c r="G10" s="26" t="n"/>
      <c r="H10" s="26" t="n"/>
      <c r="I10" s="26" t="inlineStr">
        <is>
          <t>Area team to provide, reach out and ask 16wks out but doent always happen</t>
        </is>
      </c>
    </row>
    <row r="11">
      <c r="B11" s="23" t="inlineStr">
        <is>
          <t>Temporary Lighting</t>
        </is>
      </c>
      <c r="C11" s="23" t="inlineStr">
        <is>
          <t>Employer</t>
        </is>
      </c>
      <c r="D11" s="23" t="inlineStr">
        <is>
          <t>Dalkia</t>
        </is>
      </c>
      <c r="E11" s="23" t="inlineStr">
        <is>
          <t>Dalkia Contract xx</t>
        </is>
      </c>
      <c r="F11" s="23" t="inlineStr">
        <is>
          <t>Employer</t>
        </is>
      </c>
      <c r="G11" s="23" t="n"/>
      <c r="H11" s="23" t="n"/>
      <c r="I11" s="23" t="n"/>
    </row>
    <row r="12">
      <c r="B12" s="26" t="inlineStr">
        <is>
          <t>Temporary HVAC/Heating</t>
        </is>
      </c>
      <c r="C12" s="26" t="inlineStr">
        <is>
          <t>Employer</t>
        </is>
      </c>
      <c r="D12" s="26" t="inlineStr">
        <is>
          <t>Dalkia</t>
        </is>
      </c>
      <c r="E12" s="26" t="inlineStr">
        <is>
          <t>Dalkia Contract xx</t>
        </is>
      </c>
      <c r="F12" s="26" t="inlineStr">
        <is>
          <t>Employer</t>
        </is>
      </c>
      <c r="G12" s="26" t="n"/>
      <c r="H12" s="26" t="n"/>
      <c r="I12" s="26" t="n"/>
    </row>
    <row r="13">
      <c r="B13" s="23" t="inlineStr">
        <is>
          <t>General Area Cleaning</t>
        </is>
      </c>
      <c r="C13" s="23" t="inlineStr">
        <is>
          <t>Employer</t>
        </is>
      </c>
      <c r="D13" s="23" t="inlineStr">
        <is>
          <t>Wilson James</t>
        </is>
      </c>
      <c r="E13" s="23" t="inlineStr">
        <is>
          <t>WJ Contract xx</t>
        </is>
      </c>
      <c r="F13" s="23" t="inlineStr">
        <is>
          <t>Employer</t>
        </is>
      </c>
      <c r="G13" s="23" t="n"/>
      <c r="H13" s="23" t="n"/>
      <c r="I13" s="23" t="n"/>
    </row>
    <row r="14">
      <c r="B14" s="26" t="inlineStr">
        <is>
          <t>Temporary Doors/Opening Protection</t>
        </is>
      </c>
      <c r="C14" s="26" t="inlineStr">
        <is>
          <t>Employer</t>
        </is>
      </c>
      <c r="D14" s="26" t="inlineStr">
        <is>
          <t>BYLOR/MEH</t>
        </is>
      </c>
      <c r="E14" s="26" t="inlineStr">
        <is>
          <t>BYLOR/MEH</t>
        </is>
      </c>
      <c r="F14" s="26" t="inlineStr">
        <is>
          <t>Employer</t>
        </is>
      </c>
      <c r="G14" s="26" t="inlineStr">
        <is>
          <t>Confirm provider?</t>
        </is>
      </c>
      <c r="H14" s="26" t="n"/>
      <c r="I14" s="26" t="n"/>
    </row>
    <row r="15">
      <c r="B15" s="23" t="inlineStr">
        <is>
          <t>Internal Flow Management (signage, barriers)</t>
        </is>
      </c>
      <c r="C15" s="23" t="inlineStr">
        <is>
          <t>Employer</t>
        </is>
      </c>
      <c r="D15" s="23" t="inlineStr">
        <is>
          <t>Wilson James</t>
        </is>
      </c>
      <c r="E15" s="23" t="inlineStr">
        <is>
          <t>WJ Contract xx</t>
        </is>
      </c>
      <c r="F15" s="23" t="inlineStr">
        <is>
          <t>Employer</t>
        </is>
      </c>
      <c r="G15" s="23" t="n"/>
      <c r="H15" s="23" t="n"/>
      <c r="I15" s="23" t="inlineStr">
        <is>
          <t>FAYAT responsible for barriers they have their own</t>
        </is>
      </c>
    </row>
    <row r="16">
      <c r="B16" s="26" t="inlineStr">
        <is>
          <t>External Flow Management (signage, barriers)</t>
        </is>
      </c>
      <c r="C16" s="26" t="inlineStr">
        <is>
          <t>Employer</t>
        </is>
      </c>
      <c r="D16" s="26" t="inlineStr">
        <is>
          <t>Wilson James</t>
        </is>
      </c>
      <c r="E16" s="26" t="inlineStr">
        <is>
          <t>WJ Contract xx</t>
        </is>
      </c>
      <c r="F16" s="26" t="inlineStr">
        <is>
          <t>Employer</t>
        </is>
      </c>
      <c r="G16" s="26" t="n"/>
      <c r="H16" s="26" t="n"/>
      <c r="I16" s="26" t="n"/>
    </row>
    <row r="17">
      <c r="B17" s="23" t="inlineStr">
        <is>
          <t>Temporary Fire Stops</t>
        </is>
      </c>
      <c r="C17" s="23" t="inlineStr">
        <is>
          <t>Employer</t>
        </is>
      </c>
      <c r="D17" s="23" t="inlineStr">
        <is>
          <t>Wilson James</t>
        </is>
      </c>
      <c r="E17" s="23" t="inlineStr">
        <is>
          <t>WJ Contract xx</t>
        </is>
      </c>
      <c r="F17" s="23" t="inlineStr">
        <is>
          <t>Employer</t>
        </is>
      </c>
      <c r="G17" s="23" t="n"/>
      <c r="H17" s="23" t="n"/>
      <c r="I17" s="23" t="n"/>
    </row>
    <row r="18">
      <c r="B18" s="26" t="inlineStr">
        <is>
          <t>Temporary Fire Detection</t>
        </is>
      </c>
      <c r="C18" s="26" t="inlineStr">
        <is>
          <t>Employer</t>
        </is>
      </c>
      <c r="D18" s="26" t="inlineStr">
        <is>
          <t>Wilson James</t>
        </is>
      </c>
      <c r="E18" s="26" t="inlineStr">
        <is>
          <t>WJ Contract xx</t>
        </is>
      </c>
      <c r="F18" s="26" t="inlineStr">
        <is>
          <t>Employer</t>
        </is>
      </c>
      <c r="G18" s="26" t="n"/>
      <c r="H18" s="26" t="n"/>
      <c r="I18" s="26" t="n"/>
    </row>
    <row r="19">
      <c r="B19" s="23" t="inlineStr">
        <is>
          <t>Building Fire Points and Extinguishers</t>
        </is>
      </c>
      <c r="C19" s="23" t="inlineStr">
        <is>
          <t>Employer</t>
        </is>
      </c>
      <c r="D19" s="23" t="inlineStr">
        <is>
          <t>Wilson James</t>
        </is>
      </c>
      <c r="E19" s="23" t="inlineStr">
        <is>
          <t>WJ Contract xx</t>
        </is>
      </c>
      <c r="F19" s="23" t="inlineStr">
        <is>
          <t>Employer</t>
        </is>
      </c>
      <c r="G19" s="23" t="n"/>
      <c r="H19" s="23" t="n"/>
      <c r="I19" s="23" t="n"/>
    </row>
    <row r="20"/>
    <row r="21"/>
    <row r="22" ht="34" customHeight="1">
      <c r="B22" s="47" t="inlineStr">
        <is>
          <t>Access and Lifting</t>
        </is>
      </c>
      <c r="C22" s="47" t="inlineStr">
        <is>
          <t>Employer/Contractor Obligation</t>
        </is>
      </c>
      <c r="D22" s="47" t="inlineStr">
        <is>
          <t>Service Provider</t>
        </is>
      </c>
      <c r="E22" s="47" t="inlineStr">
        <is>
          <t>Service Available</t>
        </is>
      </c>
      <c r="F22" s="47" t="inlineStr">
        <is>
          <t>Responsible Party for Costs</t>
        </is>
      </c>
      <c r="G22" s="47" t="inlineStr">
        <is>
          <t>Notes</t>
        </is>
      </c>
      <c r="H22" s="47" t="inlineStr">
        <is>
          <t>NNB Responsible Team</t>
        </is>
      </c>
      <c r="I22" s="47" t="inlineStr">
        <is>
          <t>How this is arranged - details</t>
        </is>
      </c>
    </row>
    <row r="23">
      <c r="B23" s="26" t="inlineStr">
        <is>
          <t>Scaffolding</t>
        </is>
      </c>
      <c r="C23" s="26" t="inlineStr">
        <is>
          <t>Employer</t>
        </is>
      </c>
      <c r="D23" s="26" t="inlineStr">
        <is>
          <t>MEH / DMIC Contactor</t>
        </is>
      </c>
      <c r="E23" s="26" t="inlineStr">
        <is>
          <t>MEH "Access for Others"</t>
        </is>
      </c>
      <c r="F23" s="26" t="inlineStr">
        <is>
          <t>Employer</t>
        </is>
      </c>
      <c r="G23" s="26" t="inlineStr">
        <is>
          <t>Direct hire of scaffolding by certain DMIC Contractors (e.g. H&amp;E, Otis,…)</t>
        </is>
      </c>
      <c r="H23" s="26" t="n"/>
      <c r="I23" s="26" t="inlineStr">
        <is>
          <t>Fyat contracts exclude scaffolding. Go out with scaffolders walk down with authorisation, Altrad.</t>
        </is>
      </c>
    </row>
    <row r="24">
      <c r="B24" s="23" t="inlineStr">
        <is>
          <t>MEWPs</t>
        </is>
      </c>
      <c r="C24" s="23" t="inlineStr">
        <is>
          <t>Employer</t>
        </is>
      </c>
      <c r="D24" s="23" t="inlineStr">
        <is>
          <t>DMIC Contractor</t>
        </is>
      </c>
      <c r="E24" s="23" t="inlineStr">
        <is>
          <t>Direct hire by DMIC Contractor</t>
        </is>
      </c>
      <c r="F24" s="23" t="inlineStr">
        <is>
          <t>Employer</t>
        </is>
      </c>
      <c r="G24" s="23" t="inlineStr">
        <is>
          <t>NNB do not have a direct hire Contract. Proposal for DMIC Contractor to direct hire to avoid multiple fee mark-ups.</t>
        </is>
      </c>
      <c r="H24" s="23" t="n"/>
      <c r="I24" s="23" t="inlineStr">
        <is>
          <t>Sometimes availaility to share, 'exhange note' otherwise FAYAT hire in their own</t>
        </is>
      </c>
    </row>
    <row r="25">
      <c r="B25" s="26" t="inlineStr">
        <is>
          <t>Hoists and Operators</t>
        </is>
      </c>
      <c r="C25" s="26" t="inlineStr">
        <is>
          <t>Employer</t>
        </is>
      </c>
      <c r="D25" s="26" t="inlineStr">
        <is>
          <t>MEH</t>
        </is>
      </c>
      <c r="E25" s="26" t="inlineStr">
        <is>
          <t>MEH</t>
        </is>
      </c>
      <c r="F25" s="26" t="inlineStr">
        <is>
          <t>Employer</t>
        </is>
      </c>
      <c r="G25" s="26" t="inlineStr">
        <is>
          <t>Use of hoist issue issues in HD buildings. Equans have a rigging team by are not authorised to use hoist and are dependent on MEH. Potential claims.</t>
        </is>
      </c>
      <c r="H25" s="26" t="n"/>
      <c r="I25" s="26" t="n"/>
    </row>
    <row r="26">
      <c r="B26" s="23" t="inlineStr">
        <is>
          <t>Cranes and Operators</t>
        </is>
      </c>
      <c r="C26" s="23" t="inlineStr">
        <is>
          <t>Employer</t>
        </is>
      </c>
      <c r="D26" s="23" t="inlineStr">
        <is>
          <t>BYLOR / MEH</t>
        </is>
      </c>
      <c r="E26" s="23" t="inlineStr">
        <is>
          <t>BYLOR / MEH "Lifing for Others"</t>
        </is>
      </c>
      <c r="F26" s="23" t="inlineStr">
        <is>
          <t>Employer</t>
        </is>
      </c>
      <c r="G26" s="23" t="inlineStr">
        <is>
          <t>Tower cranes and mobile cranes. There is an agreed schedule of lifts for HLC.</t>
        </is>
      </c>
      <c r="H26" s="23" t="n"/>
      <c r="I26" s="23" t="inlineStr">
        <is>
          <t>TC controlled by bylor FAYAT request directly with Different areas do different things.</t>
        </is>
      </c>
    </row>
    <row r="27"/>
    <row r="28"/>
    <row r="29" ht="34" customHeight="1">
      <c r="B29" s="47" t="inlineStr">
        <is>
          <t>Construction Utilities</t>
        </is>
      </c>
      <c r="C29" s="47" t="inlineStr">
        <is>
          <t>Employer/Contractor Obligation</t>
        </is>
      </c>
      <c r="D29" s="47" t="inlineStr">
        <is>
          <t>Service Provider</t>
        </is>
      </c>
      <c r="E29" s="47" t="inlineStr">
        <is>
          <t>Service Available</t>
        </is>
      </c>
      <c r="F29" s="47" t="inlineStr">
        <is>
          <t>Responsible Party for Costs</t>
        </is>
      </c>
      <c r="G29" s="47" t="inlineStr">
        <is>
          <t>Notes</t>
        </is>
      </c>
      <c r="H29" s="47" t="inlineStr">
        <is>
          <t>NNB Responsible Team</t>
        </is>
      </c>
      <c r="I29" s="47" t="inlineStr">
        <is>
          <t>How this is arranged - details</t>
        </is>
      </c>
    </row>
    <row r="30">
      <c r="B30" s="26" t="inlineStr">
        <is>
          <t>DEMIN Water</t>
        </is>
      </c>
      <c r="C30" s="26" t="inlineStr">
        <is>
          <t>Employer</t>
        </is>
      </c>
      <c r="D30" s="26" t="inlineStr">
        <is>
          <t>??</t>
        </is>
      </c>
      <c r="E30" s="26" t="inlineStr">
        <is>
          <t>??</t>
        </is>
      </c>
      <c r="F30" s="26" t="inlineStr">
        <is>
          <t>Employer</t>
        </is>
      </c>
      <c r="G30" s="26" t="inlineStr">
        <is>
          <t>Provider to be confirmed. Availability from BOP DEMIN water plant?</t>
        </is>
      </c>
      <c r="H30" s="26" t="n"/>
      <c r="I30" s="26" t="n"/>
    </row>
    <row r="31">
      <c r="B31" s="23" t="inlineStr">
        <is>
          <t>Potable Water</t>
        </is>
      </c>
      <c r="C31" s="23" t="inlineStr">
        <is>
          <t>Employer</t>
        </is>
      </c>
      <c r="D31" s="23" t="inlineStr">
        <is>
          <t>NNB Site Ops</t>
        </is>
      </c>
      <c r="E31" s="23" t="inlineStr">
        <is>
          <t>NNB Site Ops</t>
        </is>
      </c>
      <c r="F31" s="23" t="inlineStr">
        <is>
          <t>Employer</t>
        </is>
      </c>
      <c r="G31" s="23" t="inlineStr">
        <is>
          <t>Check?</t>
        </is>
      </c>
      <c r="H31" s="23" t="n"/>
      <c r="I31" s="23" t="n"/>
    </row>
    <row r="32">
      <c r="B32" s="26" t="inlineStr">
        <is>
          <t>Welding Gas</t>
        </is>
      </c>
      <c r="C32" s="26" t="inlineStr">
        <is>
          <t>DMIC Contractor</t>
        </is>
      </c>
      <c r="D32" s="26" t="inlineStr">
        <is>
          <t>DMIC Contractor</t>
        </is>
      </c>
      <c r="E32" s="26" t="inlineStr">
        <is>
          <t>DMIC Contractor</t>
        </is>
      </c>
      <c r="F32" s="26" t="inlineStr">
        <is>
          <t>DMIC Contractor</t>
        </is>
      </c>
      <c r="G32" s="26" t="n"/>
      <c r="H32" s="26" t="n"/>
      <c r="I32" s="26" t="n"/>
    </row>
    <row r="33">
      <c r="B33" s="23" t="inlineStr">
        <is>
          <t>Compressed/dry air</t>
        </is>
      </c>
      <c r="C33" s="23" t="inlineStr">
        <is>
          <t>DMIC Contractor</t>
        </is>
      </c>
      <c r="D33" s="23" t="inlineStr">
        <is>
          <t>DMIC Contractor</t>
        </is>
      </c>
      <c r="E33" s="23" t="inlineStr">
        <is>
          <t>DMIC Contractor</t>
        </is>
      </c>
      <c r="F33" s="23" t="inlineStr">
        <is>
          <t>DMIC Contractor</t>
        </is>
      </c>
      <c r="G33" s="23" t="n"/>
      <c r="H33" s="23" t="n"/>
      <c r="I33" s="23" t="n"/>
    </row>
    <row r="34">
      <c r="B34" s="26" t="inlineStr">
        <is>
          <t>Nitrogen / other gases</t>
        </is>
      </c>
      <c r="C34" s="26" t="inlineStr">
        <is>
          <t>DMIC Contractor</t>
        </is>
      </c>
      <c r="D34" s="26" t="inlineStr">
        <is>
          <t>DMIC Contractor</t>
        </is>
      </c>
      <c r="E34" s="26" t="inlineStr">
        <is>
          <t>DMIC Contractor</t>
        </is>
      </c>
      <c r="F34" s="26" t="inlineStr">
        <is>
          <t>DMIC Contractor</t>
        </is>
      </c>
      <c r="G34" s="26" t="n"/>
      <c r="H34" s="26" t="n"/>
      <c r="I34" s="26" t="n"/>
    </row>
    <row r="35">
      <c r="B35" s="23" t="inlineStr">
        <is>
          <t>Diesel Fuel</t>
        </is>
      </c>
      <c r="C35" s="23" t="inlineStr">
        <is>
          <t>DMIC Contractor</t>
        </is>
      </c>
      <c r="D35" s="23" t="inlineStr">
        <is>
          <t>NNB Site Ops</t>
        </is>
      </c>
      <c r="E35" s="23" t="inlineStr">
        <is>
          <t>Ceretas Contract xx</t>
        </is>
      </c>
      <c r="F35" s="23" t="inlineStr">
        <is>
          <t>DMIC Contractor</t>
        </is>
      </c>
      <c r="G35" s="23" t="inlineStr">
        <is>
          <t>Task order to be set up. Costs backcharged to DMIC Contractors. Check with SPM/PM</t>
        </is>
      </c>
      <c r="H35" s="23" t="n"/>
      <c r="I35" s="23" t="n"/>
    </row>
    <row r="36">
      <c r="B36" s="26" t="inlineStr">
        <is>
          <t>Oils &amp; Lubriucants</t>
        </is>
      </c>
      <c r="C36" s="26" t="inlineStr">
        <is>
          <t>DMIC Contractor</t>
        </is>
      </c>
      <c r="D36" s="26" t="inlineStr">
        <is>
          <t>DMIC Contractor</t>
        </is>
      </c>
      <c r="E36" s="26" t="inlineStr">
        <is>
          <t>DMIC Contractor</t>
        </is>
      </c>
      <c r="F36" s="26" t="inlineStr">
        <is>
          <t>DMIC Contractor</t>
        </is>
      </c>
      <c r="G36" s="26" t="n"/>
      <c r="H36" s="26" t="n"/>
      <c r="I36" s="26" t="n"/>
    </row>
    <row r="37"/>
    <row r="38"/>
    <row r="39" ht="34" customHeight="1">
      <c r="B39" s="47" t="inlineStr">
        <is>
          <t>Site Services</t>
        </is>
      </c>
      <c r="C39" s="47" t="inlineStr">
        <is>
          <t>Employer/Contractor Obligation</t>
        </is>
      </c>
      <c r="D39" s="47" t="inlineStr">
        <is>
          <t>Service Provider</t>
        </is>
      </c>
      <c r="E39" s="47" t="inlineStr">
        <is>
          <t>Service Available</t>
        </is>
      </c>
      <c r="F39" s="47" t="inlineStr">
        <is>
          <t>Responsible Party for Costs</t>
        </is>
      </c>
      <c r="G39" s="47" t="inlineStr">
        <is>
          <t>Notes</t>
        </is>
      </c>
      <c r="H39" s="47" t="inlineStr">
        <is>
          <t>NNB Responsible Team</t>
        </is>
      </c>
      <c r="I39" s="47" t="inlineStr">
        <is>
          <t>How this is arranged - details</t>
        </is>
      </c>
    </row>
    <row r="40">
      <c r="B40" s="23" t="inlineStr">
        <is>
          <t>Office Accommodation</t>
        </is>
      </c>
      <c r="C40" s="23" t="inlineStr">
        <is>
          <t>Employer</t>
        </is>
      </c>
      <c r="D40" s="23" t="inlineStr">
        <is>
          <t>NNB Site Ops</t>
        </is>
      </c>
      <c r="E40" s="23" t="inlineStr">
        <is>
          <t>NNB Site Ops</t>
        </is>
      </c>
      <c r="F40" s="23" t="inlineStr">
        <is>
          <t>Employer</t>
        </is>
      </c>
      <c r="G40" s="23" t="inlineStr">
        <is>
          <t>Site welfare buildings. Limited facilities provided in Contractor compound areas</t>
        </is>
      </c>
      <c r="H40" s="23" t="n"/>
      <c r="I40" s="23" t="n"/>
    </row>
    <row r="41">
      <c r="B41" s="26" t="inlineStr">
        <is>
          <t>Lockers and Changing Room Facilities</t>
        </is>
      </c>
      <c r="C41" s="26" t="inlineStr">
        <is>
          <t>Employer</t>
        </is>
      </c>
      <c r="D41" s="26" t="inlineStr">
        <is>
          <t>NNB Site Ops</t>
        </is>
      </c>
      <c r="E41" s="26" t="inlineStr">
        <is>
          <t>NNB Site Ops</t>
        </is>
      </c>
      <c r="F41" s="26" t="inlineStr">
        <is>
          <t>Employer</t>
        </is>
      </c>
      <c r="G41" s="26" t="inlineStr">
        <is>
          <t>Site welfare buildings. Limited facilities provided in Contractor compound areas</t>
        </is>
      </c>
      <c r="H41" s="26" t="n"/>
      <c r="I41" s="26" t="n"/>
    </row>
    <row r="42">
      <c r="B42" s="23" t="inlineStr">
        <is>
          <t>Canteen Facilities</t>
        </is>
      </c>
      <c r="C42" s="23" t="inlineStr">
        <is>
          <t>Employer</t>
        </is>
      </c>
      <c r="D42" s="23" t="inlineStr">
        <is>
          <t>Employer</t>
        </is>
      </c>
      <c r="E42" s="23" t="inlineStr">
        <is>
          <t>Somerset Larder</t>
        </is>
      </c>
      <c r="F42" s="23" t="inlineStr">
        <is>
          <t>Employer</t>
        </is>
      </c>
      <c r="G42" s="23" t="n"/>
      <c r="H42" s="23" t="n"/>
      <c r="I42" s="23" t="n"/>
    </row>
    <row r="43">
      <c r="B43" s="26" t="inlineStr">
        <is>
          <t>Site Security</t>
        </is>
      </c>
      <c r="C43" s="26" t="inlineStr">
        <is>
          <t>Employer</t>
        </is>
      </c>
      <c r="D43" s="26" t="inlineStr">
        <is>
          <t>NNB Site Ops</t>
        </is>
      </c>
      <c r="E43" s="26" t="inlineStr">
        <is>
          <t>G4S Contract</t>
        </is>
      </c>
      <c r="F43" s="26" t="inlineStr">
        <is>
          <t>Employer</t>
        </is>
      </c>
      <c r="G43" s="26" t="n"/>
      <c r="H43" s="26" t="n"/>
      <c r="I43" s="26" t="n"/>
    </row>
    <row r="44">
      <c r="B44" s="23" t="inlineStr">
        <is>
          <t>Pest Control</t>
        </is>
      </c>
      <c r="C44" s="23" t="inlineStr">
        <is>
          <t>Employer</t>
        </is>
      </c>
      <c r="D44" s="23" t="inlineStr">
        <is>
          <t>NNB Site Ops</t>
        </is>
      </c>
      <c r="E44" s="23" t="inlineStr">
        <is>
          <t>NNB Site Ops</t>
        </is>
      </c>
      <c r="F44" s="23" t="inlineStr">
        <is>
          <t>Employer</t>
        </is>
      </c>
      <c r="G44" s="23" t="n"/>
      <c r="H44" s="23" t="n"/>
      <c r="I44" s="23" t="n"/>
    </row>
    <row r="45">
      <c r="B45" s="26" t="inlineStr">
        <is>
          <t>Radios</t>
        </is>
      </c>
      <c r="C45" s="26" t="inlineStr">
        <is>
          <t>Employer</t>
        </is>
      </c>
      <c r="D45" s="26" t="inlineStr">
        <is>
          <t>NNB Site Ops</t>
        </is>
      </c>
      <c r="E45" s="26" t="inlineStr">
        <is>
          <t>NNB Site Ops</t>
        </is>
      </c>
      <c r="F45" s="26" t="inlineStr">
        <is>
          <t>Employer</t>
        </is>
      </c>
      <c r="G45" s="26" t="n"/>
      <c r="H45" s="26" t="n"/>
      <c r="I45" s="26" t="n"/>
    </row>
    <row r="46">
      <c r="B46" s="23" t="inlineStr">
        <is>
          <t>Facilities Management</t>
        </is>
      </c>
      <c r="C46" s="23" t="inlineStr">
        <is>
          <t>Employer / DMIC Contractor</t>
        </is>
      </c>
      <c r="D46" s="23" t="inlineStr">
        <is>
          <t>NNB Site Ops</t>
        </is>
      </c>
      <c r="E46" s="23" t="inlineStr">
        <is>
          <t>NNB Site Ops</t>
        </is>
      </c>
      <c r="F46" s="23" t="inlineStr">
        <is>
          <t>Employer</t>
        </is>
      </c>
      <c r="G46" s="23" t="inlineStr">
        <is>
          <t>Site welfare buildings by Employer. DOR established for contractor compound.</t>
        </is>
      </c>
      <c r="H46" s="23" t="n"/>
      <c r="I46" s="23" t="n"/>
    </row>
    <row r="47">
      <c r="B47" s="26" t="inlineStr">
        <is>
          <t>Waste/Effluent Removal</t>
        </is>
      </c>
      <c r="C47" s="26" t="inlineStr">
        <is>
          <t>DMIC Contractor</t>
        </is>
      </c>
      <c r="D47" s="26" t="inlineStr">
        <is>
          <t>Biffa</t>
        </is>
      </c>
      <c r="E47" s="26" t="inlineStr">
        <is>
          <t>Biffa Contract xxxx</t>
        </is>
      </c>
      <c r="F47" s="26" t="inlineStr">
        <is>
          <t>DMIC Contractor</t>
        </is>
      </c>
      <c r="G47" s="26" t="inlineStr">
        <is>
          <t>Task order to be set up. Costs backcharged to DMIC Contractor.</t>
        </is>
      </c>
      <c r="H47" s="26" t="n"/>
      <c r="I47" s="26" t="n"/>
    </row>
    <row r="48">
      <c r="B48" s="23" t="inlineStr">
        <is>
          <t>PPE</t>
        </is>
      </c>
      <c r="C48" s="23" t="inlineStr">
        <is>
          <t>DMIC Contractor</t>
        </is>
      </c>
      <c r="D48" s="23" t="inlineStr">
        <is>
          <t>DMIC Contractor</t>
        </is>
      </c>
      <c r="E48" s="23" t="inlineStr">
        <is>
          <t>DMIC Contractor</t>
        </is>
      </c>
      <c r="F48" s="23" t="inlineStr">
        <is>
          <t>DMIC Contractor</t>
        </is>
      </c>
      <c r="G48" s="23" t="n"/>
      <c r="H48" s="23" t="n"/>
      <c r="I48" s="23" t="n"/>
    </row>
    <row r="49">
      <c r="B49" s="26" t="inlineStr">
        <is>
          <t>Radiographic Services</t>
        </is>
      </c>
      <c r="C49" s="26" t="inlineStr">
        <is>
          <t>DMIC Contractor</t>
        </is>
      </c>
      <c r="D49" s="26" t="inlineStr">
        <is>
          <t>Bilfinger</t>
        </is>
      </c>
      <c r="E49" s="26" t="inlineStr">
        <is>
          <t>Bilfinger Contract xxxx</t>
        </is>
      </c>
      <c r="F49" s="26" t="inlineStr">
        <is>
          <t>DMIC Contractor</t>
        </is>
      </c>
      <c r="G49" s="26" t="inlineStr">
        <is>
          <t>Task order to be set up. Costs backcharged to DMIC Contractor.</t>
        </is>
      </c>
      <c r="H49" s="26" t="n"/>
      <c r="I49" s="26" t="n"/>
    </row>
    <row r="50">
      <c r="B50" s="23" t="inlineStr">
        <is>
          <t>Hydrostatic Testing</t>
        </is>
      </c>
      <c r="C50" s="23" t="inlineStr">
        <is>
          <t>DMIC Contractor</t>
        </is>
      </c>
      <c r="D50" s="23" t="inlineStr">
        <is>
          <t>DMIC Contractor</t>
        </is>
      </c>
      <c r="E50" s="23" t="inlineStr">
        <is>
          <t>DMIC Contractor</t>
        </is>
      </c>
      <c r="F50" s="23" t="inlineStr">
        <is>
          <t>DMIC Contractor</t>
        </is>
      </c>
      <c r="G50" s="23" t="inlineStr">
        <is>
          <t>Check provision of water by Employer?</t>
        </is>
      </c>
      <c r="H50" s="23" t="n"/>
      <c r="I50" s="23" t="n"/>
    </row>
    <row r="51">
      <c r="B51" s="26" t="inlineStr">
        <is>
          <t>Electrical Testing</t>
        </is>
      </c>
      <c r="C51" s="26" t="inlineStr">
        <is>
          <t>DMIC Contractor</t>
        </is>
      </c>
      <c r="D51" s="26" t="inlineStr">
        <is>
          <t>DMIC Contractor</t>
        </is>
      </c>
      <c r="E51" s="26" t="inlineStr">
        <is>
          <t>DMIC Contractor</t>
        </is>
      </c>
      <c r="F51" s="26" t="inlineStr">
        <is>
          <t>DMIC Contractor</t>
        </is>
      </c>
      <c r="G51" s="26" t="n"/>
      <c r="H51" s="26" t="n"/>
      <c r="I51" s="26" t="n"/>
    </row>
    <row r="52">
      <c r="B52" s="23" t="inlineStr">
        <is>
          <t>Site Surveying</t>
        </is>
      </c>
      <c r="C52" s="23" t="inlineStr">
        <is>
          <t>DMIC Contractor</t>
        </is>
      </c>
      <c r="D52" s="23" t="inlineStr">
        <is>
          <t>DMIC Contractor</t>
        </is>
      </c>
      <c r="E52" s="23" t="inlineStr">
        <is>
          <t>DMIC Contractor</t>
        </is>
      </c>
      <c r="F52" s="23" t="inlineStr">
        <is>
          <t>DMIC Contractor</t>
        </is>
      </c>
      <c r="G52" s="23" t="n"/>
      <c r="H52" s="23" t="n"/>
      <c r="I52" s="23" t="n"/>
    </row>
    <row r="53">
      <c r="B53" s="26" t="inlineStr">
        <is>
          <t>Workshop Facilities</t>
        </is>
      </c>
      <c r="C53" s="26" t="inlineStr">
        <is>
          <t>Employer</t>
        </is>
      </c>
      <c r="D53" s="26" t="inlineStr">
        <is>
          <t>NNB Site Ops</t>
        </is>
      </c>
      <c r="E53" s="26" t="inlineStr">
        <is>
          <t>NNB Site Ops</t>
        </is>
      </c>
      <c r="F53" s="26" t="inlineStr">
        <is>
          <t>Employer</t>
        </is>
      </c>
      <c r="G53" s="26" t="n"/>
      <c r="H53" s="26" t="n"/>
      <c r="I53" s="26" t="n"/>
    </row>
    <row r="54">
      <c r="B54" s="23" t="inlineStr">
        <is>
          <t>Installation Tools and Equipment</t>
        </is>
      </c>
      <c r="C54" s="23" t="inlineStr">
        <is>
          <t>DMIC Contractor</t>
        </is>
      </c>
      <c r="D54" s="23" t="inlineStr">
        <is>
          <t>DMIC Contractor</t>
        </is>
      </c>
      <c r="E54" s="23" t="inlineStr">
        <is>
          <t>DMIC Contractor</t>
        </is>
      </c>
      <c r="F54" s="23" t="inlineStr">
        <is>
          <t>DMIC Contractor</t>
        </is>
      </c>
      <c r="G54" s="23" t="n"/>
      <c r="H54" s="23" t="n"/>
      <c r="I54" s="23" t="n"/>
    </row>
    <row r="55">
      <c r="B55" s="26" t="inlineStr">
        <is>
          <t>Calibration of Tools and Equipment</t>
        </is>
      </c>
      <c r="C55" s="26" t="inlineStr">
        <is>
          <t>DMIC Contractor</t>
        </is>
      </c>
      <c r="D55" s="26" t="inlineStr">
        <is>
          <t>DMIC Contractor</t>
        </is>
      </c>
      <c r="E55" s="26" t="inlineStr">
        <is>
          <t>DMIC Contractor</t>
        </is>
      </c>
      <c r="F55" s="26" t="inlineStr">
        <is>
          <t>DMIC Contractor</t>
        </is>
      </c>
      <c r="G55" s="26" t="n"/>
      <c r="H55" s="26" t="n"/>
      <c r="I55" s="26" t="n"/>
    </row>
    <row r="56">
      <c r="B56" s="23" t="inlineStr">
        <is>
          <t>Construction Consumables</t>
        </is>
      </c>
      <c r="C56" s="23" t="inlineStr">
        <is>
          <t>DMIC Contractor</t>
        </is>
      </c>
      <c r="D56" s="23" t="inlineStr">
        <is>
          <t>DMIC Contractor</t>
        </is>
      </c>
      <c r="E56" s="23" t="inlineStr">
        <is>
          <t>DMIC Contractor</t>
        </is>
      </c>
      <c r="F56" s="23" t="inlineStr">
        <is>
          <t>DMIC Contractor</t>
        </is>
      </c>
      <c r="G56" s="23" t="n"/>
      <c r="H56" s="23" t="n"/>
      <c r="I56" s="23" t="n"/>
    </row>
    <row r="57"/>
    <row r="58"/>
    <row r="59" ht="34" customHeight="1">
      <c r="B59" s="47" t="inlineStr">
        <is>
          <t>Equipment &amp; Material Handling</t>
        </is>
      </c>
      <c r="C59" s="47" t="inlineStr">
        <is>
          <t>Employer/Contractor Obligation</t>
        </is>
      </c>
      <c r="D59" s="47" t="inlineStr">
        <is>
          <t>Service Provider</t>
        </is>
      </c>
      <c r="E59" s="47" t="inlineStr">
        <is>
          <t>Service Available</t>
        </is>
      </c>
      <c r="F59" s="47" t="inlineStr">
        <is>
          <t>Responsible Party for Costs</t>
        </is>
      </c>
      <c r="G59" s="47" t="inlineStr">
        <is>
          <t>Notes</t>
        </is>
      </c>
      <c r="H59" s="47" t="inlineStr">
        <is>
          <t>NNB Responsible Team</t>
        </is>
      </c>
      <c r="I59" s="47" t="inlineStr">
        <is>
          <t>How this is arranged - details</t>
        </is>
      </c>
    </row>
    <row r="60">
      <c r="B60" s="26" t="inlineStr">
        <is>
          <t>Transportation to Warehouse</t>
        </is>
      </c>
      <c r="C60" s="26" t="inlineStr">
        <is>
          <t>DMIC Contractor</t>
        </is>
      </c>
      <c r="D60" s="26" t="inlineStr">
        <is>
          <t>DMIC Contractor</t>
        </is>
      </c>
      <c r="E60" s="26" t="inlineStr">
        <is>
          <t>DMIC Contractor</t>
        </is>
      </c>
      <c r="F60" s="26" t="inlineStr">
        <is>
          <t>DMIC Contractor</t>
        </is>
      </c>
      <c r="G60" s="26" t="n"/>
      <c r="H60" s="26" t="n"/>
      <c r="I60" s="26" t="inlineStr">
        <is>
          <t>FAYAT ship from france to Warehouse in UK (Wincanton) then call offs FAYAT Manage themselves</t>
        </is>
      </c>
    </row>
    <row r="61">
      <c r="B61" s="23" t="inlineStr">
        <is>
          <t>Offloading at Warehouse</t>
        </is>
      </c>
      <c r="C61" s="23" t="inlineStr">
        <is>
          <t>DMIC Contractor</t>
        </is>
      </c>
      <c r="D61" s="23" t="inlineStr">
        <is>
          <t>DMIC Contractor</t>
        </is>
      </c>
      <c r="E61" s="23" t="inlineStr">
        <is>
          <t>DMIC Contractor</t>
        </is>
      </c>
      <c r="F61" s="23" t="inlineStr">
        <is>
          <t>DMIC Contractor</t>
        </is>
      </c>
      <c r="G61" s="23" t="n"/>
      <c r="H61" s="23" t="n"/>
      <c r="I61" s="23" t="n"/>
    </row>
    <row r="62">
      <c r="B62" s="26" t="inlineStr">
        <is>
          <t>Warehouse / Storage Area</t>
        </is>
      </c>
      <c r="C62" s="26" t="inlineStr">
        <is>
          <t>Employer</t>
        </is>
      </c>
      <c r="D62" s="26" t="inlineStr">
        <is>
          <t>NNB Site Ops</t>
        </is>
      </c>
      <c r="E62" s="26" t="inlineStr">
        <is>
          <t>NNB Site Ops</t>
        </is>
      </c>
      <c r="F62" s="26" t="inlineStr">
        <is>
          <t>Employer</t>
        </is>
      </c>
      <c r="G62" s="26" t="n"/>
      <c r="H62" s="26" t="n"/>
      <c r="I62" s="26" t="inlineStr">
        <is>
          <t>FAYAT Yards allocated by NNB siteops</t>
        </is>
      </c>
    </row>
    <row r="63">
      <c r="B63" s="23" t="inlineStr">
        <is>
          <t>Radiographic Storage</t>
        </is>
      </c>
      <c r="C63" s="23" t="inlineStr">
        <is>
          <t>Employer</t>
        </is>
      </c>
      <c r="D63" s="23" t="inlineStr">
        <is>
          <t>NNB Site Ops</t>
        </is>
      </c>
      <c r="E63" s="23" t="inlineStr">
        <is>
          <t>TBC</t>
        </is>
      </c>
      <c r="F63" s="23" t="inlineStr">
        <is>
          <t>Employer</t>
        </is>
      </c>
      <c r="G63" s="23" t="inlineStr">
        <is>
          <t>Location and facility to be confirmed</t>
        </is>
      </c>
      <c r="H63" s="23" t="n"/>
      <c r="I63" s="23" t="n"/>
    </row>
    <row r="64">
      <c r="B64" s="26" t="inlineStr">
        <is>
          <t>Transportation AIL from warehouse to HPC</t>
        </is>
      </c>
      <c r="C64" s="26" t="inlineStr">
        <is>
          <t>Employer</t>
        </is>
      </c>
      <c r="D64" s="26" t="inlineStr">
        <is>
          <t>NNB Site Ops</t>
        </is>
      </c>
      <c r="E64" s="26" t="inlineStr">
        <is>
          <t>Osprey Contract xxxx</t>
        </is>
      </c>
      <c r="F64" s="26" t="inlineStr">
        <is>
          <t>Employer</t>
        </is>
      </c>
      <c r="G64" s="26" t="n"/>
      <c r="H64" s="26" t="n"/>
      <c r="I64" s="26" t="n"/>
    </row>
    <row r="65">
      <c r="B65" s="23" t="inlineStr">
        <is>
          <t>Transportation non-AIL from warehouse to HPC</t>
        </is>
      </c>
      <c r="C65" s="23" t="inlineStr">
        <is>
          <t>DMIC Contractor</t>
        </is>
      </c>
      <c r="D65" s="23" t="inlineStr">
        <is>
          <t>DMIC Contractor</t>
        </is>
      </c>
      <c r="E65" s="23" t="inlineStr">
        <is>
          <t>DMIC Contractor</t>
        </is>
      </c>
      <c r="F65" s="23" t="inlineStr">
        <is>
          <t>DMIC Contractor</t>
        </is>
      </c>
      <c r="G65" s="23" t="n"/>
      <c r="H65" s="23" t="n"/>
      <c r="I65" s="23" t="n"/>
    </row>
    <row r="66">
      <c r="B66" s="26" t="inlineStr">
        <is>
          <t>Offloading at HPC Site</t>
        </is>
      </c>
      <c r="C66" s="26" t="inlineStr">
        <is>
          <t>DMIC Contractor / Employer</t>
        </is>
      </c>
      <c r="D66" s="26" t="inlineStr">
        <is>
          <t>DMIC Contractor / BYLOR / MEH</t>
        </is>
      </c>
      <c r="E66" s="26" t="inlineStr">
        <is>
          <t>DMIC Contractor / BYLOR / MEH</t>
        </is>
      </c>
      <c r="F66" s="26" t="inlineStr">
        <is>
          <t>DMIC Contractor / Employer</t>
        </is>
      </c>
      <c r="G66" s="26" t="inlineStr">
        <is>
          <t>Offload by crane is by Employer</t>
        </is>
      </c>
      <c r="H66" s="26" t="n"/>
      <c r="I66" s="26" t="n"/>
    </row>
    <row r="67">
      <c r="B67" s="23" t="inlineStr">
        <is>
          <t>HPC onsite Outdoor Laydown Area</t>
        </is>
      </c>
      <c r="C67" s="23" t="inlineStr">
        <is>
          <t>Employer</t>
        </is>
      </c>
      <c r="D67" s="23" t="inlineStr">
        <is>
          <t>NNB Site Ops</t>
        </is>
      </c>
      <c r="E67" s="23" t="inlineStr">
        <is>
          <t>NNB Site Ops</t>
        </is>
      </c>
      <c r="F67" s="23" t="inlineStr">
        <is>
          <t>Employer</t>
        </is>
      </c>
      <c r="G67" s="23" t="n"/>
      <c r="H67" s="23" t="n"/>
      <c r="I67" s="23" t="n"/>
    </row>
    <row r="68">
      <c r="B68" s="26" t="inlineStr">
        <is>
          <t>HPC onsite Indoor Warehouse</t>
        </is>
      </c>
      <c r="C68" s="26" t="inlineStr">
        <is>
          <t>Employer</t>
        </is>
      </c>
      <c r="D68" s="26" t="inlineStr">
        <is>
          <t>NNB Site Ops</t>
        </is>
      </c>
      <c r="E68" s="26" t="inlineStr">
        <is>
          <t>NNB Site Ops</t>
        </is>
      </c>
      <c r="F68" s="26" t="inlineStr">
        <is>
          <t>Employer</t>
        </is>
      </c>
      <c r="G68" s="26" t="n"/>
      <c r="H68" s="26" t="n"/>
      <c r="I68" s="26" t="n"/>
    </row>
    <row r="69">
      <c r="B69" s="23" t="inlineStr">
        <is>
          <t>Movement to Point of Installation</t>
        </is>
      </c>
      <c r="C69" s="23" t="inlineStr">
        <is>
          <t>DMIC Contractor</t>
        </is>
      </c>
      <c r="D69" s="23" t="inlineStr">
        <is>
          <t>DMIC Contractor</t>
        </is>
      </c>
      <c r="E69" s="23" t="inlineStr">
        <is>
          <t>DMIC Contractor</t>
        </is>
      </c>
      <c r="F69" s="23" t="inlineStr">
        <is>
          <t>DMIC Contractor</t>
        </is>
      </c>
      <c r="G69" s="23" t="n"/>
      <c r="H69" s="23" t="n"/>
      <c r="I69" s="23" t="n"/>
    </row>
    <row r="70">
      <c r="B70" s="26" t="inlineStr">
        <is>
          <t>Care &amp; Maintenance</t>
        </is>
      </c>
      <c r="C70" s="26" t="inlineStr">
        <is>
          <t>DMIC Contractor</t>
        </is>
      </c>
      <c r="D70" s="26" t="inlineStr">
        <is>
          <t>DMIC Contractor</t>
        </is>
      </c>
      <c r="E70" s="26" t="inlineStr">
        <is>
          <t>DMIC Contractor</t>
        </is>
      </c>
      <c r="F70" s="26" t="inlineStr">
        <is>
          <t>DMIC Contractor</t>
        </is>
      </c>
      <c r="G70" s="26" t="inlineStr">
        <is>
          <t>In warehouse and when installed at HPC.</t>
        </is>
      </c>
      <c r="H70" s="26" t="n"/>
      <c r="I70" s="26" t="n"/>
    </row>
  </sheetData>
  <printOptions horizontalCentered="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2" customWidth="1" min="4" max="4"/>
    <col width="32" customWidth="1" min="5" max="5"/>
    <col width="22" customWidth="1" min="6" max="6"/>
    <col width="14" customWidth="1" min="7" max="7"/>
    <col width="16" customWidth="1" min="8" max="8"/>
  </cols>
  <sheetData>
    <row r="1"/>
    <row r="2">
      <c r="B2" s="1" t="inlineStr">
        <is>
          <t>Systems</t>
        </is>
      </c>
    </row>
    <row r="3">
      <c r="B3" s="4" t="inlineStr">
        <is>
          <t>Per-system detail (several systems per contract) - restored from the source file's "Sheet2", not linked to any other tab there either.</t>
        </is>
      </c>
    </row>
    <row r="4"/>
    <row r="5" ht="30" customHeight="1">
      <c r="B5" s="47" t="inlineStr">
        <is>
          <t>Contract Number</t>
        </is>
      </c>
      <c r="C5" s="47" t="inlineStr">
        <is>
          <t>System</t>
        </is>
      </c>
      <c r="D5" s="47" t="inlineStr">
        <is>
          <t>Suffix</t>
        </is>
      </c>
      <c r="E5" s="47" t="inlineStr">
        <is>
          <t>System Description</t>
        </is>
      </c>
      <c r="F5" s="47" t="inlineStr">
        <is>
          <t>Start of First Commissioning Date</t>
        </is>
      </c>
      <c r="G5" s="47" t="inlineStr">
        <is>
          <t>BOC</t>
        </is>
      </c>
      <c r="H5" s="47" t="inlineStr">
        <is>
          <t>Nuclear Graded?</t>
        </is>
      </c>
    </row>
    <row r="6">
      <c r="B6" s="23" t="inlineStr">
        <is>
          <t>UK-EX01</t>
        </is>
      </c>
      <c r="C6" s="23" t="inlineStr">
        <is>
          <t>AL-101</t>
        </is>
      </c>
      <c r="D6" s="23">
        <f>IF(C6&lt;&gt;"",RIGHT(C6,3),"")</f>
        <v/>
      </c>
      <c r="E6" s="23" t="inlineStr">
        <is>
          <t>Airlock Control System</t>
        </is>
      </c>
      <c r="F6" s="25" t="n">
        <v>46508</v>
      </c>
      <c r="G6" s="23" t="inlineStr">
        <is>
          <t>BOC-01</t>
        </is>
      </c>
      <c r="H6" s="23" t="inlineStr">
        <is>
          <t>Yes</t>
        </is>
      </c>
    </row>
    <row r="7">
      <c r="B7" s="26" t="inlineStr">
        <is>
          <t>UK-EX01</t>
        </is>
      </c>
      <c r="C7" s="26" t="inlineStr">
        <is>
          <t>AL-102</t>
        </is>
      </c>
      <c r="D7" s="26">
        <f>IF(C7&lt;&gt;"",RIGHT(C7,3),"")</f>
        <v/>
      </c>
      <c r="E7" s="26" t="inlineStr">
        <is>
          <t>Airlock Door Interlocks</t>
        </is>
      </c>
      <c r="F7" s="28" t="n">
        <v>46522</v>
      </c>
      <c r="G7" s="26" t="inlineStr">
        <is>
          <t>BOC-01</t>
        </is>
      </c>
      <c r="H7" s="26" t="inlineStr">
        <is>
          <t>Yes</t>
        </is>
      </c>
    </row>
    <row r="8">
      <c r="B8" s="23" t="inlineStr">
        <is>
          <t>UK-EX02</t>
        </is>
      </c>
      <c r="C8" s="23" t="inlineStr">
        <is>
          <t>PC-204</t>
        </is>
      </c>
      <c r="D8" s="23">
        <f>IF(C8&lt;&gt;"",RIGHT(C8,3),"")</f>
        <v/>
      </c>
      <c r="E8" s="23" t="inlineStr">
        <is>
          <t>Polar Crane Hoist &amp; Trolley</t>
        </is>
      </c>
      <c r="F8" s="25" t="n">
        <v>46357</v>
      </c>
      <c r="G8" s="23" t="inlineStr">
        <is>
          <t>BOC-02</t>
        </is>
      </c>
      <c r="H8" s="23" t="inlineStr">
        <is>
          <t>No</t>
        </is>
      </c>
    </row>
    <row r="9">
      <c r="B9" s="26" t="inlineStr">
        <is>
          <t>UK-EX03</t>
        </is>
      </c>
      <c r="C9" s="26" t="inlineStr">
        <is>
          <t>CS-310</t>
        </is>
      </c>
      <c r="D9" s="26">
        <f>IF(C9&lt;&gt;"",RIGHT(C9,3),"")</f>
        <v/>
      </c>
      <c r="E9" s="26" t="inlineStr">
        <is>
          <t>Control Systems Integration Bus</t>
        </is>
      </c>
      <c r="F9" s="28" t="n">
        <v>46661</v>
      </c>
      <c r="G9" s="26" t="inlineStr">
        <is>
          <t>BOC-03</t>
        </is>
      </c>
      <c r="H9" s="26" t="inlineStr">
        <is>
          <t>Yes</t>
        </is>
      </c>
    </row>
    <row r="10">
      <c r="B10" s="23" t="inlineStr">
        <is>
          <t>UK-EX03</t>
        </is>
      </c>
      <c r="C10" s="23" t="inlineStr">
        <is>
          <t>CS-311</t>
        </is>
      </c>
      <c r="D10" s="23">
        <f>IF(C10&lt;&gt;"",RIGHT(C10,3),"")</f>
        <v/>
      </c>
      <c r="E10" s="23" t="inlineStr">
        <is>
          <t>Control Systems Field Network</t>
        </is>
      </c>
      <c r="F10" s="25" t="n">
        <v>46675</v>
      </c>
      <c r="G10" s="23" t="inlineStr">
        <is>
          <t>BOC-03</t>
        </is>
      </c>
      <c r="H10" s="23" t="inlineStr">
        <is>
          <t>Yes</t>
        </is>
      </c>
    </row>
    <row r="11">
      <c r="B11" s="26" t="n"/>
      <c r="C11" s="26" t="n"/>
      <c r="D11" s="26">
        <f>IF(C11&lt;&gt;"",RIGHT(C11,3),"")</f>
        <v/>
      </c>
      <c r="E11" s="26" t="n"/>
      <c r="F11" s="28" t="n"/>
      <c r="G11" s="26" t="n"/>
      <c r="H11" s="26" t="n"/>
    </row>
    <row r="12">
      <c r="B12" s="23" t="n"/>
      <c r="C12" s="23" t="n"/>
      <c r="D12" s="23">
        <f>IF(C12&lt;&gt;"",RIGHT(C12,3),"")</f>
        <v/>
      </c>
      <c r="E12" s="23" t="n"/>
      <c r="F12" s="25" t="n"/>
      <c r="G12" s="23" t="n"/>
      <c r="H12" s="23" t="n"/>
    </row>
    <row r="13">
      <c r="B13" s="26" t="n"/>
      <c r="C13" s="26" t="n"/>
      <c r="D13" s="26">
        <f>IF(C13&lt;&gt;"",RIGHT(C13,3),"")</f>
        <v/>
      </c>
      <c r="E13" s="26" t="n"/>
      <c r="F13" s="28" t="n"/>
      <c r="G13" s="26" t="n"/>
      <c r="H13" s="26" t="n"/>
    </row>
    <row r="14">
      <c r="B14" s="23" t="n"/>
      <c r="C14" s="23" t="n"/>
      <c r="D14" s="23">
        <f>IF(C14&lt;&gt;"",RIGHT(C14,3),"")</f>
        <v/>
      </c>
      <c r="E14" s="23" t="n"/>
      <c r="F14" s="25" t="n"/>
      <c r="G14" s="23" t="n"/>
      <c r="H14" s="23" t="n"/>
    </row>
    <row r="15">
      <c r="B15" s="26" t="n"/>
      <c r="C15" s="26" t="n"/>
      <c r="D15" s="26">
        <f>IF(C15&lt;&gt;"",RIGHT(C15,3),"")</f>
        <v/>
      </c>
      <c r="E15" s="26" t="n"/>
      <c r="F15" s="28" t="n"/>
      <c r="G15" s="26" t="n"/>
      <c r="H15" s="26" t="n"/>
    </row>
    <row r="16">
      <c r="B16" s="23" t="n"/>
      <c r="C16" s="23" t="n"/>
      <c r="D16" s="23">
        <f>IF(C16&lt;&gt;"",RIGHT(C16,3),"")</f>
        <v/>
      </c>
      <c r="E16" s="23" t="n"/>
      <c r="F16" s="25" t="n"/>
      <c r="G16" s="23" t="n"/>
      <c r="H16" s="23" t="n"/>
    </row>
    <row r="17">
      <c r="B17" s="26" t="n"/>
      <c r="C17" s="26" t="n"/>
      <c r="D17" s="26">
        <f>IF(C17&lt;&gt;"",RIGHT(C17,3),"")</f>
        <v/>
      </c>
      <c r="E17" s="26" t="n"/>
      <c r="F17" s="28" t="n"/>
      <c r="G17" s="26" t="n"/>
      <c r="H17" s="26" t="n"/>
    </row>
    <row r="18">
      <c r="B18" s="23" t="n"/>
      <c r="C18" s="23" t="n"/>
      <c r="D18" s="23">
        <f>IF(C18&lt;&gt;"",RIGHT(C18,3),"")</f>
        <v/>
      </c>
      <c r="E18" s="23" t="n"/>
      <c r="F18" s="25" t="n"/>
      <c r="G18" s="23" t="n"/>
      <c r="H18" s="23" t="n"/>
    </row>
    <row r="19">
      <c r="B19" s="26" t="n"/>
      <c r="C19" s="26" t="n"/>
      <c r="D19" s="26">
        <f>IF(C19&lt;&gt;"",RIGHT(C19,3),"")</f>
        <v/>
      </c>
      <c r="E19" s="26" t="n"/>
      <c r="F19" s="28" t="n"/>
      <c r="G19" s="26" t="n"/>
      <c r="H19" s="26" t="n"/>
    </row>
    <row r="20">
      <c r="B20" s="23" t="n"/>
      <c r="C20" s="23" t="n"/>
      <c r="D20" s="23">
        <f>IF(C20&lt;&gt;"",RIGHT(C20,3),"")</f>
        <v/>
      </c>
      <c r="E20" s="23" t="n"/>
      <c r="F20" s="25" t="n"/>
      <c r="G20" s="23" t="n"/>
      <c r="H20" s="23" t="n"/>
    </row>
    <row r="21">
      <c r="B21" s="26" t="n"/>
      <c r="C21" s="26" t="n"/>
      <c r="D21" s="26">
        <f>IF(C21&lt;&gt;"",RIGHT(C21,3),"")</f>
        <v/>
      </c>
      <c r="E21" s="26" t="n"/>
      <c r="F21" s="28" t="n"/>
      <c r="G21" s="26" t="n"/>
      <c r="H21" s="26" t="n"/>
    </row>
    <row r="22">
      <c r="B22" s="23" t="n"/>
      <c r="C22" s="23" t="n"/>
      <c r="D22" s="23">
        <f>IF(C22&lt;&gt;"",RIGHT(C22,3),"")</f>
        <v/>
      </c>
      <c r="E22" s="23" t="n"/>
      <c r="F22" s="25" t="n"/>
      <c r="G22" s="23" t="n"/>
      <c r="H22" s="23" t="n"/>
    </row>
    <row r="23">
      <c r="B23" s="26" t="n"/>
      <c r="C23" s="26" t="n"/>
      <c r="D23" s="26">
        <f>IF(C23&lt;&gt;"",RIGHT(C23,3),"")</f>
        <v/>
      </c>
      <c r="E23" s="26" t="n"/>
      <c r="F23" s="28" t="n"/>
      <c r="G23" s="26" t="n"/>
      <c r="H23" s="26" t="n"/>
    </row>
    <row r="24">
      <c r="B24" s="23" t="n"/>
      <c r="C24" s="23" t="n"/>
      <c r="D24" s="23">
        <f>IF(C24&lt;&gt;"",RIGHT(C24,3),"")</f>
        <v/>
      </c>
      <c r="E24" s="23" t="n"/>
      <c r="F24" s="25" t="n"/>
      <c r="G24" s="23" t="n"/>
      <c r="H24" s="23" t="n"/>
    </row>
    <row r="25">
      <c r="B25" s="26" t="n"/>
      <c r="C25" s="26" t="n"/>
      <c r="D25" s="26">
        <f>IF(C25&lt;&gt;"",RIGHT(C25,3),"")</f>
        <v/>
      </c>
      <c r="E25" s="26" t="n"/>
      <c r="F25" s="28" t="n"/>
      <c r="G25" s="26" t="n"/>
      <c r="H25" s="26" t="n"/>
    </row>
    <row r="26">
      <c r="B26" s="23" t="n"/>
      <c r="C26" s="23" t="n"/>
      <c r="D26" s="23">
        <f>IF(C26&lt;&gt;"",RIGHT(C26,3),"")</f>
        <v/>
      </c>
      <c r="E26" s="23" t="n"/>
      <c r="F26" s="25" t="n"/>
      <c r="G26" s="23" t="n"/>
      <c r="H26" s="23" t="n"/>
    </row>
    <row r="27">
      <c r="B27" s="26" t="n"/>
      <c r="C27" s="26" t="n"/>
      <c r="D27" s="26">
        <f>IF(C27&lt;&gt;"",RIGHT(C27,3),"")</f>
        <v/>
      </c>
      <c r="E27" s="26" t="n"/>
      <c r="F27" s="28" t="n"/>
      <c r="G27" s="26" t="n"/>
      <c r="H27" s="26" t="n"/>
    </row>
    <row r="28">
      <c r="B28" s="23" t="n"/>
      <c r="C28" s="23" t="n"/>
      <c r="D28" s="23">
        <f>IF(C28&lt;&gt;"",RIGHT(C28,3),"")</f>
        <v/>
      </c>
      <c r="E28" s="23" t="n"/>
      <c r="F28" s="25" t="n"/>
      <c r="G28" s="23" t="n"/>
      <c r="H28" s="23" t="n"/>
    </row>
    <row r="29">
      <c r="B29" s="26" t="n"/>
      <c r="C29" s="26" t="n"/>
      <c r="D29" s="26">
        <f>IF(C29&lt;&gt;"",RIGHT(C29,3),"")</f>
        <v/>
      </c>
      <c r="E29" s="26" t="n"/>
      <c r="F29" s="28" t="n"/>
      <c r="G29" s="26" t="n"/>
      <c r="H29" s="26" t="n"/>
    </row>
    <row r="30">
      <c r="B30" s="23" t="n"/>
      <c r="C30" s="23" t="n"/>
      <c r="D30" s="23">
        <f>IF(C30&lt;&gt;"",RIGHT(C30,3),"")</f>
        <v/>
      </c>
      <c r="E30" s="23" t="n"/>
      <c r="F30" s="25" t="n"/>
      <c r="G30" s="23" t="n"/>
      <c r="H30" s="23" t="n"/>
    </row>
    <row r="31">
      <c r="B31" s="26" t="n"/>
      <c r="C31" s="26" t="n"/>
      <c r="D31" s="26">
        <f>IF(C31&lt;&gt;"",RIGHT(C31,3),"")</f>
        <v/>
      </c>
      <c r="E31" s="26" t="n"/>
      <c r="F31" s="28" t="n"/>
      <c r="G31" s="26" t="n"/>
      <c r="H31" s="26" t="n"/>
    </row>
    <row r="32">
      <c r="B32" s="23" t="n"/>
      <c r="C32" s="23" t="n"/>
      <c r="D32" s="23">
        <f>IF(C32&lt;&gt;"",RIGHT(C32,3),"")</f>
        <v/>
      </c>
      <c r="E32" s="23" t="n"/>
      <c r="F32" s="25" t="n"/>
      <c r="G32" s="23" t="n"/>
      <c r="H32" s="23" t="n"/>
    </row>
    <row r="33">
      <c r="B33" s="26" t="n"/>
      <c r="C33" s="26" t="n"/>
      <c r="D33" s="26">
        <f>IF(C33&lt;&gt;"",RIGHT(C33,3),"")</f>
        <v/>
      </c>
      <c r="E33" s="26" t="n"/>
      <c r="F33" s="28" t="n"/>
      <c r="G33" s="26" t="n"/>
      <c r="H33" s="26" t="n"/>
    </row>
    <row r="34">
      <c r="B34" s="23" t="n"/>
      <c r="C34" s="23" t="n"/>
      <c r="D34" s="23">
        <f>IF(C34&lt;&gt;"",RIGHT(C34,3),"")</f>
        <v/>
      </c>
      <c r="E34" s="23" t="n"/>
      <c r="F34" s="25" t="n"/>
      <c r="G34" s="23" t="n"/>
      <c r="H34" s="23" t="n"/>
    </row>
    <row r="35">
      <c r="B35" s="26" t="n"/>
      <c r="C35" s="26" t="n"/>
      <c r="D35" s="26">
        <f>IF(C35&lt;&gt;"",RIGHT(C35,3),"")</f>
        <v/>
      </c>
      <c r="E35" s="26" t="n"/>
      <c r="F35" s="28" t="n"/>
      <c r="G35" s="26" t="n"/>
      <c r="H35" s="26" t="n"/>
    </row>
    <row r="36">
      <c r="B36" s="23" t="n"/>
      <c r="C36" s="23" t="n"/>
      <c r="D36" s="23">
        <f>IF(C36&lt;&gt;"",RIGHT(C36,3),"")</f>
        <v/>
      </c>
      <c r="E36" s="23" t="n"/>
      <c r="F36" s="25" t="n"/>
      <c r="G36" s="23" t="n"/>
      <c r="H36" s="23" t="n"/>
    </row>
    <row r="37">
      <c r="B37" s="26" t="n"/>
      <c r="C37" s="26" t="n"/>
      <c r="D37" s="26">
        <f>IF(C37&lt;&gt;"",RIGHT(C37,3),"")</f>
        <v/>
      </c>
      <c r="E37" s="26" t="n"/>
      <c r="F37" s="28" t="n"/>
      <c r="G37" s="26" t="n"/>
      <c r="H37" s="26" t="n"/>
    </row>
    <row r="38">
      <c r="B38" s="23" t="n"/>
      <c r="C38" s="23" t="n"/>
      <c r="D38" s="23">
        <f>IF(C38&lt;&gt;"",RIGHT(C38,3),"")</f>
        <v/>
      </c>
      <c r="E38" s="23" t="n"/>
      <c r="F38" s="25" t="n"/>
      <c r="G38" s="23" t="n"/>
      <c r="H38" s="23" t="n"/>
    </row>
    <row r="39">
      <c r="B39" s="26" t="n"/>
      <c r="C39" s="26" t="n"/>
      <c r="D39" s="26">
        <f>IF(C39&lt;&gt;"",RIGHT(C39,3),"")</f>
        <v/>
      </c>
      <c r="E39" s="26" t="n"/>
      <c r="F39" s="28" t="n"/>
      <c r="G39" s="26" t="n"/>
      <c r="H39" s="26" t="n"/>
    </row>
    <row r="40">
      <c r="B40" s="23" t="n"/>
      <c r="C40" s="23" t="n"/>
      <c r="D40" s="23">
        <f>IF(C40&lt;&gt;"",RIGHT(C40,3),"")</f>
        <v/>
      </c>
      <c r="E40" s="23" t="n"/>
      <c r="F40" s="25" t="n"/>
      <c r="G40" s="23" t="n"/>
      <c r="H40" s="23" t="n"/>
    </row>
    <row r="41">
      <c r="B41" s="26" t="n"/>
      <c r="C41" s="26" t="n"/>
      <c r="D41" s="26">
        <f>IF(C41&lt;&gt;"",RIGHT(C41,3),"")</f>
        <v/>
      </c>
      <c r="E41" s="26" t="n"/>
      <c r="F41" s="28" t="n"/>
      <c r="G41" s="26" t="n"/>
      <c r="H41" s="26" t="n"/>
    </row>
    <row r="42">
      <c r="B42" s="23" t="n"/>
      <c r="C42" s="23" t="n"/>
      <c r="D42" s="23">
        <f>IF(C42&lt;&gt;"",RIGHT(C42,3),"")</f>
        <v/>
      </c>
      <c r="E42" s="23" t="n"/>
      <c r="F42" s="25" t="n"/>
      <c r="G42" s="23" t="n"/>
      <c r="H42" s="23" t="n"/>
    </row>
    <row r="43">
      <c r="B43" s="26" t="n"/>
      <c r="C43" s="26" t="n"/>
      <c r="D43" s="26">
        <f>IF(C43&lt;&gt;"",RIGHT(C43,3),"")</f>
        <v/>
      </c>
      <c r="E43" s="26" t="n"/>
      <c r="F43" s="28" t="n"/>
      <c r="G43" s="26" t="n"/>
      <c r="H43" s="26" t="n"/>
    </row>
    <row r="44">
      <c r="B44" s="23" t="n"/>
      <c r="C44" s="23" t="n"/>
      <c r="D44" s="23">
        <f>IF(C44&lt;&gt;"",RIGHT(C44,3),"")</f>
        <v/>
      </c>
      <c r="E44" s="23" t="n"/>
      <c r="F44" s="25" t="n"/>
      <c r="G44" s="23" t="n"/>
      <c r="H44" s="23" t="n"/>
    </row>
    <row r="45">
      <c r="B45" s="26" t="n"/>
      <c r="C45" s="26" t="n"/>
      <c r="D45" s="26">
        <f>IF(C45&lt;&gt;"",RIGHT(C45,3),"")</f>
        <v/>
      </c>
      <c r="E45" s="26" t="n"/>
      <c r="F45" s="28" t="n"/>
      <c r="G45" s="26" t="n"/>
      <c r="H45" s="26" t="n"/>
    </row>
    <row r="46">
      <c r="B46" s="23" t="n"/>
      <c r="C46" s="23" t="n"/>
      <c r="D46" s="23">
        <f>IF(C46&lt;&gt;"",RIGHT(C46,3),"")</f>
        <v/>
      </c>
      <c r="E46" s="23" t="n"/>
      <c r="F46" s="25" t="n"/>
      <c r="G46" s="23" t="n"/>
      <c r="H46" s="23" t="n"/>
    </row>
    <row r="47">
      <c r="B47" s="26" t="n"/>
      <c r="C47" s="26" t="n"/>
      <c r="D47" s="26">
        <f>IF(C47&lt;&gt;"",RIGHT(C47,3),"")</f>
        <v/>
      </c>
      <c r="E47" s="26" t="n"/>
      <c r="F47" s="28" t="n"/>
      <c r="G47" s="26" t="n"/>
      <c r="H47" s="26" t="n"/>
    </row>
    <row r="48">
      <c r="B48" s="23" t="n"/>
      <c r="C48" s="23" t="n"/>
      <c r="D48" s="23">
        <f>IF(C48&lt;&gt;"",RIGHT(C48,3),"")</f>
        <v/>
      </c>
      <c r="E48" s="23" t="n"/>
      <c r="F48" s="25" t="n"/>
      <c r="G48" s="23" t="n"/>
      <c r="H48" s="23" t="n"/>
    </row>
    <row r="49">
      <c r="B49" s="26" t="n"/>
      <c r="C49" s="26" t="n"/>
      <c r="D49" s="26">
        <f>IF(C49&lt;&gt;"",RIGHT(C49,3),"")</f>
        <v/>
      </c>
      <c r="E49" s="26" t="n"/>
      <c r="F49" s="28" t="n"/>
      <c r="G49" s="26" t="n"/>
      <c r="H49" s="26" t="n"/>
    </row>
    <row r="50">
      <c r="B50" s="23" t="n"/>
      <c r="C50" s="23" t="n"/>
      <c r="D50" s="23">
        <f>IF(C50&lt;&gt;"",RIGHT(C50,3),"")</f>
        <v/>
      </c>
      <c r="E50" s="23" t="n"/>
      <c r="F50" s="25" t="n"/>
      <c r="G50" s="23" t="n"/>
      <c r="H50" s="23" t="n"/>
    </row>
    <row r="51">
      <c r="B51" s="26" t="n"/>
      <c r="C51" s="26" t="n"/>
      <c r="D51" s="26">
        <f>IF(C51&lt;&gt;"",RIGHT(C51,3),"")</f>
        <v/>
      </c>
      <c r="E51" s="26" t="n"/>
      <c r="F51" s="28" t="n"/>
      <c r="G51" s="26" t="n"/>
      <c r="H51" s="26" t="n"/>
    </row>
    <row r="52">
      <c r="B52" s="23" t="n"/>
      <c r="C52" s="23" t="n"/>
      <c r="D52" s="23">
        <f>IF(C52&lt;&gt;"",RIGHT(C52,3),"")</f>
        <v/>
      </c>
      <c r="E52" s="23" t="n"/>
      <c r="F52" s="25" t="n"/>
      <c r="G52" s="23" t="n"/>
      <c r="H52" s="23" t="n"/>
    </row>
    <row r="53">
      <c r="B53" s="26" t="n"/>
      <c r="C53" s="26" t="n"/>
      <c r="D53" s="26">
        <f>IF(C53&lt;&gt;"",RIGHT(C53,3),"")</f>
        <v/>
      </c>
      <c r="E53" s="26" t="n"/>
      <c r="F53" s="28" t="n"/>
      <c r="G53" s="26" t="n"/>
      <c r="H53" s="26" t="n"/>
    </row>
    <row r="54">
      <c r="B54" s="23" t="n"/>
      <c r="C54" s="23" t="n"/>
      <c r="D54" s="23">
        <f>IF(C54&lt;&gt;"",RIGHT(C54,3),"")</f>
        <v/>
      </c>
      <c r="E54" s="23" t="n"/>
      <c r="F54" s="25" t="n"/>
      <c r="G54" s="23" t="n"/>
      <c r="H54" s="23" t="n"/>
    </row>
    <row r="55">
      <c r="B55" s="26" t="n"/>
      <c r="C55" s="26" t="n"/>
      <c r="D55" s="26">
        <f>IF(C55&lt;&gt;"",RIGHT(C55,3),"")</f>
        <v/>
      </c>
      <c r="E55" s="26" t="n"/>
      <c r="F55" s="28" t="n"/>
      <c r="G55" s="26" t="n"/>
      <c r="H55" s="26" t="n"/>
    </row>
    <row r="56">
      <c r="B56" s="23" t="n"/>
      <c r="C56" s="23" t="n"/>
      <c r="D56" s="23">
        <f>IF(C56&lt;&gt;"",RIGHT(C56,3),"")</f>
        <v/>
      </c>
      <c r="E56" s="23" t="n"/>
      <c r="F56" s="25" t="n"/>
      <c r="G56" s="23" t="n"/>
      <c r="H56" s="23" t="n"/>
    </row>
    <row r="57">
      <c r="B57" s="26" t="n"/>
      <c r="C57" s="26" t="n"/>
      <c r="D57" s="26">
        <f>IF(C57&lt;&gt;"",RIGHT(C57,3),"")</f>
        <v/>
      </c>
      <c r="E57" s="26" t="n"/>
      <c r="F57" s="28" t="n"/>
      <c r="G57" s="26" t="n"/>
      <c r="H57" s="26" t="n"/>
    </row>
    <row r="58">
      <c r="B58" s="23" t="n"/>
      <c r="C58" s="23" t="n"/>
      <c r="D58" s="23">
        <f>IF(C58&lt;&gt;"",RIGHT(C58,3),"")</f>
        <v/>
      </c>
      <c r="E58" s="23" t="n"/>
      <c r="F58" s="25" t="n"/>
      <c r="G58" s="23" t="n"/>
      <c r="H58" s="23" t="n"/>
    </row>
    <row r="59">
      <c r="B59" s="26" t="n"/>
      <c r="C59" s="26" t="n"/>
      <c r="D59" s="26">
        <f>IF(C59&lt;&gt;"",RIGHT(C59,3),"")</f>
        <v/>
      </c>
      <c r="E59" s="26" t="n"/>
      <c r="F59" s="28" t="n"/>
      <c r="G59" s="26" t="n"/>
      <c r="H59" s="26" t="n"/>
    </row>
    <row r="60">
      <c r="B60" s="23" t="n"/>
      <c r="C60" s="23" t="n"/>
      <c r="D60" s="23">
        <f>IF(C60&lt;&gt;"",RIGHT(C60,3),"")</f>
        <v/>
      </c>
      <c r="E60" s="23" t="n"/>
      <c r="F60" s="25" t="n"/>
      <c r="G60" s="23" t="n"/>
      <c r="H60" s="23" t="n"/>
    </row>
    <row r="61">
      <c r="B61" s="26" t="n"/>
      <c r="C61" s="26" t="n"/>
      <c r="D61" s="26">
        <f>IF(C61&lt;&gt;"",RIGHT(C61,3),"")</f>
        <v/>
      </c>
      <c r="E61" s="26" t="n"/>
      <c r="F61" s="28" t="n"/>
      <c r="G61" s="26" t="n"/>
      <c r="H61" s="26" t="n"/>
    </row>
    <row r="62">
      <c r="B62" s="23" t="n"/>
      <c r="C62" s="23" t="n"/>
      <c r="D62" s="23">
        <f>IF(C62&lt;&gt;"",RIGHT(C62,3),"")</f>
        <v/>
      </c>
      <c r="E62" s="23" t="n"/>
      <c r="F62" s="25" t="n"/>
      <c r="G62" s="23" t="n"/>
      <c r="H62" s="23" t="n"/>
    </row>
    <row r="63">
      <c r="B63" s="26" t="n"/>
      <c r="C63" s="26" t="n"/>
      <c r="D63" s="26">
        <f>IF(C63&lt;&gt;"",RIGHT(C63,3),"")</f>
        <v/>
      </c>
      <c r="E63" s="26" t="n"/>
      <c r="F63" s="28" t="n"/>
      <c r="G63" s="26" t="n"/>
      <c r="H63" s="26" t="n"/>
    </row>
    <row r="64">
      <c r="B64" s="23" t="n"/>
      <c r="C64" s="23" t="n"/>
      <c r="D64" s="23">
        <f>IF(C64&lt;&gt;"",RIGHT(C64,3),"")</f>
        <v/>
      </c>
      <c r="E64" s="23" t="n"/>
      <c r="F64" s="25" t="n"/>
      <c r="G64" s="23" t="n"/>
      <c r="H64" s="23" t="n"/>
    </row>
    <row r="65">
      <c r="B65" s="26" t="n"/>
      <c r="C65" s="26" t="n"/>
      <c r="D65" s="26">
        <f>IF(C65&lt;&gt;"",RIGHT(C65,3),"")</f>
        <v/>
      </c>
      <c r="E65" s="26" t="n"/>
      <c r="F65" s="28" t="n"/>
      <c r="G65" s="26" t="n"/>
      <c r="H65" s="26" t="n"/>
    </row>
  </sheetData>
  <autoFilter ref="B5:H65"/>
  <dataValidations count="1">
    <dataValidation sqref="B6:B65" showDropDown="0" showInputMessage="0" showErrorMessage="0" allowBlank="1" type="list">
      <formula1>=CONTRACT_ID</formula1>
    </dataValidation>
  </dataValidation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2026-09-25T10:29:39Z</dcterms:created>
  <dcterms:modified xsi:type="dcterms:W3CDTF">2026-09-25T10:29:40Z</dcterms:modified>
</cp:coreProperties>
</file>