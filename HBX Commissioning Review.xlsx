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Overview" sheetId="1" state="visible" r:id="rId1"/>
    <sheet name="Meeting Log" sheetId="2" state="visible" r:id="rId2"/>
    <sheet name="Meeting Report" sheetId="3" state="visible" r:id="rId3"/>
    <sheet name="Lists &amp; Config" sheetId="4" state="visible" r:id="rId4"/>
  </sheets>
  <definedNames>
    <definedName name="LIST_MEETING_TYPE">'Lists &amp; Config'!$F$6:$F$8</definedName>
    <definedName name="LIST_PRIORITY">'Lists &amp; Config'!$E$6:$E$9</definedName>
    <definedName name="LIST_STATUS">'Lists &amp; Config'!$D$6:$D$10</definedName>
    <definedName name="LIST_SUBJECT">'Lists &amp; Config'!$B$6:$B$16</definedName>
    <definedName name="LIST_SUBTOPIC">'Lists &amp; Config'!$C$6:$C$20</definedName>
  </definedNames>
  <calcPr calcId="191029" fullCalcOnLoad="1" iterateDelta="0.0001"/>
</workbook>
</file>

<file path=xl/styles.xml><?xml version="1.0" encoding="utf-8"?>
<styleSheet xmlns="http://schemas.openxmlformats.org/spreadsheetml/2006/main">
  <numFmts count="1">
    <numFmt numFmtId="164" formatCode="dd-mmm-yyyy"/>
  </numFmts>
  <fonts count="26">
    <font>
      <name val="Calibri"/>
      <family val="2"/>
      <color theme="1"/>
      <sz val="11"/>
      <scheme val="minor"/>
    </font>
    <font>
      <name val="Arial"/>
      <color rgb="FFBFD3F2"/>
      <sz val="9"/>
      <u val="single"/>
    </font>
    <font>
      <name val="Arial"/>
      <b val="1"/>
      <color rgb="FFFFFFFF"/>
      <sz val="9"/>
    </font>
    <font>
      <name val="Arial"/>
      <b val="1"/>
      <color rgb="FF1F3864"/>
      <sz val="18"/>
    </font>
    <font>
      <name val="Arial"/>
      <i val="1"/>
      <color rgb="FF595959"/>
      <sz val="10"/>
    </font>
    <font>
      <name val="Arial"/>
      <b val="1"/>
      <color rgb="FFFFFFFF"/>
      <sz val="10"/>
    </font>
    <font>
      <name val="Arial"/>
      <color rgb="FF1A1A1A"/>
      <sz val="10"/>
    </font>
    <font>
      <name val="Arial"/>
      <i val="1"/>
      <color rgb="FF595959"/>
      <sz val="9"/>
    </font>
    <font>
      <name val="Arial"/>
      <b val="1"/>
      <color rgb="FF1A1A1A"/>
      <sz val="10"/>
    </font>
    <font>
      <name val="Arial"/>
      <color rgb="FF1155CC"/>
      <sz val="10"/>
    </font>
    <font>
      <name val="Arial"/>
      <i val="1"/>
      <color rgb="FF808080"/>
      <sz val="9"/>
    </font>
    <font>
      <name val="Arial"/>
      <b val="1"/>
      <color rgb="FF44546A"/>
      <sz val="10"/>
    </font>
    <font>
      <name val="Arial"/>
      <b val="1"/>
      <color rgb="FF1F3864"/>
      <sz val="20"/>
    </font>
    <font>
      <name val="Arial"/>
      <b val="1"/>
      <color rgb="FF595959"/>
      <sz val="9"/>
    </font>
    <font>
      <name val="Arial"/>
      <b val="1"/>
      <color rgb="FFB00020"/>
      <sz val="20"/>
    </font>
    <font>
      <name val="Arial"/>
      <b val="1"/>
      <color rgb="FF1E7B34"/>
      <sz val="20"/>
    </font>
    <font>
      <name val="Arial"/>
      <b val="1"/>
      <color rgb="FF9C6500"/>
      <sz val="20"/>
    </font>
    <font>
      <name val="Arial"/>
      <b val="1"/>
      <color rgb="FF5B7FB5"/>
      <sz val="20"/>
    </font>
    <font>
      <name val="Arial"/>
      <b val="1"/>
      <color rgb="FF1F3864"/>
      <sz val="13"/>
    </font>
    <font>
      <name val="Arial"/>
      <b val="1"/>
      <color rgb="FFFFFFFF"/>
      <sz val="11"/>
    </font>
    <font>
      <name val="Arial"/>
      <b val="1"/>
      <color rgb="FF44546A"/>
      <sz val="9"/>
    </font>
    <font>
      <name val="Arial"/>
      <b val="1"/>
      <color rgb="FF1F3864"/>
      <sz val="11"/>
    </font>
    <font>
      <name val="Arial"/>
      <family val="2"/>
      <color rgb="FF1A1A1A"/>
      <sz val="10"/>
    </font>
    <font>
      <name val="Arial"/>
      <family val="2"/>
      <color rgb="FF1155CC"/>
      <sz val="10"/>
    </font>
    <font>
      <name val="Arial"/>
      <family val="2"/>
      <b val="1"/>
      <color rgb="FF1A1A1A"/>
      <sz val="10"/>
    </font>
    <font>
      <name val="EDF 2020"/>
      <family val="2"/>
      <b val="1"/>
      <color rgb="FF000000"/>
      <sz val="11"/>
    </font>
  </fonts>
  <fills count="9">
    <fill>
      <patternFill/>
    </fill>
    <fill>
      <patternFill patternType="gray125"/>
    </fill>
    <fill>
      <patternFill patternType="solid">
        <fgColor rgb="FF1F3864"/>
      </patternFill>
    </fill>
    <fill>
      <patternFill patternType="solid">
        <fgColor rgb="FF3B6EC4"/>
      </patternFill>
    </fill>
    <fill>
      <patternFill patternType="solid">
        <fgColor rgb="FFF2F5FA"/>
      </patternFill>
    </fill>
    <fill>
      <patternFill patternType="solid">
        <fgColor rgb="FFEDEDED"/>
      </patternFill>
    </fill>
    <fill>
      <patternFill patternType="solid">
        <fgColor rgb="FFFFF2CC"/>
      </patternFill>
    </fill>
    <fill>
      <patternFill patternType="solid">
        <fgColor rgb="FF44546A"/>
      </patternFill>
    </fill>
    <fill>
      <patternFill patternType="solid">
        <fgColor rgb="FFF7F9FC"/>
      </patternFill>
    </fill>
  </fills>
  <borders count="10">
    <border>
      <left/>
      <right/>
      <top/>
      <bottom/>
      <diagonal/>
    </border>
    <border>
      <left style="thin">
        <color rgb="FFC9D3E0"/>
      </left>
      <right style="thin">
        <color rgb="FFC9D3E0"/>
      </right>
      <top style="thin">
        <color rgb="FFC9D3E0"/>
      </top>
      <bottom style="thin">
        <color rgb="FFC9D3E0"/>
      </bottom>
      <diagonal/>
    </border>
    <border>
      <left/>
      <right/>
      <top style="thin">
        <color rgb="FFC9D3E0"/>
      </top>
      <bottom/>
      <diagonal/>
    </border>
    <border>
      <left style="thin">
        <color rgb="FFC9D3E0"/>
      </left>
      <right/>
      <top/>
      <bottom/>
      <diagonal/>
    </border>
    <border>
      <left/>
      <right style="thin">
        <color rgb="FFC9D3E0"/>
      </right>
      <top style="thin">
        <color rgb="FFC9D3E0"/>
      </top>
      <bottom/>
      <diagonal/>
    </border>
    <border>
      <left/>
      <right style="thin">
        <color rgb="FFC9D3E0"/>
      </right>
      <top/>
      <bottom/>
      <diagonal/>
    </border>
    <border>
      <left style="thin">
        <color rgb="FFC9D3E0"/>
      </left>
      <right/>
      <top/>
      <bottom style="thin">
        <color rgb="FFC9D3E0"/>
      </bottom>
      <diagonal/>
    </border>
    <border>
      <left/>
      <right style="thin">
        <color rgb="FFC9D3E0"/>
      </right>
      <top/>
      <bottom style="thin">
        <color rgb="FFC9D3E0"/>
      </bottom>
      <diagonal/>
    </border>
    <border>
      <left/>
      <right style="thin">
        <color rgb="FFC9D3E0"/>
      </right>
      <top style="thin">
        <color rgb="FFC9D3E0"/>
      </top>
      <bottom style="thin">
        <color rgb="FFC9D3E0"/>
      </bottom>
      <diagonal/>
    </border>
    <border>
      <left/>
      <right/>
      <top style="thin">
        <color rgb="FFC9D3E0"/>
      </top>
      <bottom style="thin">
        <color rgb="FFC9D3E0"/>
      </bottom>
      <diagonal/>
    </border>
  </borders>
  <cellStyleXfs count="1">
    <xf numFmtId="0" fontId="0" fillId="0" borderId="0"/>
  </cellStyleXfs>
  <cellXfs count="53">
    <xf numFmtId="0" fontId="0" fillId="0" borderId="0" pivotButton="0" quotePrefix="0" xfId="0"/>
    <xf numFmtId="0" fontId="2" fillId="3" borderId="0" applyAlignment="1" pivotButton="0" quotePrefix="0" xfId="0">
      <alignment horizontal="center" vertical="center" wrapText="1"/>
    </xf>
    <xf numFmtId="0" fontId="1" fillId="2" borderId="0" applyAlignment="1" pivotButton="0" quotePrefix="0" xfId="0">
      <alignment horizontal="center" vertical="center" wrapText="1"/>
    </xf>
    <xf numFmtId="0" fontId="3" fillId="0" borderId="0" pivotButton="0" quotePrefix="0" xfId="0"/>
    <xf numFmtId="0" fontId="4" fillId="0" borderId="0" pivotButton="0" quotePrefix="0" xfId="0"/>
    <xf numFmtId="0" fontId="11" fillId="0" borderId="0" pivotButton="0" quotePrefix="0" xfId="0"/>
    <xf numFmtId="0" fontId="18" fillId="0" borderId="0" pivotButton="0" quotePrefix="0" xfId="0"/>
    <xf numFmtId="0" fontId="8" fillId="0" borderId="0" applyAlignment="1" pivotButton="0" quotePrefix="0" xfId="0">
      <alignment horizontal="center" vertical="center" wrapText="1"/>
    </xf>
    <xf numFmtId="15" fontId="9" fillId="0" borderId="1" applyAlignment="1" pivotButton="0" quotePrefix="0" xfId="0">
      <alignment horizontal="left" vertical="top" wrapText="1"/>
    </xf>
    <xf numFmtId="0" fontId="9" fillId="0" borderId="1" applyAlignment="1" pivotButton="0" quotePrefix="0" xfId="0">
      <alignment horizontal="left" vertical="top" wrapText="1"/>
    </xf>
    <xf numFmtId="0" fontId="19" fillId="7" borderId="1" pivotButton="0" quotePrefix="0" xfId="0"/>
    <xf numFmtId="0" fontId="20" fillId="4" borderId="1" applyAlignment="1" pivotButton="0" quotePrefix="0" xfId="0">
      <alignment horizontal="center" vertical="center" wrapText="1"/>
    </xf>
    <xf numFmtId="0" fontId="6" fillId="0" borderId="1" applyAlignment="1" pivotButton="0" quotePrefix="0" xfId="0">
      <alignment horizontal="left" vertical="top" wrapText="1"/>
    </xf>
    <xf numFmtId="15" fontId="6" fillId="0" borderId="1" applyAlignment="1" pivotButton="0" quotePrefix="0" xfId="0">
      <alignment horizontal="left" vertical="top" wrapText="1"/>
    </xf>
    <xf numFmtId="0" fontId="6" fillId="8" borderId="1" applyAlignment="1" pivotButton="0" quotePrefix="0" xfId="0">
      <alignment horizontal="left" vertical="top" wrapText="1"/>
    </xf>
    <xf numFmtId="15" fontId="6" fillId="8" borderId="1" applyAlignment="1" pivotButton="0" quotePrefix="0" xfId="0">
      <alignment horizontal="left" vertical="top" wrapText="1"/>
    </xf>
    <xf numFmtId="0" fontId="7" fillId="0" borderId="0" pivotButton="0" quotePrefix="0" xfId="0"/>
    <xf numFmtId="15" fontId="21" fillId="0" borderId="1" pivotButton="0" quotePrefix="0" xfId="0"/>
    <xf numFmtId="0" fontId="21" fillId="0" borderId="1" pivotButton="0" quotePrefix="0" xfId="0"/>
    <xf numFmtId="0" fontId="5" fillId="2" borderId="1" applyAlignment="1" pivotButton="0" quotePrefix="0" xfId="0">
      <alignment horizontal="center" vertical="center" wrapText="1"/>
    </xf>
    <xf numFmtId="0" fontId="6" fillId="0" borderId="1" applyAlignment="1" pivotButton="0" quotePrefix="0" xfId="0">
      <alignment horizontal="left" vertical="center" wrapText="1"/>
    </xf>
    <xf numFmtId="0" fontId="6" fillId="4" borderId="1" applyAlignment="1" pivotButton="0" quotePrefix="0" xfId="0">
      <alignment horizontal="left" vertical="center" wrapText="1"/>
    </xf>
    <xf numFmtId="0" fontId="13" fillId="4" borderId="1" applyAlignment="1" pivotButton="0" quotePrefix="0" xfId="0">
      <alignment horizontal="center" vertical="center" wrapText="1"/>
    </xf>
    <xf numFmtId="0" fontId="0" fillId="0" borderId="0" pivotButton="0" quotePrefix="0" xfId="0"/>
    <xf numFmtId="1" fontId="15" fillId="0" borderId="1" applyAlignment="1" pivotButton="0" quotePrefix="0" xfId="0">
      <alignment horizontal="center" vertical="center"/>
    </xf>
    <xf numFmtId="0" fontId="0" fillId="0" borderId="1" pivotButton="0" quotePrefix="0" xfId="0"/>
    <xf numFmtId="1" fontId="14" fillId="0" borderId="1" applyAlignment="1" pivotButton="0" quotePrefix="0" xfId="0">
      <alignment horizontal="center" vertical="center"/>
    </xf>
    <xf numFmtId="1" fontId="17" fillId="0" borderId="1" applyAlignment="1" pivotButton="0" quotePrefix="0" xfId="0">
      <alignment horizontal="center" vertical="center"/>
    </xf>
    <xf numFmtId="1" fontId="12" fillId="0" borderId="1" applyAlignment="1" pivotButton="0" quotePrefix="0" xfId="0">
      <alignment horizontal="center" vertical="center"/>
    </xf>
    <xf numFmtId="1" fontId="16" fillId="0" borderId="1" applyAlignment="1" pivotButton="0" quotePrefix="0" xfId="0">
      <alignment horizontal="center" vertical="center"/>
    </xf>
    <xf numFmtId="0" fontId="6" fillId="0" borderId="1" pivotButton="0" quotePrefix="0" xfId="0"/>
    <xf numFmtId="0" fontId="22" fillId="0" borderId="1" applyAlignment="1" pivotButton="0" quotePrefix="0" xfId="0">
      <alignment horizontal="left" vertical="center" wrapText="1"/>
    </xf>
    <xf numFmtId="0" fontId="22" fillId="4" borderId="1" applyAlignment="1" pivotButton="0" quotePrefix="0" xfId="0">
      <alignment horizontal="left" vertical="center" wrapText="1"/>
    </xf>
    <xf numFmtId="0" fontId="9" fillId="0" borderId="1" applyAlignment="1" pivotButton="0" quotePrefix="0" xfId="0">
      <alignment horizontal="left" vertical="center" wrapText="1"/>
    </xf>
    <xf numFmtId="0" fontId="9" fillId="0" borderId="1" applyAlignment="1" pivotButton="0" quotePrefix="0" xfId="0">
      <alignment horizontal="center" vertical="center" wrapText="1"/>
    </xf>
    <xf numFmtId="0" fontId="10" fillId="5" borderId="1"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0" applyAlignment="1" pivotButton="0" quotePrefix="0" xfId="0">
      <alignment horizontal="center" vertical="center" wrapText="1"/>
    </xf>
    <xf numFmtId="14" fontId="9" fillId="0" borderId="1" applyAlignment="1" pivotButton="0" quotePrefix="0" xfId="0">
      <alignment horizontal="center" vertical="center" wrapText="1"/>
    </xf>
    <xf numFmtId="0" fontId="24" fillId="0" borderId="0" applyAlignment="1" pivotButton="0" quotePrefix="0" xfId="0">
      <alignment horizontal="center" vertical="center" wrapText="1"/>
    </xf>
    <xf numFmtId="0" fontId="23" fillId="0" borderId="1" applyAlignment="1" pivotButton="0" quotePrefix="0" xfId="0">
      <alignment horizontal="left" vertical="center" wrapText="1"/>
    </xf>
    <xf numFmtId="14" fontId="9" fillId="6" borderId="1" pivotButton="0" quotePrefix="0" xfId="0"/>
    <xf numFmtId="164" fontId="9" fillId="6" borderId="1" pivotButton="0" quotePrefix="0" xfId="0"/>
    <xf numFmtId="0" fontId="0" fillId="0" borderId="4" pivotButton="0" quotePrefix="0" xfId="0"/>
    <xf numFmtId="0" fontId="0" fillId="0" borderId="3"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164" fontId="9" fillId="0" borderId="1" applyAlignment="1" pivotButton="0" quotePrefix="0" xfId="0">
      <alignment horizontal="center" vertical="center" wrapText="1"/>
    </xf>
    <xf numFmtId="164" fontId="21" fillId="0" borderId="1" pivotButton="0" quotePrefix="0" xfId="0"/>
    <xf numFmtId="0" fontId="0" fillId="0" borderId="9" pivotButton="0" quotePrefix="0" xfId="0"/>
  </cellXfs>
  <cellStyles count="1">
    <cellStyle name="Normal" xfId="0" builtinId="0"/>
  </cellStyles>
  <dxfs count="18">
    <dxf>
      <font>
        <i val="1"/>
        <color rgb="FF6E6E6E"/>
      </font>
      <fill>
        <patternFill patternType="solid">
          <fgColor rgb="FFE8E8E8"/>
        </patternFill>
      </fill>
    </dxf>
    <dxf>
      <font>
        <color rgb="FF1E7B34"/>
      </font>
      <fill>
        <patternFill patternType="solid">
          <fgColor rgb="FFE2F0E4"/>
        </patternFill>
      </fill>
    </dxf>
    <dxf>
      <font>
        <color rgb="FFB00020"/>
      </font>
      <fill>
        <patternFill patternType="solid">
          <fgColor rgb="FFFBE4E4"/>
        </patternFill>
      </fill>
    </dxf>
    <dxf>
      <font>
        <b val="1"/>
        <color rgb="FFB00020"/>
      </font>
      <fill>
        <patternFill patternType="solid">
          <fgColor rgb="FFFBE4E4"/>
        </patternFill>
      </fill>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
      <alignment horizontal="center" vertical="center" wrapText="1"/>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ttendees_Log" displayName="Attendees_Log" ref="B14:D21" headerRowCount="1">
  <autoFilter ref="B14:D21"/>
  <tableColumns count="3">
    <tableColumn id="2" name="Meeting Date"/>
    <tableColumn id="3" name="Meeting Type"/>
    <tableColumn id="4" name="Attendees"/>
  </tableColumns>
  <tableStyleInfo name="TableStyleMedium2" showFirstColumn="0" showLastColumn="0" showRowStripes="1" showColumnStripes="0"/>
</table>
</file>

<file path=xl/tables/table2.xml><?xml version="1.0" encoding="utf-8"?>
<table xmlns="http://schemas.openxmlformats.org/spreadsheetml/2006/main" id="2" name="Meeting_Log" displayName="Meeting_Log" ref="B7:L107" headerRowCount="1" headerRowDxfId="6" dataDxfId="4" totalsRowDxfId="5">
  <autoFilter ref="B7:L107"/>
  <sortState ref="B8:L60">
    <sortCondition ref="D7:D60"/>
  </sortState>
  <tableColumns count="11">
    <tableColumn id="2" name="Subject" dataDxfId="17"/>
    <tableColumn id="3" name="Sub-topic" dataDxfId="16"/>
    <tableColumn id="4" name="Meeting Date" dataDxfId="15"/>
    <tableColumn id="5" name="Discussion / Notes" dataDxfId="14"/>
    <tableColumn id="6" name="Action Updates" dataDxfId="13"/>
    <tableColumn id="7" name="Owner" dataDxfId="12"/>
    <tableColumn id="8" name="Due Date" dataDxfId="11"/>
    <tableColumn id="9" name="Status" dataDxfId="10"/>
    <tableColumn id="10" name="Priority" dataDxfId="9"/>
    <tableColumn id="11" name="Topic Key" dataDxfId="8"/>
    <tableColumn id="12" name="Overdue?" dataDxfId="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B1:R58"/>
  <sheetViews>
    <sheetView showGridLines="0" tabSelected="1" workbookViewId="0">
      <selection activeCell="C5" sqref="C5"/>
    </sheetView>
  </sheetViews>
  <sheetFormatPr baseColWidth="10" defaultColWidth="9.140625" defaultRowHeight="15"/>
  <cols>
    <col width="2.42578125" customWidth="1" style="23" min="1" max="1"/>
    <col width="18" customWidth="1" style="23" min="2" max="2"/>
    <col width="34" customWidth="1" style="23" min="3" max="3"/>
    <col width="54.7109375" customWidth="1" style="23" min="4" max="4"/>
    <col width="58.140625" customWidth="1" style="23" min="5" max="5"/>
    <col width="13" customWidth="1" style="23" min="6" max="6"/>
    <col width="11" customWidth="1" style="23" min="7" max="7"/>
    <col width="13" customWidth="1" style="23" min="8" max="9"/>
    <col width="13" customWidth="1" style="23" min="11" max="12"/>
    <col width="13" customWidth="1" style="23" min="14" max="15"/>
    <col width="13" customWidth="1" style="23" min="17" max="18"/>
  </cols>
  <sheetData>
    <row r="1" ht="20.1" customHeight="1" s="23">
      <c r="B1" s="1" t="inlineStr">
        <is>
          <t>Overview</t>
        </is>
      </c>
      <c r="C1" s="2" t="inlineStr">
        <is>
          <t>Meeting Log</t>
        </is>
      </c>
      <c r="D1" s="2" t="inlineStr">
        <is>
          <t>Meeting Report</t>
        </is>
      </c>
      <c r="E1" s="2" t="inlineStr">
        <is>
          <t>Lists &amp; Config</t>
        </is>
      </c>
    </row>
    <row r="2" ht="26.1" customHeight="1" s="23">
      <c r="B2" s="3" t="inlineStr">
        <is>
          <t>HBX Commissioning Review - Overview</t>
        </is>
      </c>
    </row>
    <row r="3" ht="15.95" customHeight="1" s="23">
      <c r="B3" s="4" t="inlineStr">
        <is>
          <t>Open this before a meeting: pick the meeting date below and everything updates automatically from Meeting Log.</t>
        </is>
      </c>
    </row>
    <row r="5">
      <c r="B5" s="5" t="inlineStr">
        <is>
          <t>Current Meeting Date:</t>
        </is>
      </c>
      <c r="C5" s="43" t="n">
        <v>46319</v>
      </c>
    </row>
    <row r="8">
      <c r="B8" s="28">
        <f>SUMPRODUCT((Meeting_Log[Topic Key]&lt;&gt;"")*(Meeting_Log[Meeting Date]&lt;=$C$5)*(Meeting_Log[Meeting Date]=_xlfn.MAXIFS(Meeting_Log[Meeting Date],Meeting_Log[Topic Key],Meeting_Log[Topic Key],Meeting_Log[Meeting Date],"&lt;="&amp;$C$5)))</f>
        <v/>
      </c>
      <c r="C8" s="44" t="n"/>
      <c r="E8" s="28">
        <f>SUMPRODUCT((Meeting_Log[Topic Key]&lt;&gt;"")*(Meeting_Log[Meeting Date]&lt;=$C$5)*(Meeting_Log[Meeting Date]=_xlfn.MAXIFS(Meeting_Log[Meeting Date],Meeting_Log[Topic Key],Meeting_Log[Topic Key],Meeting_Log[Meeting Date],"&lt;="&amp;$C$5))*(Meeting_Log[Status]&lt;&gt;"Closed")*(Meeting_Log[Status]&lt;&gt;"Cancelled"))</f>
        <v/>
      </c>
      <c r="F8" s="44" t="n"/>
      <c r="H8" s="26">
        <f>SUMPRODUCT((Meeting_Log[Topic Key]&lt;&gt;"")*(Meeting_Log[Meeting Date]&lt;=$C$5)*(Meeting_Log[Meeting Date]=_xlfn.MAXIFS(Meeting_Log[Meeting Date],Meeting_Log[Topic Key],Meeting_Log[Topic Key],Meeting_Log[Meeting Date],"&lt;="&amp;$C$5))*(Meeting_Log[Status]&lt;&gt;"Closed")*(Meeting_Log[Status]&lt;&gt;"Cancelled")*(Meeting_Log[Overdue?]="Yes"))</f>
        <v/>
      </c>
      <c r="I8" s="44" t="n"/>
      <c r="K8" s="24">
        <f>SUMPRODUCT((Meeting_Log[Topic Key]&lt;&gt;"")*(Meeting_Log[Meeting Date]&lt;=$C$5)*(Meeting_Log[Meeting Date]=_xlfn.MAXIFS(Meeting_Log[Meeting Date],Meeting_Log[Topic Key],Meeting_Log[Topic Key],Meeting_Log[Meeting Date],"&lt;="&amp;$C$5))*(Meeting_Log[Status]="Closed"))</f>
        <v/>
      </c>
      <c r="L8" s="44" t="n"/>
      <c r="N8" s="29">
        <f>SUMPRODUCT((Meeting_Log[Topic Key]&lt;&gt;"")*(Meeting_Log[Meeting Date]&lt;$C$5)*(Meeting_Log[Meeting Date]=_xlfn.MAXIFS(Meeting_Log[Meeting Date],Meeting_Log[Topic Key],Meeting_Log[Topic Key],Meeting_Log[Meeting Date],"&lt;"&amp;$C$5))*(Meeting_Log[Status]&lt;&gt;"Closed")*(Meeting_Log[Status]&lt;&gt;"Cancelled"))</f>
        <v/>
      </c>
      <c r="O8" s="44" t="n"/>
      <c r="Q8" s="27">
        <f>SUMPRODUCT((Meeting_Log[Topic Key]&lt;&gt;"")*(Meeting_Log[Meeting Date]=$C$5)*(COUNTIFS(Meeting_Log[Topic Key],Meeting_Log[Topic Key],Meeting_Log[Meeting Date],"&lt;"&amp;$C$5)=0))</f>
        <v/>
      </c>
      <c r="R8" s="44" t="n"/>
    </row>
    <row r="9">
      <c r="B9" s="45" t="n"/>
      <c r="C9" s="46" t="n"/>
      <c r="E9" s="45" t="n"/>
      <c r="F9" s="46" t="n"/>
      <c r="H9" s="45" t="n"/>
      <c r="I9" s="46" t="n"/>
      <c r="K9" s="45" t="n"/>
      <c r="L9" s="46" t="n"/>
      <c r="N9" s="45" t="n"/>
      <c r="O9" s="46" t="n"/>
      <c r="Q9" s="45" t="n"/>
      <c r="R9" s="46" t="n"/>
    </row>
    <row r="10">
      <c r="B10" s="47" t="n"/>
      <c r="C10" s="48" t="n"/>
      <c r="E10" s="47" t="n"/>
      <c r="F10" s="48" t="n"/>
      <c r="H10" s="47" t="n"/>
      <c r="I10" s="48" t="n"/>
      <c r="K10" s="47" t="n"/>
      <c r="L10" s="48" t="n"/>
      <c r="N10" s="47" t="n"/>
      <c r="O10" s="48" t="n"/>
      <c r="Q10" s="47" t="n"/>
      <c r="R10" s="48" t="n"/>
    </row>
    <row r="11">
      <c r="B11" s="22" t="inlineStr">
        <is>
          <t>Total Subjects</t>
        </is>
      </c>
      <c r="C11" s="49" t="n"/>
      <c r="E11" s="22" t="inlineStr">
        <is>
          <t>Open Actions</t>
        </is>
      </c>
      <c r="F11" s="49" t="n"/>
      <c r="H11" s="22" t="inlineStr">
        <is>
          <t>Overdue Actions</t>
        </is>
      </c>
      <c r="I11" s="49" t="n"/>
      <c r="K11" s="22" t="inlineStr">
        <is>
          <t>Closed</t>
        </is>
      </c>
      <c r="L11" s="49" t="n"/>
      <c r="N11" s="22" t="inlineStr">
        <is>
          <t>Carried Over from Previous Meeting</t>
        </is>
      </c>
      <c r="O11" s="49" t="n"/>
      <c r="Q11" s="22" t="inlineStr">
        <is>
          <t>New Topics This Meeting</t>
        </is>
      </c>
      <c r="R11" s="49" t="n"/>
    </row>
    <row r="13" ht="16.5" customHeight="1" s="23">
      <c r="B13" s="6" t="inlineStr">
        <is>
          <t>Attendees</t>
        </is>
      </c>
    </row>
    <row r="14" ht="26.1" customHeight="1" s="23">
      <c r="B14" s="7" t="inlineStr">
        <is>
          <t>Meeting Date</t>
        </is>
      </c>
      <c r="C14" s="7" t="inlineStr">
        <is>
          <t>Meeting Type</t>
        </is>
      </c>
      <c r="D14" s="7" t="inlineStr">
        <is>
          <t>Attendees</t>
        </is>
      </c>
    </row>
    <row r="15" ht="26.1" customHeight="1" s="23">
      <c r="B15" s="8" t="n"/>
      <c r="C15" s="9" t="n"/>
      <c r="D15" s="9" t="n"/>
    </row>
    <row r="16" ht="26.1" customHeight="1" s="23">
      <c r="B16" s="8" t="n"/>
      <c r="C16" s="9" t="n"/>
      <c r="D16" s="9" t="n"/>
    </row>
    <row r="17" ht="26.1" customHeight="1" s="23">
      <c r="B17" s="8" t="n"/>
      <c r="C17" s="9" t="n"/>
      <c r="D17" s="9" t="n"/>
    </row>
    <row r="18" ht="26.1" customHeight="1" s="23">
      <c r="B18" s="8" t="n"/>
      <c r="C18" s="9" t="n"/>
      <c r="D18" s="9" t="n"/>
    </row>
    <row r="19" ht="26.1" customHeight="1" s="23">
      <c r="B19" s="8" t="n"/>
      <c r="C19" s="9" t="n"/>
      <c r="D19" s="9" t="n"/>
    </row>
    <row r="20" ht="26.1" customHeight="1" s="23">
      <c r="B20" s="8" t="n"/>
      <c r="C20" s="9" t="n"/>
      <c r="D20" s="9" t="n"/>
    </row>
    <row r="21" ht="30" customHeight="1" s="23">
      <c r="B21" s="8" t="n"/>
      <c r="C21" s="9" t="n"/>
      <c r="D21" s="9" t="n"/>
    </row>
    <row r="23" ht="21.95" customHeight="1" s="23">
      <c r="B23" s="10" t="inlineStr">
        <is>
          <t>1. FOLLOW-UP FROM PREVIOUS MEETING (open, not yet touched today)</t>
        </is>
      </c>
      <c r="C23" s="10" t="n"/>
      <c r="D23" s="10" t="n"/>
      <c r="E23" s="10" t="n"/>
      <c r="F23" s="10" t="n"/>
      <c r="G23" s="10" t="n"/>
      <c r="H23" s="10" t="n"/>
    </row>
    <row r="24">
      <c r="B24" s="11" t="inlineStr">
        <is>
          <t>Subject</t>
        </is>
      </c>
      <c r="C24" s="11" t="inlineStr">
        <is>
          <t>Sub-topic</t>
        </is>
      </c>
      <c r="D24" s="11" t="inlineStr">
        <is>
          <t>Discussion</t>
        </is>
      </c>
      <c r="E24" s="11" t="inlineStr">
        <is>
          <t>Action</t>
        </is>
      </c>
      <c r="F24" s="11" t="inlineStr">
        <is>
          <t>Owner</t>
        </is>
      </c>
      <c r="G24" s="11" t="inlineStr">
        <is>
          <t>Due Date</t>
        </is>
      </c>
      <c r="H24" s="11" t="inlineStr">
        <is>
          <t>Status</t>
        </is>
      </c>
    </row>
    <row r="25" ht="164.1" customHeight="1" s="23">
      <c r="B25" s="12">
        <f t="array" ref="B25">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Key])-7),1)),"")</f>
        <v/>
      </c>
      <c r="C25" s="12">
        <f t="array" ref="C25">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Key])-7),1)),"")</f>
        <v/>
      </c>
      <c r="D25" s="12">
        <f t="array" ref="D25">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Key])-7),1)),"")</f>
        <v/>
      </c>
      <c r="E25" s="12">
        <f t="array" ref="E25">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Key])-7),1)),"")</f>
        <v/>
      </c>
      <c r="F25" s="12">
        <f t="array" ref="F25">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Key])-7),1)),"")</f>
        <v/>
      </c>
      <c r="G25" s="13">
        <f t="array" ref="G25">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Key])-7),1)),"")</f>
        <v/>
      </c>
      <c r="H25" s="12">
        <f t="array" ref="H25">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Key])-7),1)),"")</f>
        <v/>
      </c>
    </row>
    <row r="26" ht="164.1" customHeight="1" s="23">
      <c r="B26" s="14">
        <f t="array" ref="B26">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Key])-7),2)),"")</f>
        <v/>
      </c>
      <c r="C26" s="14">
        <f t="array" ref="C26">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Key])-7),2)),"")</f>
        <v/>
      </c>
      <c r="D26" s="14">
        <f t="array" ref="D26">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Key])-7),2)),"")</f>
        <v/>
      </c>
      <c r="E26" s="14">
        <f t="array" ref="E26">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Key])-7),2)),"")</f>
        <v/>
      </c>
      <c r="F26" s="14">
        <f t="array" ref="F26">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Key])-7),2)),"")</f>
        <v/>
      </c>
      <c r="G26" s="15">
        <f t="array" ref="G26">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Key])-7),2)),"")</f>
        <v/>
      </c>
      <c r="H26" s="14">
        <f t="array" ref="H26">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Key])-7),2)),"")</f>
        <v/>
      </c>
    </row>
    <row r="27" ht="164.1" customHeight="1" s="23">
      <c r="B27" s="12">
        <f t="array" ref="B27">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Key])-7),3)),"")</f>
        <v/>
      </c>
      <c r="C27" s="12">
        <f t="array" ref="C27">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Key])-7),3)),"")</f>
        <v/>
      </c>
      <c r="D27" s="12">
        <f t="array" ref="D27">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Key])-7),3)),"")</f>
        <v/>
      </c>
      <c r="E27" s="12">
        <f t="array" ref="E27">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Key])-7),3)),"")</f>
        <v/>
      </c>
      <c r="F27" s="12">
        <f t="array" ref="F27">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Key])-7),3)),"")</f>
        <v/>
      </c>
      <c r="G27" s="13">
        <f t="array" ref="G27">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Key])-7),3)),"")</f>
        <v/>
      </c>
      <c r="H27" s="12">
        <f t="array" ref="H27">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Key])-7),3)),"")</f>
        <v/>
      </c>
    </row>
    <row r="28" ht="164.1" customHeight="1" s="23">
      <c r="B28" s="14">
        <f t="array" ref="B28">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Key])-7),4)),"")</f>
        <v/>
      </c>
      <c r="C28" s="14">
        <f t="array" ref="C28">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Key])-7),4)),"")</f>
        <v/>
      </c>
      <c r="D28" s="14">
        <f t="array" ref="D28">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Key])-7),4)),"")</f>
        <v/>
      </c>
      <c r="E28" s="14">
        <f t="array" ref="E28">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Key])-7),4)),"")</f>
        <v/>
      </c>
      <c r="F28" s="14">
        <f t="array" ref="F28">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Key])-7),4)),"")</f>
        <v/>
      </c>
      <c r="G28" s="15">
        <f t="array" ref="G28">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Key])-7),4)),"")</f>
        <v/>
      </c>
      <c r="H28" s="14">
        <f t="array" ref="H28">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Key])-7),4)),"")</f>
        <v/>
      </c>
    </row>
    <row r="29" ht="164.1" customHeight="1" s="23">
      <c r="B29" s="12">
        <f t="array" ref="B29">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Key])-7),5)),"")</f>
        <v/>
      </c>
      <c r="C29" s="12">
        <f t="array" ref="C29">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Key])-7),5)),"")</f>
        <v/>
      </c>
      <c r="D29" s="12">
        <f t="array" ref="D29">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Key])-7),5)),"")</f>
        <v/>
      </c>
      <c r="E29" s="12">
        <f t="array" ref="E29">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Key])-7),5)),"")</f>
        <v/>
      </c>
      <c r="F29" s="12">
        <f t="array" ref="F29">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Key])-7),5)),"")</f>
        <v/>
      </c>
      <c r="G29" s="13">
        <f t="array" ref="G29">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Key])-7),5)),"")</f>
        <v/>
      </c>
      <c r="H29" s="12">
        <f t="array" ref="H29">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Key])-7),5)),"")</f>
        <v/>
      </c>
    </row>
    <row r="30" ht="164.1" customHeight="1" s="23">
      <c r="B30" s="14">
        <f t="array" ref="B30">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Key])-7),6)),"")</f>
        <v/>
      </c>
      <c r="C30" s="14">
        <f t="array" ref="C30">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Key])-7),6)),"")</f>
        <v/>
      </c>
      <c r="D30" s="14">
        <f t="array" ref="D30">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Key])-7),6)),"")</f>
        <v/>
      </c>
      <c r="E30" s="14">
        <f t="array" ref="E30">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Key])-7),6)),"")</f>
        <v/>
      </c>
      <c r="F30" s="14">
        <f t="array" ref="F30">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Key])-7),6)),"")</f>
        <v/>
      </c>
      <c r="G30" s="15">
        <f t="array" ref="G30">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Key])-7),6)),"")</f>
        <v/>
      </c>
      <c r="H30" s="14">
        <f t="array" ref="H30">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Key])-7),6)),"")</f>
        <v/>
      </c>
    </row>
    <row r="31" ht="164.1" customHeight="1" s="23">
      <c r="B31" s="12">
        <f t="array" ref="B31">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Key])-7),7)),"")</f>
        <v/>
      </c>
      <c r="C31" s="12">
        <f t="array" ref="C31">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Key])-7),7)),"")</f>
        <v/>
      </c>
      <c r="D31" s="12">
        <f t="array" ref="D31">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Key])-7),7)),"")</f>
        <v/>
      </c>
      <c r="E31" s="12">
        <f t="array" ref="E31">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Key])-7),7)),"")</f>
        <v/>
      </c>
      <c r="F31" s="12">
        <f t="array" ref="F31">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Key])-7),7)),"")</f>
        <v/>
      </c>
      <c r="G31" s="13">
        <f t="array" ref="G31">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Key])-7),7)),"")</f>
        <v/>
      </c>
      <c r="H31" s="12">
        <f t="array" ref="H31">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Key])-7),7)),"")</f>
        <v/>
      </c>
    </row>
    <row r="32" ht="164.1" customHeight="1" s="23">
      <c r="B32" s="14">
        <f t="array" ref="B32">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Key])-7),8)),"")</f>
        <v/>
      </c>
      <c r="C32" s="14">
        <f t="array" ref="C32">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Key])-7),8)),"")</f>
        <v/>
      </c>
      <c r="D32" s="14">
        <f t="array" ref="D32">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Key])-7),8)),"")</f>
        <v/>
      </c>
      <c r="E32" s="14">
        <f t="array" ref="E32">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Key])-7),8)),"")</f>
        <v/>
      </c>
      <c r="F32" s="14">
        <f t="array" ref="F32">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Key])-7),8)),"")</f>
        <v/>
      </c>
      <c r="G32" s="15">
        <f t="array" ref="G32">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Key])-7),8)),"")</f>
        <v/>
      </c>
      <c r="H32" s="14">
        <f t="array" ref="H32">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Key])-7),8)),"")</f>
        <v/>
      </c>
    </row>
    <row r="34" ht="21.95" customHeight="1" s="23">
      <c r="B34" s="10" t="inlineStr">
        <is>
          <t>2. NEW TOPICS (raised today)</t>
        </is>
      </c>
      <c r="C34" s="10" t="n"/>
      <c r="D34" s="10" t="n"/>
      <c r="E34" s="10" t="n"/>
      <c r="F34" s="10" t="n"/>
      <c r="G34" s="10" t="n"/>
      <c r="H34" s="10" t="n"/>
    </row>
    <row r="35">
      <c r="B35" s="11" t="inlineStr">
        <is>
          <t>Subject</t>
        </is>
      </c>
      <c r="C35" s="11" t="inlineStr">
        <is>
          <t>Sub-topic</t>
        </is>
      </c>
      <c r="D35" s="11" t="inlineStr">
        <is>
          <t>Discussion</t>
        </is>
      </c>
      <c r="E35" s="11" t="inlineStr">
        <is>
          <t>Action</t>
        </is>
      </c>
      <c r="F35" s="11" t="inlineStr">
        <is>
          <t>Owner</t>
        </is>
      </c>
      <c r="G35" s="11" t="inlineStr">
        <is>
          <t>Due Date</t>
        </is>
      </c>
      <c r="H35" s="11" t="inlineStr">
        <is>
          <t>Status</t>
        </is>
      </c>
    </row>
    <row r="36" ht="26.1" customHeight="1" s="23">
      <c r="B36" s="12">
        <f t="array" ref="B36">IFERROR(INDEX(Meeting_Log[Subject],SMALL(IF((Meeting_Log[Topic Key]&lt;&gt;"")*(Meeting_Log[Meeting Date]=$C$5)*(COUNTIFS(Meeting_Log[Topic Key],Meeting_Log[Topic Key],Meeting_Log[Meeting Date],"&lt;"&amp;$C$5)=0),ROW(Meeting_Log[Topic Key])-7),1)),"")</f>
        <v/>
      </c>
      <c r="C36" s="12">
        <f t="array" ref="C36">IFERROR(INDEX(Meeting_Log[Sub-topic],SMALL(IF((Meeting_Log[Topic Key]&lt;&gt;"")*(Meeting_Log[Meeting Date]=$C$5)*(COUNTIFS(Meeting_Log[Topic Key],Meeting_Log[Topic Key],Meeting_Log[Meeting Date],"&lt;"&amp;$C$5)=0),ROW(Meeting_Log[Topic Key])-7),1)),"")</f>
        <v/>
      </c>
      <c r="D36" s="12">
        <f t="array" ref="D36">IFERROR(INDEX(Meeting_Log[Discussion / Notes],SMALL(IF((Meeting_Log[Topic Key]&lt;&gt;"")*(Meeting_Log[Meeting Date]=$C$5)*(COUNTIFS(Meeting_Log[Topic Key],Meeting_Log[Topic Key],Meeting_Log[Meeting Date],"&lt;"&amp;$C$5)=0),ROW(Meeting_Log[Topic Key])-7),1)),"")</f>
        <v/>
      </c>
      <c r="E36" s="12">
        <f t="array" ref="E36">IFERROR(INDEX(Meeting_Log[Action Updates],SMALL(IF((Meeting_Log[Topic Key]&lt;&gt;"")*(Meeting_Log[Meeting Date]=$C$5)*(COUNTIFS(Meeting_Log[Topic Key],Meeting_Log[Topic Key],Meeting_Log[Meeting Date],"&lt;"&amp;$C$5)=0),ROW(Meeting_Log[Topic Key])-7),1)),"")</f>
        <v/>
      </c>
      <c r="F36" s="12">
        <f t="array" ref="F36">IFERROR(INDEX(Meeting_Log[Owner],SMALL(IF((Meeting_Log[Topic Key]&lt;&gt;"")*(Meeting_Log[Meeting Date]=$C$5)*(COUNTIFS(Meeting_Log[Topic Key],Meeting_Log[Topic Key],Meeting_Log[Meeting Date],"&lt;"&amp;$C$5)=0),ROW(Meeting_Log[Topic Key])-7),1)),"")</f>
        <v/>
      </c>
      <c r="G36" s="13">
        <f t="array" ref="G36">IFERROR(INDEX(Meeting_Log[Due Date],SMALL(IF((Meeting_Log[Topic Key]&lt;&gt;"")*(Meeting_Log[Meeting Date]=$C$5)*(COUNTIFS(Meeting_Log[Topic Key],Meeting_Log[Topic Key],Meeting_Log[Meeting Date],"&lt;"&amp;$C$5)=0),ROW(Meeting_Log[Topic Key])-7),1)),"")</f>
        <v/>
      </c>
      <c r="H36" s="12">
        <f t="array" ref="H36">IFERROR(INDEX(Meeting_Log[Status],SMALL(IF((Meeting_Log[Topic Key]&lt;&gt;"")*(Meeting_Log[Meeting Date]=$C$5)*(COUNTIFS(Meeting_Log[Topic Key],Meeting_Log[Topic Key],Meeting_Log[Meeting Date],"&lt;"&amp;$C$5)=0),ROW(Meeting_Log[Topic Key])-7),1)),"")</f>
        <v/>
      </c>
    </row>
    <row r="37" ht="26.1" customHeight="1" s="23">
      <c r="B37" s="14">
        <f t="array" ref="B37">IFERROR(INDEX(Meeting_Log[Subject],SMALL(IF((Meeting_Log[Topic Key]&lt;&gt;"")*(Meeting_Log[Meeting Date]=$C$5)*(COUNTIFS(Meeting_Log[Topic Key],Meeting_Log[Topic Key],Meeting_Log[Meeting Date],"&lt;"&amp;$C$5)=0),ROW(Meeting_Log[Topic Key])-7),2)),"")</f>
        <v/>
      </c>
      <c r="C37" s="14">
        <f t="array" ref="C37">IFERROR(INDEX(Meeting_Log[Sub-topic],SMALL(IF((Meeting_Log[Topic Key]&lt;&gt;"")*(Meeting_Log[Meeting Date]=$C$5)*(COUNTIFS(Meeting_Log[Topic Key],Meeting_Log[Topic Key],Meeting_Log[Meeting Date],"&lt;"&amp;$C$5)=0),ROW(Meeting_Log[Topic Key])-7),2)),"")</f>
        <v/>
      </c>
      <c r="D37" s="14">
        <f t="array" ref="D37">IFERROR(INDEX(Meeting_Log[Discussion / Notes],SMALL(IF((Meeting_Log[Topic Key]&lt;&gt;"")*(Meeting_Log[Meeting Date]=$C$5)*(COUNTIFS(Meeting_Log[Topic Key],Meeting_Log[Topic Key],Meeting_Log[Meeting Date],"&lt;"&amp;$C$5)=0),ROW(Meeting_Log[Topic Key])-7),2)),"")</f>
        <v/>
      </c>
      <c r="E37" s="14">
        <f t="array" ref="E37">IFERROR(INDEX(Meeting_Log[Action Updates],SMALL(IF((Meeting_Log[Topic Key]&lt;&gt;"")*(Meeting_Log[Meeting Date]=$C$5)*(COUNTIFS(Meeting_Log[Topic Key],Meeting_Log[Topic Key],Meeting_Log[Meeting Date],"&lt;"&amp;$C$5)=0),ROW(Meeting_Log[Topic Key])-7),2)),"")</f>
        <v/>
      </c>
      <c r="F37" s="14">
        <f t="array" ref="F37">IFERROR(INDEX(Meeting_Log[Owner],SMALL(IF((Meeting_Log[Topic Key]&lt;&gt;"")*(Meeting_Log[Meeting Date]=$C$5)*(COUNTIFS(Meeting_Log[Topic Key],Meeting_Log[Topic Key],Meeting_Log[Meeting Date],"&lt;"&amp;$C$5)=0),ROW(Meeting_Log[Topic Key])-7),2)),"")</f>
        <v/>
      </c>
      <c r="G37" s="15">
        <f t="array" ref="G37">IFERROR(INDEX(Meeting_Log[Due Date],SMALL(IF((Meeting_Log[Topic Key]&lt;&gt;"")*(Meeting_Log[Meeting Date]=$C$5)*(COUNTIFS(Meeting_Log[Topic Key],Meeting_Log[Topic Key],Meeting_Log[Meeting Date],"&lt;"&amp;$C$5)=0),ROW(Meeting_Log[Topic Key])-7),2)),"")</f>
        <v/>
      </c>
      <c r="H37" s="14">
        <f t="array" ref="H37">IFERROR(INDEX(Meeting_Log[Status],SMALL(IF((Meeting_Log[Topic Key]&lt;&gt;"")*(Meeting_Log[Meeting Date]=$C$5)*(COUNTIFS(Meeting_Log[Topic Key],Meeting_Log[Topic Key],Meeting_Log[Meeting Date],"&lt;"&amp;$C$5)=0),ROW(Meeting_Log[Topic Key])-7),2)),"")</f>
        <v/>
      </c>
    </row>
    <row r="38" ht="26.1" customHeight="1" s="23">
      <c r="B38" s="12">
        <f t="array" ref="B38">IFERROR(INDEX(Meeting_Log[Subject],SMALL(IF((Meeting_Log[Topic Key]&lt;&gt;"")*(Meeting_Log[Meeting Date]=$C$5)*(COUNTIFS(Meeting_Log[Topic Key],Meeting_Log[Topic Key],Meeting_Log[Meeting Date],"&lt;"&amp;$C$5)=0),ROW(Meeting_Log[Topic Key])-7),3)),"")</f>
        <v/>
      </c>
      <c r="C38" s="12">
        <f t="array" ref="C38">IFERROR(INDEX(Meeting_Log[Sub-topic],SMALL(IF((Meeting_Log[Topic Key]&lt;&gt;"")*(Meeting_Log[Meeting Date]=$C$5)*(COUNTIFS(Meeting_Log[Topic Key],Meeting_Log[Topic Key],Meeting_Log[Meeting Date],"&lt;"&amp;$C$5)=0),ROW(Meeting_Log[Topic Key])-7),3)),"")</f>
        <v/>
      </c>
      <c r="D38" s="12">
        <f t="array" ref="D38">IFERROR(INDEX(Meeting_Log[Discussion / Notes],SMALL(IF((Meeting_Log[Topic Key]&lt;&gt;"")*(Meeting_Log[Meeting Date]=$C$5)*(COUNTIFS(Meeting_Log[Topic Key],Meeting_Log[Topic Key],Meeting_Log[Meeting Date],"&lt;"&amp;$C$5)=0),ROW(Meeting_Log[Topic Key])-7),3)),"")</f>
        <v/>
      </c>
      <c r="E38" s="12">
        <f t="array" ref="E38">IFERROR(INDEX(Meeting_Log[Action Updates],SMALL(IF((Meeting_Log[Topic Key]&lt;&gt;"")*(Meeting_Log[Meeting Date]=$C$5)*(COUNTIFS(Meeting_Log[Topic Key],Meeting_Log[Topic Key],Meeting_Log[Meeting Date],"&lt;"&amp;$C$5)=0),ROW(Meeting_Log[Topic Key])-7),3)),"")</f>
        <v/>
      </c>
      <c r="F38" s="12">
        <f t="array" ref="F38">IFERROR(INDEX(Meeting_Log[Owner],SMALL(IF((Meeting_Log[Topic Key]&lt;&gt;"")*(Meeting_Log[Meeting Date]=$C$5)*(COUNTIFS(Meeting_Log[Topic Key],Meeting_Log[Topic Key],Meeting_Log[Meeting Date],"&lt;"&amp;$C$5)=0),ROW(Meeting_Log[Topic Key])-7),3)),"")</f>
        <v/>
      </c>
      <c r="G38" s="13">
        <f t="array" ref="G38">IFERROR(INDEX(Meeting_Log[Due Date],SMALL(IF((Meeting_Log[Topic Key]&lt;&gt;"")*(Meeting_Log[Meeting Date]=$C$5)*(COUNTIFS(Meeting_Log[Topic Key],Meeting_Log[Topic Key],Meeting_Log[Meeting Date],"&lt;"&amp;$C$5)=0),ROW(Meeting_Log[Topic Key])-7),3)),"")</f>
        <v/>
      </c>
      <c r="H38" s="12">
        <f t="array" ref="H38">IFERROR(INDEX(Meeting_Log[Status],SMALL(IF((Meeting_Log[Topic Key]&lt;&gt;"")*(Meeting_Log[Meeting Date]=$C$5)*(COUNTIFS(Meeting_Log[Topic Key],Meeting_Log[Topic Key],Meeting_Log[Meeting Date],"&lt;"&amp;$C$5)=0),ROW(Meeting_Log[Topic Key])-7),3)),"")</f>
        <v/>
      </c>
    </row>
    <row r="39" ht="26.1" customHeight="1" s="23">
      <c r="B39" s="14">
        <f t="array" ref="B39">IFERROR(INDEX(Meeting_Log[Subject],SMALL(IF((Meeting_Log[Topic Key]&lt;&gt;"")*(Meeting_Log[Meeting Date]=$C$5)*(COUNTIFS(Meeting_Log[Topic Key],Meeting_Log[Topic Key],Meeting_Log[Meeting Date],"&lt;"&amp;$C$5)=0),ROW(Meeting_Log[Topic Key])-7),4)),"")</f>
        <v/>
      </c>
      <c r="C39" s="14">
        <f t="array" ref="C39">IFERROR(INDEX(Meeting_Log[Sub-topic],SMALL(IF((Meeting_Log[Topic Key]&lt;&gt;"")*(Meeting_Log[Meeting Date]=$C$5)*(COUNTIFS(Meeting_Log[Topic Key],Meeting_Log[Topic Key],Meeting_Log[Meeting Date],"&lt;"&amp;$C$5)=0),ROW(Meeting_Log[Topic Key])-7),4)),"")</f>
        <v/>
      </c>
      <c r="D39" s="14">
        <f t="array" ref="D39">IFERROR(INDEX(Meeting_Log[Discussion / Notes],SMALL(IF((Meeting_Log[Topic Key]&lt;&gt;"")*(Meeting_Log[Meeting Date]=$C$5)*(COUNTIFS(Meeting_Log[Topic Key],Meeting_Log[Topic Key],Meeting_Log[Meeting Date],"&lt;"&amp;$C$5)=0),ROW(Meeting_Log[Topic Key])-7),4)),"")</f>
        <v/>
      </c>
      <c r="E39" s="14">
        <f t="array" ref="E39">IFERROR(INDEX(Meeting_Log[Action Updates],SMALL(IF((Meeting_Log[Topic Key]&lt;&gt;"")*(Meeting_Log[Meeting Date]=$C$5)*(COUNTIFS(Meeting_Log[Topic Key],Meeting_Log[Topic Key],Meeting_Log[Meeting Date],"&lt;"&amp;$C$5)=0),ROW(Meeting_Log[Topic Key])-7),4)),"")</f>
        <v/>
      </c>
      <c r="F39" s="14">
        <f t="array" ref="F39">IFERROR(INDEX(Meeting_Log[Owner],SMALL(IF((Meeting_Log[Topic Key]&lt;&gt;"")*(Meeting_Log[Meeting Date]=$C$5)*(COUNTIFS(Meeting_Log[Topic Key],Meeting_Log[Topic Key],Meeting_Log[Meeting Date],"&lt;"&amp;$C$5)=0),ROW(Meeting_Log[Topic Key])-7),4)),"")</f>
        <v/>
      </c>
      <c r="G39" s="15">
        <f t="array" ref="G39">IFERROR(INDEX(Meeting_Log[Due Date],SMALL(IF((Meeting_Log[Topic Key]&lt;&gt;"")*(Meeting_Log[Meeting Date]=$C$5)*(COUNTIFS(Meeting_Log[Topic Key],Meeting_Log[Topic Key],Meeting_Log[Meeting Date],"&lt;"&amp;$C$5)=0),ROW(Meeting_Log[Topic Key])-7),4)),"")</f>
        <v/>
      </c>
      <c r="H39" s="14">
        <f t="array" ref="H39">IFERROR(INDEX(Meeting_Log[Status],SMALL(IF((Meeting_Log[Topic Key]&lt;&gt;"")*(Meeting_Log[Meeting Date]=$C$5)*(COUNTIFS(Meeting_Log[Topic Key],Meeting_Log[Topic Key],Meeting_Log[Meeting Date],"&lt;"&amp;$C$5)=0),ROW(Meeting_Log[Topic Key])-7),4)),"")</f>
        <v/>
      </c>
    </row>
    <row r="40" ht="26.1" customHeight="1" s="23">
      <c r="B40" s="12">
        <f t="array" ref="B40">IFERROR(INDEX(Meeting_Log[Subject],SMALL(IF((Meeting_Log[Topic Key]&lt;&gt;"")*(Meeting_Log[Meeting Date]=$C$5)*(COUNTIFS(Meeting_Log[Topic Key],Meeting_Log[Topic Key],Meeting_Log[Meeting Date],"&lt;"&amp;$C$5)=0),ROW(Meeting_Log[Topic Key])-7),5)),"")</f>
        <v/>
      </c>
      <c r="C40" s="12">
        <f t="array" ref="C40">IFERROR(INDEX(Meeting_Log[Sub-topic],SMALL(IF((Meeting_Log[Topic Key]&lt;&gt;"")*(Meeting_Log[Meeting Date]=$C$5)*(COUNTIFS(Meeting_Log[Topic Key],Meeting_Log[Topic Key],Meeting_Log[Meeting Date],"&lt;"&amp;$C$5)=0),ROW(Meeting_Log[Topic Key])-7),5)),"")</f>
        <v/>
      </c>
      <c r="D40" s="12">
        <f t="array" ref="D40">IFERROR(INDEX(Meeting_Log[Discussion / Notes],SMALL(IF((Meeting_Log[Topic Key]&lt;&gt;"")*(Meeting_Log[Meeting Date]=$C$5)*(COUNTIFS(Meeting_Log[Topic Key],Meeting_Log[Topic Key],Meeting_Log[Meeting Date],"&lt;"&amp;$C$5)=0),ROW(Meeting_Log[Topic Key])-7),5)),"")</f>
        <v/>
      </c>
      <c r="E40" s="12">
        <f t="array" ref="E40">IFERROR(INDEX(Meeting_Log[Action Updates],SMALL(IF((Meeting_Log[Topic Key]&lt;&gt;"")*(Meeting_Log[Meeting Date]=$C$5)*(COUNTIFS(Meeting_Log[Topic Key],Meeting_Log[Topic Key],Meeting_Log[Meeting Date],"&lt;"&amp;$C$5)=0),ROW(Meeting_Log[Topic Key])-7),5)),"")</f>
        <v/>
      </c>
      <c r="F40" s="12">
        <f t="array" ref="F40">IFERROR(INDEX(Meeting_Log[Owner],SMALL(IF((Meeting_Log[Topic Key]&lt;&gt;"")*(Meeting_Log[Meeting Date]=$C$5)*(COUNTIFS(Meeting_Log[Topic Key],Meeting_Log[Topic Key],Meeting_Log[Meeting Date],"&lt;"&amp;$C$5)=0),ROW(Meeting_Log[Topic Key])-7),5)),"")</f>
        <v/>
      </c>
      <c r="G40" s="13">
        <f t="array" ref="G40">IFERROR(INDEX(Meeting_Log[Due Date],SMALL(IF((Meeting_Log[Topic Key]&lt;&gt;"")*(Meeting_Log[Meeting Date]=$C$5)*(COUNTIFS(Meeting_Log[Topic Key],Meeting_Log[Topic Key],Meeting_Log[Meeting Date],"&lt;"&amp;$C$5)=0),ROW(Meeting_Log[Topic Key])-7),5)),"")</f>
        <v/>
      </c>
      <c r="H40" s="12">
        <f t="array" ref="H40">IFERROR(INDEX(Meeting_Log[Status],SMALL(IF((Meeting_Log[Topic Key]&lt;&gt;"")*(Meeting_Log[Meeting Date]=$C$5)*(COUNTIFS(Meeting_Log[Topic Key],Meeting_Log[Topic Key],Meeting_Log[Meeting Date],"&lt;"&amp;$C$5)=0),ROW(Meeting_Log[Topic Key])-7),5)),"")</f>
        <v/>
      </c>
    </row>
    <row r="41" ht="26.1" customHeight="1" s="23">
      <c r="B41" s="14">
        <f t="array" ref="B41">IFERROR(INDEX(Meeting_Log[Subject],SMALL(IF((Meeting_Log[Topic Key]&lt;&gt;"")*(Meeting_Log[Meeting Date]=$C$5)*(COUNTIFS(Meeting_Log[Topic Key],Meeting_Log[Topic Key],Meeting_Log[Meeting Date],"&lt;"&amp;$C$5)=0),ROW(Meeting_Log[Topic Key])-7),6)),"")</f>
        <v/>
      </c>
      <c r="C41" s="14">
        <f t="array" ref="C41">IFERROR(INDEX(Meeting_Log[Sub-topic],SMALL(IF((Meeting_Log[Topic Key]&lt;&gt;"")*(Meeting_Log[Meeting Date]=$C$5)*(COUNTIFS(Meeting_Log[Topic Key],Meeting_Log[Topic Key],Meeting_Log[Meeting Date],"&lt;"&amp;$C$5)=0),ROW(Meeting_Log[Topic Key])-7),6)),"")</f>
        <v/>
      </c>
      <c r="D41" s="14">
        <f t="array" ref="D41">IFERROR(INDEX(Meeting_Log[Discussion / Notes],SMALL(IF((Meeting_Log[Topic Key]&lt;&gt;"")*(Meeting_Log[Meeting Date]=$C$5)*(COUNTIFS(Meeting_Log[Topic Key],Meeting_Log[Topic Key],Meeting_Log[Meeting Date],"&lt;"&amp;$C$5)=0),ROW(Meeting_Log[Topic Key])-7),6)),"")</f>
        <v/>
      </c>
      <c r="E41" s="14">
        <f t="array" ref="E41">IFERROR(INDEX(Meeting_Log[Action Updates],SMALL(IF((Meeting_Log[Topic Key]&lt;&gt;"")*(Meeting_Log[Meeting Date]=$C$5)*(COUNTIFS(Meeting_Log[Topic Key],Meeting_Log[Topic Key],Meeting_Log[Meeting Date],"&lt;"&amp;$C$5)=0),ROW(Meeting_Log[Topic Key])-7),6)),"")</f>
        <v/>
      </c>
      <c r="F41" s="14">
        <f t="array" ref="F41">IFERROR(INDEX(Meeting_Log[Owner],SMALL(IF((Meeting_Log[Topic Key]&lt;&gt;"")*(Meeting_Log[Meeting Date]=$C$5)*(COUNTIFS(Meeting_Log[Topic Key],Meeting_Log[Topic Key],Meeting_Log[Meeting Date],"&lt;"&amp;$C$5)=0),ROW(Meeting_Log[Topic Key])-7),6)),"")</f>
        <v/>
      </c>
      <c r="G41" s="15">
        <f t="array" ref="G41">IFERROR(INDEX(Meeting_Log[Due Date],SMALL(IF((Meeting_Log[Topic Key]&lt;&gt;"")*(Meeting_Log[Meeting Date]=$C$5)*(COUNTIFS(Meeting_Log[Topic Key],Meeting_Log[Topic Key],Meeting_Log[Meeting Date],"&lt;"&amp;$C$5)=0),ROW(Meeting_Log[Topic Key])-7),6)),"")</f>
        <v/>
      </c>
      <c r="H41" s="14">
        <f t="array" ref="H41">IFERROR(INDEX(Meeting_Log[Status],SMALL(IF((Meeting_Log[Topic Key]&lt;&gt;"")*(Meeting_Log[Meeting Date]=$C$5)*(COUNTIFS(Meeting_Log[Topic Key],Meeting_Log[Topic Key],Meeting_Log[Meeting Date],"&lt;"&amp;$C$5)=0),ROW(Meeting_Log[Topic Key])-7),6)),"")</f>
        <v/>
      </c>
    </row>
    <row r="43">
      <c r="B43" s="16" t="inlineStr">
        <is>
          <t>To continue a topic above: add a new row in Meeting Log with the SAME Subject/Sub-topic (pick from the dropdown) and today's date. Sort Meeting Log by Subject any time to see a topic's full history together.</t>
        </is>
      </c>
    </row>
    <row r="45" ht="21.95" customHeight="1" s="23">
      <c r="B45" s="10" t="inlineStr">
        <is>
          <t>3. ACTIONS TO FOLLOW (all currently open topics)</t>
        </is>
      </c>
      <c r="C45" s="10" t="n"/>
      <c r="D45" s="10" t="n"/>
      <c r="E45" s="10" t="n"/>
      <c r="F45" s="10" t="n"/>
      <c r="G45" s="10" t="n"/>
    </row>
    <row r="46">
      <c r="B46" s="11" t="inlineStr">
        <is>
          <t>Subject</t>
        </is>
      </c>
      <c r="C46" s="11" t="inlineStr">
        <is>
          <t>Action</t>
        </is>
      </c>
      <c r="D46" s="11" t="inlineStr">
        <is>
          <t>Owner</t>
        </is>
      </c>
      <c r="E46" s="11" t="inlineStr">
        <is>
          <t>Due Date</t>
        </is>
      </c>
      <c r="F46" s="11" t="inlineStr">
        <is>
          <t>Status</t>
        </is>
      </c>
      <c r="G46" s="11" t="inlineStr">
        <is>
          <t>Priority</t>
        </is>
      </c>
    </row>
    <row r="47" ht="26.1" customHeight="1" s="23">
      <c r="B47" s="12">
        <f t="array" ref="B47">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Key])-7),1)),"")</f>
        <v/>
      </c>
      <c r="C47" s="12">
        <f t="array" ref="C47">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Key])-7),1)),"")</f>
        <v/>
      </c>
      <c r="D47" s="12">
        <f t="array" ref="D47">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Key])-7),1)),"")</f>
        <v/>
      </c>
      <c r="E47" s="13">
        <f t="array" ref="E47">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Key])-7),1)),"")</f>
        <v/>
      </c>
      <c r="F47" s="12">
        <f t="array" ref="F47">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Key])-7),1)),"")</f>
        <v/>
      </c>
      <c r="G47" s="12">
        <f t="array" ref="G47">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Key])-7),1)),"")</f>
        <v/>
      </c>
    </row>
    <row r="48" ht="26.1" customHeight="1" s="23">
      <c r="B48" s="14">
        <f t="array" ref="B48">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Key])-7),2)),"")</f>
        <v/>
      </c>
      <c r="C48" s="14">
        <f t="array" ref="C48">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Key])-7),2)),"")</f>
        <v/>
      </c>
      <c r="D48" s="14">
        <f t="array" ref="D48">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Key])-7),2)),"")</f>
        <v/>
      </c>
      <c r="E48" s="15">
        <f t="array" ref="E48">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Key])-7),2)),"")</f>
        <v/>
      </c>
      <c r="F48" s="14">
        <f t="array" ref="F48">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Key])-7),2)),"")</f>
        <v/>
      </c>
      <c r="G48" s="14">
        <f t="array" ref="G48">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Key])-7),2)),"")</f>
        <v/>
      </c>
    </row>
    <row r="49" ht="26.1" customHeight="1" s="23">
      <c r="B49" s="12">
        <f t="array" ref="B49">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Key])-7),3)),"")</f>
        <v/>
      </c>
      <c r="C49" s="12">
        <f t="array" ref="C49">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Key])-7),3)),"")</f>
        <v/>
      </c>
      <c r="D49" s="12">
        <f t="array" ref="D49">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Key])-7),3)),"")</f>
        <v/>
      </c>
      <c r="E49" s="13">
        <f t="array" ref="E49">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Key])-7),3)),"")</f>
        <v/>
      </c>
      <c r="F49" s="12">
        <f t="array" ref="F49">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Key])-7),3)),"")</f>
        <v/>
      </c>
      <c r="G49" s="12">
        <f t="array" ref="G49">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Key])-7),3)),"")</f>
        <v/>
      </c>
    </row>
    <row r="50" ht="26.1" customHeight="1" s="23">
      <c r="B50" s="14">
        <f t="array" ref="B50">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Key])-7),4)),"")</f>
        <v/>
      </c>
      <c r="C50" s="14">
        <f t="array" ref="C50">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Key])-7),4)),"")</f>
        <v/>
      </c>
      <c r="D50" s="14">
        <f t="array" ref="D50">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Key])-7),4)),"")</f>
        <v/>
      </c>
      <c r="E50" s="15">
        <f t="array" ref="E50">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Key])-7),4)),"")</f>
        <v/>
      </c>
      <c r="F50" s="14">
        <f t="array" ref="F50">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Key])-7),4)),"")</f>
        <v/>
      </c>
      <c r="G50" s="14">
        <f t="array" ref="G50">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Key])-7),4)),"")</f>
        <v/>
      </c>
    </row>
    <row r="51" ht="26.1" customHeight="1" s="23">
      <c r="B51" s="12">
        <f t="array" ref="B51">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Key])-7),5)),"")</f>
        <v/>
      </c>
      <c r="C51" s="12">
        <f t="array" ref="C51">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Key])-7),5)),"")</f>
        <v/>
      </c>
      <c r="D51" s="12">
        <f t="array" ref="D51">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Key])-7),5)),"")</f>
        <v/>
      </c>
      <c r="E51" s="13">
        <f t="array" ref="E51">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Key])-7),5)),"")</f>
        <v/>
      </c>
      <c r="F51" s="12">
        <f t="array" ref="F51">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Key])-7),5)),"")</f>
        <v/>
      </c>
      <c r="G51" s="12">
        <f t="array" ref="G51">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Key])-7),5)),"")</f>
        <v/>
      </c>
    </row>
    <row r="52" ht="26.1" customHeight="1" s="23">
      <c r="B52" s="14">
        <f t="array" ref="B52">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Key])-7),6)),"")</f>
        <v/>
      </c>
      <c r="C52" s="14">
        <f t="array" ref="C52">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Key])-7),6)),"")</f>
        <v/>
      </c>
      <c r="D52" s="14">
        <f t="array" ref="D52">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Key])-7),6)),"")</f>
        <v/>
      </c>
      <c r="E52" s="15">
        <f t="array" ref="E52">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Key])-7),6)),"")</f>
        <v/>
      </c>
      <c r="F52" s="14">
        <f t="array" ref="F52">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Key])-7),6)),"")</f>
        <v/>
      </c>
      <c r="G52" s="14">
        <f t="array" ref="G52">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Key])-7),6)),"")</f>
        <v/>
      </c>
    </row>
    <row r="53" ht="26.1" customHeight="1" s="23">
      <c r="B53" s="12">
        <f t="array" ref="B53">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Key])-7),7)),"")</f>
        <v/>
      </c>
      <c r="C53" s="12">
        <f t="array" ref="C53">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Key])-7),7)),"")</f>
        <v/>
      </c>
      <c r="D53" s="12">
        <f t="array" ref="D53">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Key])-7),7)),"")</f>
        <v/>
      </c>
      <c r="E53" s="13">
        <f t="array" ref="E53">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Key])-7),7)),"")</f>
        <v/>
      </c>
      <c r="F53" s="12">
        <f t="array" ref="F53">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Key])-7),7)),"")</f>
        <v/>
      </c>
      <c r="G53" s="12">
        <f t="array" ref="G53">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Key])-7),7)),"")</f>
        <v/>
      </c>
    </row>
    <row r="54" ht="26.1" customHeight="1" s="23">
      <c r="B54" s="14">
        <f t="array" ref="B54">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Key])-7),8)),"")</f>
        <v/>
      </c>
      <c r="C54" s="14">
        <f t="array" ref="C54">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Key])-7),8)),"")</f>
        <v/>
      </c>
      <c r="D54" s="14">
        <f t="array" ref="D54">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Key])-7),8)),"")</f>
        <v/>
      </c>
      <c r="E54" s="15">
        <f t="array" ref="E54">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Key])-7),8)),"")</f>
        <v/>
      </c>
      <c r="F54" s="14">
        <f t="array" ref="F54">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Key])-7),8)),"")</f>
        <v/>
      </c>
      <c r="G54" s="14">
        <f t="array" ref="G54">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Key])-7),8)),"")</f>
        <v/>
      </c>
    </row>
    <row r="55" ht="26.1" customHeight="1" s="23">
      <c r="B55" s="12">
        <f t="array" ref="B55">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Key])-7),9)),"")</f>
        <v/>
      </c>
      <c r="C55" s="12">
        <f t="array" ref="C55">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Key])-7),9)),"")</f>
        <v/>
      </c>
      <c r="D55" s="12">
        <f t="array" ref="D55">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Key])-7),9)),"")</f>
        <v/>
      </c>
      <c r="E55" s="13">
        <f t="array" ref="E55">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Key])-7),9)),"")</f>
        <v/>
      </c>
      <c r="F55" s="12">
        <f t="array" ref="F55">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Key])-7),9)),"")</f>
        <v/>
      </c>
      <c r="G55" s="12">
        <f t="array" ref="G55">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Key])-7),9)),"")</f>
        <v/>
      </c>
    </row>
    <row r="56" ht="26.1" customHeight="1" s="23">
      <c r="B56" s="14">
        <f t="array" ref="B56">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Key])-7),10)),"")</f>
        <v/>
      </c>
      <c r="C56" s="14">
        <f t="array" ref="C56">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Key])-7),10)),"")</f>
        <v/>
      </c>
      <c r="D56" s="14">
        <f t="array" ref="D56">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Key])-7),10)),"")</f>
        <v/>
      </c>
      <c r="E56" s="15">
        <f t="array" ref="E56">IFERROR(INDEX(Meeting_Log[Due Date],SMALL(IF((Meeting_Log[Topic Key]&lt;&gt;"")*(Meeting_Log[Meeting Date]&lt;=$C$5)*(Meeting_Log[Meeting Date]=_xlfn.MAXIFS(Meeting_Log[Meeting Date],Meeting_Log[Topic Key],Meeting_Log[Topic Key],Meeting_Log[Meeting Date],"&lt;="&amp;$C$5))*(Meeting_Log[Status]&lt;&gt;"Closed")*(Meeting_Log[Status]&lt;&gt;"Cancelled"),ROW(Meeting_Log[Topic Key])-7),10)),"")</f>
        <v/>
      </c>
      <c r="F56" s="14">
        <f t="array" ref="F56">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Key])-7),10)),"")</f>
        <v/>
      </c>
      <c r="G56" s="14">
        <f t="array" ref="G56">IFERROR(INDEX(Meeting_Log[Priority],SMALL(IF((Meeting_Log[Topic Key]&lt;&gt;"")*(Meeting_Log[Meeting Date]&lt;=$C$5)*(Meeting_Log[Meeting Date]=_xlfn.MAXIFS(Meeting_Log[Meeting Date],Meeting_Log[Topic Key],Meeting_Log[Topic Key],Meeting_Log[Meeting Date],"&lt;="&amp;$C$5))*(Meeting_Log[Status]&lt;&gt;"Closed")*(Meeting_Log[Status]&lt;&gt;"Cancelled"),ROW(Meeting_Log[Topic Key])-7),10)),"")</f>
        <v/>
      </c>
    </row>
    <row r="58">
      <c r="B58" s="16" t="inlineStr">
        <is>
          <t>Legend: Blue = fill in yourself | Black = automatic, do not overtype | Grey columns = automation helpers, leave untouched | New row: type directly below the table and Excel extends it automatically</t>
        </is>
      </c>
    </row>
  </sheetData>
  <mergeCells count="12">
    <mergeCell ref="N8:O10"/>
    <mergeCell ref="H11:I11"/>
    <mergeCell ref="K11:L11"/>
    <mergeCell ref="N11:O11"/>
    <mergeCell ref="B11:C11"/>
    <mergeCell ref="Q11:R11"/>
    <mergeCell ref="B8:C10"/>
    <mergeCell ref="E11:F11"/>
    <mergeCell ref="K8:L10"/>
    <mergeCell ref="H8:I10"/>
    <mergeCell ref="Q8:R10"/>
    <mergeCell ref="E8:F10"/>
  </mergeCells>
  <conditionalFormatting sqref="G47:G56">
    <cfRule type="cellIs" priority="1" operator="equal" dxfId="3">
      <formula>"Critical"</formula>
    </cfRule>
  </conditionalFormatting>
  <dataValidations count="1">
    <dataValidation sqref="C15:C21" showDropDown="0" showInputMessage="0" showErrorMessage="0" allowBlank="1" type="list">
      <formula1>LIST_MEETING_TYPE</formula1>
    </dataValidation>
  </dataValidations>
  <hyperlinks>
    <hyperlink ref="B1" location="'Overview'!A1" display="Overview"/>
    <hyperlink ref="C1" location="'Meeting Log'!A1" display="Meeting Log"/>
    <hyperlink ref="D1" location="'Meeting Report'!A1" display="Meeting Report"/>
    <hyperlink ref="E1" location="'Lists &amp; Config'!A1" display="Lists &amp; Config"/>
  </hyperlink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B1:L107"/>
  <sheetViews>
    <sheetView showGridLines="0" workbookViewId="0">
      <pane xSplit="3" ySplit="7" topLeftCell="D25" activePane="bottomRight" state="frozen"/>
      <selection pane="topRight" activeCell="A1" sqref="A1"/>
      <selection pane="bottomLeft" activeCell="A1" sqref="A1"/>
      <selection pane="bottomRight" activeCell="I53" sqref="I53"/>
    </sheetView>
  </sheetViews>
  <sheetFormatPr baseColWidth="10" defaultColWidth="9.140625" defaultRowHeight="15"/>
  <cols>
    <col width="2.42578125" customWidth="1" style="23" min="1" max="1"/>
    <col width="22" customWidth="1" style="23" min="2" max="2"/>
    <col width="20" customWidth="1" style="23" min="3" max="3"/>
    <col width="13" customWidth="1" style="23" min="4" max="4"/>
    <col width="62.85546875" customWidth="1" style="23" min="5" max="5"/>
    <col width="54.5703125" customWidth="1" style="23" min="6" max="6"/>
    <col width="16" customWidth="1" style="23" min="7" max="7"/>
    <col width="12" customWidth="1" style="23" min="8" max="8"/>
    <col width="13" customWidth="1" style="23" min="9" max="9"/>
    <col width="11" customWidth="1" style="23" min="10" max="10"/>
    <col hidden="1" width="10.7109375" customWidth="1" style="23" min="11" max="11"/>
    <col hidden="1" width="7.5703125" customWidth="1" style="23" min="12" max="12"/>
  </cols>
  <sheetData>
    <row r="1" ht="20.1" customHeight="1" s="23">
      <c r="B1" s="2" t="inlineStr">
        <is>
          <t>Overview</t>
        </is>
      </c>
      <c r="C1" s="1" t="inlineStr">
        <is>
          <t>Meeting Log</t>
        </is>
      </c>
      <c r="D1" s="2" t="inlineStr">
        <is>
          <t>Meeting Report</t>
        </is>
      </c>
      <c r="E1" s="2" t="inlineStr">
        <is>
          <t>Lists &amp; Config</t>
        </is>
      </c>
    </row>
    <row r="2" ht="26.1" customHeight="1" s="23">
      <c r="B2" s="3" t="inlineStr">
        <is>
          <t>Meeting Log</t>
        </is>
      </c>
    </row>
    <row r="3" ht="15.95" customHeight="1" s="23">
      <c r="B3" s="4" t="inlineStr">
        <is>
          <t>The single database. One row per subject discussed at one meeting - never overwritten, never deleted. To see a topic's full history, sort by Subject (click the column header's sort button): every past entry for that topic groups together on screen, no other sheet needed.</t>
        </is>
      </c>
    </row>
    <row r="7" ht="30" customHeight="1" s="23">
      <c r="B7" s="7" t="inlineStr">
        <is>
          <t>Subject</t>
        </is>
      </c>
      <c r="C7" s="7" t="inlineStr">
        <is>
          <t>Sub-topic</t>
        </is>
      </c>
      <c r="D7" s="7" t="inlineStr">
        <is>
          <t>Meeting Date</t>
        </is>
      </c>
      <c r="E7" s="7" t="inlineStr">
        <is>
          <t>Discussion / Notes</t>
        </is>
      </c>
      <c r="F7" s="40" t="inlineStr">
        <is>
          <t>Action Updates</t>
        </is>
      </c>
      <c r="G7" s="7" t="inlineStr">
        <is>
          <t>Owner</t>
        </is>
      </c>
      <c r="H7" s="7" t="inlineStr">
        <is>
          <t>Due Date</t>
        </is>
      </c>
      <c r="I7" s="7" t="inlineStr">
        <is>
          <t>Status</t>
        </is>
      </c>
      <c r="J7" s="7" t="inlineStr">
        <is>
          <t>Priority</t>
        </is>
      </c>
      <c r="K7" s="7" t="inlineStr">
        <is>
          <t>Topic Key</t>
        </is>
      </c>
      <c r="L7" s="7" t="inlineStr">
        <is>
          <t>Overdue?</t>
        </is>
      </c>
    </row>
    <row r="8" ht="153" customHeight="1" s="23">
      <c r="B8" s="34" t="inlineStr">
        <is>
          <t>Commissioning Documentation</t>
        </is>
      </c>
      <c r="C8" s="34" t="inlineStr">
        <is>
          <t>Execution Plan - Scope Gaps</t>
        </is>
      </c>
      <c r="D8" s="50" t="n">
        <v>46106</v>
      </c>
      <c r="E8" s="33" t="inlineStr">
        <is>
          <t>Are the three scope gaps now resolved?
System B
PMI-8968: Instruction to BYLOR.
100832966: System B Requirements &amp; Scope of Work.
KLI
100885374: Table 7, Pages 29-30.
DTV
100240185: PCR completed, but currently on hold due to financial aspects with Jon.</t>
        </is>
      </c>
      <c r="F8" s="41" t="inlineStr">
        <is>
          <t>25/03/2026- DTV - Bylor has all the info required- Action to get confirmation from Bylor that it is passed down to CHT
25/03/2026 - System B - Chubb design is  completed  now with BYLOR PMI instructed 1528- ( until Lvl B 20 rest expected by May 2026)
25/03/2026-KLI- Bylor has design now – now construction ongoing – Can be closed</t>
        </is>
      </c>
      <c r="G8" s="34" t="n"/>
      <c r="H8" s="50" t="n"/>
      <c r="I8" s="34" t="n"/>
      <c r="J8" s="34" t="n"/>
      <c r="K8" s="35">
        <f>IF($B8="","",$B8&amp;"|"&amp;$C8)</f>
        <v/>
      </c>
      <c r="L8" s="35">
        <f>IF($B8="","",IF(AND($I8&lt;&gt;"Closed",$I8&lt;&gt;"Cancelled",$H8&lt;&gt;"",$H8&lt;TODAY()),"Yes","No"))</f>
        <v/>
      </c>
    </row>
    <row r="9" ht="216" customHeight="1" s="23">
      <c r="B9" s="34" t="inlineStr">
        <is>
          <t>Commissioning Documentation</t>
        </is>
      </c>
      <c r="C9" s="34" t="inlineStr">
        <is>
          <t>Other Documentation</t>
        </is>
      </c>
      <c r="D9" s="50" t="n">
        <v>46106</v>
      </c>
      <c r="E9" s="41"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9" s="33" t="n"/>
      <c r="G9" s="34" t="n"/>
      <c r="H9" s="50" t="n"/>
      <c r="I9" s="34" t="n"/>
      <c r="J9" s="34" t="n"/>
      <c r="K9" s="37">
        <f>IF($B9="","",$B9&amp;"|"&amp;$C9)</f>
        <v/>
      </c>
      <c r="L9" s="37">
        <f>IF($B9="","",IF(AND($I9&lt;&gt;"Closed",$I9&lt;&gt;"Cancelled",$H9&lt;&gt;"",$H9&lt;TODAY()),"Yes","No"))</f>
        <v/>
      </c>
    </row>
    <row r="10" ht="153" customHeight="1" s="23">
      <c r="B10" s="34" t="inlineStr">
        <is>
          <t>Reviews and Surveillance</t>
        </is>
      </c>
      <c r="C10" s="34" t="inlineStr">
        <is>
          <t>Partitioning Strategy, EESRs, ITPs.</t>
        </is>
      </c>
      <c r="D10" s="50" t="n">
        <v>46106</v>
      </c>
      <c r="E10" s="33" t="inlineStr">
        <is>
          <t xml:space="preserve">TeamCenter references needed for all Commissioning documents, Partitioning strategy needs to reflect Commissioning activities. 
Approach to surveillance and document reviews needs to be clear and aligned. </t>
        </is>
      </c>
      <c r="F10" s="33" t="inlineStr">
        <is>
          <t>Partitioning strategy (10110449) to be updated – EESR updates and split ups to be planned for commissioning 
Action : David/ Gary  to sit with completions Adrian/ Tom Wilinson team and  ssingh@bylor.co.uk bylor Quality joanna.krol@nnb-edfenergy.com  NNB Quality - Belinda/ Judit to set up a meeting.
Notes- expectations from DMIC- EESR, CPs linked to planned EESR and Final EESR</t>
        </is>
      </c>
      <c r="G10" s="34" t="n"/>
      <c r="H10" s="50" t="n"/>
      <c r="I10" s="34" t="n"/>
      <c r="J10" s="34" t="n"/>
      <c r="K10" s="37">
        <f>IF($B10="","",$B10&amp;"|"&amp;$C10)</f>
        <v/>
      </c>
      <c r="L10" s="37">
        <f>IF($B10="","",IF(AND($I10&lt;&gt;"Closed",$I10&lt;&gt;"Cancelled",$H10&lt;&gt;"",$H10&lt;TODAY()),"Yes","No"))</f>
        <v/>
      </c>
    </row>
    <row r="11" ht="153" customHeight="1" s="23">
      <c r="B11" s="34" t="inlineStr">
        <is>
          <t>Reviews and Surveillance</t>
        </is>
      </c>
      <c r="C11" s="34" t="inlineStr">
        <is>
          <t>SONIMs</t>
        </is>
      </c>
      <c r="D11" s="50" t="n">
        <v>46106</v>
      </c>
      <c r="E11" s="33" t="inlineStr">
        <is>
          <t xml:space="preserve">The ITP and SONS for the Grenada crane didn’t go via Commissioning - action for the future SONs to be routed correctly. </t>
        </is>
      </c>
      <c r="F11" s="33" t="inlineStr">
        <is>
          <t>No update yet - awaiting feedback from Karl that the SONIMS template can easily be changed to route to Commissioning</t>
        </is>
      </c>
      <c r="G11" s="34" t="n"/>
      <c r="H11" s="50" t="n"/>
      <c r="I11" s="34" t="n"/>
      <c r="J11" s="34" t="n"/>
      <c r="K11" s="37">
        <f>IF($B11="","",$B11&amp;"|"&amp;$C11)</f>
        <v/>
      </c>
      <c r="L11" s="37">
        <f>IF($B11="","",IF(AND($I11&lt;&gt;"Closed",$I11&lt;&gt;"Cancelled",$H11&lt;&gt;"",$H11&lt;TODAY()),"Yes","No"))</f>
        <v/>
      </c>
    </row>
    <row r="12" ht="76.5" customHeight="1" s="23">
      <c r="B12" s="34" t="inlineStr">
        <is>
          <t>ECS / System codes</t>
        </is>
      </c>
      <c r="C12" s="34" t="inlineStr">
        <is>
          <t>ECS codes for building assets</t>
        </is>
      </c>
      <c r="D12" s="50" t="n">
        <v>46106</v>
      </c>
      <c r="E12" s="33" t="inlineStr">
        <is>
          <t xml:space="preserve">Issue raised during the Commissioning Design meetings regarding the ECS coding of systems and equipment, especially concerning the I&amp;C scopes. </t>
        </is>
      </c>
      <c r="F12" s="33" t="inlineStr">
        <is>
          <t xml:space="preserve">Current situations -&gt; sub system elements like cables, boxes… does not have ECS codes.  CH and Bylor might have Asset numbers and can be put against ECS codes.  
Jon Follows- Have asked CommOps for contacts with Maintenance to check if they can handle Bylor codes hopefully have some feedback for next meeting </t>
        </is>
      </c>
      <c r="G12" s="34" t="n"/>
      <c r="H12" s="50" t="n"/>
      <c r="I12" s="34" t="n"/>
      <c r="J12" s="34" t="n"/>
      <c r="K12" s="38">
        <f>IF($B12="","",$B12&amp;"|"&amp;$C12)</f>
        <v/>
      </c>
      <c r="L12" s="38">
        <f>IF($B12="","",IF(AND($I12&lt;&gt;"Closed",$I12&lt;&gt;"Cancelled",$H12&lt;&gt;"",$H12&lt;TODAY()),"Yes","No"))</f>
        <v/>
      </c>
    </row>
    <row r="13" ht="89.25" customHeight="1" s="23">
      <c r="B13" s="34" t="inlineStr">
        <is>
          <t>Schedule</t>
        </is>
      </c>
      <c r="C13" s="34" t="inlineStr">
        <is>
          <t>Commissioning Start Dates/Sequence</t>
        </is>
      </c>
      <c r="D13" s="50" t="n">
        <v>46106</v>
      </c>
      <c r="E13"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13" s="33" t="n"/>
      <c r="G13" s="34" t="n"/>
      <c r="H13" s="50" t="n"/>
      <c r="I13" s="34" t="n"/>
      <c r="J13" s="34" t="n"/>
      <c r="K13" s="38">
        <f>IF($B13="","",$B13&amp;"|"&amp;$C13)</f>
        <v/>
      </c>
      <c r="L13" s="38">
        <f>IF($B13="","",IF(AND($I13&lt;&gt;"Closed",$I13&lt;&gt;"Cancelled",$H13&lt;&gt;"",$H13&lt;TODAY()),"Yes","No"))</f>
        <v/>
      </c>
    </row>
    <row r="14">
      <c r="B14" s="34" t="inlineStr">
        <is>
          <t>Schedule</t>
        </is>
      </c>
      <c r="C14" s="34" t="inlineStr">
        <is>
          <t>Journey/Fishbone</t>
        </is>
      </c>
      <c r="D14" s="50" t="n">
        <v>46106</v>
      </c>
      <c r="E14" s="33" t="n"/>
      <c r="F14" s="41" t="n"/>
      <c r="G14" s="34" t="n"/>
      <c r="H14" s="50" t="n"/>
      <c r="I14" s="34" t="n"/>
      <c r="J14" s="34" t="n"/>
      <c r="K14" s="38">
        <f>IF($B14="","",$B14&amp;"|"&amp;$C14)</f>
        <v/>
      </c>
      <c r="L14" s="38">
        <f>IF($B14="","",IF(AND($I14&lt;&gt;"Closed",$I14&lt;&gt;"Cancelled",$H14&lt;&gt;"",$H14&lt;TODAY()),"Yes","No"))</f>
        <v/>
      </c>
    </row>
    <row r="15" ht="51" customHeight="1" s="23">
      <c r="B15" s="34" t="inlineStr">
        <is>
          <t>Safe System of Work</t>
        </is>
      </c>
      <c r="C15" s="34" t="inlineStr">
        <is>
          <t>SSOW Approval</t>
        </is>
      </c>
      <c r="D15" s="50" t="n">
        <v>46106</v>
      </c>
      <c r="E15" s="33" t="inlineStr">
        <is>
          <t>If using own SSOW, needs to be apprved by the SSOW Panel prior to energisation. This was granted for L20 to allow the lighting distribution boards to be energised. Will need to re-assess for future equipment.</t>
        </is>
      </c>
      <c r="F15" s="33" t="inlineStr">
        <is>
          <t>Conversation held regarding use of CHt SSOW for L20 and use of Bylor SSOW for Crane and other equipment; in future PC may prefer that 1 SSOW (likely bylor's but with links to CHt?) is used across whole building to avoid confusion.</t>
        </is>
      </c>
      <c r="G15" s="34" t="n"/>
      <c r="H15" s="50" t="n"/>
      <c r="I15" s="34" t="n"/>
      <c r="J15" s="34" t="n"/>
      <c r="K15" s="38">
        <f>IF($B15="","",$B15&amp;"|"&amp;$C15)</f>
        <v/>
      </c>
      <c r="L15" s="38">
        <f>IF($B15="","",IF(AND($I15&lt;&gt;"Closed",$I15&lt;&gt;"Cancelled",$H15&lt;&gt;"",$H15&lt;TODAY()),"Yes","No"))</f>
        <v/>
      </c>
    </row>
    <row r="16" ht="51" customHeight="1" s="23">
      <c r="B16" s="34" t="inlineStr">
        <is>
          <t>Interfaces</t>
        </is>
      </c>
      <c r="C16" s="34" t="inlineStr">
        <is>
          <t>Interface Schedule/Execution plan</t>
        </is>
      </c>
      <c r="D16" s="50" t="n">
        <v>46106</v>
      </c>
      <c r="E16"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16" s="41" t="n"/>
      <c r="G16" s="34" t="n"/>
      <c r="H16" s="50" t="n"/>
      <c r="I16" s="34" t="n"/>
      <c r="J16" s="34" t="n"/>
      <c r="K16" s="38">
        <f>IF($B16="","",$B16&amp;"|"&amp;$C16)</f>
        <v/>
      </c>
      <c r="L16" s="38">
        <f>IF($B16="","",IF(AND($I16&lt;&gt;"Closed",$I16&lt;&gt;"Cancelled",$H16&lt;&gt;"",$H16&lt;TODAY()),"Yes","No"))</f>
        <v/>
      </c>
    </row>
    <row r="17" ht="242.25" customHeight="1" s="23">
      <c r="B17" s="34" t="inlineStr">
        <is>
          <t>Commissioning Documentation</t>
        </is>
      </c>
      <c r="C17" s="34" t="inlineStr">
        <is>
          <t>Execution Plan - Scope Gaps</t>
        </is>
      </c>
      <c r="D17" s="50" t="n">
        <v>46140</v>
      </c>
      <c r="E17" s="33" t="inlineStr">
        <is>
          <t>Are the three scope gaps now resolved?
System B
PMI-8968: Instruction to BYLOR.
100832966: System B Requirements &amp; Scope of Work.
KLI
100885374: Table 7, Pages 29-30.
DTV
100240185: PCR completed, but currently on hold due to financial aspects with Jon.</t>
        </is>
      </c>
      <c r="F17" s="33" t="inlineStr">
        <is>
          <t>–DTV design has been issued to NNB from A-site for approval but until this goes back to Atkins and then Bylor, it is not issued back to CrownHouse.  Action on NNB to find out who needs to approve this and chase up. In addition:
- Video conferencing system design not provided
- Roof Top antenna design not available 
- Satellite comms system design not available 
- Data centre fit out design not available 
- External services intake room design not available
System B – Chubb Basement design has been instructed, and this is being co-ordinated with CHt. Ongoing work – L0-L60 Chubb design will not be released until Nov-26 -&gt; update is that this will now be first draft in May 2026. Should achieve a better date than November for finalisation. All containment and cabling is in the current instruction, but Chubb will be responsible for terminations and commissioning. 
KLI – NNB made comments on Atkins design, Atkins need to amend and re-submit. New PMI needed to be instructed to Bylor by NNB. Being worked on by Edv. Action with NNB.</t>
        </is>
      </c>
      <c r="G17" s="34" t="n"/>
      <c r="H17" s="50" t="n"/>
      <c r="I17" s="34" t="n"/>
      <c r="J17" s="34" t="n"/>
      <c r="K17" s="38">
        <f>IF($B17="","",$B17&amp;"|"&amp;$C17)</f>
        <v/>
      </c>
      <c r="L17" s="38">
        <f>IF($B17="","",IF(AND($I17&lt;&gt;"Closed",$I17&lt;&gt;"Cancelled",$H17&lt;&gt;"",$H17&lt;TODAY()),"Yes","No"))</f>
        <v/>
      </c>
    </row>
    <row r="18" ht="157.5" customHeight="1" s="23">
      <c r="B18" s="34" t="inlineStr">
        <is>
          <t>Commissioning Documentation</t>
        </is>
      </c>
      <c r="C18" s="34" t="inlineStr">
        <is>
          <t>Other Documentation</t>
        </is>
      </c>
      <c r="D18" s="50" t="n">
        <v>46140</v>
      </c>
      <c r="E18" s="33"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18" s="41" t="inlineStr">
        <is>
          <t>-List of Provisional ITPs shared by Cht, Action to turn this into a LOD for all commissioning documents and then work through how HBX contract will meet these requirements. Action with NNB</t>
        </is>
      </c>
      <c r="G18" s="34" t="n"/>
      <c r="H18" s="50" t="n"/>
      <c r="I18" s="34" t="n"/>
      <c r="J18" s="34" t="n"/>
      <c r="K18" s="38">
        <f>IF($B18="","",$B18&amp;"|"&amp;$C18)</f>
        <v/>
      </c>
      <c r="L18" s="38">
        <f>IF($B18="","",IF(AND($I18&lt;&gt;"Closed",$I18&lt;&gt;"Cancelled",$H18&lt;&gt;"",$H18&lt;TODAY()),"Yes","No"))</f>
        <v/>
      </c>
    </row>
    <row r="19" ht="51" customHeight="1" s="23">
      <c r="B19" s="34" t="inlineStr">
        <is>
          <t>Reviews and Surveillance</t>
        </is>
      </c>
      <c r="C19" s="34" t="inlineStr">
        <is>
          <t>Partitioning Strategy, EESRs, ITPs.</t>
        </is>
      </c>
      <c r="D19" s="50" t="n">
        <v>46140</v>
      </c>
      <c r="E19" s="33" t="inlineStr">
        <is>
          <t xml:space="preserve">TeamCenter references needed for all Commissioning documents, Partitioning strategy needs to reflect Commissioning activities. 
Approach to surveillance and document reviews needs to be clear and aligned. </t>
        </is>
      </c>
      <c r="F19" s="33" t="inlineStr">
        <is>
          <t>Chase up Adrian/Completions team regarding the EESR topic and get agreement confirmed for next steps. Action with NNB.</t>
        </is>
      </c>
      <c r="G19" s="34" t="n"/>
      <c r="H19" s="50" t="n"/>
      <c r="I19" s="34" t="n"/>
      <c r="J19" s="34" t="n"/>
      <c r="K19" s="38">
        <f>IF($B19="","",$B19&amp;"|"&amp;$C19)</f>
        <v/>
      </c>
      <c r="L19" s="38">
        <f>IF($B19="","",IF(AND($I19&lt;&gt;"Closed",$I19&lt;&gt;"Cancelled",$H19&lt;&gt;"",$H19&lt;TODAY()),"Yes","No"))</f>
        <v/>
      </c>
    </row>
    <row r="20" ht="25.5" customHeight="1" s="23">
      <c r="B20" s="34" t="inlineStr">
        <is>
          <t>Reviews and Surveillance</t>
        </is>
      </c>
      <c r="C20" s="34" t="inlineStr">
        <is>
          <t>SONIMs</t>
        </is>
      </c>
      <c r="D20" s="50" t="n">
        <v>46140</v>
      </c>
      <c r="E20" s="33" t="inlineStr">
        <is>
          <t xml:space="preserve">The ITP and SONS for the Grenada crane didn’t go via Commissioning - action for the future SONs to be routed correctly. </t>
        </is>
      </c>
      <c r="F20" s="41" t="inlineStr">
        <is>
          <t xml:space="preserve">Paul will follow up on whether the SONIMS settings are easily changed over to Commissioning. Action with Bylor. </t>
        </is>
      </c>
      <c r="G20" s="34" t="n"/>
      <c r="H20" s="50" t="n"/>
      <c r="I20" s="34" t="n"/>
      <c r="J20" s="34" t="n"/>
      <c r="K20" s="38">
        <f>IF($B20="","",$B20&amp;"|"&amp;$C20)</f>
        <v/>
      </c>
      <c r="L20" s="38">
        <f>IF($B20="","",IF(AND($I20&lt;&gt;"Closed",$I20&lt;&gt;"Cancelled",$H20&lt;&gt;"",$H20&lt;TODAY()),"Yes","No"))</f>
        <v/>
      </c>
    </row>
    <row r="21" ht="102" customHeight="1" s="23">
      <c r="B21" s="34" t="inlineStr">
        <is>
          <t>ECS / System codes</t>
        </is>
      </c>
      <c r="C21" s="34" t="inlineStr">
        <is>
          <t>ECS codes for building assets</t>
        </is>
      </c>
      <c r="D21" s="50" t="n">
        <v>46140</v>
      </c>
      <c r="E21" s="33" t="inlineStr">
        <is>
          <t xml:space="preserve">Issue raised during the Commissioning Design meetings regarding the ECS coding of systems and equipment, especially concerning the I&amp;C scopes. </t>
        </is>
      </c>
      <c r="F21" s="33" t="inlineStr">
        <is>
          <t>Based on conversation with Ops, systems like AS9 can handle other asset codes, not just ECS. Need to confirm with the project teams that the list of assets that will be maintained through an FM team and the list of assets that will be "Ops" are clear and no gaps. 
Chubb design and Switchboards have ECS codes; other assets are not going to be maintained by Maintenance (under FM contracts) so less of an issue</t>
        </is>
      </c>
      <c r="G21" s="34" t="n"/>
      <c r="H21" s="50" t="n"/>
      <c r="I21" s="34" t="n"/>
      <c r="J21" s="34" t="n"/>
      <c r="K21" s="38">
        <f>IF($B21="","",$B21&amp;"|"&amp;$C21)</f>
        <v/>
      </c>
      <c r="L21" s="38">
        <f>IF($B21="","",IF(AND($I21&lt;&gt;"Closed",$I21&lt;&gt;"Cancelled",$H21&lt;&gt;"",$H21&lt;TODAY()),"Yes","No"))</f>
        <v/>
      </c>
    </row>
    <row r="22" ht="114.75" customHeight="1" s="23">
      <c r="B22" s="34" t="inlineStr">
        <is>
          <t>Schedule</t>
        </is>
      </c>
      <c r="C22" s="34" t="inlineStr">
        <is>
          <t>Commissioning Start Dates/Sequence</t>
        </is>
      </c>
      <c r="D22" s="50" t="n">
        <v>46140</v>
      </c>
      <c r="E22"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22" s="41" t="inlineStr">
        <is>
          <t xml:space="preserve">No occupation certificate until all sprinkler feeds are into the building (august 2028) – building will be complete before then but cannot get building control sign off. (hence no occupation)
- Double check that “SAT testing” is ok as pre-commissioning activity. FAT/SAT testing Hold Points go to the QML team and Construction team. 
Asked about a monthly schedule update – best to get this via CHt or Bylor? Graeme will look into it. - Action with Crownhouse to provide monthly update. </t>
        </is>
      </c>
      <c r="G22" s="34" t="n"/>
      <c r="H22" s="50" t="n"/>
      <c r="I22" s="34" t="n"/>
      <c r="J22" s="34" t="n"/>
      <c r="K22" s="38">
        <f>IF($B22="","",$B22&amp;"|"&amp;$C22)</f>
        <v/>
      </c>
      <c r="L22" s="38">
        <f>IF($B22="","",IF(AND($I22&lt;&gt;"Closed",$I22&lt;&gt;"Cancelled",$H22&lt;&gt;"",$H22&lt;TODAY()),"Yes","No"))</f>
        <v/>
      </c>
    </row>
    <row r="23" ht="25.5" customHeight="1" s="23">
      <c r="B23" s="34" t="inlineStr">
        <is>
          <t>Schedule</t>
        </is>
      </c>
      <c r="C23" s="34" t="inlineStr">
        <is>
          <t>Journey/Fishbone</t>
        </is>
      </c>
      <c r="D23" s="50" t="n">
        <v>46140</v>
      </c>
      <c r="E23" s="33" t="n"/>
      <c r="F23" s="33" t="inlineStr">
        <is>
          <t>Find out from the Project Team if there will be a fishbone/journey ?</t>
        </is>
      </c>
      <c r="G23" s="34" t="n"/>
      <c r="H23" s="50" t="n"/>
      <c r="I23" s="34" t="n"/>
      <c r="J23" s="34" t="n"/>
      <c r="K23" s="38">
        <f>IF($B23="","",$B23&amp;"|"&amp;$C23)</f>
        <v/>
      </c>
      <c r="L23" s="38">
        <f>IF($B23="","",IF(AND($I23&lt;&gt;"Closed",$I23&lt;&gt;"Cancelled",$H23&lt;&gt;"",$H23&lt;TODAY()),"Yes","No"))</f>
        <v/>
      </c>
    </row>
    <row r="24" ht="38.25" customHeight="1" s="23">
      <c r="B24" s="34" t="inlineStr">
        <is>
          <t>Safe System of Work</t>
        </is>
      </c>
      <c r="C24" s="34" t="inlineStr">
        <is>
          <t>SSOW Approval</t>
        </is>
      </c>
      <c r="D24" s="50" t="n">
        <v>46140</v>
      </c>
      <c r="E24" s="33" t="inlineStr">
        <is>
          <t>If using own SSOW, needs to be apprved by the SSOW Panel prior to energisation. This was granted for L20 to allow the lighting distribution boards to be energised. Will need to re-assess for future equipment.</t>
        </is>
      </c>
      <c r="F24" s="41" t="n"/>
      <c r="G24" s="34" t="n"/>
      <c r="H24" s="50" t="n"/>
      <c r="I24" s="34" t="n"/>
      <c r="J24" s="34" t="n"/>
      <c r="K24" s="38">
        <f>IF($B24="","",$B24&amp;"|"&amp;$C24)</f>
        <v/>
      </c>
      <c r="L24" s="38">
        <f>IF($B24="","",IF(AND($I24&lt;&gt;"Closed",$I24&lt;&gt;"Cancelled",$H24&lt;&gt;"",$H24&lt;TODAY()),"Yes","No"))</f>
        <v/>
      </c>
    </row>
    <row r="25" ht="140.25" customHeight="1" s="23">
      <c r="B25" s="34" t="inlineStr">
        <is>
          <t>Interfaces</t>
        </is>
      </c>
      <c r="C25" s="34" t="inlineStr">
        <is>
          <t>Interface Schedule/Execution plan</t>
        </is>
      </c>
      <c r="D25" s="50" t="n">
        <v>46140</v>
      </c>
      <c r="E25"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25" s="33" t="inlineStr">
        <is>
          <t>– incoming services document covers some of the incoming services. Many of the services are coming in later than CHt needed. 
Suggestion to appendix this to the Commissioning Execution plan that already exists? Bylor would need to provide information about others such as OTIS lifts etc. Action CHt/Bylor. 
Check if Bylor schedule includes the no-CHt commissioning – PH (bylor)
Provide full list of activities to be commissioned in HBX (not CHt)– GH and PH (CHt + Bylor)</t>
        </is>
      </c>
      <c r="G25" s="34" t="n"/>
      <c r="H25" s="50" t="n"/>
      <c r="I25" s="34" t="n"/>
      <c r="J25" s="34" t="n"/>
      <c r="K25" s="38">
        <f>IF($B25="","",$B25&amp;"|"&amp;$C25)</f>
        <v/>
      </c>
      <c r="L25" s="38">
        <f>IF($B25="","",IF(AND($I25&lt;&gt;"Closed",$I25&lt;&gt;"Cancelled",$H25&lt;&gt;"",$H25&lt;TODAY()),"Yes","No"))</f>
        <v/>
      </c>
    </row>
    <row r="26" ht="153" customHeight="1" s="23">
      <c r="B26" s="34" t="inlineStr">
        <is>
          <t>Commissioning Documentation</t>
        </is>
      </c>
      <c r="C26" s="34" t="inlineStr">
        <is>
          <t>Execution Plan - Scope Gaps</t>
        </is>
      </c>
      <c r="D26" s="50" t="n">
        <v>46168</v>
      </c>
      <c r="E26" s="33" t="inlineStr">
        <is>
          <t>Are the three scope gaps now resolved?
System B
PMI-8968: Instruction to BYLOR.
100832966: System B Requirements &amp; Scope of Work.
KLI
100885374: Table 7, Pages 29-30.
DTV
100240185: PCR completed, but currently on hold due to financial aspects with Jon.</t>
        </is>
      </c>
      <c r="F26" s="41" t="inlineStr">
        <is>
          <t>DTV - no update, CHT have not heard any more, likely still with NNB? Ask Jon when back. 
System B - Chubb design sent to Bylor - Meeting on 2nd June to discuss.  
KLI - no update, Bylor not attending</t>
        </is>
      </c>
      <c r="G26" s="34" t="n"/>
      <c r="H26" s="50" t="n"/>
      <c r="I26" s="34" t="n"/>
      <c r="J26" s="34" t="n"/>
      <c r="K26" s="38">
        <f>IF($B26="","",$B26&amp;"|"&amp;$C26)</f>
        <v/>
      </c>
      <c r="L26" s="38">
        <f>IF($B26="","",IF(AND($I26&lt;&gt;"Closed",$I26&lt;&gt;"Cancelled",$H26&lt;&gt;"",$H26&lt;TODAY()),"Yes","No"))</f>
        <v/>
      </c>
    </row>
    <row r="27" ht="157.5" customHeight="1" s="23">
      <c r="B27" s="34" t="inlineStr">
        <is>
          <t>Commissioning Documentation</t>
        </is>
      </c>
      <c r="C27" s="34" t="inlineStr">
        <is>
          <t>Other Documentation</t>
        </is>
      </c>
      <c r="D27" s="50" t="n">
        <v>46168</v>
      </c>
      <c r="E27" s="33"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27" s="33" t="inlineStr">
        <is>
          <t xml:space="preserve">-CHT provided a flow diagram linking the activities to ATPs -&gt; BH to use thisto update ideas for the LOD that could be used for Commissioning of HBX. Feed back for next month. </t>
        </is>
      </c>
      <c r="G27" s="34" t="n"/>
      <c r="H27" s="50" t="n"/>
      <c r="I27" s="34" t="n"/>
      <c r="J27" s="34" t="n"/>
      <c r="K27" s="38">
        <f>IF($B27="","",$B27&amp;"|"&amp;$C27)</f>
        <v/>
      </c>
      <c r="L27" s="38">
        <f>IF($B27="","",IF(AND($I27&lt;&gt;"Closed",$I27&lt;&gt;"Cancelled",$H27&lt;&gt;"",$H27&lt;TODAY()),"Yes","No"))</f>
        <v/>
      </c>
    </row>
    <row r="28" ht="63.75" customHeight="1" s="23">
      <c r="B28" s="34" t="inlineStr">
        <is>
          <t>Reviews and Surveillance</t>
        </is>
      </c>
      <c r="C28" s="34" t="inlineStr">
        <is>
          <t>Partitioning Strategy, EESRs, ITPs.</t>
        </is>
      </c>
      <c r="D28" s="50" t="n">
        <v>46168</v>
      </c>
      <c r="E28" s="33" t="inlineStr">
        <is>
          <t xml:space="preserve">TeamCenter references needed for all Commissioning documents, Partitioning strategy needs to reflect Commissioning activities. 
Approach to surveillance and document reviews needs to be clear and aligned. </t>
        </is>
      </c>
      <c r="F28" s="41" t="inlineStr">
        <is>
          <t xml:space="preserve">-BYLOR are drafting a Quality Management Plan that will stipulate the end-to-end process i.e. EoMR, ECSR, ESSR which is being drafted by Satbir Singh (BYLOR Quality Manager) - once this is received and assesed by NNB we can understand how that affects the CHT paritioning etc. </t>
        </is>
      </c>
      <c r="G28" s="34" t="n"/>
      <c r="H28" s="50" t="n"/>
      <c r="I28" s="34" t="n"/>
      <c r="J28" s="34" t="n"/>
      <c r="K28" s="38">
        <f>IF($B28="","",$B28&amp;"|"&amp;$C28)</f>
        <v/>
      </c>
      <c r="L28" s="38">
        <f>IF($B28="","",IF(AND($I28&lt;&gt;"Closed",$I28&lt;&gt;"Cancelled",$H28&lt;&gt;"",$H28&lt;TODAY()),"Yes","No"))</f>
        <v/>
      </c>
    </row>
    <row r="29" ht="25.5" customHeight="1" s="23">
      <c r="B29" s="34" t="inlineStr">
        <is>
          <t>Reviews and Surveillance</t>
        </is>
      </c>
      <c r="C29" s="34" t="inlineStr">
        <is>
          <t>SONIMs</t>
        </is>
      </c>
      <c r="D29" s="50" t="n">
        <v>46168</v>
      </c>
      <c r="E29" s="33" t="inlineStr">
        <is>
          <t xml:space="preserve">The ITP and SONS for the Grenada crane didn’t go via Commissioning - action for the future SONs to be routed correctly. </t>
        </is>
      </c>
      <c r="F29" s="33" t="inlineStr">
        <is>
          <t>- chase update from Bylor (not attending meeting)</t>
        </is>
      </c>
      <c r="G29" s="34" t="n"/>
      <c r="H29" s="50" t="n"/>
      <c r="I29" s="34" t="n"/>
      <c r="J29" s="34" t="n"/>
      <c r="K29" s="38">
        <f>IF($B29="","",$B29&amp;"|"&amp;$C29)</f>
        <v/>
      </c>
      <c r="L29" s="38">
        <f>IF($B29="","",IF(AND($I29&lt;&gt;"Closed",$I29&lt;&gt;"Cancelled",$H29&lt;&gt;"",$H29&lt;TODAY()),"Yes","No"))</f>
        <v/>
      </c>
    </row>
    <row r="30" ht="51" customHeight="1" s="23">
      <c r="B30" s="34" t="inlineStr">
        <is>
          <t>ECS / System codes</t>
        </is>
      </c>
      <c r="C30" s="34" t="inlineStr">
        <is>
          <t>ECS codes for building assets</t>
        </is>
      </c>
      <c r="D30" s="50" t="n">
        <v>46168</v>
      </c>
      <c r="E30" s="33" t="inlineStr">
        <is>
          <t xml:space="preserve">Issue raised during the Commissioning Design meetings regarding the ECS coding of systems and equipment, especially concerning the I&amp;C scopes. </t>
        </is>
      </c>
      <c r="F30" s="41" t="inlineStr">
        <is>
          <t xml:space="preserve">- update from project team - currently determining what the OMM manual will include in the way of assets at present, which will then be handed over to FM contractor. OMM manual is owner by Bylor - update this Friday on contents. </t>
        </is>
      </c>
      <c r="G30" s="34" t="n"/>
      <c r="H30" s="50" t="n"/>
      <c r="I30" s="34" t="n"/>
      <c r="J30" s="34" t="n"/>
      <c r="K30" s="38">
        <f>IF($B30="","",$B30&amp;"|"&amp;$C30)</f>
        <v/>
      </c>
      <c r="L30" s="38">
        <f>IF($B30="","",IF(AND($I30&lt;&gt;"Closed",$I30&lt;&gt;"Cancelled",$H30&lt;&gt;"",$H30&lt;TODAY()),"Yes","No"))</f>
        <v/>
      </c>
    </row>
    <row r="31" ht="89.25" customHeight="1" s="23">
      <c r="B31" s="34" t="inlineStr">
        <is>
          <t>Schedule</t>
        </is>
      </c>
      <c r="C31" s="34" t="inlineStr">
        <is>
          <t>Commissioning Start Dates/Sequence</t>
        </is>
      </c>
      <c r="D31" s="50" t="n">
        <v>46168</v>
      </c>
      <c r="E31"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31" s="33" t="inlineStr">
        <is>
          <t xml:space="preserve">- need to confirm building control sign off is not until the sprinklers are fed into the building ( believe this to be case, needs to be confirmed). Cannot occupy until after this. </t>
        </is>
      </c>
      <c r="G31" s="34" t="n"/>
      <c r="H31" s="50" t="n"/>
      <c r="I31" s="34" t="n"/>
      <c r="J31" s="34" t="n"/>
      <c r="K31" s="38">
        <f>IF($B31="","",$B31&amp;"|"&amp;$C31)</f>
        <v/>
      </c>
      <c r="L31" s="38">
        <f>IF($B31="","",IF(AND($I31&lt;&gt;"Closed",$I31&lt;&gt;"Cancelled",$H31&lt;&gt;"",$H31&lt;TODAY()),"Yes","No"))</f>
        <v/>
      </c>
    </row>
    <row r="32" ht="45" customHeight="1" s="23">
      <c r="B32" s="34" t="inlineStr">
        <is>
          <t>Schedule</t>
        </is>
      </c>
      <c r="C32" s="34" t="inlineStr">
        <is>
          <t>Journey/Fishbone</t>
        </is>
      </c>
      <c r="D32" s="50" t="n">
        <v>46168</v>
      </c>
      <c r="E32" s="33" t="n"/>
      <c r="F32" s="41" t="inlineStr">
        <is>
          <t>- not currently a fishbone, but could be a good plan to have one; who would do this? Would need majority of information from Bylor / CHt. Catch up internally with Journey Lead for HBX.</t>
        </is>
      </c>
      <c r="G32" s="34" t="n"/>
      <c r="H32" s="50" t="n"/>
      <c r="I32" s="34" t="n"/>
      <c r="J32" s="34" t="n"/>
      <c r="K32" s="38">
        <f>IF($B32="","",$B32&amp;"|"&amp;$C32)</f>
        <v/>
      </c>
      <c r="L32" s="38">
        <f>IF($B32="","",IF(AND($I32&lt;&gt;"Closed",$I32&lt;&gt;"Cancelled",$H32&lt;&gt;"",$H32&lt;TODAY()),"Yes","No"))</f>
        <v/>
      </c>
    </row>
    <row r="33" ht="38.25" customHeight="1" s="23">
      <c r="B33" s="34" t="inlineStr">
        <is>
          <t>Safe System of Work</t>
        </is>
      </c>
      <c r="C33" s="34" t="inlineStr">
        <is>
          <t>SSOW Approval</t>
        </is>
      </c>
      <c r="D33" s="50" t="n">
        <v>46168</v>
      </c>
      <c r="E33" s="33" t="inlineStr">
        <is>
          <t>If using own SSOW, needs to be apprved by the SSOW Panel prior to energisation. This was granted for L20 to allow the lighting distribution boards to be energised. Will need to re-assess for future equipment.</t>
        </is>
      </c>
      <c r="F33" s="33" t="inlineStr">
        <is>
          <t>- asked CHT to discuss possibility of a combined SSOW with Bylor ready for future works to avoid having 2 different SSOW active (e.g. Bylor SSOW updated to include the CHT info)</t>
        </is>
      </c>
      <c r="G33" s="34" t="n"/>
      <c r="H33" s="50" t="n"/>
      <c r="I33" s="34" t="n"/>
      <c r="J33" s="34" t="n"/>
      <c r="K33" s="38">
        <f>IF($B33="","",$B33&amp;"|"&amp;$C33)</f>
        <v/>
      </c>
      <c r="L33" s="38">
        <f>IF($B33="","",IF(AND($I33&lt;&gt;"Closed",$I33&lt;&gt;"Cancelled",$H33&lt;&gt;"",$H33&lt;TODAY()),"Yes","No"))</f>
        <v/>
      </c>
    </row>
    <row r="34" ht="51" customHeight="1" s="23">
      <c r="B34" s="34" t="inlineStr">
        <is>
          <t>Interfaces</t>
        </is>
      </c>
      <c r="C34" s="34" t="inlineStr">
        <is>
          <t>Interface Schedule/Execution plan</t>
        </is>
      </c>
      <c r="D34" s="50" t="n">
        <v>46168</v>
      </c>
      <c r="E34"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34" s="41" t="inlineStr">
        <is>
          <t xml:space="preserve">- action was with Graeme and Paul - no update as of yet. Chase up for next meeting. </t>
        </is>
      </c>
      <c r="G34" s="34" t="n"/>
      <c r="H34" s="50" t="n"/>
      <c r="I34" s="34" t="n"/>
      <c r="J34" s="34" t="n"/>
      <c r="K34" s="38">
        <f>IF($B34="","",$B34&amp;"|"&amp;$C34)</f>
        <v/>
      </c>
      <c r="L34" s="38">
        <f>IF($B34="","",IF(AND($I34&lt;&gt;"Closed",$I34&lt;&gt;"Cancelled",$H34&lt;&gt;"",$H34&lt;TODAY()),"Yes","No"))</f>
        <v/>
      </c>
    </row>
    <row r="35" ht="153" customHeight="1" s="23">
      <c r="B35" s="34" t="inlineStr">
        <is>
          <t>Commissioning Documentation</t>
        </is>
      </c>
      <c r="C35" s="34" t="inlineStr">
        <is>
          <t>Execution Plan - Scope Gaps</t>
        </is>
      </c>
      <c r="D35" s="50" t="n">
        <v>46203</v>
      </c>
      <c r="E35" s="33" t="inlineStr">
        <is>
          <t>Are the three scope gaps now resolved?
System B
PMI-8968: Instruction to BYLOR.
100832966: System B Requirements &amp; Scope of Work.
KLI
100885374: Table 7, Pages 29-30.
DTV
100240185: PCR completed, but currently on hold due to financial aspects with Jon.</t>
        </is>
      </c>
      <c r="F35" s="33" t="inlineStr">
        <is>
          <t xml:space="preserve">DTV- Jon will send final details
NNB designs not yet complete have not been instructed to crown house
System B- basement fully instruted
level B10/20 instructed to Bylor not passed to Crownhouse
level 0 &amp; 60 not instrusted yet
KLI: Jon Follows- check with Rukyie &amp; Harrison </t>
        </is>
      </c>
      <c r="G35" s="34" t="n"/>
      <c r="H35" s="50" t="n"/>
      <c r="I35" s="34" t="n"/>
      <c r="J35" s="34" t="n"/>
      <c r="K35" s="38">
        <f>IF($B35="","",$B35&amp;"|"&amp;$C35)</f>
        <v/>
      </c>
      <c r="L35" s="38">
        <f>IF($B35="","",IF(AND($I35&lt;&gt;"Closed",$I35&lt;&gt;"Cancelled",$H35&lt;&gt;"",$H35&lt;TODAY()),"Yes","No"))</f>
        <v/>
      </c>
    </row>
    <row r="36" ht="157.5" customHeight="1" s="23">
      <c r="B36" s="34" t="inlineStr">
        <is>
          <t>Commissioning Documentation</t>
        </is>
      </c>
      <c r="C36" s="34" t="inlineStr">
        <is>
          <t>Other Documentation</t>
        </is>
      </c>
      <c r="D36" s="50" t="n">
        <v>46203</v>
      </c>
      <c r="E36" s="33"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36" s="41" t="inlineStr">
        <is>
          <t>share PQCP template, Mock-up LOD for review- AA</t>
        </is>
      </c>
      <c r="G36" s="34" t="n"/>
      <c r="H36" s="50" t="n"/>
      <c r="I36" s="34" t="n"/>
      <c r="J36" s="34" t="n"/>
      <c r="K36" s="38">
        <f>IF($B36="","",$B36&amp;"|"&amp;$C36)</f>
        <v/>
      </c>
      <c r="L36" s="38">
        <f>IF($B36="","",IF(AND($I36&lt;&gt;"Closed",$I36&lt;&gt;"Cancelled",$H36&lt;&gt;"",$H36&lt;TODAY()),"Yes","No"))</f>
        <v/>
      </c>
    </row>
    <row r="37" ht="51" customHeight="1" s="23">
      <c r="B37" s="34" t="inlineStr">
        <is>
          <t>Reviews and Surveillance</t>
        </is>
      </c>
      <c r="C37" s="34" t="inlineStr">
        <is>
          <t>Partitioning Strategy, EESRs, ITPs.</t>
        </is>
      </c>
      <c r="D37" s="50" t="n">
        <v>46203</v>
      </c>
      <c r="E37" s="33" t="inlineStr">
        <is>
          <t xml:space="preserve">TeamCenter references needed for all Commissioning documents, Partitioning strategy needs to reflect Commissioning activities. 
Approach to surveillance and document reviews needs to be clear and aligned. </t>
        </is>
      </c>
      <c r="F37" s="33" t="inlineStr">
        <is>
          <t>In progress- Satbir
Action paused till end of July -after crown house presentation to NNB</t>
        </is>
      </c>
      <c r="G37" s="34" t="n"/>
      <c r="H37" s="50" t="n"/>
      <c r="I37" s="34" t="n"/>
      <c r="J37" s="34" t="n"/>
      <c r="K37" s="38">
        <f>IF($B37="","",$B37&amp;"|"&amp;$C37)</f>
        <v/>
      </c>
      <c r="L37" s="38">
        <f>IF($B37="","",IF(AND($I37&lt;&gt;"Closed",$I37&lt;&gt;"Cancelled",$H37&lt;&gt;"",$H37&lt;TODAY()),"Yes","No"))</f>
        <v/>
      </c>
    </row>
    <row r="38" ht="60" customHeight="1" s="23">
      <c r="B38" s="34" t="inlineStr">
        <is>
          <t>Reviews and Surveillance</t>
        </is>
      </c>
      <c r="C38" s="34" t="inlineStr">
        <is>
          <t>SONIMs</t>
        </is>
      </c>
      <c r="D38" s="50" t="n">
        <v>46203</v>
      </c>
      <c r="E38" s="33" t="inlineStr">
        <is>
          <t xml:space="preserve">The ITP and SONS for the Grenada crane didn’t go via Commissioning - action for the future SONs to be routed correctly. </t>
        </is>
      </c>
      <c r="F38" s="41" t="inlineStr">
        <is>
          <t>SONIMS can be changed to commissioning</t>
        </is>
      </c>
      <c r="G38" s="34" t="n"/>
      <c r="H38" s="50" t="n"/>
      <c r="I38" s="34" t="n"/>
      <c r="J38" s="34" t="n"/>
      <c r="K38" s="38">
        <f>IF($B38="","",$B38&amp;"|"&amp;$C38)</f>
        <v/>
      </c>
      <c r="L38" s="38">
        <f>IF($B38="","",IF(AND($I38&lt;&gt;"Closed",$I38&lt;&gt;"Cancelled",$H38&lt;&gt;"",$H38&lt;TODAY()),"Yes","No"))</f>
        <v/>
      </c>
    </row>
    <row r="39" ht="38.25" customHeight="1" s="23">
      <c r="B39" s="34" t="inlineStr">
        <is>
          <t>ECS / System codes</t>
        </is>
      </c>
      <c r="C39" s="34" t="inlineStr">
        <is>
          <t>ECS codes for building assets</t>
        </is>
      </c>
      <c r="D39" s="50" t="n">
        <v>46203</v>
      </c>
      <c r="E39" s="33" t="inlineStr">
        <is>
          <t xml:space="preserve">Issue raised during the Commissioning Design meetings regarding the ECS coding of systems and equipment, especially concerning the I&amp;C scopes. </t>
        </is>
      </c>
      <c r="F39" s="33" t="inlineStr">
        <is>
          <t>OMMs- follow Bylor procedure- Instruct GC to Bylor (in draft)- Jon Follows
Bylor is not using ECS codes</t>
        </is>
      </c>
      <c r="G39" s="34" t="n"/>
      <c r="H39" s="50" t="n"/>
      <c r="I39" s="34" t="n"/>
      <c r="J39" s="34" t="n"/>
      <c r="K39" s="38">
        <f>IF($B39="","",$B39&amp;"|"&amp;$C39)</f>
        <v/>
      </c>
      <c r="L39" s="38">
        <f>IF($B39="","",IF(AND($I39&lt;&gt;"Closed",$I39&lt;&gt;"Cancelled",$H39&lt;&gt;"",$H39&lt;TODAY()),"Yes","No"))</f>
        <v/>
      </c>
    </row>
    <row r="40" ht="89.25" customHeight="1" s="23">
      <c r="B40" s="34" t="inlineStr">
        <is>
          <t>Schedule</t>
        </is>
      </c>
      <c r="C40" s="34" t="inlineStr">
        <is>
          <t>Commissioning Start Dates/Sequence</t>
        </is>
      </c>
      <c r="D40" s="50" t="n">
        <v>46203</v>
      </c>
      <c r="E40"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40" s="41" t="n"/>
      <c r="G40" s="34" t="n"/>
      <c r="H40" s="50" t="n"/>
      <c r="I40" s="34" t="n"/>
      <c r="J40" s="34" t="n"/>
      <c r="K40" s="38">
        <f>IF($B40="","",$B40&amp;"|"&amp;$C40)</f>
        <v/>
      </c>
      <c r="L40" s="38">
        <f>IF($B40="","",IF(AND($I40&lt;&gt;"Closed",$I40&lt;&gt;"Cancelled",$H40&lt;&gt;"",$H40&lt;TODAY()),"Yes","No"))</f>
        <v/>
      </c>
    </row>
    <row r="41">
      <c r="B41" s="34" t="inlineStr">
        <is>
          <t>Schedule</t>
        </is>
      </c>
      <c r="C41" s="34" t="inlineStr">
        <is>
          <t>Journey/Fishbone</t>
        </is>
      </c>
      <c r="D41" s="50" t="n">
        <v>46203</v>
      </c>
      <c r="E41" s="33" t="n"/>
      <c r="F41" s="33" t="inlineStr">
        <is>
          <t>Action- BH follow up with project team</t>
        </is>
      </c>
      <c r="G41" s="34" t="n"/>
      <c r="H41" s="50" t="n"/>
      <c r="I41" s="34" t="n"/>
      <c r="J41" s="34" t="n"/>
      <c r="K41" s="38">
        <f>IF($B41="","",$B41&amp;"|"&amp;$C41)</f>
        <v/>
      </c>
      <c r="L41" s="38">
        <f>IF($B41="","",IF(AND($I41&lt;&gt;"Closed",$I41&lt;&gt;"Cancelled",$H41&lt;&gt;"",$H41&lt;TODAY()),"Yes","No"))</f>
        <v/>
      </c>
    </row>
    <row r="42" ht="38.25" customHeight="1" s="23">
      <c r="B42" s="34" t="inlineStr">
        <is>
          <t>Safe System of Work</t>
        </is>
      </c>
      <c r="C42" s="34" t="inlineStr">
        <is>
          <t>SSOW Approval</t>
        </is>
      </c>
      <c r="D42" s="50" t="n">
        <v>46203</v>
      </c>
      <c r="E42" s="33" t="inlineStr">
        <is>
          <t>If using own SSOW, needs to be apprved by the SSOW Panel prior to energisation. This was granted for L20 to allow the lighting distribution boards to be energised. Will need to re-assess for future equipment.</t>
        </is>
      </c>
      <c r="F42" s="41" t="inlineStr">
        <is>
          <t>Bylor has temporary SSOW &amp; Crown house has permanent SSOW-Crown House SSOW will be used.</t>
        </is>
      </c>
      <c r="G42" s="34" t="n"/>
      <c r="H42" s="50" t="n"/>
      <c r="I42" s="34" t="n"/>
      <c r="J42" s="34" t="n"/>
      <c r="K42" s="38">
        <f>IF($B42="","",$B42&amp;"|"&amp;$C42)</f>
        <v/>
      </c>
      <c r="L42" s="38">
        <f>IF($B42="","",IF(AND($I42&lt;&gt;"Closed",$I42&lt;&gt;"Cancelled",$H42&lt;&gt;"",$H42&lt;TODAY()),"Yes","No"))</f>
        <v/>
      </c>
    </row>
    <row r="43" ht="51" customHeight="1" s="23">
      <c r="B43" s="34" t="inlineStr">
        <is>
          <t>Interfaces</t>
        </is>
      </c>
      <c r="C43" s="34" t="inlineStr">
        <is>
          <t>Interface Schedule/Execution plan</t>
        </is>
      </c>
      <c r="D43" s="50" t="n">
        <v>46203</v>
      </c>
      <c r="E43"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43" s="33" t="n"/>
      <c r="G43" s="34" t="n"/>
      <c r="H43" s="50" t="n"/>
      <c r="I43" s="34" t="n"/>
      <c r="J43" s="34" t="n"/>
      <c r="K43" s="38">
        <f>IF($B43="","",$B43&amp;"|"&amp;$C43)</f>
        <v/>
      </c>
      <c r="L43" s="38">
        <f>IF($B43="","",IF(AND($I43&lt;&gt;"Closed",$I43&lt;&gt;"Cancelled",$H43&lt;&gt;"",$H43&lt;TODAY()),"Yes","No"))</f>
        <v/>
      </c>
    </row>
    <row r="44" ht="153" customHeight="1" s="23">
      <c r="B44" s="34" t="inlineStr">
        <is>
          <t>Commissioning Documentation</t>
        </is>
      </c>
      <c r="C44" s="34" t="inlineStr">
        <is>
          <t>Execution Plan - Scope Gaps</t>
        </is>
      </c>
      <c r="D44" s="50" t="n">
        <v>46259</v>
      </c>
      <c r="E44" s="33" t="inlineStr">
        <is>
          <t>Are the three scope gaps now resolved?
System B
PMI-8968: Instruction to BYLOR.
100832966: System B Requirements &amp; Scope of Work.
KLI
100885374: Table 7, Pages 29-30.
DTV
100240185: PCR completed, but currently on hold due to financial aspects with Jon.</t>
        </is>
      </c>
      <c r="F44" s="41" t="inlineStr">
        <is>
          <t>DTV- awaiting documentation to be issued- Revision 13- it will go through internal review before being issuedto CHt
System B-
KLI- drawings sent by Atkins- new cabinets- set of drawings need to be instructed to Bylor</t>
        </is>
      </c>
      <c r="G44" s="34" t="n"/>
      <c r="H44" s="50" t="n"/>
      <c r="I44" s="34" t="n"/>
      <c r="J44" s="34" t="n"/>
      <c r="K44" s="38">
        <f>IF($B44="","",$B44&amp;"|"&amp;$C44)</f>
        <v/>
      </c>
      <c r="L44" s="38">
        <f>IF($B44="","",IF(AND($I44&lt;&gt;"Closed",$I44&lt;&gt;"Cancelled",$H44&lt;&gt;"",$H44&lt;TODAY()),"Yes","No"))</f>
        <v/>
      </c>
    </row>
    <row r="45" ht="157.5" customHeight="1" s="23">
      <c r="B45" s="34" t="inlineStr">
        <is>
          <t>Commissioning Documentation</t>
        </is>
      </c>
      <c r="C45" s="34" t="inlineStr">
        <is>
          <t>Other Documentation</t>
        </is>
      </c>
      <c r="D45" s="50" t="n">
        <v>46259</v>
      </c>
      <c r="E45" s="33"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45" s="33" t="inlineStr">
        <is>
          <t>Workshop - will confirm what the LOD is</t>
        </is>
      </c>
      <c r="G45" s="34" t="n"/>
      <c r="H45" s="50" t="n"/>
      <c r="I45" s="34" t="n"/>
      <c r="J45" s="34" t="n"/>
      <c r="K45" s="38">
        <f>IF($B45="","",$B45&amp;"|"&amp;$C45)</f>
        <v/>
      </c>
      <c r="L45" s="38">
        <f>IF($B45="","",IF(AND($I45&lt;&gt;"Closed",$I45&lt;&gt;"Cancelled",$H45&lt;&gt;"",$H45&lt;TODAY()),"Yes","No"))</f>
        <v/>
      </c>
    </row>
    <row r="46" ht="51" customHeight="1" s="23">
      <c r="B46" s="34" t="inlineStr">
        <is>
          <t>Reviews and Surveillance</t>
        </is>
      </c>
      <c r="C46" s="34" t="inlineStr">
        <is>
          <t>Partitioning Strategy, EESRs, ITPs.</t>
        </is>
      </c>
      <c r="D46" s="50" t="n">
        <v>46259</v>
      </c>
      <c r="E46" s="33" t="inlineStr">
        <is>
          <t xml:space="preserve">TeamCenter references needed for all Commissioning documents, Partitioning strategy needs to reflect Commissioning activities. 
Approach to surveillance and document reviews needs to be clear and aligned. </t>
        </is>
      </c>
      <c r="F46" s="41" t="inlineStr">
        <is>
          <t>ESSR, process will be discussed at the workshop</t>
        </is>
      </c>
      <c r="G46" s="34" t="n"/>
      <c r="H46" s="50" t="n"/>
      <c r="I46" s="34" t="n"/>
      <c r="J46" s="34" t="n"/>
      <c r="K46" s="38">
        <f>IF($B46="","",$B46&amp;"|"&amp;$C46)</f>
        <v/>
      </c>
      <c r="L46" s="38">
        <f>IF($B46="","",IF(AND($I46&lt;&gt;"Closed",$I46&lt;&gt;"Cancelled",$H46&lt;&gt;"",$H46&lt;TODAY()),"Yes","No"))</f>
        <v/>
      </c>
    </row>
    <row r="47" ht="25.5" customHeight="1" s="23">
      <c r="B47" s="34" t="inlineStr">
        <is>
          <t>Reviews and Surveillance</t>
        </is>
      </c>
      <c r="C47" s="34" t="inlineStr">
        <is>
          <t>SONIMs</t>
        </is>
      </c>
      <c r="D47" s="50" t="n">
        <v>46259</v>
      </c>
      <c r="E47" s="33" t="inlineStr">
        <is>
          <t xml:space="preserve">The ITP and SONS for the Grenada crane didn’t go via Commissioning - action for the future SONs to be routed correctly. </t>
        </is>
      </c>
      <c r="F47" s="33" t="n"/>
      <c r="G47" s="34" t="n"/>
      <c r="H47" s="50" t="n"/>
      <c r="I47" s="34" t="n"/>
      <c r="J47" s="34" t="n"/>
      <c r="K47" s="38">
        <f>IF($B47="","",$B47&amp;"|"&amp;$C47)</f>
        <v/>
      </c>
      <c r="L47" s="38">
        <f>IF($B47="","",IF(AND($I47&lt;&gt;"Closed",$I47&lt;&gt;"Cancelled",$H47&lt;&gt;"",$H47&lt;TODAY()),"Yes","No"))</f>
        <v/>
      </c>
    </row>
    <row r="48" ht="38.25" customHeight="1" s="23">
      <c r="B48" s="34" t="inlineStr">
        <is>
          <t>ECS / System codes</t>
        </is>
      </c>
      <c r="C48" s="34" t="inlineStr">
        <is>
          <t>ECS codes for building assets</t>
        </is>
      </c>
      <c r="D48" s="50" t="n">
        <v>46259</v>
      </c>
      <c r="E48" s="33" t="inlineStr">
        <is>
          <t xml:space="preserve">Issue raised during the Commissioning Design meetings regarding the ECS coding of systems and equipment, especially concerning the I&amp;C scopes. </t>
        </is>
      </c>
      <c r="F48" s="41" t="inlineStr">
        <is>
          <t xml:space="preserve">Door coding was created to be 5 digit instead of 4 digit. Door coding needs to be sorted out. Design delivery branch sorting it out. </t>
        </is>
      </c>
      <c r="G48" s="34" t="n"/>
      <c r="H48" s="50" t="n"/>
      <c r="I48" s="34" t="n"/>
      <c r="J48" s="34" t="n"/>
      <c r="K48" s="38">
        <f>IF($B48="","",$B48&amp;"|"&amp;$C48)</f>
        <v/>
      </c>
      <c r="L48" s="38">
        <f>IF($B48="","",IF(AND($I48&lt;&gt;"Closed",$I48&lt;&gt;"Cancelled",$H48&lt;&gt;"",$H48&lt;TODAY()),"Yes","No"))</f>
        <v/>
      </c>
    </row>
    <row r="49" ht="89.25" customHeight="1" s="23">
      <c r="B49" s="34" t="inlineStr">
        <is>
          <t>Schedule</t>
        </is>
      </c>
      <c r="C49" s="34" t="inlineStr">
        <is>
          <t>Commissioning Start Dates/Sequence</t>
        </is>
      </c>
      <c r="D49" s="50" t="n">
        <v>46259</v>
      </c>
      <c r="E49"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49" s="33" t="inlineStr">
        <is>
          <t xml:space="preserve">Cannot occupy until sprinklers
Static completion: March 27
</t>
        </is>
      </c>
      <c r="G49" s="34" t="n"/>
      <c r="H49" s="50" t="n"/>
      <c r="I49" s="34" t="n"/>
      <c r="J49" s="34" t="n"/>
      <c r="K49" s="38">
        <f>IF($B49="","",$B49&amp;"|"&amp;$C49)</f>
        <v/>
      </c>
      <c r="L49" s="38">
        <f>IF($B49="","",IF(AND($I49&lt;&gt;"Closed",$I49&lt;&gt;"Cancelled",$H49&lt;&gt;"",$H49&lt;TODAY()),"Yes","No"))</f>
        <v/>
      </c>
    </row>
    <row r="50">
      <c r="B50" s="34" t="inlineStr">
        <is>
          <t>Schedule</t>
        </is>
      </c>
      <c r="C50" s="34" t="inlineStr">
        <is>
          <t>Journey/Fishbone</t>
        </is>
      </c>
      <c r="D50" s="50" t="n">
        <v>46259</v>
      </c>
      <c r="E50" s="33" t="n"/>
      <c r="F50" s="41" t="n"/>
      <c r="G50" s="34" t="n"/>
      <c r="H50" s="50" t="n"/>
      <c r="I50" s="34" t="n"/>
      <c r="J50" s="34" t="n"/>
      <c r="K50" s="38">
        <f>IF($B50="","",$B50&amp;"|"&amp;$C50)</f>
        <v/>
      </c>
      <c r="L50" s="38">
        <f>IF($B50="","",IF(AND($I50&lt;&gt;"Closed",$I50&lt;&gt;"Cancelled",$H50&lt;&gt;"",$H50&lt;TODAY()),"Yes","No"))</f>
        <v/>
      </c>
    </row>
    <row r="51" ht="38.25" customHeight="1" s="23">
      <c r="B51" s="34" t="inlineStr">
        <is>
          <t>Safe System of Work</t>
        </is>
      </c>
      <c r="C51" s="34" t="inlineStr">
        <is>
          <t>SSOW Approval</t>
        </is>
      </c>
      <c r="D51" s="50" t="n">
        <v>46259</v>
      </c>
      <c r="E51" s="33" t="inlineStr">
        <is>
          <t>If using own SSOW, needs to be apprved by the SSOW Panel prior to energisation. This was granted for L20 to allow the lighting distribution boards to be energised. Will need to re-assess for future equipment.</t>
        </is>
      </c>
      <c r="F51" s="33" t="inlineStr">
        <is>
          <t>one SSOW for each or an overall SSOW for all works</t>
        </is>
      </c>
      <c r="G51" s="34" t="n"/>
      <c r="H51" s="50" t="n"/>
      <c r="I51" s="34" t="n"/>
      <c r="J51" s="34" t="n"/>
      <c r="K51" s="38">
        <f>IF($B51="","",$B51&amp;"|"&amp;$C51)</f>
        <v/>
      </c>
      <c r="L51" s="38">
        <f>IF($B51="","",IF(AND($I51&lt;&gt;"Closed",$I51&lt;&gt;"Cancelled",$H51&lt;&gt;"",$H51&lt;TODAY()),"Yes","No"))</f>
        <v/>
      </c>
    </row>
    <row r="52" ht="51" customHeight="1" s="23">
      <c r="B52" s="34" t="inlineStr">
        <is>
          <t>Interfaces</t>
        </is>
      </c>
      <c r="C52" s="34" t="inlineStr">
        <is>
          <t>Interface Schedule/Execution plan</t>
        </is>
      </c>
      <c r="D52" s="50" t="n">
        <v>46259</v>
      </c>
      <c r="E52"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52" s="41" t="inlineStr">
        <is>
          <t>'Ongoing- Paul will update at the next meeting</t>
        </is>
      </c>
      <c r="G52" s="34" t="n"/>
      <c r="H52" s="50" t="n"/>
      <c r="I52" s="34" t="n"/>
      <c r="J52" s="34" t="n"/>
      <c r="K52" s="38">
        <f>IF($B52="","",$B52&amp;"|"&amp;$C52)</f>
        <v/>
      </c>
      <c r="L52" s="38">
        <f>IF($B52="","",IF(AND($I52&lt;&gt;"Closed",$I52&lt;&gt;"Cancelled",$H52&lt;&gt;"",$H52&lt;TODAY()),"Yes","No"))</f>
        <v/>
      </c>
    </row>
    <row r="53" ht="153" customHeight="1" s="23">
      <c r="B53" s="34" t="inlineStr">
        <is>
          <t>Commissioning Documentation</t>
        </is>
      </c>
      <c r="C53" s="34" t="inlineStr">
        <is>
          <t>Execution Plan - Scope Gaps</t>
        </is>
      </c>
      <c r="D53" s="50" t="n">
        <v>46289</v>
      </c>
      <c r="E53" s="33" t="inlineStr">
        <is>
          <t>Are the three scope gaps now resolved?
System B
PMI-8968: Instruction to BYLOR.
100832966: System B Requirements &amp; Scope of Work.
KLI
100885374: Table 7, Pages 29-30.
DTV
100240185: PCR completed, but currently on hold due to financial aspects with Jon.</t>
        </is>
      </c>
      <c r="F53" s="33" t="inlineStr">
        <is>
          <t>DTV - Some document have been receveied, looking to send the instruction by the end of the week, currently reviewing documentation.
KLI - All design have been submitted to baylor ?? 
Waiting an update from Bylor</t>
        </is>
      </c>
      <c r="G53" s="34" t="n"/>
      <c r="H53" s="50" t="n"/>
      <c r="I53" s="34" t="n"/>
      <c r="J53" s="34" t="n"/>
      <c r="K53" s="38">
        <f>IF($B53="","",$B53&amp;"|"&amp;$C53)</f>
        <v/>
      </c>
      <c r="L53" s="38">
        <f>IF($B53="","",IF(AND($I53&lt;&gt;"Closed",$I53&lt;&gt;"Cancelled",$H53&lt;&gt;"",$H53&lt;TODAY()),"Yes","No"))</f>
        <v/>
      </c>
    </row>
    <row r="54" ht="157.5" customHeight="1" s="23">
      <c r="B54" s="34" t="inlineStr">
        <is>
          <t>Commissioning Documentation</t>
        </is>
      </c>
      <c r="C54" s="34" t="inlineStr">
        <is>
          <t>Other Documentation</t>
        </is>
      </c>
      <c r="D54" s="50" t="n">
        <v>46289</v>
      </c>
      <c r="E54" s="33" t="inlineStr">
        <is>
          <t xml:space="preserve">Typical Required Documents by NNB CommOps:
- System Commissioning Programme (ENG 3.29) -&gt; this is partially covered by the execution plan. 
- Commissioning Procedures (ENG 3.28) -&gt; CHt want to cover the procedures as part of RAMS
- Commissioning Result Sheets
- Inspection Test Plans for Commissioning (see sheet rev01) - match up with the CPs. 
- EESR (planned before commissioning start, final after commissioning finished) - should be aligned with partitioning strategy
Agree the LOD for Commissioning between NNB and CHt. 
</t>
        </is>
      </c>
      <c r="F54" s="41" t="inlineStr">
        <is>
          <t xml:space="preserve">Lad alternative for NNB document placeholders
ECSR will be produced
SSOW of Bylor, see if there a template for the CP expecting Bylor to align to
</t>
        </is>
      </c>
      <c r="G54" s="34" t="n"/>
      <c r="H54" s="50" t="n"/>
      <c r="I54" s="34" t="n"/>
      <c r="J54" s="34" t="n"/>
      <c r="K54" s="38">
        <f>IF($B54="","",$B54&amp;"|"&amp;$C54)</f>
        <v/>
      </c>
      <c r="L54" s="38">
        <f>IF($B54="","",IF(AND($I54&lt;&gt;"Closed",$I54&lt;&gt;"Cancelled",$H54&lt;&gt;"",$H54&lt;TODAY()),"Yes","No"))</f>
        <v/>
      </c>
    </row>
    <row r="55" ht="51" customHeight="1" s="23">
      <c r="B55" s="34" t="inlineStr">
        <is>
          <t>Reviews and Surveillance</t>
        </is>
      </c>
      <c r="C55" s="34" t="inlineStr">
        <is>
          <t>Partitioning Strategy, EESRs, ITPs.</t>
        </is>
      </c>
      <c r="D55" s="50" t="n">
        <v>46289</v>
      </c>
      <c r="E55" s="33" t="inlineStr">
        <is>
          <t xml:space="preserve">TeamCenter references needed for all Commissioning documents, Partitioning strategy needs to reflect Commissioning activities. 
Approach to surveillance and document reviews needs to be clear and aligned. </t>
        </is>
      </c>
      <c r="F55" s="33" t="inlineStr">
        <is>
          <t>ESSR, process will be discussed at the workshop</t>
        </is>
      </c>
      <c r="G55" s="34" t="n"/>
      <c r="H55" s="50" t="n"/>
      <c r="I55" s="34" t="n"/>
      <c r="J55" s="34" t="n"/>
      <c r="K55" s="38">
        <f>IF($B55="","",$B55&amp;"|"&amp;$C55)</f>
        <v/>
      </c>
      <c r="L55" s="38">
        <f>IF($B55="","",IF(AND($I55&lt;&gt;"Closed",$I55&lt;&gt;"Cancelled",$H55&lt;&gt;"",$H55&lt;TODAY()),"Yes","No"))</f>
        <v/>
      </c>
    </row>
    <row r="56" ht="25.5" customHeight="1" s="23">
      <c r="B56" s="34" t="inlineStr">
        <is>
          <t>Reviews and Surveillance</t>
        </is>
      </c>
      <c r="C56" s="34" t="inlineStr">
        <is>
          <t>SONIMs</t>
        </is>
      </c>
      <c r="D56" s="50" t="n">
        <v>46289</v>
      </c>
      <c r="E56" s="33" t="inlineStr">
        <is>
          <t xml:space="preserve">The ITP and SONS for the Grenada crane didn’t go via Commissioning - action for the future SONs to be routed correctly. </t>
        </is>
      </c>
      <c r="F56" s="41" t="n"/>
      <c r="G56" s="34" t="n"/>
      <c r="H56" s="50" t="n"/>
      <c r="I56" s="34" t="n"/>
      <c r="J56" s="34" t="n"/>
      <c r="K56" s="38">
        <f>IF($B56="","",$B56&amp;"|"&amp;$C56)</f>
        <v/>
      </c>
      <c r="L56" s="38">
        <f>IF($B56="","",IF(AND($I56&lt;&gt;"Closed",$I56&lt;&gt;"Cancelled",$H56&lt;&gt;"",$H56&lt;TODAY()),"Yes","No"))</f>
        <v/>
      </c>
    </row>
    <row r="57" ht="76.5" customHeight="1" s="23">
      <c r="B57" s="34" t="inlineStr">
        <is>
          <t>ECS / System codes</t>
        </is>
      </c>
      <c r="C57" s="34" t="inlineStr">
        <is>
          <t>ECS codes for building assets</t>
        </is>
      </c>
      <c r="D57" s="50" t="n">
        <v>46289</v>
      </c>
      <c r="E57" s="33" t="inlineStr">
        <is>
          <t xml:space="preserve">Issue raised during the Commissioning Design meetings regarding the ECS coding of systems and equipment, especially concerning the I&amp;C scopes. </t>
        </is>
      </c>
      <c r="F57" s="33" t="inlineStr">
        <is>
          <t>PMI issued, it was a 5 digit code, we are now adopted a four digit code and agreed - PMI 16000 ECS codes for doors
Agrred to put an ECS code after the installation concerning the I&amp;C scope, no ECS coding or standard coding at the moment - to confirm - any news ?</t>
        </is>
      </c>
      <c r="G57" s="34" t="n"/>
      <c r="H57" s="50" t="n"/>
      <c r="I57" s="34" t="n"/>
      <c r="J57" s="34" t="n"/>
      <c r="K57" s="38">
        <f>IF($B57="","",$B57&amp;"|"&amp;$C57)</f>
        <v/>
      </c>
      <c r="L57" s="38">
        <f>IF($B57="","",IF(AND($I57&lt;&gt;"Closed",$I57&lt;&gt;"Cancelled",$H57&lt;&gt;"",$H57&lt;TODAY()),"Yes","No"))</f>
        <v/>
      </c>
    </row>
    <row r="58" ht="89.25" customHeight="1" s="23">
      <c r="B58" s="34" t="inlineStr">
        <is>
          <t>Schedule</t>
        </is>
      </c>
      <c r="C58" s="34" t="inlineStr">
        <is>
          <t>Commissioning Start Dates/Sequence</t>
        </is>
      </c>
      <c r="D58" s="50" t="n">
        <v>46289</v>
      </c>
      <c r="E58" s="33" t="inlineStr">
        <is>
          <t xml:space="preserve">Start Dates:
Nov’26 -electrical testing (ATP 1 /2 activities; ATP 3 activities in Jan 27)
Feb’27– Mechanical system commissioning
Static Completion Feb 27 upper floors. 
Static Completion of B10 April &amp; B20 July 2027 -&gt; then bulk commissioning starts.
Commissioning continues until April/May 2028. </t>
        </is>
      </c>
      <c r="F58" s="41" t="inlineStr">
        <is>
          <t xml:space="preserve">No occupation certificate until all sprinkler feeds are into the building (august 2028) – building will be complete before then but cannot get building control sign off. (hence no occupation)
Static completion: Early April
</t>
        </is>
      </c>
      <c r="G58" s="34" t="n"/>
      <c r="H58" s="50" t="n"/>
      <c r="I58" s="34" t="n"/>
      <c r="J58" s="34" t="n"/>
      <c r="K58" s="38">
        <f>IF($B58="","",$B58&amp;"|"&amp;$C58)</f>
        <v/>
      </c>
      <c r="L58" s="38">
        <f>IF($B58="","",IF(AND($I58&lt;&gt;"Closed",$I58&lt;&gt;"Cancelled",$H58&lt;&gt;"",$H58&lt;TODAY()),"Yes","No"))</f>
        <v/>
      </c>
    </row>
    <row r="59">
      <c r="B59" s="34" t="inlineStr">
        <is>
          <t>Schedule</t>
        </is>
      </c>
      <c r="C59" s="34" t="inlineStr">
        <is>
          <t>Journey/Fishbone</t>
        </is>
      </c>
      <c r="D59" s="50" t="n">
        <v>46289</v>
      </c>
      <c r="E59" s="33" t="n"/>
      <c r="F59" s="33" t="n"/>
      <c r="G59" s="34" t="n"/>
      <c r="H59" s="50" t="n"/>
      <c r="I59" s="34" t="n"/>
      <c r="J59" s="34" t="n"/>
      <c r="K59" s="38">
        <f>IF($B59="","",$B59&amp;"|"&amp;$C59)</f>
        <v/>
      </c>
      <c r="L59" s="38">
        <f>IF($B59="","",IF(AND($I59&lt;&gt;"Closed",$I59&lt;&gt;"Cancelled",$H59&lt;&gt;"",$H59&lt;TODAY()),"Yes","No"))</f>
        <v/>
      </c>
    </row>
    <row r="60" ht="63.75" customHeight="1" s="23">
      <c r="B60" s="34" t="inlineStr">
        <is>
          <t>Safe System of Work</t>
        </is>
      </c>
      <c r="C60" s="34" t="inlineStr">
        <is>
          <t>SSOW Approval</t>
        </is>
      </c>
      <c r="D60" s="50" t="n">
        <v>46289</v>
      </c>
      <c r="E60" s="33" t="inlineStr">
        <is>
          <t>If using own SSOW, needs to be apprved by the SSOW Panel prior to energisation. This was granted for L20 to allow the lighting distribution boards to be energised. Will need to re-assess for future equipment.</t>
        </is>
      </c>
      <c r="F60" s="41" t="inlineStr">
        <is>
          <t xml:space="preserve">A Mechanical SSOW and an electrical SSOW
Need approval from SSOW Panel prior for this SSOW
</t>
        </is>
      </c>
      <c r="G60" s="34" t="n"/>
      <c r="H60" s="50" t="n"/>
      <c r="I60" s="34" t="n"/>
      <c r="J60" s="34" t="n"/>
      <c r="K60" s="38">
        <f>IF($B60="","",$B60&amp;"|"&amp;$C60)</f>
        <v/>
      </c>
      <c r="L60" s="38">
        <f>IF($B60="","",IF(AND($I60&lt;&gt;"Closed",$I60&lt;&gt;"Cancelled",$H60&lt;&gt;"",$H60&lt;TODAY()),"Yes","No"))</f>
        <v/>
      </c>
    </row>
    <row r="61" ht="51" customHeight="1" s="23">
      <c r="B61" s="34" t="inlineStr">
        <is>
          <t>Interfaces</t>
        </is>
      </c>
      <c r="C61" s="34" t="inlineStr">
        <is>
          <t>Interface Schedule/Execution plan</t>
        </is>
      </c>
      <c r="D61" s="50" t="n">
        <v>46289</v>
      </c>
      <c r="E61" s="33" t="inlineStr">
        <is>
          <t xml:space="preserve">HBX has commissioning by CHt and other parties to be completed, Bylor should have the full integrated schedule as the tier 1 for the building. Important to ensure there are no scope gaps and all the different activities are understood. </t>
        </is>
      </c>
      <c r="F61" s="33" t="inlineStr">
        <is>
          <t>'Ongoing- Paul Hancock will update at the next meeting</t>
        </is>
      </c>
      <c r="G61" s="34" t="n"/>
      <c r="H61" s="50" t="n"/>
      <c r="I61" s="34" t="n"/>
      <c r="J61" s="34" t="n"/>
      <c r="K61" s="38">
        <f>IF($B61="","",$B61&amp;"|"&amp;$C61)</f>
        <v/>
      </c>
      <c r="L61" s="38">
        <f>IF($B61="","",IF(AND($I61&lt;&gt;"Closed",$I61&lt;&gt;"Cancelled",$H61&lt;&gt;"",$H61&lt;TODAY()),"Yes","No"))</f>
        <v/>
      </c>
    </row>
    <row r="62">
      <c r="B62" s="34" t="n"/>
      <c r="C62" s="34" t="n"/>
      <c r="D62" s="39" t="n"/>
      <c r="E62" s="33" t="n"/>
      <c r="F62" s="41" t="n"/>
      <c r="G62" s="34" t="n"/>
      <c r="H62" s="34" t="n"/>
      <c r="I62" s="34" t="n"/>
      <c r="J62" s="34" t="n"/>
      <c r="K62" s="38" t="n"/>
      <c r="L62" s="38" t="n"/>
    </row>
    <row r="63">
      <c r="B63" s="34" t="n"/>
      <c r="C63" s="34" t="n"/>
      <c r="D63" s="39" t="n"/>
      <c r="E63" s="33" t="n"/>
      <c r="F63" s="33" t="n"/>
      <c r="G63" s="34" t="n"/>
      <c r="H63" s="34" t="n"/>
      <c r="I63" s="34" t="n"/>
      <c r="J63" s="34" t="n"/>
      <c r="K63" s="38" t="n"/>
      <c r="L63" s="38" t="n"/>
    </row>
    <row r="64">
      <c r="B64" s="34" t="n"/>
      <c r="C64" s="34" t="n"/>
      <c r="D64" s="39" t="n"/>
      <c r="E64" s="33" t="n"/>
      <c r="F64" s="41" t="n"/>
      <c r="G64" s="34" t="n"/>
      <c r="H64" s="34" t="n"/>
      <c r="I64" s="34" t="n"/>
      <c r="J64" s="34" t="n"/>
      <c r="K64" s="38" t="n"/>
      <c r="L64" s="38" t="n"/>
    </row>
    <row r="65">
      <c r="B65" s="34" t="n"/>
      <c r="C65" s="34" t="n"/>
      <c r="D65" s="39" t="n"/>
      <c r="E65" s="33" t="n"/>
      <c r="F65" s="33" t="n"/>
      <c r="G65" s="34" t="n"/>
      <c r="H65" s="34" t="n"/>
      <c r="I65" s="34" t="n"/>
      <c r="J65" s="34" t="n"/>
      <c r="K65" s="38" t="n"/>
      <c r="L65" s="38" t="n"/>
    </row>
    <row r="66">
      <c r="B66" s="34" t="n"/>
      <c r="C66" s="34" t="n"/>
      <c r="D66" s="39" t="n"/>
      <c r="E66" s="33" t="n"/>
      <c r="F66" s="41" t="n"/>
      <c r="G66" s="34" t="n"/>
      <c r="H66" s="34" t="n"/>
      <c r="I66" s="34" t="n"/>
      <c r="J66" s="34" t="n"/>
      <c r="K66" s="38" t="n"/>
      <c r="L66" s="38" t="n"/>
    </row>
    <row r="67">
      <c r="B67" s="34" t="n"/>
      <c r="C67" s="34" t="n"/>
      <c r="D67" s="39" t="n"/>
      <c r="E67" s="33" t="n"/>
      <c r="F67" s="33" t="n"/>
      <c r="G67" s="34" t="n"/>
      <c r="H67" s="34" t="n"/>
      <c r="I67" s="34" t="n"/>
      <c r="J67" s="34" t="n"/>
      <c r="K67" s="38" t="n"/>
      <c r="L67" s="38" t="n"/>
    </row>
    <row r="68">
      <c r="B68" s="34" t="n"/>
      <c r="C68" s="34" t="n"/>
      <c r="D68" s="39" t="n"/>
      <c r="E68" s="33" t="n"/>
      <c r="F68" s="41" t="n"/>
      <c r="G68" s="34" t="n"/>
      <c r="H68" s="34" t="n"/>
      <c r="I68" s="34" t="n"/>
      <c r="J68" s="34" t="n"/>
      <c r="K68" s="38" t="n"/>
      <c r="L68" s="38" t="n"/>
    </row>
    <row r="69">
      <c r="B69" s="34" t="n"/>
      <c r="C69" s="34" t="n"/>
      <c r="D69" s="39" t="n"/>
      <c r="E69" s="33" t="n"/>
      <c r="F69" s="33" t="n"/>
      <c r="G69" s="34" t="n"/>
      <c r="H69" s="34" t="n"/>
      <c r="I69" s="34" t="n"/>
      <c r="J69" s="34" t="n"/>
      <c r="K69" s="38" t="n"/>
      <c r="L69" s="38" t="n"/>
    </row>
    <row r="70">
      <c r="B70" s="34" t="n"/>
      <c r="C70" s="34" t="n"/>
      <c r="D70" s="39" t="n"/>
      <c r="E70" s="33" t="n"/>
      <c r="F70" s="41" t="n"/>
      <c r="G70" s="34" t="n"/>
      <c r="H70" s="34" t="n"/>
      <c r="I70" s="34" t="n"/>
      <c r="J70" s="34" t="n"/>
      <c r="K70" s="38" t="n"/>
      <c r="L70" s="38" t="n"/>
    </row>
    <row r="71">
      <c r="B71" s="34" t="n"/>
      <c r="C71" s="34" t="n"/>
      <c r="D71" s="39" t="n"/>
      <c r="E71" s="33" t="n"/>
      <c r="F71" s="33" t="n"/>
      <c r="G71" s="34" t="n"/>
      <c r="H71" s="34" t="n"/>
      <c r="I71" s="34" t="n"/>
      <c r="J71" s="34" t="n"/>
      <c r="K71" s="38" t="n"/>
      <c r="L71" s="38" t="n"/>
    </row>
    <row r="72">
      <c r="B72" s="34" t="n"/>
      <c r="C72" s="34" t="n"/>
      <c r="D72" s="39" t="n"/>
      <c r="E72" s="33" t="n"/>
      <c r="F72" s="41" t="n"/>
      <c r="G72" s="34" t="n"/>
      <c r="H72" s="34" t="n"/>
      <c r="I72" s="34" t="n"/>
      <c r="J72" s="34" t="n"/>
      <c r="K72" s="38" t="n"/>
      <c r="L72" s="38" t="n"/>
    </row>
    <row r="73">
      <c r="B73" s="34" t="n"/>
      <c r="C73" s="34" t="n"/>
      <c r="D73" s="39" t="n"/>
      <c r="E73" s="33" t="n"/>
      <c r="F73" s="33" t="n"/>
      <c r="G73" s="34" t="n"/>
      <c r="H73" s="34" t="n"/>
      <c r="I73" s="34" t="n"/>
      <c r="J73" s="34" t="n"/>
      <c r="K73" s="38" t="n"/>
      <c r="L73" s="38" t="n"/>
    </row>
    <row r="74">
      <c r="B74" s="34" t="n"/>
      <c r="C74" s="34" t="n"/>
      <c r="D74" s="39" t="n"/>
      <c r="E74" s="33" t="n"/>
      <c r="F74" s="41" t="n"/>
      <c r="G74" s="34" t="n"/>
      <c r="H74" s="34" t="n"/>
      <c r="I74" s="34" t="n"/>
      <c r="J74" s="34" t="n"/>
      <c r="K74" s="38" t="n"/>
      <c r="L74" s="38" t="n"/>
    </row>
    <row r="75">
      <c r="B75" s="34" t="n"/>
      <c r="C75" s="34" t="n"/>
      <c r="D75" s="39" t="n"/>
      <c r="E75" s="33" t="n"/>
      <c r="F75" s="33" t="n"/>
      <c r="G75" s="34" t="n"/>
      <c r="H75" s="34" t="n"/>
      <c r="I75" s="34" t="n"/>
      <c r="J75" s="34" t="n"/>
      <c r="K75" s="38" t="n"/>
      <c r="L75" s="38" t="n"/>
    </row>
    <row r="76">
      <c r="B76" s="34" t="n"/>
      <c r="C76" s="34" t="n"/>
      <c r="D76" s="39" t="n"/>
      <c r="E76" s="33" t="n"/>
      <c r="F76" s="41" t="n"/>
      <c r="G76" s="34" t="n"/>
      <c r="H76" s="34" t="n"/>
      <c r="I76" s="34" t="n"/>
      <c r="J76" s="34" t="n"/>
      <c r="K76" s="38" t="n"/>
      <c r="L76" s="38" t="n"/>
    </row>
    <row r="77">
      <c r="B77" s="34" t="n"/>
      <c r="C77" s="34" t="n"/>
      <c r="D77" s="39" t="n"/>
      <c r="E77" s="33" t="n"/>
      <c r="F77" s="33" t="n"/>
      <c r="G77" s="34" t="n"/>
      <c r="H77" s="34" t="n"/>
      <c r="I77" s="34" t="n"/>
      <c r="J77" s="34" t="n"/>
      <c r="K77" s="38" t="n"/>
      <c r="L77" s="38" t="n"/>
    </row>
    <row r="78">
      <c r="B78" s="34" t="n"/>
      <c r="C78" s="34" t="n"/>
      <c r="D78" s="39" t="n"/>
      <c r="E78" s="33" t="n"/>
      <c r="F78" s="41" t="n"/>
      <c r="G78" s="34" t="n"/>
      <c r="H78" s="34" t="n"/>
      <c r="I78" s="34" t="n"/>
      <c r="J78" s="34" t="n"/>
      <c r="K78" s="38" t="n"/>
      <c r="L78" s="38" t="n"/>
    </row>
    <row r="79">
      <c r="B79" s="34" t="n"/>
      <c r="C79" s="34" t="n"/>
      <c r="D79" s="39" t="n"/>
      <c r="E79" s="33" t="n"/>
      <c r="F79" s="33" t="n"/>
      <c r="G79" s="34" t="n"/>
      <c r="H79" s="34" t="n"/>
      <c r="I79" s="34" t="n"/>
      <c r="J79" s="34" t="n"/>
      <c r="K79" s="38" t="n"/>
      <c r="L79" s="38" t="n"/>
    </row>
    <row r="80">
      <c r="B80" s="34" t="n"/>
      <c r="C80" s="34" t="n"/>
      <c r="D80" s="39" t="n"/>
      <c r="E80" s="33" t="n"/>
      <c r="F80" s="41" t="n"/>
      <c r="G80" s="34" t="n"/>
      <c r="H80" s="34" t="n"/>
      <c r="I80" s="34" t="n"/>
      <c r="J80" s="34" t="n"/>
      <c r="K80" s="38" t="n"/>
      <c r="L80" s="38" t="n"/>
    </row>
    <row r="81">
      <c r="B81" s="34" t="n"/>
      <c r="C81" s="34" t="n"/>
      <c r="D81" s="39" t="n"/>
      <c r="E81" s="33" t="n"/>
      <c r="F81" s="33" t="n"/>
      <c r="G81" s="34" t="n"/>
      <c r="H81" s="34" t="n"/>
      <c r="I81" s="34" t="n"/>
      <c r="J81" s="34" t="n"/>
      <c r="K81" s="38" t="n"/>
      <c r="L81" s="38" t="n"/>
    </row>
    <row r="82">
      <c r="B82" s="34" t="n"/>
      <c r="C82" s="34" t="n"/>
      <c r="D82" s="39" t="n"/>
      <c r="E82" s="33" t="n"/>
      <c r="F82" s="41" t="n"/>
      <c r="G82" s="34" t="n"/>
      <c r="H82" s="34" t="n"/>
      <c r="I82" s="34" t="n"/>
      <c r="J82" s="34" t="n"/>
      <c r="K82" s="38" t="n"/>
      <c r="L82" s="38" t="n"/>
    </row>
    <row r="83">
      <c r="B83" s="34" t="n"/>
      <c r="C83" s="34" t="n"/>
      <c r="D83" s="39" t="n"/>
      <c r="E83" s="33" t="n"/>
      <c r="F83" s="33" t="n"/>
      <c r="G83" s="34" t="n"/>
      <c r="H83" s="34" t="n"/>
      <c r="I83" s="34" t="n"/>
      <c r="J83" s="34" t="n"/>
      <c r="K83" s="38" t="n"/>
      <c r="L83" s="38" t="n"/>
    </row>
    <row r="84">
      <c r="B84" s="34" t="n"/>
      <c r="C84" s="34" t="n"/>
      <c r="D84" s="39" t="n"/>
      <c r="E84" s="33" t="n"/>
      <c r="F84" s="41" t="n"/>
      <c r="G84" s="34" t="n"/>
      <c r="H84" s="34" t="n"/>
      <c r="I84" s="34" t="n"/>
      <c r="J84" s="34" t="n"/>
      <c r="K84" s="38" t="n"/>
      <c r="L84" s="38" t="n"/>
    </row>
    <row r="85">
      <c r="B85" s="34" t="n"/>
      <c r="C85" s="34" t="n"/>
      <c r="D85" s="39" t="n"/>
      <c r="E85" s="33" t="n"/>
      <c r="F85" s="33" t="n"/>
      <c r="G85" s="34" t="n"/>
      <c r="H85" s="34" t="n"/>
      <c r="I85" s="34" t="n"/>
      <c r="J85" s="34" t="n"/>
      <c r="K85" s="38" t="n"/>
      <c r="L85" s="38" t="n"/>
    </row>
    <row r="86">
      <c r="B86" s="34" t="n"/>
      <c r="C86" s="34" t="n"/>
      <c r="D86" s="39" t="n"/>
      <c r="E86" s="33" t="n"/>
      <c r="F86" s="41" t="n"/>
      <c r="G86" s="34" t="n"/>
      <c r="H86" s="34" t="n"/>
      <c r="I86" s="34" t="n"/>
      <c r="J86" s="34" t="n"/>
      <c r="K86" s="38" t="n"/>
      <c r="L86" s="38" t="n"/>
    </row>
    <row r="87">
      <c r="B87" s="34" t="n"/>
      <c r="C87" s="34" t="n"/>
      <c r="D87" s="39" t="n"/>
      <c r="E87" s="33" t="n"/>
      <c r="F87" s="33" t="n"/>
      <c r="G87" s="34" t="n"/>
      <c r="H87" s="34" t="n"/>
      <c r="I87" s="34" t="n"/>
      <c r="J87" s="34" t="n"/>
      <c r="K87" s="38" t="n"/>
      <c r="L87" s="38" t="n"/>
    </row>
    <row r="88">
      <c r="B88" s="34" t="n"/>
      <c r="C88" s="34" t="n"/>
      <c r="D88" s="39" t="n"/>
      <c r="E88" s="33" t="n"/>
      <c r="F88" s="41" t="n"/>
      <c r="G88" s="34" t="n"/>
      <c r="H88" s="34" t="n"/>
      <c r="I88" s="34" t="n"/>
      <c r="J88" s="34" t="n"/>
      <c r="K88" s="38" t="n"/>
      <c r="L88" s="38" t="n"/>
    </row>
    <row r="89">
      <c r="B89" s="34" t="n"/>
      <c r="C89" s="34" t="n"/>
      <c r="D89" s="39" t="n"/>
      <c r="E89" s="33" t="n"/>
      <c r="F89" s="33" t="n"/>
      <c r="G89" s="34" t="n"/>
      <c r="H89" s="34" t="n"/>
      <c r="I89" s="34" t="n"/>
      <c r="J89" s="34" t="n"/>
      <c r="K89" s="38" t="n"/>
      <c r="L89" s="38" t="n"/>
    </row>
    <row r="90">
      <c r="B90" s="34" t="n"/>
      <c r="C90" s="34" t="n"/>
      <c r="D90" s="39" t="n"/>
      <c r="E90" s="33" t="n"/>
      <c r="F90" s="41" t="n"/>
      <c r="G90" s="34" t="n"/>
      <c r="H90" s="34" t="n"/>
      <c r="I90" s="34" t="n"/>
      <c r="J90" s="34" t="n"/>
      <c r="K90" s="38" t="n"/>
      <c r="L90" s="38" t="n"/>
    </row>
    <row r="91">
      <c r="B91" s="34" t="n"/>
      <c r="C91" s="34" t="n"/>
      <c r="D91" s="39" t="n"/>
      <c r="E91" s="33" t="n"/>
      <c r="F91" s="33" t="n"/>
      <c r="G91" s="34" t="n"/>
      <c r="H91" s="34" t="n"/>
      <c r="I91" s="34" t="n"/>
      <c r="J91" s="34" t="n"/>
      <c r="K91" s="38" t="n"/>
      <c r="L91" s="38" t="n"/>
    </row>
    <row r="92">
      <c r="B92" s="34" t="n"/>
      <c r="C92" s="34" t="n"/>
      <c r="D92" s="39" t="n"/>
      <c r="E92" s="33" t="n"/>
      <c r="F92" s="41" t="n"/>
      <c r="G92" s="34" t="n"/>
      <c r="H92" s="34" t="n"/>
      <c r="I92" s="34" t="n"/>
      <c r="J92" s="34" t="n"/>
      <c r="K92" s="38" t="n"/>
      <c r="L92" s="38" t="n"/>
    </row>
    <row r="93">
      <c r="B93" s="34" t="n"/>
      <c r="C93" s="34" t="n"/>
      <c r="D93" s="39" t="n"/>
      <c r="E93" s="33" t="n"/>
      <c r="F93" s="33" t="n"/>
      <c r="G93" s="34" t="n"/>
      <c r="H93" s="34" t="n"/>
      <c r="I93" s="34" t="n"/>
      <c r="J93" s="34" t="n"/>
      <c r="K93" s="38" t="n"/>
      <c r="L93" s="38" t="n"/>
    </row>
    <row r="94">
      <c r="B94" s="34" t="n"/>
      <c r="C94" s="34" t="n"/>
      <c r="D94" s="39" t="n"/>
      <c r="E94" s="33" t="n"/>
      <c r="F94" s="41" t="n"/>
      <c r="G94" s="34" t="n"/>
      <c r="H94" s="34" t="n"/>
      <c r="I94" s="34" t="n"/>
      <c r="J94" s="34" t="n"/>
      <c r="K94" s="38" t="n"/>
      <c r="L94" s="38" t="n"/>
    </row>
    <row r="95">
      <c r="B95" s="34" t="n"/>
      <c r="C95" s="34" t="n"/>
      <c r="D95" s="39" t="n"/>
      <c r="E95" s="33" t="n"/>
      <c r="F95" s="33" t="n"/>
      <c r="G95" s="34" t="n"/>
      <c r="H95" s="34" t="n"/>
      <c r="I95" s="34" t="n"/>
      <c r="J95" s="34" t="n"/>
      <c r="K95" s="38" t="n"/>
      <c r="L95" s="38" t="n"/>
    </row>
    <row r="96">
      <c r="B96" s="34" t="n"/>
      <c r="C96" s="34" t="n"/>
      <c r="D96" s="39" t="n"/>
      <c r="E96" s="33" t="n"/>
      <c r="F96" s="41" t="n"/>
      <c r="G96" s="34" t="n"/>
      <c r="H96" s="34" t="n"/>
      <c r="I96" s="34" t="n"/>
      <c r="J96" s="34" t="n"/>
      <c r="K96" s="38" t="n"/>
      <c r="L96" s="38" t="n"/>
    </row>
    <row r="97">
      <c r="B97" s="34" t="n"/>
      <c r="C97" s="34" t="n"/>
      <c r="D97" s="39" t="n"/>
      <c r="E97" s="33" t="n"/>
      <c r="F97" s="33" t="n"/>
      <c r="G97" s="34" t="n"/>
      <c r="H97" s="34" t="n"/>
      <c r="I97" s="34" t="n"/>
      <c r="J97" s="34" t="n"/>
      <c r="K97" s="38" t="n"/>
      <c r="L97" s="38" t="n"/>
    </row>
    <row r="98">
      <c r="B98" s="34" t="n"/>
      <c r="C98" s="34" t="n"/>
      <c r="D98" s="39" t="n"/>
      <c r="E98" s="33" t="n"/>
      <c r="F98" s="41" t="n"/>
      <c r="G98" s="34" t="n"/>
      <c r="H98" s="34" t="n"/>
      <c r="I98" s="34" t="n"/>
      <c r="J98" s="34" t="n"/>
      <c r="K98" s="38" t="n"/>
      <c r="L98" s="38" t="n"/>
    </row>
    <row r="99">
      <c r="B99" s="34" t="n"/>
      <c r="C99" s="34" t="n"/>
      <c r="D99" s="39" t="n"/>
      <c r="E99" s="33" t="n"/>
      <c r="F99" s="33" t="n"/>
      <c r="G99" s="34" t="n"/>
      <c r="H99" s="34" t="n"/>
      <c r="I99" s="34" t="n"/>
      <c r="J99" s="34" t="n"/>
      <c r="K99" s="38" t="n"/>
      <c r="L99" s="38" t="n"/>
    </row>
    <row r="100">
      <c r="B100" s="34" t="n"/>
      <c r="C100" s="34" t="n"/>
      <c r="D100" s="39" t="n"/>
      <c r="E100" s="33" t="n"/>
      <c r="F100" s="41" t="n"/>
      <c r="G100" s="34" t="n"/>
      <c r="H100" s="34" t="n"/>
      <c r="I100" s="34" t="n"/>
      <c r="J100" s="34" t="n"/>
      <c r="K100" s="38" t="n"/>
      <c r="L100" s="38" t="n"/>
    </row>
    <row r="101">
      <c r="B101" s="34" t="n"/>
      <c r="C101" s="34" t="n"/>
      <c r="D101" s="39" t="n"/>
      <c r="E101" s="33" t="n"/>
      <c r="F101" s="33" t="n"/>
      <c r="G101" s="34" t="n"/>
      <c r="H101" s="34" t="n"/>
      <c r="I101" s="34" t="n"/>
      <c r="J101" s="34" t="n"/>
      <c r="K101" s="38" t="n"/>
      <c r="L101" s="38" t="n"/>
    </row>
    <row r="102">
      <c r="B102" s="34" t="n"/>
      <c r="C102" s="34" t="n"/>
      <c r="D102" s="39" t="n"/>
      <c r="E102" s="33" t="n"/>
      <c r="F102" s="41" t="n"/>
      <c r="G102" s="34" t="n"/>
      <c r="H102" s="34" t="n"/>
      <c r="I102" s="34" t="n"/>
      <c r="J102" s="34" t="n"/>
      <c r="K102" s="38" t="n"/>
      <c r="L102" s="38" t="n"/>
    </row>
    <row r="103">
      <c r="B103" s="34" t="n"/>
      <c r="C103" s="34" t="n"/>
      <c r="D103" s="39" t="n"/>
      <c r="E103" s="33" t="n"/>
      <c r="F103" s="33" t="n"/>
      <c r="G103" s="34" t="n"/>
      <c r="H103" s="34" t="n"/>
      <c r="I103" s="34" t="n"/>
      <c r="J103" s="34" t="n"/>
      <c r="K103" s="38" t="n"/>
      <c r="L103" s="38" t="n"/>
    </row>
    <row r="104">
      <c r="B104" s="34" t="n"/>
      <c r="C104" s="34" t="n"/>
      <c r="D104" s="39" t="n"/>
      <c r="E104" s="33" t="n"/>
      <c r="F104" s="41" t="n"/>
      <c r="G104" s="34" t="n"/>
      <c r="H104" s="34" t="n"/>
      <c r="I104" s="34" t="n"/>
      <c r="J104" s="34" t="n"/>
      <c r="K104" s="38" t="n"/>
      <c r="L104" s="38" t="n"/>
    </row>
    <row r="105">
      <c r="B105" s="34" t="n"/>
      <c r="C105" s="34" t="n"/>
      <c r="D105" s="39" t="n"/>
      <c r="E105" s="33" t="n"/>
      <c r="F105" s="33" t="n"/>
      <c r="G105" s="34" t="n"/>
      <c r="H105" s="34" t="n"/>
      <c r="I105" s="34" t="n"/>
      <c r="J105" s="34" t="n"/>
      <c r="K105" s="38" t="n"/>
      <c r="L105" s="38" t="n"/>
    </row>
    <row r="106">
      <c r="B106" s="34" t="n"/>
      <c r="C106" s="34" t="n"/>
      <c r="D106" s="39" t="n"/>
      <c r="E106" s="33" t="n"/>
      <c r="F106" s="41" t="n"/>
      <c r="G106" s="34" t="n"/>
      <c r="H106" s="34" t="n"/>
      <c r="I106" s="34" t="n"/>
      <c r="J106" s="34" t="n"/>
      <c r="K106" s="38" t="n"/>
      <c r="L106" s="38" t="n"/>
    </row>
    <row r="107">
      <c r="B107" s="34" t="n"/>
      <c r="C107" s="34" t="n"/>
      <c r="D107" s="39" t="n"/>
      <c r="E107" s="33" t="n"/>
      <c r="F107" s="33" t="n"/>
      <c r="G107" s="34" t="n"/>
      <c r="H107" s="34" t="n"/>
      <c r="I107" s="34" t="n"/>
      <c r="J107" s="34" t="n"/>
      <c r="K107" s="38" t="n"/>
      <c r="L107" s="38" t="n"/>
    </row>
  </sheetData>
  <conditionalFormatting sqref="B8:L107">
    <cfRule type="expression" priority="1" dxfId="2">
      <formula>AND($I8&lt;&gt;"Closed",$L8="Yes")</formula>
    </cfRule>
    <cfRule type="expression" priority="2" dxfId="1">
      <formula>$I8="Closed"</formula>
    </cfRule>
    <cfRule type="expression" priority="3" dxfId="0">
      <formula>OR($I8="On Hold",$I8="Cancelled")</formula>
    </cfRule>
  </conditionalFormatting>
  <dataValidations count="4">
    <dataValidation sqref="B8:B107" showDropDown="0" showInputMessage="0" showErrorMessage="0" allowBlank="1" type="list">
      <formula1>LIST_SUBJECT</formula1>
    </dataValidation>
    <dataValidation sqref="C8:C107" showDropDown="0" showInputMessage="0" showErrorMessage="0" allowBlank="1" type="list">
      <formula1>LIST_SUBTOPIC</formula1>
    </dataValidation>
    <dataValidation sqref="I8:I107" showDropDown="0" showInputMessage="0" showErrorMessage="0" allowBlank="1" type="list">
      <formula1>LIST_STATUS</formula1>
    </dataValidation>
    <dataValidation sqref="J8:J107" showDropDown="0" showInputMessage="0" showErrorMessage="0" allowBlank="1" type="list">
      <formula1>LIST_PRIORITY</formula1>
    </dataValidation>
  </dataValidations>
  <hyperlinks>
    <hyperlink ref="B1" location="'Overview'!A1" display="Overview"/>
    <hyperlink ref="C1" location="'Meeting Log'!A1" display="Meeting Log"/>
    <hyperlink ref="D1" location="'Meeting Report'!A1" display="Meeting Report"/>
    <hyperlink ref="E1" location="'Lists &amp; Config'!A1" display="Lists &amp; Config"/>
  </hyperlink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B1:H50"/>
  <sheetViews>
    <sheetView showGridLines="0" workbookViewId="0">
      <selection activeCell="C24" sqref="C24"/>
    </sheetView>
  </sheetViews>
  <sheetFormatPr baseColWidth="10" defaultColWidth="9.140625" defaultRowHeight="15"/>
  <cols>
    <col width="2.42578125" customWidth="1" style="23" min="1" max="1"/>
    <col width="18" customWidth="1" style="23" min="2" max="2"/>
    <col width="36" customWidth="1" style="23" min="3" max="3"/>
    <col width="14" customWidth="1" style="23" min="4" max="4"/>
    <col width="12" customWidth="1" style="23" min="5" max="5"/>
    <col width="13" customWidth="1" style="23" min="6" max="6"/>
    <col width="12" customWidth="1" style="23" min="7" max="7"/>
    <col width="13" customWidth="1" style="23" min="8" max="8"/>
  </cols>
  <sheetData>
    <row r="1" ht="20.1" customHeight="1" s="23">
      <c r="B1" s="2" t="inlineStr">
        <is>
          <t>Overview</t>
        </is>
      </c>
      <c r="C1" s="2" t="inlineStr">
        <is>
          <t>Meeting Log</t>
        </is>
      </c>
      <c r="D1" s="1" t="inlineStr">
        <is>
          <t>Meeting Report</t>
        </is>
      </c>
      <c r="E1" s="2" t="inlineStr">
        <is>
          <t>Lists &amp; Config</t>
        </is>
      </c>
    </row>
    <row r="2" ht="26.1" customHeight="1" s="23">
      <c r="B2" s="3" t="inlineStr">
        <is>
          <t>Meeting Report</t>
        </is>
      </c>
    </row>
    <row r="3" ht="15.95" customHeight="1" s="23">
      <c r="B3" s="4" t="inlineStr">
        <is>
          <t>Mirrors the meeting date selected on Overview - change it there to generate a report for a different meeting. Short enough to copy straight into minutes or an email.</t>
        </is>
      </c>
    </row>
    <row r="5">
      <c r="B5" s="5" t="inlineStr">
        <is>
          <t>Meeting Date:</t>
        </is>
      </c>
      <c r="C5" s="51">
        <f>Overview!$C$5</f>
        <v/>
      </c>
      <c r="E5" s="5" t="inlineStr">
        <is>
          <t>Meeting Type:</t>
        </is>
      </c>
      <c r="F5" s="18">
        <f>IFERROR(INDEX(Attendees_Log[Meeting Type],MATCH($C$5,Attendees_Log[Meeting Date],0)),"")</f>
        <v/>
      </c>
    </row>
    <row r="6">
      <c r="B6" s="5" t="inlineStr">
        <is>
          <t>Attendees:</t>
        </is>
      </c>
      <c r="C6" s="30">
        <f>IFERROR(INDEX(Attendees_Log[Attendees],MATCH($C$5,Attendees_Log[Meeting Date],0)),"")</f>
        <v/>
      </c>
      <c r="D6" s="52" t="n"/>
      <c r="E6" s="52" t="n"/>
      <c r="F6" s="52" t="n"/>
      <c r="G6" s="52" t="n"/>
      <c r="H6" s="49" t="n"/>
    </row>
    <row r="8" ht="21.95" customHeight="1" s="23">
      <c r="B8" s="10" t="inlineStr">
        <is>
          <t>1. FOLLOW-UP FROM PREVIOUS MEETING</t>
        </is>
      </c>
      <c r="C8" s="10" t="n"/>
      <c r="D8" s="10" t="n"/>
      <c r="E8" s="10" t="n"/>
      <c r="F8" s="10" t="n"/>
      <c r="G8" s="10" t="n"/>
    </row>
    <row r="9">
      <c r="B9" s="11" t="inlineStr">
        <is>
          <t>Subject</t>
        </is>
      </c>
      <c r="C9" s="11" t="inlineStr">
        <is>
          <t>Sub-topic</t>
        </is>
      </c>
      <c r="D9" s="11" t="inlineStr">
        <is>
          <t>Discussion</t>
        </is>
      </c>
      <c r="E9" s="11" t="inlineStr">
        <is>
          <t>Action</t>
        </is>
      </c>
      <c r="F9" s="11" t="inlineStr">
        <is>
          <t>Owner</t>
        </is>
      </c>
      <c r="G9" s="11" t="inlineStr">
        <is>
          <t>Status</t>
        </is>
      </c>
    </row>
    <row r="10" ht="26.1" customHeight="1" s="23">
      <c r="B10" s="12">
        <f t="array" ref="B10">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Key])-7),1)),"")</f>
        <v/>
      </c>
      <c r="C10" s="12">
        <f t="array" ref="C10">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Key])-7),1)),"")</f>
        <v/>
      </c>
      <c r="D10" s="12">
        <f t="array" ref="D10">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Key])-7),1)),"")</f>
        <v/>
      </c>
      <c r="E10" s="12">
        <f t="array" ref="E10">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Key])-7),1)),"")</f>
        <v/>
      </c>
      <c r="F10" s="12">
        <f t="array" ref="F10">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Key])-7),1)),"")</f>
        <v/>
      </c>
      <c r="G10" s="12">
        <f t="array" ref="G10">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Key])-7),1)),"")</f>
        <v/>
      </c>
    </row>
    <row r="11" ht="26.1" customHeight="1" s="23">
      <c r="B11" s="14">
        <f t="array" ref="B11">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Key])-7),2)),"")</f>
        <v/>
      </c>
      <c r="C11" s="14">
        <f t="array" ref="C11">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Key])-7),2)),"")</f>
        <v/>
      </c>
      <c r="D11" s="14">
        <f t="array" ref="D11">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Key])-7),2)),"")</f>
        <v/>
      </c>
      <c r="E11" s="14">
        <f t="array" ref="E11">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Key])-7),2)),"")</f>
        <v/>
      </c>
      <c r="F11" s="14">
        <f t="array" ref="F11">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Key])-7),2)),"")</f>
        <v/>
      </c>
      <c r="G11" s="14">
        <f t="array" ref="G11">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Key])-7),2)),"")</f>
        <v/>
      </c>
    </row>
    <row r="12" ht="26.1" customHeight="1" s="23">
      <c r="B12" s="12">
        <f t="array" ref="B12">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Key])-7),3)),"")</f>
        <v/>
      </c>
      <c r="C12" s="12">
        <f t="array" ref="C12">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Key])-7),3)),"")</f>
        <v/>
      </c>
      <c r="D12" s="12">
        <f t="array" ref="D12">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Key])-7),3)),"")</f>
        <v/>
      </c>
      <c r="E12" s="12">
        <f t="array" ref="E12">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Key])-7),3)),"")</f>
        <v/>
      </c>
      <c r="F12" s="12">
        <f t="array" ref="F12">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Key])-7),3)),"")</f>
        <v/>
      </c>
      <c r="G12" s="12">
        <f t="array" ref="G12">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Key])-7),3)),"")</f>
        <v/>
      </c>
    </row>
    <row r="13" ht="26.1" customHeight="1" s="23">
      <c r="B13" s="14">
        <f t="array" ref="B13">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Key])-7),4)),"")</f>
        <v/>
      </c>
      <c r="C13" s="14">
        <f t="array" ref="C13">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Key])-7),4)),"")</f>
        <v/>
      </c>
      <c r="D13" s="14">
        <f t="array" ref="D13">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Key])-7),4)),"")</f>
        <v/>
      </c>
      <c r="E13" s="14">
        <f t="array" ref="E13">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Key])-7),4)),"")</f>
        <v/>
      </c>
      <c r="F13" s="14">
        <f t="array" ref="F13">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Key])-7),4)),"")</f>
        <v/>
      </c>
      <c r="G13" s="14">
        <f t="array" ref="G13">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Key])-7),4)),"")</f>
        <v/>
      </c>
    </row>
    <row r="14" ht="26.1" customHeight="1" s="23">
      <c r="B14" s="12">
        <f t="array" ref="B14">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Key])-7),5)),"")</f>
        <v/>
      </c>
      <c r="C14" s="12">
        <f t="array" ref="C14">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Key])-7),5)),"")</f>
        <v/>
      </c>
      <c r="D14" s="12">
        <f t="array" ref="D14">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Key])-7),5)),"")</f>
        <v/>
      </c>
      <c r="E14" s="12">
        <f t="array" ref="E14">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Key])-7),5)),"")</f>
        <v/>
      </c>
      <c r="F14" s="12">
        <f t="array" ref="F14">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Key])-7),5)),"")</f>
        <v/>
      </c>
      <c r="G14" s="12">
        <f t="array" ref="G14">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Key])-7),5)),"")</f>
        <v/>
      </c>
    </row>
    <row r="15" ht="26.1" customHeight="1" s="23">
      <c r="B15" s="14">
        <f t="array" ref="B15">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Key])-7),6)),"")</f>
        <v/>
      </c>
      <c r="C15" s="14">
        <f t="array" ref="C15">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Key])-7),6)),"")</f>
        <v/>
      </c>
      <c r="D15" s="14">
        <f t="array" ref="D15">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Key])-7),6)),"")</f>
        <v/>
      </c>
      <c r="E15" s="14">
        <f t="array" ref="E15">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Key])-7),6)),"")</f>
        <v/>
      </c>
      <c r="F15" s="14">
        <f t="array" ref="F15">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Key])-7),6)),"")</f>
        <v/>
      </c>
      <c r="G15" s="14">
        <f t="array" ref="G15">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Key])-7),6)),"")</f>
        <v/>
      </c>
    </row>
    <row r="16" ht="26.1" customHeight="1" s="23">
      <c r="B16" s="12">
        <f t="array" ref="B16">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Key])-7),7)),"")</f>
        <v/>
      </c>
      <c r="C16" s="12">
        <f t="array" ref="C16">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Key])-7),7)),"")</f>
        <v/>
      </c>
      <c r="D16" s="12">
        <f t="array" ref="D16">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Key])-7),7)),"")</f>
        <v/>
      </c>
      <c r="E16" s="12">
        <f t="array" ref="E16">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Key])-7),7)),"")</f>
        <v/>
      </c>
      <c r="F16" s="12">
        <f t="array" ref="F16">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Key])-7),7)),"")</f>
        <v/>
      </c>
      <c r="G16" s="12">
        <f t="array" ref="G16">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Key])-7),7)),"")</f>
        <v/>
      </c>
    </row>
    <row r="17" ht="26.1" customHeight="1" s="23">
      <c r="B17" s="14">
        <f t="array" ref="B17">IFERROR(INDEX(Meeting_Log[Subject],SMALL(IF((Meeting_Log[Topic Key]&lt;&gt;"")*(Meeting_Log[Meeting Date]&lt;$C$5)*(Meeting_Log[Meeting Date]=_xlfn.MAXIFS(Meeting_Log[Meeting Date],Meeting_Log[Topic Key],Meeting_Log[Topic Key],Meeting_Log[Meeting Date],"&lt;"&amp;$C$5))*(Meeting_Log[Status]&lt;&gt;"Closed")*(Meeting_Log[Status]&lt;&gt;"Cancelled"),ROW(Meeting_Log[Topic Key])-7),8)),"")</f>
        <v/>
      </c>
      <c r="C17" s="14">
        <f t="array" ref="C17">IFERROR(INDEX(Meeting_Log[Sub-topic],SMALL(IF((Meeting_Log[Topic Key]&lt;&gt;"")*(Meeting_Log[Meeting Date]&lt;$C$5)*(Meeting_Log[Meeting Date]=_xlfn.MAXIFS(Meeting_Log[Meeting Date],Meeting_Log[Topic Key],Meeting_Log[Topic Key],Meeting_Log[Meeting Date],"&lt;"&amp;$C$5))*(Meeting_Log[Status]&lt;&gt;"Closed")*(Meeting_Log[Status]&lt;&gt;"Cancelled"),ROW(Meeting_Log[Topic Key])-7),8)),"")</f>
        <v/>
      </c>
      <c r="D17" s="14">
        <f t="array" ref="D17">IFERROR(INDEX(Meeting_Log[Discussion / Notes],SMALL(IF((Meeting_Log[Topic Key]&lt;&gt;"")*(Meeting_Log[Meeting Date]&lt;$C$5)*(Meeting_Log[Meeting Date]=_xlfn.MAXIFS(Meeting_Log[Meeting Date],Meeting_Log[Topic Key],Meeting_Log[Topic Key],Meeting_Log[Meeting Date],"&lt;"&amp;$C$5))*(Meeting_Log[Status]&lt;&gt;"Closed")*(Meeting_Log[Status]&lt;&gt;"Cancelled"),ROW(Meeting_Log[Topic Key])-7),8)),"")</f>
        <v/>
      </c>
      <c r="E17" s="14">
        <f t="array" ref="E17">IFERROR(INDEX(Meeting_Log[Action Updates],SMALL(IF((Meeting_Log[Topic Key]&lt;&gt;"")*(Meeting_Log[Meeting Date]&lt;$C$5)*(Meeting_Log[Meeting Date]=_xlfn.MAXIFS(Meeting_Log[Meeting Date],Meeting_Log[Topic Key],Meeting_Log[Topic Key],Meeting_Log[Meeting Date],"&lt;"&amp;$C$5))*(Meeting_Log[Status]&lt;&gt;"Closed")*(Meeting_Log[Status]&lt;&gt;"Cancelled"),ROW(Meeting_Log[Topic Key])-7),8)),"")</f>
        <v/>
      </c>
      <c r="F17" s="14">
        <f t="array" ref="F17">IFERROR(INDEX(Meeting_Log[Owner],SMALL(IF((Meeting_Log[Topic Key]&lt;&gt;"")*(Meeting_Log[Meeting Date]&lt;$C$5)*(Meeting_Log[Meeting Date]=_xlfn.MAXIFS(Meeting_Log[Meeting Date],Meeting_Log[Topic Key],Meeting_Log[Topic Key],Meeting_Log[Meeting Date],"&lt;"&amp;$C$5))*(Meeting_Log[Status]&lt;&gt;"Closed")*(Meeting_Log[Status]&lt;&gt;"Cancelled"),ROW(Meeting_Log[Topic Key])-7),8)),"")</f>
        <v/>
      </c>
      <c r="G17" s="14">
        <f t="array" ref="G17">IFERROR(INDEX(Meeting_Log[Status],SMALL(IF((Meeting_Log[Topic Key]&lt;&gt;"")*(Meeting_Log[Meeting Date]&lt;$C$5)*(Meeting_Log[Meeting Date]=_xlfn.MAXIFS(Meeting_Log[Meeting Date],Meeting_Log[Topic Key],Meeting_Log[Topic Key],Meeting_Log[Meeting Date],"&lt;"&amp;$C$5))*(Meeting_Log[Status]&lt;&gt;"Closed")*(Meeting_Log[Status]&lt;&gt;"Cancelled"),ROW(Meeting_Log[Topic Key])-7),8)),"")</f>
        <v/>
      </c>
    </row>
    <row r="19" ht="21.95" customHeight="1" s="23">
      <c r="B19" s="10" t="inlineStr">
        <is>
          <t>2. NEW TOPICS</t>
        </is>
      </c>
      <c r="C19" s="10" t="n"/>
      <c r="D19" s="10" t="n"/>
      <c r="E19" s="10" t="n"/>
      <c r="F19" s="10" t="n"/>
      <c r="G19" s="10" t="n"/>
      <c r="H19" s="10" t="n"/>
    </row>
    <row r="20" ht="24" customHeight="1" s="23">
      <c r="B20" s="11" t="inlineStr">
        <is>
          <t>Subject</t>
        </is>
      </c>
      <c r="C20" s="11" t="inlineStr">
        <is>
          <t>Sub-topic</t>
        </is>
      </c>
      <c r="D20" s="11" t="inlineStr">
        <is>
          <t>Discussion / Notes</t>
        </is>
      </c>
      <c r="E20" s="11" t="inlineStr">
        <is>
          <t>Agreed Action</t>
        </is>
      </c>
      <c r="F20" s="11" t="inlineStr">
        <is>
          <t>Owner</t>
        </is>
      </c>
      <c r="G20" s="11" t="inlineStr">
        <is>
          <t>Due Date</t>
        </is>
      </c>
      <c r="H20" s="11" t="inlineStr">
        <is>
          <t>Status</t>
        </is>
      </c>
    </row>
    <row r="21" ht="26.1" customHeight="1" s="23">
      <c r="B21" s="12">
        <f t="array" ref="B21">IFERROR(INDEX(Meeting_Log[Subject],SMALL(IF((Meeting_Log[Topic Key]&lt;&gt;"")*(Meeting_Log[Meeting Date]=$C$5)*(COUNTIFS(Meeting_Log[Topic Key],Meeting_Log[Topic Key],Meeting_Log[Meeting Date],"&lt;"&amp;$C$5)=0),ROW(Meeting_Log[Topic Key])-7),1)),"")</f>
        <v/>
      </c>
      <c r="C21" s="12">
        <f t="array" ref="C21">IFERROR(INDEX(Meeting_Log[Sub-topic],SMALL(IF((Meeting_Log[Topic Key]&lt;&gt;"")*(Meeting_Log[Meeting Date]=$C$5)*(COUNTIFS(Meeting_Log[Topic Key],Meeting_Log[Topic Key],Meeting_Log[Meeting Date],"&lt;"&amp;$C$5)=0),ROW(Meeting_Log[Topic Key])-7),1)),"")</f>
        <v/>
      </c>
      <c r="D21" s="12">
        <f t="array" ref="D21">IFERROR(INDEX(Meeting_Log[Discussion / Notes],SMALL(IF((Meeting_Log[Topic Key]&lt;&gt;"")*(Meeting_Log[Meeting Date]=$C$5)*(COUNTIFS(Meeting_Log[Topic Key],Meeting_Log[Topic Key],Meeting_Log[Meeting Date],"&lt;"&amp;$C$5)=0),ROW(Meeting_Log[Topic Key])-7),1)),"")</f>
        <v/>
      </c>
      <c r="E21" s="12">
        <f t="array" ref="E21">IFERROR(INDEX(Meeting_Log[Action Updates],SMALL(IF((Meeting_Log[Topic Key]&lt;&gt;"")*(Meeting_Log[Meeting Date]=$C$5)*(COUNTIFS(Meeting_Log[Topic Key],Meeting_Log[Topic Key],Meeting_Log[Meeting Date],"&lt;"&amp;$C$5)=0),ROW(Meeting_Log[Topic Key])-7),1)),"")</f>
        <v/>
      </c>
      <c r="F21" s="12">
        <f t="array" ref="F21">IFERROR(INDEX(Meeting_Log[Owner],SMALL(IF((Meeting_Log[Topic Key]&lt;&gt;"")*(Meeting_Log[Meeting Date]=$C$5)*(COUNTIFS(Meeting_Log[Topic Key],Meeting_Log[Topic Key],Meeting_Log[Meeting Date],"&lt;"&amp;$C$5)=0),ROW(Meeting_Log[Topic Key])-7),1)),"")</f>
        <v/>
      </c>
      <c r="G21" s="13">
        <f t="array" ref="G21">IFERROR(INDEX(Meeting_Log[Due Date],SMALL(IF((Meeting_Log[Topic Key]&lt;&gt;"")*(Meeting_Log[Meeting Date]=$C$5)*(COUNTIFS(Meeting_Log[Topic Key],Meeting_Log[Topic Key],Meeting_Log[Meeting Date],"&lt;"&amp;$C$5)=0),ROW(Meeting_Log[Topic Key])-7),1)),"")</f>
        <v/>
      </c>
      <c r="H21" s="12">
        <f t="array" ref="H21">IFERROR(INDEX(Meeting_Log[Status],SMALL(IF((Meeting_Log[Topic Key]&lt;&gt;"")*(Meeting_Log[Meeting Date]=$C$5)*(COUNTIFS(Meeting_Log[Topic Key],Meeting_Log[Topic Key],Meeting_Log[Meeting Date],"&lt;"&amp;$C$5)=0),ROW(Meeting_Log[Topic Key])-7),1)),"")</f>
        <v/>
      </c>
    </row>
    <row r="22" ht="26.1" customHeight="1" s="23">
      <c r="B22" s="14">
        <f t="array" ref="B22">IFERROR(INDEX(Meeting_Log[Subject],SMALL(IF((Meeting_Log[Topic Key]&lt;&gt;"")*(Meeting_Log[Meeting Date]=$C$5)*(COUNTIFS(Meeting_Log[Topic Key],Meeting_Log[Topic Key],Meeting_Log[Meeting Date],"&lt;"&amp;$C$5)=0),ROW(Meeting_Log[Topic Key])-7),2)),"")</f>
        <v/>
      </c>
      <c r="C22" s="14">
        <f t="array" ref="C22">IFERROR(INDEX(Meeting_Log[Sub-topic],SMALL(IF((Meeting_Log[Topic Key]&lt;&gt;"")*(Meeting_Log[Meeting Date]=$C$5)*(COUNTIFS(Meeting_Log[Topic Key],Meeting_Log[Topic Key],Meeting_Log[Meeting Date],"&lt;"&amp;$C$5)=0),ROW(Meeting_Log[Topic Key])-7),2)),"")</f>
        <v/>
      </c>
      <c r="D22" s="14">
        <f t="array" ref="D22">IFERROR(INDEX(Meeting_Log[Discussion / Notes],SMALL(IF((Meeting_Log[Topic Key]&lt;&gt;"")*(Meeting_Log[Meeting Date]=$C$5)*(COUNTIFS(Meeting_Log[Topic Key],Meeting_Log[Topic Key],Meeting_Log[Meeting Date],"&lt;"&amp;$C$5)=0),ROW(Meeting_Log[Topic Key])-7),2)),"")</f>
        <v/>
      </c>
      <c r="E22" s="14">
        <f t="array" ref="E22">IFERROR(INDEX(Meeting_Log[Action Updates],SMALL(IF((Meeting_Log[Topic Key]&lt;&gt;"")*(Meeting_Log[Meeting Date]=$C$5)*(COUNTIFS(Meeting_Log[Topic Key],Meeting_Log[Topic Key],Meeting_Log[Meeting Date],"&lt;"&amp;$C$5)=0),ROW(Meeting_Log[Topic Key])-7),2)),"")</f>
        <v/>
      </c>
      <c r="F22" s="14">
        <f t="array" ref="F22">IFERROR(INDEX(Meeting_Log[Owner],SMALL(IF((Meeting_Log[Topic Key]&lt;&gt;"")*(Meeting_Log[Meeting Date]=$C$5)*(COUNTIFS(Meeting_Log[Topic Key],Meeting_Log[Topic Key],Meeting_Log[Meeting Date],"&lt;"&amp;$C$5)=0),ROW(Meeting_Log[Topic Key])-7),2)),"")</f>
        <v/>
      </c>
      <c r="G22" s="15">
        <f t="array" ref="G22">IFERROR(INDEX(Meeting_Log[Due Date],SMALL(IF((Meeting_Log[Topic Key]&lt;&gt;"")*(Meeting_Log[Meeting Date]=$C$5)*(COUNTIFS(Meeting_Log[Topic Key],Meeting_Log[Topic Key],Meeting_Log[Meeting Date],"&lt;"&amp;$C$5)=0),ROW(Meeting_Log[Topic Key])-7),2)),"")</f>
        <v/>
      </c>
      <c r="H22" s="14">
        <f t="array" ref="H22">IFERROR(INDEX(Meeting_Log[Status],SMALL(IF((Meeting_Log[Topic Key]&lt;&gt;"")*(Meeting_Log[Meeting Date]=$C$5)*(COUNTIFS(Meeting_Log[Topic Key],Meeting_Log[Topic Key],Meeting_Log[Meeting Date],"&lt;"&amp;$C$5)=0),ROW(Meeting_Log[Topic Key])-7),2)),"")</f>
        <v/>
      </c>
    </row>
    <row r="23" ht="26.1" customHeight="1" s="23">
      <c r="B23" s="12">
        <f t="array" ref="B23">IFERROR(INDEX(Meeting_Log[Subject],SMALL(IF((Meeting_Log[Topic Key]&lt;&gt;"")*(Meeting_Log[Meeting Date]=$C$5)*(COUNTIFS(Meeting_Log[Topic Key],Meeting_Log[Topic Key],Meeting_Log[Meeting Date],"&lt;"&amp;$C$5)=0),ROW(Meeting_Log[Topic Key])-7),3)),"")</f>
        <v/>
      </c>
      <c r="C23" s="12">
        <f t="array" ref="C23">IFERROR(INDEX(Meeting_Log[Sub-topic],SMALL(IF((Meeting_Log[Topic Key]&lt;&gt;"")*(Meeting_Log[Meeting Date]=$C$5)*(COUNTIFS(Meeting_Log[Topic Key],Meeting_Log[Topic Key],Meeting_Log[Meeting Date],"&lt;"&amp;$C$5)=0),ROW(Meeting_Log[Topic Key])-7),3)),"")</f>
        <v/>
      </c>
      <c r="D23" s="12">
        <f t="array" ref="D23">IFERROR(INDEX(Meeting_Log[Discussion / Notes],SMALL(IF((Meeting_Log[Topic Key]&lt;&gt;"")*(Meeting_Log[Meeting Date]=$C$5)*(COUNTIFS(Meeting_Log[Topic Key],Meeting_Log[Topic Key],Meeting_Log[Meeting Date],"&lt;"&amp;$C$5)=0),ROW(Meeting_Log[Topic Key])-7),3)),"")</f>
        <v/>
      </c>
      <c r="E23" s="12">
        <f t="array" ref="E23">IFERROR(INDEX(Meeting_Log[Action Updates],SMALL(IF((Meeting_Log[Topic Key]&lt;&gt;"")*(Meeting_Log[Meeting Date]=$C$5)*(COUNTIFS(Meeting_Log[Topic Key],Meeting_Log[Topic Key],Meeting_Log[Meeting Date],"&lt;"&amp;$C$5)=0),ROW(Meeting_Log[Topic Key])-7),3)),"")</f>
        <v/>
      </c>
      <c r="F23" s="12">
        <f t="array" ref="F23">IFERROR(INDEX(Meeting_Log[Owner],SMALL(IF((Meeting_Log[Topic Key]&lt;&gt;"")*(Meeting_Log[Meeting Date]=$C$5)*(COUNTIFS(Meeting_Log[Topic Key],Meeting_Log[Topic Key],Meeting_Log[Meeting Date],"&lt;"&amp;$C$5)=0),ROW(Meeting_Log[Topic Key])-7),3)),"")</f>
        <v/>
      </c>
      <c r="G23" s="13">
        <f t="array" ref="G23">IFERROR(INDEX(Meeting_Log[Due Date],SMALL(IF((Meeting_Log[Topic Key]&lt;&gt;"")*(Meeting_Log[Meeting Date]=$C$5)*(COUNTIFS(Meeting_Log[Topic Key],Meeting_Log[Topic Key],Meeting_Log[Meeting Date],"&lt;"&amp;$C$5)=0),ROW(Meeting_Log[Topic Key])-7),3)),"")</f>
        <v/>
      </c>
      <c r="H23" s="12">
        <f t="array" ref="H23">IFERROR(INDEX(Meeting_Log[Status],SMALL(IF((Meeting_Log[Topic Key]&lt;&gt;"")*(Meeting_Log[Meeting Date]=$C$5)*(COUNTIFS(Meeting_Log[Topic Key],Meeting_Log[Topic Key],Meeting_Log[Meeting Date],"&lt;"&amp;$C$5)=0),ROW(Meeting_Log[Topic Key])-7),3)),"")</f>
        <v/>
      </c>
    </row>
    <row r="24" ht="26.1" customHeight="1" s="23">
      <c r="B24" s="14">
        <f t="array" ref="B24">IFERROR(INDEX(Meeting_Log[Subject],SMALL(IF((Meeting_Log[Topic Key]&lt;&gt;"")*(Meeting_Log[Meeting Date]=$C$5)*(COUNTIFS(Meeting_Log[Topic Key],Meeting_Log[Topic Key],Meeting_Log[Meeting Date],"&lt;"&amp;$C$5)=0),ROW(Meeting_Log[Topic Key])-7),4)),"")</f>
        <v/>
      </c>
      <c r="C24" s="14">
        <f t="array" ref="C24">IFERROR(INDEX(Meeting_Log[Sub-topic],SMALL(IF((Meeting_Log[Topic Key]&lt;&gt;"")*(Meeting_Log[Meeting Date]=$C$5)*(COUNTIFS(Meeting_Log[Topic Key],Meeting_Log[Topic Key],Meeting_Log[Meeting Date],"&lt;"&amp;$C$5)=0),ROW(Meeting_Log[Topic Key])-7),4)),"")</f>
        <v/>
      </c>
      <c r="D24" s="14">
        <f t="array" ref="D24">IFERROR(INDEX(Meeting_Log[Discussion / Notes],SMALL(IF((Meeting_Log[Topic Key]&lt;&gt;"")*(Meeting_Log[Meeting Date]=$C$5)*(COUNTIFS(Meeting_Log[Topic Key],Meeting_Log[Topic Key],Meeting_Log[Meeting Date],"&lt;"&amp;$C$5)=0),ROW(Meeting_Log[Topic Key])-7),4)),"")</f>
        <v/>
      </c>
      <c r="E24" s="14">
        <f t="array" ref="E24">IFERROR(INDEX(Meeting_Log[Action Updates],SMALL(IF((Meeting_Log[Topic Key]&lt;&gt;"")*(Meeting_Log[Meeting Date]=$C$5)*(COUNTIFS(Meeting_Log[Topic Key],Meeting_Log[Topic Key],Meeting_Log[Meeting Date],"&lt;"&amp;$C$5)=0),ROW(Meeting_Log[Topic Key])-7),4)),"")</f>
        <v/>
      </c>
      <c r="F24" s="14">
        <f t="array" ref="F24">IFERROR(INDEX(Meeting_Log[Owner],SMALL(IF((Meeting_Log[Topic Key]&lt;&gt;"")*(Meeting_Log[Meeting Date]=$C$5)*(COUNTIFS(Meeting_Log[Topic Key],Meeting_Log[Topic Key],Meeting_Log[Meeting Date],"&lt;"&amp;$C$5)=0),ROW(Meeting_Log[Topic Key])-7),4)),"")</f>
        <v/>
      </c>
      <c r="G24" s="15">
        <f t="array" ref="G24">IFERROR(INDEX(Meeting_Log[Due Date],SMALL(IF((Meeting_Log[Topic Key]&lt;&gt;"")*(Meeting_Log[Meeting Date]=$C$5)*(COUNTIFS(Meeting_Log[Topic Key],Meeting_Log[Topic Key],Meeting_Log[Meeting Date],"&lt;"&amp;$C$5)=0),ROW(Meeting_Log[Topic Key])-7),4)),"")</f>
        <v/>
      </c>
      <c r="H24" s="14">
        <f t="array" ref="H24">IFERROR(INDEX(Meeting_Log[Status],SMALL(IF((Meeting_Log[Topic Key]&lt;&gt;"")*(Meeting_Log[Meeting Date]=$C$5)*(COUNTIFS(Meeting_Log[Topic Key],Meeting_Log[Topic Key],Meeting_Log[Meeting Date],"&lt;"&amp;$C$5)=0),ROW(Meeting_Log[Topic Key])-7),4)),"")</f>
        <v/>
      </c>
    </row>
    <row r="25" ht="26.1" customHeight="1" s="23">
      <c r="B25" s="12">
        <f t="array" ref="B25">IFERROR(INDEX(Meeting_Log[Subject],SMALL(IF((Meeting_Log[Topic Key]&lt;&gt;"")*(Meeting_Log[Meeting Date]=$C$5)*(COUNTIFS(Meeting_Log[Topic Key],Meeting_Log[Topic Key],Meeting_Log[Meeting Date],"&lt;"&amp;$C$5)=0),ROW(Meeting_Log[Topic Key])-7),5)),"")</f>
        <v/>
      </c>
      <c r="C25" s="12">
        <f t="array" ref="C25">IFERROR(INDEX(Meeting_Log[Sub-topic],SMALL(IF((Meeting_Log[Topic Key]&lt;&gt;"")*(Meeting_Log[Meeting Date]=$C$5)*(COUNTIFS(Meeting_Log[Topic Key],Meeting_Log[Topic Key],Meeting_Log[Meeting Date],"&lt;"&amp;$C$5)=0),ROW(Meeting_Log[Topic Key])-7),5)),"")</f>
        <v/>
      </c>
      <c r="D25" s="12">
        <f t="array" ref="D25">IFERROR(INDEX(Meeting_Log[Discussion / Notes],SMALL(IF((Meeting_Log[Topic Key]&lt;&gt;"")*(Meeting_Log[Meeting Date]=$C$5)*(COUNTIFS(Meeting_Log[Topic Key],Meeting_Log[Topic Key],Meeting_Log[Meeting Date],"&lt;"&amp;$C$5)=0),ROW(Meeting_Log[Topic Key])-7),5)),"")</f>
        <v/>
      </c>
      <c r="E25" s="12">
        <f t="array" ref="E25">IFERROR(INDEX(Meeting_Log[Action Updates],SMALL(IF((Meeting_Log[Topic Key]&lt;&gt;"")*(Meeting_Log[Meeting Date]=$C$5)*(COUNTIFS(Meeting_Log[Topic Key],Meeting_Log[Topic Key],Meeting_Log[Meeting Date],"&lt;"&amp;$C$5)=0),ROW(Meeting_Log[Topic Key])-7),5)),"")</f>
        <v/>
      </c>
      <c r="F25" s="12">
        <f t="array" ref="F25">IFERROR(INDEX(Meeting_Log[Owner],SMALL(IF((Meeting_Log[Topic Key]&lt;&gt;"")*(Meeting_Log[Meeting Date]=$C$5)*(COUNTIFS(Meeting_Log[Topic Key],Meeting_Log[Topic Key],Meeting_Log[Meeting Date],"&lt;"&amp;$C$5)=0),ROW(Meeting_Log[Topic Key])-7),5)),"")</f>
        <v/>
      </c>
      <c r="G25" s="13">
        <f t="array" ref="G25">IFERROR(INDEX(Meeting_Log[Due Date],SMALL(IF((Meeting_Log[Topic Key]&lt;&gt;"")*(Meeting_Log[Meeting Date]=$C$5)*(COUNTIFS(Meeting_Log[Topic Key],Meeting_Log[Topic Key],Meeting_Log[Meeting Date],"&lt;"&amp;$C$5)=0),ROW(Meeting_Log[Topic Key])-7),5)),"")</f>
        <v/>
      </c>
      <c r="H25" s="12">
        <f t="array" ref="H25">IFERROR(INDEX(Meeting_Log[Status],SMALL(IF((Meeting_Log[Topic Key]&lt;&gt;"")*(Meeting_Log[Meeting Date]=$C$5)*(COUNTIFS(Meeting_Log[Topic Key],Meeting_Log[Topic Key],Meeting_Log[Meeting Date],"&lt;"&amp;$C$5)=0),ROW(Meeting_Log[Topic Key])-7),5)),"")</f>
        <v/>
      </c>
    </row>
    <row r="26" ht="26.1" customHeight="1" s="23">
      <c r="B26" s="14">
        <f t="array" ref="B26">IFERROR(INDEX(Meeting_Log[Subject],SMALL(IF((Meeting_Log[Topic Key]&lt;&gt;"")*(Meeting_Log[Meeting Date]=$C$5)*(COUNTIFS(Meeting_Log[Topic Key],Meeting_Log[Topic Key],Meeting_Log[Meeting Date],"&lt;"&amp;$C$5)=0),ROW(Meeting_Log[Topic Key])-7),6)),"")</f>
        <v/>
      </c>
      <c r="C26" s="14">
        <f t="array" ref="C26">IFERROR(INDEX(Meeting_Log[Sub-topic],SMALL(IF((Meeting_Log[Topic Key]&lt;&gt;"")*(Meeting_Log[Meeting Date]=$C$5)*(COUNTIFS(Meeting_Log[Topic Key],Meeting_Log[Topic Key],Meeting_Log[Meeting Date],"&lt;"&amp;$C$5)=0),ROW(Meeting_Log[Topic Key])-7),6)),"")</f>
        <v/>
      </c>
      <c r="D26" s="14">
        <f t="array" ref="D26">IFERROR(INDEX(Meeting_Log[Discussion / Notes],SMALL(IF((Meeting_Log[Topic Key]&lt;&gt;"")*(Meeting_Log[Meeting Date]=$C$5)*(COUNTIFS(Meeting_Log[Topic Key],Meeting_Log[Topic Key],Meeting_Log[Meeting Date],"&lt;"&amp;$C$5)=0),ROW(Meeting_Log[Topic Key])-7),6)),"")</f>
        <v/>
      </c>
      <c r="E26" s="14">
        <f t="array" ref="E26">IFERROR(INDEX(Meeting_Log[Action Updates],SMALL(IF((Meeting_Log[Topic Key]&lt;&gt;"")*(Meeting_Log[Meeting Date]=$C$5)*(COUNTIFS(Meeting_Log[Topic Key],Meeting_Log[Topic Key],Meeting_Log[Meeting Date],"&lt;"&amp;$C$5)=0),ROW(Meeting_Log[Topic Key])-7),6)),"")</f>
        <v/>
      </c>
      <c r="F26" s="14">
        <f t="array" ref="F26">IFERROR(INDEX(Meeting_Log[Owner],SMALL(IF((Meeting_Log[Topic Key]&lt;&gt;"")*(Meeting_Log[Meeting Date]=$C$5)*(COUNTIFS(Meeting_Log[Topic Key],Meeting_Log[Topic Key],Meeting_Log[Meeting Date],"&lt;"&amp;$C$5)=0),ROW(Meeting_Log[Topic Key])-7),6)),"")</f>
        <v/>
      </c>
      <c r="G26" s="15">
        <f t="array" ref="G26">IFERROR(INDEX(Meeting_Log[Due Date],SMALL(IF((Meeting_Log[Topic Key]&lt;&gt;"")*(Meeting_Log[Meeting Date]=$C$5)*(COUNTIFS(Meeting_Log[Topic Key],Meeting_Log[Topic Key],Meeting_Log[Meeting Date],"&lt;"&amp;$C$5)=0),ROW(Meeting_Log[Topic Key])-7),6)),"")</f>
        <v/>
      </c>
      <c r="H26" s="14">
        <f t="array" ref="H26">IFERROR(INDEX(Meeting_Log[Status],SMALL(IF((Meeting_Log[Topic Key]&lt;&gt;"")*(Meeting_Log[Meeting Date]=$C$5)*(COUNTIFS(Meeting_Log[Topic Key],Meeting_Log[Topic Key],Meeting_Log[Meeting Date],"&lt;"&amp;$C$5)=0),ROW(Meeting_Log[Topic Key])-7),6)),"")</f>
        <v/>
      </c>
    </row>
    <row r="28" ht="21.95" customHeight="1" s="23">
      <c r="B28" s="10" t="inlineStr">
        <is>
          <t>3. DISCUSSION LOG FOR THIS MEETING</t>
        </is>
      </c>
      <c r="C28" s="10" t="n"/>
      <c r="D28" s="10" t="n"/>
      <c r="E28" s="10" t="n"/>
      <c r="F28" s="10" t="n"/>
    </row>
    <row r="29" ht="24" customHeight="1" s="23">
      <c r="B29" s="11" t="inlineStr">
        <is>
          <t>Subject</t>
        </is>
      </c>
      <c r="C29" s="11" t="inlineStr">
        <is>
          <t>Sub-topic</t>
        </is>
      </c>
      <c r="D29" s="11" t="inlineStr">
        <is>
          <t>Discussion / Notes</t>
        </is>
      </c>
      <c r="E29" s="11" t="inlineStr">
        <is>
          <t>Agreed Action</t>
        </is>
      </c>
      <c r="F29" s="11" t="inlineStr">
        <is>
          <t>Owner</t>
        </is>
      </c>
    </row>
    <row r="30" ht="26.1" customHeight="1" s="23">
      <c r="B30" s="12">
        <f t="array" ref="B30">IFERROR(INDEX(Meeting_Log[Subject],SMALL(IF((Meeting_Log[Topic Key]&lt;&gt;"")*(Meeting_Log[Meeting Date]=$C$5),ROW(Meeting_Log[Topic Key])-7),1)),"")</f>
        <v/>
      </c>
      <c r="C30" s="12">
        <f t="array" ref="C30">IFERROR(INDEX(Meeting_Log[Sub-topic],SMALL(IF((Meeting_Log[Topic Key]&lt;&gt;"")*(Meeting_Log[Meeting Date]=$C$5),ROW(Meeting_Log[Topic Key])-7),1)),"")</f>
        <v/>
      </c>
      <c r="D30" s="12">
        <f t="array" ref="D30">IFERROR(INDEX(Meeting_Log[Discussion / Notes],SMALL(IF((Meeting_Log[Topic Key]&lt;&gt;"")*(Meeting_Log[Meeting Date]=$C$5),ROW(Meeting_Log[Topic Key])-7),1)),"")</f>
        <v/>
      </c>
      <c r="E30" s="12">
        <f t="array" ref="E30">IFERROR(INDEX(Meeting_Log[Action Updates],SMALL(IF((Meeting_Log[Topic Key]&lt;&gt;"")*(Meeting_Log[Meeting Date]=$C$5),ROW(Meeting_Log[Topic Key])-7),1)),"")</f>
        <v/>
      </c>
      <c r="F30" s="12">
        <f t="array" ref="F30">IFERROR(INDEX(Meeting_Log[Owner],SMALL(IF((Meeting_Log[Topic Key]&lt;&gt;"")*(Meeting_Log[Meeting Date]=$C$5),ROW(Meeting_Log[Topic Key])-7),1)),"")</f>
        <v/>
      </c>
    </row>
    <row r="31" ht="26.1" customHeight="1" s="23">
      <c r="B31" s="14">
        <f t="array" ref="B31">IFERROR(INDEX(Meeting_Log[Subject],SMALL(IF((Meeting_Log[Topic Key]&lt;&gt;"")*(Meeting_Log[Meeting Date]=$C$5),ROW(Meeting_Log[Topic Key])-7),2)),"")</f>
        <v/>
      </c>
      <c r="C31" s="14">
        <f t="array" ref="C31">IFERROR(INDEX(Meeting_Log[Sub-topic],SMALL(IF((Meeting_Log[Topic Key]&lt;&gt;"")*(Meeting_Log[Meeting Date]=$C$5),ROW(Meeting_Log[Topic Key])-7),2)),"")</f>
        <v/>
      </c>
      <c r="D31" s="14">
        <f t="array" ref="D31">IFERROR(INDEX(Meeting_Log[Discussion / Notes],SMALL(IF((Meeting_Log[Topic Key]&lt;&gt;"")*(Meeting_Log[Meeting Date]=$C$5),ROW(Meeting_Log[Topic Key])-7),2)),"")</f>
        <v/>
      </c>
      <c r="E31" s="14">
        <f t="array" ref="E31">IFERROR(INDEX(Meeting_Log[Action Updates],SMALL(IF((Meeting_Log[Topic Key]&lt;&gt;"")*(Meeting_Log[Meeting Date]=$C$5),ROW(Meeting_Log[Topic Key])-7),2)),"")</f>
        <v/>
      </c>
      <c r="F31" s="14">
        <f t="array" ref="F31">IFERROR(INDEX(Meeting_Log[Owner],SMALL(IF((Meeting_Log[Topic Key]&lt;&gt;"")*(Meeting_Log[Meeting Date]=$C$5),ROW(Meeting_Log[Topic Key])-7),2)),"")</f>
        <v/>
      </c>
    </row>
    <row r="32" ht="26.1" customHeight="1" s="23">
      <c r="B32" s="12">
        <f t="array" ref="B32">IFERROR(INDEX(Meeting_Log[Subject],SMALL(IF((Meeting_Log[Topic Key]&lt;&gt;"")*(Meeting_Log[Meeting Date]=$C$5),ROW(Meeting_Log[Topic Key])-7),3)),"")</f>
        <v/>
      </c>
      <c r="C32" s="12">
        <f t="array" ref="C32">IFERROR(INDEX(Meeting_Log[Sub-topic],SMALL(IF((Meeting_Log[Topic Key]&lt;&gt;"")*(Meeting_Log[Meeting Date]=$C$5),ROW(Meeting_Log[Topic Key])-7),3)),"")</f>
        <v/>
      </c>
      <c r="D32" s="12">
        <f t="array" ref="D32">IFERROR(INDEX(Meeting_Log[Discussion / Notes],SMALL(IF((Meeting_Log[Topic Key]&lt;&gt;"")*(Meeting_Log[Meeting Date]=$C$5),ROW(Meeting_Log[Topic Key])-7),3)),"")</f>
        <v/>
      </c>
      <c r="E32" s="12">
        <f t="array" ref="E32">IFERROR(INDEX(Meeting_Log[Action Updates],SMALL(IF((Meeting_Log[Topic Key]&lt;&gt;"")*(Meeting_Log[Meeting Date]=$C$5),ROW(Meeting_Log[Topic Key])-7),3)),"")</f>
        <v/>
      </c>
      <c r="F32" s="12">
        <f t="array" ref="F32">IFERROR(INDEX(Meeting_Log[Owner],SMALL(IF((Meeting_Log[Topic Key]&lt;&gt;"")*(Meeting_Log[Meeting Date]=$C$5),ROW(Meeting_Log[Topic Key])-7),3)),"")</f>
        <v/>
      </c>
    </row>
    <row r="33" ht="26.1" customHeight="1" s="23">
      <c r="B33" s="14">
        <f t="array" ref="B33">IFERROR(INDEX(Meeting_Log[Subject],SMALL(IF((Meeting_Log[Topic Key]&lt;&gt;"")*(Meeting_Log[Meeting Date]=$C$5),ROW(Meeting_Log[Topic Key])-7),4)),"")</f>
        <v/>
      </c>
      <c r="C33" s="14">
        <f t="array" ref="C33">IFERROR(INDEX(Meeting_Log[Sub-topic],SMALL(IF((Meeting_Log[Topic Key]&lt;&gt;"")*(Meeting_Log[Meeting Date]=$C$5),ROW(Meeting_Log[Topic Key])-7),4)),"")</f>
        <v/>
      </c>
      <c r="D33" s="14">
        <f t="array" ref="D33">IFERROR(INDEX(Meeting_Log[Discussion / Notes],SMALL(IF((Meeting_Log[Topic Key]&lt;&gt;"")*(Meeting_Log[Meeting Date]=$C$5),ROW(Meeting_Log[Topic Key])-7),4)),"")</f>
        <v/>
      </c>
      <c r="E33" s="14">
        <f t="array" ref="E33">IFERROR(INDEX(Meeting_Log[Action Updates],SMALL(IF((Meeting_Log[Topic Key]&lt;&gt;"")*(Meeting_Log[Meeting Date]=$C$5),ROW(Meeting_Log[Topic Key])-7),4)),"")</f>
        <v/>
      </c>
      <c r="F33" s="14">
        <f t="array" ref="F33">IFERROR(INDEX(Meeting_Log[Owner],SMALL(IF((Meeting_Log[Topic Key]&lt;&gt;"")*(Meeting_Log[Meeting Date]=$C$5),ROW(Meeting_Log[Topic Key])-7),4)),"")</f>
        <v/>
      </c>
    </row>
    <row r="34" ht="26.1" customHeight="1" s="23">
      <c r="B34" s="12">
        <f t="array" ref="B34">IFERROR(INDEX(Meeting_Log[Subject],SMALL(IF((Meeting_Log[Topic Key]&lt;&gt;"")*(Meeting_Log[Meeting Date]=$C$5),ROW(Meeting_Log[Topic Key])-7),5)),"")</f>
        <v/>
      </c>
      <c r="C34" s="12">
        <f t="array" ref="C34">IFERROR(INDEX(Meeting_Log[Sub-topic],SMALL(IF((Meeting_Log[Topic Key]&lt;&gt;"")*(Meeting_Log[Meeting Date]=$C$5),ROW(Meeting_Log[Topic Key])-7),5)),"")</f>
        <v/>
      </c>
      <c r="D34" s="12">
        <f t="array" ref="D34">IFERROR(INDEX(Meeting_Log[Discussion / Notes],SMALL(IF((Meeting_Log[Topic Key]&lt;&gt;"")*(Meeting_Log[Meeting Date]=$C$5),ROW(Meeting_Log[Topic Key])-7),5)),"")</f>
        <v/>
      </c>
      <c r="E34" s="12">
        <f t="array" ref="E34">IFERROR(INDEX(Meeting_Log[Action Updates],SMALL(IF((Meeting_Log[Topic Key]&lt;&gt;"")*(Meeting_Log[Meeting Date]=$C$5),ROW(Meeting_Log[Topic Key])-7),5)),"")</f>
        <v/>
      </c>
      <c r="F34" s="12">
        <f t="array" ref="F34">IFERROR(INDEX(Meeting_Log[Owner],SMALL(IF((Meeting_Log[Topic Key]&lt;&gt;"")*(Meeting_Log[Meeting Date]=$C$5),ROW(Meeting_Log[Topic Key])-7),5)),"")</f>
        <v/>
      </c>
    </row>
    <row r="35" ht="26.1" customHeight="1" s="23">
      <c r="B35" s="14">
        <f t="array" ref="B35">IFERROR(INDEX(Meeting_Log[Subject],SMALL(IF((Meeting_Log[Topic Key]&lt;&gt;"")*(Meeting_Log[Meeting Date]=$C$5),ROW(Meeting_Log[Topic Key])-7),6)),"")</f>
        <v/>
      </c>
      <c r="C35" s="14">
        <f t="array" ref="C35">IFERROR(INDEX(Meeting_Log[Sub-topic],SMALL(IF((Meeting_Log[Topic Key]&lt;&gt;"")*(Meeting_Log[Meeting Date]=$C$5),ROW(Meeting_Log[Topic Key])-7),6)),"")</f>
        <v/>
      </c>
      <c r="D35" s="14">
        <f t="array" ref="D35">IFERROR(INDEX(Meeting_Log[Discussion / Notes],SMALL(IF((Meeting_Log[Topic Key]&lt;&gt;"")*(Meeting_Log[Meeting Date]=$C$5),ROW(Meeting_Log[Topic Key])-7),6)),"")</f>
        <v/>
      </c>
      <c r="E35" s="14">
        <f t="array" ref="E35">IFERROR(INDEX(Meeting_Log[Action Updates],SMALL(IF((Meeting_Log[Topic Key]&lt;&gt;"")*(Meeting_Log[Meeting Date]=$C$5),ROW(Meeting_Log[Topic Key])-7),6)),"")</f>
        <v/>
      </c>
      <c r="F35" s="14">
        <f t="array" ref="F35">IFERROR(INDEX(Meeting_Log[Owner],SMALL(IF((Meeting_Log[Topic Key]&lt;&gt;"")*(Meeting_Log[Meeting Date]=$C$5),ROW(Meeting_Log[Topic Key])-7),6)),"")</f>
        <v/>
      </c>
    </row>
    <row r="36" ht="26.1" customHeight="1" s="23">
      <c r="B36" s="12">
        <f t="array" ref="B36">IFERROR(INDEX(Meeting_Log[Subject],SMALL(IF((Meeting_Log[Topic Key]&lt;&gt;"")*(Meeting_Log[Meeting Date]=$C$5),ROW(Meeting_Log[Topic Key])-7),7)),"")</f>
        <v/>
      </c>
      <c r="C36" s="12">
        <f t="array" ref="C36">IFERROR(INDEX(Meeting_Log[Sub-topic],SMALL(IF((Meeting_Log[Topic Key]&lt;&gt;"")*(Meeting_Log[Meeting Date]=$C$5),ROW(Meeting_Log[Topic Key])-7),7)),"")</f>
        <v/>
      </c>
      <c r="D36" s="12">
        <f t="array" ref="D36">IFERROR(INDEX(Meeting_Log[Discussion / Notes],SMALL(IF((Meeting_Log[Topic Key]&lt;&gt;"")*(Meeting_Log[Meeting Date]=$C$5),ROW(Meeting_Log[Topic Key])-7),7)),"")</f>
        <v/>
      </c>
      <c r="E36" s="12">
        <f t="array" ref="E36">IFERROR(INDEX(Meeting_Log[Action Updates],SMALL(IF((Meeting_Log[Topic Key]&lt;&gt;"")*(Meeting_Log[Meeting Date]=$C$5),ROW(Meeting_Log[Topic Key])-7),7)),"")</f>
        <v/>
      </c>
      <c r="F36" s="12">
        <f t="array" ref="F36">IFERROR(INDEX(Meeting_Log[Owner],SMALL(IF((Meeting_Log[Topic Key]&lt;&gt;"")*(Meeting_Log[Meeting Date]=$C$5),ROW(Meeting_Log[Topic Key])-7),7)),"")</f>
        <v/>
      </c>
    </row>
    <row r="37" ht="26.1" customHeight="1" s="23">
      <c r="B37" s="14">
        <f t="array" ref="B37">IFERROR(INDEX(Meeting_Log[Subject],SMALL(IF((Meeting_Log[Topic Key]&lt;&gt;"")*(Meeting_Log[Meeting Date]=$C$5),ROW(Meeting_Log[Topic Key])-7),8)),"")</f>
        <v/>
      </c>
      <c r="C37" s="14">
        <f t="array" ref="C37">IFERROR(INDEX(Meeting_Log[Sub-topic],SMALL(IF((Meeting_Log[Topic Key]&lt;&gt;"")*(Meeting_Log[Meeting Date]=$C$5),ROW(Meeting_Log[Topic Key])-7),8)),"")</f>
        <v/>
      </c>
      <c r="D37" s="14">
        <f t="array" ref="D37">IFERROR(INDEX(Meeting_Log[Discussion / Notes],SMALL(IF((Meeting_Log[Topic Key]&lt;&gt;"")*(Meeting_Log[Meeting Date]=$C$5),ROW(Meeting_Log[Topic Key])-7),8)),"")</f>
        <v/>
      </c>
      <c r="E37" s="14">
        <f t="array" ref="E37">IFERROR(INDEX(Meeting_Log[Action Updates],SMALL(IF((Meeting_Log[Topic Key]&lt;&gt;"")*(Meeting_Log[Meeting Date]=$C$5),ROW(Meeting_Log[Topic Key])-7),8)),"")</f>
        <v/>
      </c>
      <c r="F37" s="14">
        <f t="array" ref="F37">IFERROR(INDEX(Meeting_Log[Owner],SMALL(IF((Meeting_Log[Topic Key]&lt;&gt;"")*(Meeting_Log[Meeting Date]=$C$5),ROW(Meeting_Log[Topic Key])-7),8)),"")</f>
        <v/>
      </c>
    </row>
    <row r="39" ht="21.95" customHeight="1" s="23">
      <c r="B39" s="10" t="inlineStr">
        <is>
          <t>4. OPEN / OVERDUE ACTIONS</t>
        </is>
      </c>
      <c r="C39" s="10" t="n"/>
      <c r="D39" s="10" t="n"/>
      <c r="E39" s="10" t="n"/>
      <c r="F39" s="10" t="n"/>
    </row>
    <row r="40">
      <c r="B40" s="11" t="inlineStr">
        <is>
          <t>Subject</t>
        </is>
      </c>
      <c r="C40" s="11" t="inlineStr">
        <is>
          <t>Action</t>
        </is>
      </c>
      <c r="D40" s="11" t="inlineStr">
        <is>
          <t>Owner</t>
        </is>
      </c>
      <c r="E40" s="11" t="inlineStr">
        <is>
          <t>Due Date</t>
        </is>
      </c>
      <c r="F40" s="11" t="inlineStr">
        <is>
          <t>Status</t>
        </is>
      </c>
    </row>
    <row r="41" ht="26.1" customHeight="1" s="23">
      <c r="B41" s="12">
        <f t="array" ref="B41">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Key])-7),1)),"")</f>
        <v/>
      </c>
      <c r="C41" s="12">
        <f t="array" ref="C41">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Key])-7),1)),"")</f>
        <v/>
      </c>
      <c r="D41" s="12">
        <f t="array" ref="D41">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Key])-7),1)),"")</f>
        <v/>
      </c>
      <c r="E41" s="13">
        <f t="array" ref="E41">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Key])-7),1)),"")</f>
        <v/>
      </c>
      <c r="F41" s="12">
        <f t="array" ref="F41">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Key])-7),1)),"")</f>
        <v/>
      </c>
    </row>
    <row r="42" ht="26.1" customHeight="1" s="23">
      <c r="B42" s="14">
        <f t="array" ref="B42">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Key])-7),2)),"")</f>
        <v/>
      </c>
      <c r="C42" s="14">
        <f t="array" ref="C42">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Key])-7),2)),"")</f>
        <v/>
      </c>
      <c r="D42" s="14">
        <f t="array" ref="D42">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Key])-7),2)),"")</f>
        <v/>
      </c>
      <c r="E42" s="15">
        <f t="array" ref="E42">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Key])-7),2)),"")</f>
        <v/>
      </c>
      <c r="F42" s="14">
        <f t="array" ref="F42">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Key])-7),2)),"")</f>
        <v/>
      </c>
    </row>
    <row r="43" ht="26.1" customHeight="1" s="23">
      <c r="B43" s="12">
        <f t="array" ref="B43">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Key])-7),3)),"")</f>
        <v/>
      </c>
      <c r="C43" s="12">
        <f t="array" ref="C43">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Key])-7),3)),"")</f>
        <v/>
      </c>
      <c r="D43" s="12">
        <f t="array" ref="D43">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Key])-7),3)),"")</f>
        <v/>
      </c>
      <c r="E43" s="13">
        <f t="array" ref="E43">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Key])-7),3)),"")</f>
        <v/>
      </c>
      <c r="F43" s="12">
        <f t="array" ref="F43">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Key])-7),3)),"")</f>
        <v/>
      </c>
    </row>
    <row r="44" ht="26.1" customHeight="1" s="23">
      <c r="B44" s="14">
        <f t="array" ref="B44">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Key])-7),4)),"")</f>
        <v/>
      </c>
      <c r="C44" s="14">
        <f t="array" ref="C44">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Key])-7),4)),"")</f>
        <v/>
      </c>
      <c r="D44" s="14">
        <f t="array" ref="D44">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Key])-7),4)),"")</f>
        <v/>
      </c>
      <c r="E44" s="15">
        <f t="array" ref="E44">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Key])-7),4)),"")</f>
        <v/>
      </c>
      <c r="F44" s="14">
        <f t="array" ref="F44">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Key])-7),4)),"")</f>
        <v/>
      </c>
    </row>
    <row r="45" ht="26.1" customHeight="1" s="23">
      <c r="B45" s="12">
        <f t="array" ref="B45">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Key])-7),5)),"")</f>
        <v/>
      </c>
      <c r="C45" s="12">
        <f t="array" ref="C45">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Key])-7),5)),"")</f>
        <v/>
      </c>
      <c r="D45" s="12">
        <f t="array" ref="D45">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Key])-7),5)),"")</f>
        <v/>
      </c>
      <c r="E45" s="13">
        <f t="array" ref="E45">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Key])-7),5)),"")</f>
        <v/>
      </c>
      <c r="F45" s="12">
        <f t="array" ref="F45">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Key])-7),5)),"")</f>
        <v/>
      </c>
    </row>
    <row r="46" ht="26.1" customHeight="1" s="23">
      <c r="B46" s="14">
        <f t="array" ref="B46">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Key])-7),6)),"")</f>
        <v/>
      </c>
      <c r="C46" s="14">
        <f t="array" ref="C46">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Key])-7),6)),"")</f>
        <v/>
      </c>
      <c r="D46" s="14">
        <f t="array" ref="D46">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Key])-7),6)),"")</f>
        <v/>
      </c>
      <c r="E46" s="15">
        <f t="array" ref="E46">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Key])-7),6)),"")</f>
        <v/>
      </c>
      <c r="F46" s="14">
        <f t="array" ref="F46">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Key])-7),6)),"")</f>
        <v/>
      </c>
    </row>
    <row r="47" ht="26.1" customHeight="1" s="23">
      <c r="B47" s="12">
        <f t="array" ref="B47">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Key])-7),7)),"")</f>
        <v/>
      </c>
      <c r="C47" s="12">
        <f t="array" ref="C47">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Key])-7),7)),"")</f>
        <v/>
      </c>
      <c r="D47" s="12">
        <f t="array" ref="D47">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Key])-7),7)),"")</f>
        <v/>
      </c>
      <c r="E47" s="13">
        <f t="array" ref="E47">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Key])-7),7)),"")</f>
        <v/>
      </c>
      <c r="F47" s="12">
        <f t="array" ref="F47">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Key])-7),7)),"")</f>
        <v/>
      </c>
    </row>
    <row r="48" ht="26.1" customHeight="1" s="23">
      <c r="B48" s="14">
        <f t="array" ref="B48">IFERROR(INDEX(Meeting_Log[Subject],SMALL(IF((Meeting_Log[Topic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Key])-7),8)),"")</f>
        <v/>
      </c>
      <c r="C48" s="14">
        <f t="array" ref="C48">IFERROR(INDEX(Meeting_Log[Action Updates],SMALL(IF((Meeting_Log[Topic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Key])-7),8)),"")</f>
        <v/>
      </c>
      <c r="D48" s="14">
        <f t="array" ref="D48">IFERROR(INDEX(Meeting_Log[Owner],SMALL(IF((Meeting_Log[Topic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Key])-7),8)),"")</f>
        <v/>
      </c>
      <c r="E48" s="15">
        <f t="array" ref="E48">IFERROR(INDEX(Meeting_Log[Due Date],SMALL(IF((Meeting_Log[Topic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Key])-7),8)),"")</f>
        <v/>
      </c>
      <c r="F48" s="14">
        <f t="array" ref="F48">IFERROR(INDEX(Meeting_Log[Status],SMALL(IF((Meeting_Log[Topic Key]&lt;&gt;"")*(Meeting_Log[Meeting Date]&lt;=$C$5)*(Meeting_Log[Meeting Date]=_xlfn.MAXIFS(Meeting_Log[Meeting Date],Meeting_Log[Topic Key],Meeting_Log[Topic Key],Meeting_Log[Meeting Date],"&lt;="&amp;$C$5))*(Meeting_Log[Status]&lt;&gt;"Closed")*(Meeting_Log[Status]&lt;&gt;"Cancelled")*(Meeting_Log[Due Date]&lt;&gt;"")*(Meeting_Log[Due Date]&lt;$C$5),ROW(Meeting_Log[Topic Key])-7),8)),"")</f>
        <v/>
      </c>
    </row>
    <row r="50">
      <c r="B50" s="16" t="inlineStr">
        <is>
          <t>Legend: Blue = fill in yourself | Black = automatic, do not overtype | Grey columns = automation helpers, leave untouched | New row: type directly below the table and Excel extends it automatically</t>
        </is>
      </c>
    </row>
  </sheetData>
  <mergeCells count="1">
    <mergeCell ref="C6:H6"/>
  </mergeCells>
  <hyperlinks>
    <hyperlink ref="B1" location="'Overview'!A1" display="Overview"/>
    <hyperlink ref="C1" location="'Meeting Log'!A1" display="Meeting Log"/>
    <hyperlink ref="D1" location="'Meeting Report'!A1" display="Meeting Report"/>
    <hyperlink ref="E1" location="'Lists &amp; Config'!A1" display="Lists &amp; Confi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F22"/>
  <sheetViews>
    <sheetView showGridLines="0" workbookViewId="0">
      <selection activeCell="C10" sqref="C10"/>
    </sheetView>
  </sheetViews>
  <sheetFormatPr baseColWidth="10" defaultColWidth="9.140625" defaultRowHeight="15"/>
  <cols>
    <col width="2.42578125" customWidth="1" style="23" min="1" max="1"/>
    <col width="26" customWidth="1" style="23" min="2" max="6"/>
  </cols>
  <sheetData>
    <row r="1" ht="20.1" customHeight="1" s="23">
      <c r="B1" s="2" t="inlineStr">
        <is>
          <t>Overview</t>
        </is>
      </c>
      <c r="C1" s="2" t="inlineStr">
        <is>
          <t>Meeting Log</t>
        </is>
      </c>
      <c r="D1" s="2" t="inlineStr">
        <is>
          <t>Meeting Report</t>
        </is>
      </c>
      <c r="E1" s="1" t="inlineStr">
        <is>
          <t>Lists &amp; Config</t>
        </is>
      </c>
    </row>
    <row r="2" ht="26.1" customHeight="1" s="23">
      <c r="B2" s="3" t="inlineStr">
        <is>
          <t>Lists &amp; Config</t>
        </is>
      </c>
    </row>
    <row r="3" ht="15.95" customHeight="1" s="23">
      <c r="B3" s="4" t="inlineStr">
        <is>
          <t>Dropdown values used across the workbook. Add or remove values here - every dropdown updates automatically. No formulas here need to change.</t>
        </is>
      </c>
    </row>
    <row r="5" ht="21.95" customHeight="1" s="23">
      <c r="B5" s="19" t="inlineStr">
        <is>
          <t>Subject</t>
        </is>
      </c>
      <c r="C5" s="19" t="inlineStr">
        <is>
          <t>Sub-topic</t>
        </is>
      </c>
      <c r="D5" s="19" t="inlineStr">
        <is>
          <t>Status</t>
        </is>
      </c>
      <c r="E5" s="19" t="inlineStr">
        <is>
          <t>Priority</t>
        </is>
      </c>
      <c r="F5" s="19" t="inlineStr">
        <is>
          <t>Meeting Type</t>
        </is>
      </c>
    </row>
    <row r="6" ht="25.5" customHeight="1" s="23">
      <c r="B6" s="31" t="inlineStr">
        <is>
          <t>Commissioning Documentation</t>
        </is>
      </c>
      <c r="C6" s="31" t="inlineStr">
        <is>
          <t>Planning</t>
        </is>
      </c>
      <c r="D6" s="20" t="inlineStr">
        <is>
          <t>Open</t>
        </is>
      </c>
      <c r="E6" s="20" t="inlineStr">
        <is>
          <t>Low</t>
        </is>
      </c>
      <c r="F6" s="20" t="inlineStr">
        <is>
          <t>Weekly</t>
        </is>
      </c>
    </row>
    <row r="7" ht="25.5" customHeight="1" s="23">
      <c r="B7" s="32" t="inlineStr">
        <is>
          <t>Reviews and Surveillance</t>
        </is>
      </c>
      <c r="C7" s="32" t="inlineStr">
        <is>
          <t>Partitioning Strategy, EESRs, ITPs.</t>
        </is>
      </c>
      <c r="D7" s="21" t="inlineStr">
        <is>
          <t>In Progress</t>
        </is>
      </c>
      <c r="E7" s="21" t="inlineStr">
        <is>
          <t>Medium</t>
        </is>
      </c>
      <c r="F7" s="21" t="inlineStr">
        <is>
          <t>Monthly</t>
        </is>
      </c>
    </row>
    <row r="8">
      <c r="B8" s="31" t="inlineStr">
        <is>
          <t>ECS / System codes</t>
        </is>
      </c>
      <c r="C8" s="31" t="inlineStr">
        <is>
          <t>SONIMs</t>
        </is>
      </c>
      <c r="D8" s="20" t="inlineStr">
        <is>
          <t>Closed</t>
        </is>
      </c>
      <c r="E8" s="20" t="inlineStr">
        <is>
          <t>High</t>
        </is>
      </c>
      <c r="F8" s="20" t="inlineStr">
        <is>
          <t>Ad hoc</t>
        </is>
      </c>
    </row>
    <row r="9">
      <c r="B9" s="32" t="inlineStr">
        <is>
          <t>Schedule</t>
        </is>
      </c>
      <c r="C9" s="32" t="inlineStr">
        <is>
          <t>Execution Plan - Scope Gaps</t>
        </is>
      </c>
      <c r="D9" s="21" t="inlineStr">
        <is>
          <t>On Hold</t>
        </is>
      </c>
      <c r="E9" s="21" t="inlineStr">
        <is>
          <t>Critical</t>
        </is>
      </c>
    </row>
    <row r="10" ht="25.5" customHeight="1" s="23">
      <c r="B10" s="31" t="inlineStr">
        <is>
          <t>Safe System of Work</t>
        </is>
      </c>
      <c r="C10" s="31" t="inlineStr">
        <is>
          <t>ECS codes for building assets</t>
        </is>
      </c>
      <c r="D10" s="20" t="inlineStr">
        <is>
          <t>Cancelled</t>
        </is>
      </c>
    </row>
    <row r="11" ht="25.5" customHeight="1" s="23">
      <c r="B11" s="32" t="inlineStr">
        <is>
          <t>Interfaces</t>
        </is>
      </c>
      <c r="C11" s="32" t="inlineStr">
        <is>
          <t>Commissioning Start Dates/Sequence</t>
        </is>
      </c>
    </row>
    <row r="12">
      <c r="B12" s="31" t="inlineStr">
        <is>
          <t>Quality Audit</t>
        </is>
      </c>
      <c r="C12" s="31" t="inlineStr">
        <is>
          <t>Documentation</t>
        </is>
      </c>
    </row>
    <row r="13">
      <c r="B13" s="32" t="inlineStr">
        <is>
          <t>Safety</t>
        </is>
      </c>
      <c r="C13" s="32" t="inlineStr">
        <is>
          <t>NCR / Quality</t>
        </is>
      </c>
    </row>
    <row r="14">
      <c r="B14" s="31" t="inlineStr">
        <is>
          <t>Resources / Manpower</t>
        </is>
      </c>
      <c r="C14" s="31" t="inlineStr">
        <is>
          <t>Design / Engineering</t>
        </is>
      </c>
    </row>
    <row r="15" ht="25.5" customHeight="1" s="23">
      <c r="B15" s="32" t="inlineStr">
        <is>
          <t>Schedule</t>
        </is>
      </c>
      <c r="C15" s="32" t="inlineStr">
        <is>
          <t>Interface Schedule/Execution plan</t>
        </is>
      </c>
    </row>
    <row r="16">
      <c r="B16" s="31" t="inlineStr">
        <is>
          <t>Other</t>
        </is>
      </c>
      <c r="C16" s="31" t="inlineStr">
        <is>
          <t>Resource</t>
        </is>
      </c>
    </row>
    <row r="17">
      <c r="C17" s="32" t="inlineStr">
        <is>
          <t>Journey/Fishbone</t>
        </is>
      </c>
    </row>
    <row r="18">
      <c r="C18" s="31" t="inlineStr">
        <is>
          <t>SSOW Approval</t>
        </is>
      </c>
    </row>
    <row r="19">
      <c r="C19" s="32" t="inlineStr">
        <is>
          <t>Decision</t>
        </is>
      </c>
    </row>
    <row r="20">
      <c r="C20" s="31" t="inlineStr">
        <is>
          <t>Other Documentation</t>
        </is>
      </c>
    </row>
    <row r="22">
      <c r="B22" s="16" t="inlineStr">
        <is>
          <t>Legend: Blue = fill in yourself | Black = automatic, do not overtype | Grey columns = automation helpers, leave untouched | New row: type directly below the table and Excel extends it automatically</t>
        </is>
      </c>
    </row>
  </sheetData>
  <hyperlinks>
    <hyperlink ref="B1" location="'Overview'!A1" display="Overview"/>
    <hyperlink ref="C1" location="'Meeting Log'!A1" display="Meeting Log"/>
    <hyperlink ref="D1" location="'Meeting Report'!A1" display="Meeting Report"/>
    <hyperlink ref="E1" location="'Lists &amp; Config'!A1" display="Lists &amp; Confi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2026-09-28T12:01:24Z</dcterms:created>
  <dcterms:modified xsi:type="dcterms:W3CDTF">2026-09-29T09:31:58Z</dcterms:modified>
  <cp:lastModifiedBy>Rejeb Youssri</cp:lastModifiedBy>
</cp:coreProperties>
</file>

<file path=docProps/custom.xml><?xml version="1.0" encoding="utf-8"?>
<Properties xmlns:vt="http://schemas.openxmlformats.org/officeDocument/2006/docPropsVTypes" xmlns="http://schemas.openxmlformats.org/officeDocument/2006/custom-properties">
  <property name="MSIP_Label_04443ded-827a-46bf-8c23-accc3d394867_Enabled" fmtid="{D5CDD505-2E9C-101B-9397-08002B2CF9AE}" pid="2">
    <vt:lpwstr>true</vt:lpwstr>
  </property>
  <property name="MSIP_Label_04443ded-827a-46bf-8c23-accc3d394867_SetDate" fmtid="{D5CDD505-2E9C-101B-9397-08002B2CF9AE}" pid="3">
    <vt:lpwstr>2026-09-28T14:01:35Z</vt:lpwstr>
  </property>
  <property name="MSIP_Label_04443ded-827a-46bf-8c23-accc3d394867_Method" fmtid="{D5CDD505-2E9C-101B-9397-08002B2CF9AE}" pid="4">
    <vt:lpwstr>Privileged</vt:lpwstr>
  </property>
  <property name="MSIP_Label_04443ded-827a-46bf-8c23-accc3d394867_Name" fmtid="{D5CDD505-2E9C-101B-9397-08002B2CF9AE}" pid="5">
    <vt:lpwstr>NOT PROTECTIVELY MARKED</vt:lpwstr>
  </property>
  <property name="MSIP_Label_04443ded-827a-46bf-8c23-accc3d394867_SiteId" fmtid="{D5CDD505-2E9C-101B-9397-08002B2CF9AE}" pid="6">
    <vt:lpwstr>75046e30-7443-48c1-89c4-f710fef78b2b</vt:lpwstr>
  </property>
  <property name="MSIP_Label_04443ded-827a-46bf-8c23-accc3d394867_ActionId" fmtid="{D5CDD505-2E9C-101B-9397-08002B2CF9AE}" pid="7">
    <vt:lpwstr>24f82039-4828-4fc1-847b-59cd109c94eb</vt:lpwstr>
  </property>
  <property name="MSIP_Label_04443ded-827a-46bf-8c23-accc3d394867_ContentBits" fmtid="{D5CDD505-2E9C-101B-9397-08002B2CF9AE}" pid="8">
    <vt:lpwstr>0</vt:lpwstr>
  </property>
  <property name="MSIP_Label_04443ded-827a-46bf-8c23-accc3d394867_Tag" fmtid="{D5CDD505-2E9C-101B-9397-08002B2CF9AE}" pid="9">
    <vt:lpwstr>10, 0, 1, 1</vt:lpwstr>
  </property>
</Properties>
</file>