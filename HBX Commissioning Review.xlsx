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NB12876\Downloads\"/>
    </mc:Choice>
  </mc:AlternateContent>
  <xr:revisionPtr revIDLastSave="0" documentId="13_ncr:1_{C6047EFF-EEAC-4351-80D7-FC418F79CF7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verview" sheetId="1" r:id="rId1"/>
    <sheet name="Meeting Log" sheetId="2" r:id="rId2"/>
    <sheet name="Meeting Report" sheetId="3" r:id="rId3"/>
    <sheet name="Lists &amp; Config" sheetId="4" r:id="rId4"/>
  </sheets>
  <definedNames>
    <definedName name="LIST_MEETING_TYPE">'Lists &amp; Config'!$F$6:$F$8</definedName>
    <definedName name="LIST_PRIORITY">'Lists &amp; Config'!$E$6:$E$9</definedName>
    <definedName name="LIST_STATUS">'Lists &amp; Config'!$D$6:$D$10</definedName>
    <definedName name="LIST_SUBJECT">'Lists &amp; Config'!$B$6:$B$16</definedName>
    <definedName name="LIST_SUBTOPIC">'Lists &amp; Config'!$C$6:$C$20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3" l="1" a="1"/>
  <c r="E31" i="3" s="1"/>
  <c r="D15" i="3" a="1"/>
  <c r="D15" i="3" s="1"/>
  <c r="D12" i="3" a="1"/>
  <c r="D12" i="3" s="1"/>
  <c r="C6" i="3"/>
  <c r="C5" i="3"/>
  <c r="B12" i="3" s="1" a="1"/>
  <c r="B12" i="3" s="1"/>
  <c r="L11" i="2"/>
  <c r="K11" i="2"/>
  <c r="L10" i="2"/>
  <c r="K10" i="2"/>
  <c r="B43" i="3" s="1" a="1"/>
  <c r="B43" i="3" s="1"/>
  <c r="L9" i="2"/>
  <c r="K9" i="2"/>
  <c r="L8" i="2"/>
  <c r="K8" i="2"/>
  <c r="F34" i="1" a="1"/>
  <c r="F34" i="1"/>
  <c r="G33" i="1" a="1"/>
  <c r="G33" i="1"/>
  <c r="C31" i="1" a="1"/>
  <c r="C31" i="1" s="1"/>
  <c r="B31" i="1" a="1"/>
  <c r="B31" i="1" s="1"/>
  <c r="E26" i="1" a="1"/>
  <c r="E26" i="1"/>
  <c r="D26" i="1" a="1"/>
  <c r="D26" i="1" s="1"/>
  <c r="F25" i="1" a="1"/>
  <c r="F25" i="1" s="1"/>
  <c r="E25" i="1" a="1"/>
  <c r="E25" i="1" s="1"/>
  <c r="G24" i="1" a="1"/>
  <c r="G24" i="1" s="1"/>
  <c r="F24" i="1" a="1"/>
  <c r="F24" i="1" s="1"/>
  <c r="H23" i="1" a="1"/>
  <c r="H23" i="1" s="1"/>
  <c r="G23" i="1" a="1"/>
  <c r="G23" i="1" s="1"/>
  <c r="B23" i="1" a="1"/>
  <c r="B23" i="1" s="1"/>
  <c r="H22" i="1" a="1"/>
  <c r="H22" i="1" s="1"/>
  <c r="C22" i="1" a="1"/>
  <c r="C22" i="1" s="1"/>
  <c r="B22" i="1" a="1"/>
  <c r="B22" i="1" s="1"/>
  <c r="D21" i="1" a="1"/>
  <c r="D21" i="1" s="1"/>
  <c r="C21" i="1" a="1"/>
  <c r="C21" i="1" s="1"/>
  <c r="E20" i="1" a="1"/>
  <c r="E20" i="1" s="1"/>
  <c r="D20" i="1" a="1"/>
  <c r="D20" i="1" s="1"/>
  <c r="F19" i="1" a="1"/>
  <c r="F19" i="1"/>
  <c r="E19" i="1" a="1"/>
  <c r="E19" i="1" s="1"/>
  <c r="N8" i="1"/>
  <c r="K8" i="1"/>
  <c r="H8" i="1"/>
  <c r="E8" i="1"/>
  <c r="F32" i="3" l="1" a="1"/>
  <c r="F32" i="3" s="1"/>
  <c r="G15" i="3" a="1"/>
  <c r="G15" i="3" s="1"/>
  <c r="D10" i="3" a="1"/>
  <c r="D10" i="3" s="1"/>
  <c r="D16" i="3" a="1"/>
  <c r="D16" i="3" s="1"/>
  <c r="B34" i="3" a="1"/>
  <c r="B34" i="3" s="1"/>
  <c r="G10" i="3" a="1"/>
  <c r="G10" i="3" s="1"/>
  <c r="D17" i="3" a="1"/>
  <c r="D17" i="3" s="1"/>
  <c r="C35" i="3" a="1"/>
  <c r="C35" i="3" s="1"/>
  <c r="F48" i="3" a="1"/>
  <c r="F48" i="3" s="1"/>
  <c r="D11" i="3" a="1"/>
  <c r="D11" i="3" s="1"/>
  <c r="D21" i="3" a="1"/>
  <c r="D21" i="3" s="1"/>
  <c r="D36" i="3" a="1"/>
  <c r="D36" i="3" s="1"/>
  <c r="H31" i="1" a="1"/>
  <c r="H31" i="1" s="1"/>
  <c r="G11" i="3" a="1"/>
  <c r="G11" i="3" s="1"/>
  <c r="C22" i="3" a="1"/>
  <c r="C22" i="3" s="1"/>
  <c r="E37" i="3" a="1"/>
  <c r="E37" i="3" s="1"/>
  <c r="B23" i="3" a="1"/>
  <c r="B23" i="3" s="1"/>
  <c r="F41" i="3" a="1"/>
  <c r="F41" i="3" s="1"/>
  <c r="B32" i="1" a="1"/>
  <c r="B32" i="1" s="1"/>
  <c r="G12" i="3" a="1"/>
  <c r="G12" i="3" s="1"/>
  <c r="H23" i="3" a="1"/>
  <c r="H23" i="3" s="1"/>
  <c r="B8" i="1"/>
  <c r="B45" i="1" a="1"/>
  <c r="B45" i="1" s="1"/>
  <c r="B43" i="1" a="1"/>
  <c r="B43" i="1" s="1"/>
  <c r="B41" i="1" a="1"/>
  <c r="B41" i="1" s="1"/>
  <c r="D34" i="1" a="1"/>
  <c r="D34" i="1" s="1"/>
  <c r="F32" i="1" a="1"/>
  <c r="F32" i="1" s="1"/>
  <c r="H30" i="1" a="1"/>
  <c r="H30" i="1" s="1"/>
  <c r="C26" i="1" a="1"/>
  <c r="C26" i="1" s="1"/>
  <c r="E24" i="1" a="1"/>
  <c r="E24" i="1" s="1"/>
  <c r="G22" i="1" a="1"/>
  <c r="G22" i="1" s="1"/>
  <c r="B21" i="1" a="1"/>
  <c r="B21" i="1" s="1"/>
  <c r="D19" i="1" a="1"/>
  <c r="D19" i="1" s="1"/>
  <c r="B26" i="3" a="1"/>
  <c r="B26" i="3" s="1"/>
  <c r="G21" i="3" a="1"/>
  <c r="G21" i="3" s="1"/>
  <c r="B46" i="1" a="1"/>
  <c r="B46" i="1" s="1"/>
  <c r="B44" i="1" a="1"/>
  <c r="B44" i="1" s="1"/>
  <c r="B42" i="1" a="1"/>
  <c r="B42" i="1" s="1"/>
  <c r="C35" i="1" a="1"/>
  <c r="C35" i="1" s="1"/>
  <c r="E33" i="1" a="1"/>
  <c r="E33" i="1" s="1"/>
  <c r="G31" i="1" a="1"/>
  <c r="G31" i="1" s="1"/>
  <c r="B30" i="1" a="1"/>
  <c r="B30" i="1" s="1"/>
  <c r="D25" i="1" a="1"/>
  <c r="D25" i="1" s="1"/>
  <c r="F23" i="1" a="1"/>
  <c r="F23" i="1" s="1"/>
  <c r="H21" i="1" a="1"/>
  <c r="H21" i="1" s="1"/>
  <c r="C20" i="1" a="1"/>
  <c r="C20" i="1" s="1"/>
  <c r="C32" i="3" a="1"/>
  <c r="C32" i="3" s="1"/>
  <c r="D24" i="3" a="1"/>
  <c r="D24" i="3" s="1"/>
  <c r="G17" i="3" a="1"/>
  <c r="G17" i="3" s="1"/>
  <c r="H26" i="1" a="1"/>
  <c r="H26" i="1" s="1"/>
  <c r="C25" i="1" a="1"/>
  <c r="C25" i="1" s="1"/>
  <c r="E23" i="1" a="1"/>
  <c r="E23" i="1" s="1"/>
  <c r="G21" i="1" a="1"/>
  <c r="G21" i="1" s="1"/>
  <c r="B20" i="1" a="1"/>
  <c r="B20" i="1" s="1"/>
  <c r="D48" i="3" a="1"/>
  <c r="D48" i="3" s="1"/>
  <c r="B46" i="3" a="1"/>
  <c r="B46" i="3" s="1"/>
  <c r="E43" i="3" a="1"/>
  <c r="E43" i="3" s="1"/>
  <c r="C41" i="3" a="1"/>
  <c r="C41" i="3" s="1"/>
  <c r="F35" i="3" a="1"/>
  <c r="F35" i="3" s="1"/>
  <c r="D33" i="3" a="1"/>
  <c r="D33" i="3" s="1"/>
  <c r="H26" i="3" a="1"/>
  <c r="H26" i="3" s="1"/>
  <c r="E23" i="3" a="1"/>
  <c r="E23" i="3" s="1"/>
  <c r="G16" i="3" a="1"/>
  <c r="G16" i="3" s="1"/>
  <c r="B26" i="1" a="1"/>
  <c r="B26" i="1" s="1"/>
  <c r="D24" i="1" a="1"/>
  <c r="D24" i="1" s="1"/>
  <c r="F22" i="1" a="1"/>
  <c r="F22" i="1" s="1"/>
  <c r="H20" i="1" a="1"/>
  <c r="H20" i="1" s="1"/>
  <c r="C19" i="1" a="1"/>
  <c r="C19" i="1" s="1"/>
  <c r="C47" i="3" a="1"/>
  <c r="C47" i="3" s="1"/>
  <c r="F44" i="3" a="1"/>
  <c r="F44" i="3" s="1"/>
  <c r="D42" i="3" a="1"/>
  <c r="D42" i="3" s="1"/>
  <c r="B37" i="3" a="1"/>
  <c r="B37" i="3" s="1"/>
  <c r="E34" i="3" a="1"/>
  <c r="E34" i="3" s="1"/>
  <c r="B31" i="3" a="1"/>
  <c r="B31" i="3" s="1"/>
  <c r="C25" i="3" a="1"/>
  <c r="C25" i="3" s="1"/>
  <c r="F22" i="3" a="1"/>
  <c r="F22" i="3" s="1"/>
  <c r="G26" i="1" a="1"/>
  <c r="G26" i="1" s="1"/>
  <c r="H25" i="1" a="1"/>
  <c r="H25" i="1" s="1"/>
  <c r="B25" i="1" a="1"/>
  <c r="B25" i="1" s="1"/>
  <c r="C24" i="1" a="1"/>
  <c r="C24" i="1" s="1"/>
  <c r="D23" i="1" a="1"/>
  <c r="D23" i="1" s="1"/>
  <c r="E22" i="1" a="1"/>
  <c r="E22" i="1" s="1"/>
  <c r="F21" i="1" a="1"/>
  <c r="F21" i="1" s="1"/>
  <c r="G20" i="1" a="1"/>
  <c r="G20" i="1" s="1"/>
  <c r="H19" i="1" a="1"/>
  <c r="H19" i="1" s="1"/>
  <c r="B19" i="1" a="1"/>
  <c r="B19" i="1" s="1"/>
  <c r="G34" i="1" a="1"/>
  <c r="G34" i="1" s="1"/>
  <c r="B33" i="1" a="1"/>
  <c r="B33" i="1" s="1"/>
  <c r="E30" i="1" a="1"/>
  <c r="E30" i="1" s="1"/>
  <c r="G25" i="1" a="1"/>
  <c r="G25" i="1" s="1"/>
  <c r="B24" i="1" a="1"/>
  <c r="B24" i="1" s="1"/>
  <c r="D22" i="1" a="1"/>
  <c r="D22" i="1" s="1"/>
  <c r="F20" i="1" a="1"/>
  <c r="F20" i="1" s="1"/>
  <c r="Q8" i="1"/>
  <c r="E15" i="3" a="1"/>
  <c r="E15" i="3" s="1"/>
  <c r="E13" i="3" a="1"/>
  <c r="E13" i="3" s="1"/>
  <c r="E10" i="3" a="1"/>
  <c r="E10" i="3" s="1"/>
  <c r="E41" i="1" a="1"/>
  <c r="E41" i="1" s="1"/>
  <c r="F35" i="1" a="1"/>
  <c r="F35" i="1" s="1"/>
  <c r="H33" i="1" a="1"/>
  <c r="H33" i="1" s="1"/>
  <c r="C32" i="1" a="1"/>
  <c r="C32" i="1" s="1"/>
  <c r="D31" i="1" a="1"/>
  <c r="D31" i="1" s="1"/>
  <c r="F26" i="1" a="1"/>
  <c r="F26" i="1" s="1"/>
  <c r="H24" i="1" a="1"/>
  <c r="H24" i="1" s="1"/>
  <c r="C23" i="1" a="1"/>
  <c r="C23" i="1" s="1"/>
  <c r="E21" i="1" a="1"/>
  <c r="E21" i="1" s="1"/>
  <c r="G19" i="1" a="1"/>
  <c r="G19" i="1" s="1"/>
  <c r="E16" i="3" a="1"/>
  <c r="E16" i="3" s="1"/>
  <c r="E11" i="3" a="1"/>
  <c r="E11" i="3" s="1"/>
  <c r="D22" i="3" a="1"/>
  <c r="D22" i="3" s="1"/>
  <c r="E21" i="3" a="1"/>
  <c r="E21" i="3" s="1"/>
  <c r="E17" i="3" a="1"/>
  <c r="E17" i="3" s="1"/>
  <c r="E14" i="3" a="1"/>
  <c r="E14" i="3" s="1"/>
  <c r="E12" i="3" a="1"/>
  <c r="E12" i="3" s="1"/>
  <c r="D50" i="1" a="1"/>
  <c r="D50" i="1" s="1"/>
  <c r="D49" i="1" a="1"/>
  <c r="D49" i="1" s="1"/>
  <c r="D48" i="1" a="1"/>
  <c r="D48" i="1" s="1"/>
  <c r="D47" i="1" a="1"/>
  <c r="D47" i="1" s="1"/>
  <c r="D46" i="1" a="1"/>
  <c r="D46" i="1" s="1"/>
  <c r="D45" i="1" a="1"/>
  <c r="D45" i="1" s="1"/>
  <c r="D44" i="1" a="1"/>
  <c r="D44" i="1" s="1"/>
  <c r="D43" i="1" a="1"/>
  <c r="D43" i="1" s="1"/>
  <c r="D42" i="1" a="1"/>
  <c r="D42" i="1" s="1"/>
  <c r="D41" i="1" a="1"/>
  <c r="D41" i="1" s="1"/>
  <c r="E35" i="1" a="1"/>
  <c r="E35" i="1" s="1"/>
  <c r="C50" i="1" a="1"/>
  <c r="C50" i="1" s="1"/>
  <c r="C49" i="1" a="1"/>
  <c r="C49" i="1" s="1"/>
  <c r="C48" i="1" a="1"/>
  <c r="C48" i="1" s="1"/>
  <c r="C47" i="1" a="1"/>
  <c r="C47" i="1" s="1"/>
  <c r="C46" i="1" a="1"/>
  <c r="C46" i="1" s="1"/>
  <c r="C45" i="1" a="1"/>
  <c r="C45" i="1" s="1"/>
  <c r="C44" i="1" a="1"/>
  <c r="C44" i="1" s="1"/>
  <c r="C43" i="1" a="1"/>
  <c r="C43" i="1" s="1"/>
  <c r="C42" i="1" a="1"/>
  <c r="C42" i="1" s="1"/>
  <c r="C41" i="1" a="1"/>
  <c r="C41" i="1" s="1"/>
  <c r="D35" i="1" a="1"/>
  <c r="D35" i="1" s="1"/>
  <c r="E34" i="1" a="1"/>
  <c r="E34" i="1" s="1"/>
  <c r="F33" i="1" a="1"/>
  <c r="F33" i="1" s="1"/>
  <c r="G32" i="1" a="1"/>
  <c r="G32" i="1" s="1"/>
  <c r="D13" i="3" a="1"/>
  <c r="D13" i="3" s="1"/>
  <c r="G24" i="3" a="1"/>
  <c r="G24" i="3" s="1"/>
  <c r="C44" i="3" a="1"/>
  <c r="C44" i="3" s="1"/>
  <c r="C30" i="1" a="1"/>
  <c r="C30" i="1" s="1"/>
  <c r="G13" i="3" a="1"/>
  <c r="G13" i="3" s="1"/>
  <c r="F25" i="3" a="1"/>
  <c r="F25" i="3" s="1"/>
  <c r="D45" i="3" a="1"/>
  <c r="D45" i="3" s="1"/>
  <c r="H32" i="1" a="1"/>
  <c r="H32" i="1" s="1"/>
  <c r="D14" i="3" a="1"/>
  <c r="D14" i="3" s="1"/>
  <c r="E26" i="3" a="1"/>
  <c r="E26" i="3" s="1"/>
  <c r="E46" i="3" a="1"/>
  <c r="E46" i="3" s="1"/>
  <c r="D30" i="1" a="1"/>
  <c r="D30" i="1" s="1"/>
  <c r="G14" i="3" a="1"/>
  <c r="G14" i="3" s="1"/>
  <c r="D30" i="3" a="1"/>
  <c r="D30" i="3" s="1"/>
  <c r="F47" i="3" a="1"/>
  <c r="F47" i="3" s="1"/>
  <c r="C23" i="3" a="1"/>
  <c r="C23" i="3" s="1"/>
  <c r="B24" i="3" a="1"/>
  <c r="B24" i="3" s="1"/>
  <c r="H24" i="3" a="1"/>
  <c r="H24" i="3" s="1"/>
  <c r="G25" i="3" a="1"/>
  <c r="G25" i="3" s="1"/>
  <c r="F26" i="3" a="1"/>
  <c r="F26" i="3" s="1"/>
  <c r="E30" i="3" a="1"/>
  <c r="E30" i="3" s="1"/>
  <c r="F31" i="3" a="1"/>
  <c r="F31" i="3" s="1"/>
  <c r="B33" i="3" a="1"/>
  <c r="B33" i="3" s="1"/>
  <c r="C34" i="3" a="1"/>
  <c r="C34" i="3" s="1"/>
  <c r="D35" i="3" a="1"/>
  <c r="D35" i="3" s="1"/>
  <c r="E36" i="3" a="1"/>
  <c r="E36" i="3" s="1"/>
  <c r="F37" i="3" a="1"/>
  <c r="F37" i="3" s="1"/>
  <c r="B42" i="3" a="1"/>
  <c r="B42" i="3" s="1"/>
  <c r="C43" i="3" a="1"/>
  <c r="C43" i="3" s="1"/>
  <c r="D44" i="3" a="1"/>
  <c r="D44" i="3" s="1"/>
  <c r="E45" i="3" a="1"/>
  <c r="E45" i="3" s="1"/>
  <c r="F46" i="3" a="1"/>
  <c r="F46" i="3" s="1"/>
  <c r="B48" i="3" a="1"/>
  <c r="B48" i="3" s="1"/>
  <c r="E42" i="1" a="1"/>
  <c r="E42" i="1" s="1"/>
  <c r="E43" i="1" a="1"/>
  <c r="E43" i="1" s="1"/>
  <c r="E44" i="1" a="1"/>
  <c r="E44" i="1" s="1"/>
  <c r="E45" i="1" a="1"/>
  <c r="E45" i="1" s="1"/>
  <c r="E46" i="1" a="1"/>
  <c r="E46" i="1" s="1"/>
  <c r="E47" i="1" a="1"/>
  <c r="E47" i="1" s="1"/>
  <c r="E48" i="1" a="1"/>
  <c r="E48" i="1" s="1"/>
  <c r="E49" i="1" a="1"/>
  <c r="E49" i="1" s="1"/>
  <c r="E50" i="1" a="1"/>
  <c r="E50" i="1" s="1"/>
  <c r="F10" i="3" a="1"/>
  <c r="F10" i="3" s="1"/>
  <c r="F11" i="3" a="1"/>
  <c r="F11" i="3" s="1"/>
  <c r="F12" i="3" a="1"/>
  <c r="F12" i="3" s="1"/>
  <c r="F13" i="3" a="1"/>
  <c r="F13" i="3" s="1"/>
  <c r="F14" i="3" a="1"/>
  <c r="F14" i="3" s="1"/>
  <c r="F15" i="3" a="1"/>
  <c r="F15" i="3" s="1"/>
  <c r="F16" i="3" a="1"/>
  <c r="F16" i="3" s="1"/>
  <c r="F17" i="3" a="1"/>
  <c r="F17" i="3" s="1"/>
  <c r="F21" i="3" a="1"/>
  <c r="F21" i="3" s="1"/>
  <c r="E22" i="3" a="1"/>
  <c r="E22" i="3" s="1"/>
  <c r="D23" i="3" a="1"/>
  <c r="D23" i="3" s="1"/>
  <c r="C24" i="3" a="1"/>
  <c r="C24" i="3" s="1"/>
  <c r="B25" i="3" a="1"/>
  <c r="B25" i="3" s="1"/>
  <c r="H25" i="3" a="1"/>
  <c r="H25" i="3" s="1"/>
  <c r="G26" i="3" a="1"/>
  <c r="G26" i="3" s="1"/>
  <c r="F30" i="3" a="1"/>
  <c r="F30" i="3" s="1"/>
  <c r="B32" i="3" a="1"/>
  <c r="B32" i="3" s="1"/>
  <c r="C33" i="3" a="1"/>
  <c r="C33" i="3" s="1"/>
  <c r="D34" i="3" a="1"/>
  <c r="D34" i="3" s="1"/>
  <c r="E35" i="3" a="1"/>
  <c r="E35" i="3" s="1"/>
  <c r="F36" i="3" a="1"/>
  <c r="F36" i="3" s="1"/>
  <c r="B41" i="3" a="1"/>
  <c r="B41" i="3" s="1"/>
  <c r="C42" i="3" a="1"/>
  <c r="C42" i="3" s="1"/>
  <c r="D43" i="3" a="1"/>
  <c r="D43" i="3" s="1"/>
  <c r="E44" i="3" a="1"/>
  <c r="E44" i="3" s="1"/>
  <c r="F45" i="3" a="1"/>
  <c r="F45" i="3" s="1"/>
  <c r="B47" i="3" a="1"/>
  <c r="B47" i="3" s="1"/>
  <c r="C48" i="3" a="1"/>
  <c r="C48" i="3" s="1"/>
  <c r="F30" i="1" a="1"/>
  <c r="F30" i="1" s="1"/>
  <c r="E31" i="1" a="1"/>
  <c r="E31" i="1" s="1"/>
  <c r="D32" i="1" a="1"/>
  <c r="D32" i="1" s="1"/>
  <c r="C33" i="1" a="1"/>
  <c r="C33" i="1" s="1"/>
  <c r="B34" i="1" a="1"/>
  <c r="B34" i="1" s="1"/>
  <c r="H34" i="1" a="1"/>
  <c r="H34" i="1" s="1"/>
  <c r="G35" i="1" a="1"/>
  <c r="G35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" i="3"/>
  <c r="G30" i="1" a="1"/>
  <c r="G30" i="1" s="1"/>
  <c r="F31" i="1" a="1"/>
  <c r="F31" i="1" s="1"/>
  <c r="E32" i="1" a="1"/>
  <c r="E32" i="1" s="1"/>
  <c r="D33" i="1" a="1"/>
  <c r="D33" i="1" s="1"/>
  <c r="C34" i="1" a="1"/>
  <c r="C34" i="1" s="1"/>
  <c r="B35" i="1" a="1"/>
  <c r="B35" i="1" s="1"/>
  <c r="H35" i="1" a="1"/>
  <c r="H35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B10" i="3" a="1"/>
  <c r="B10" i="3" s="1"/>
  <c r="B11" i="3" a="1"/>
  <c r="B11" i="3" s="1"/>
  <c r="B13" i="3" a="1"/>
  <c r="B13" i="3" s="1"/>
  <c r="B14" i="3" a="1"/>
  <c r="B14" i="3" s="1"/>
  <c r="B15" i="3" a="1"/>
  <c r="B15" i="3" s="1"/>
  <c r="B16" i="3" a="1"/>
  <c r="B16" i="3" s="1"/>
  <c r="B17" i="3" a="1"/>
  <c r="B17" i="3" s="1"/>
  <c r="B21" i="3" a="1"/>
  <c r="B21" i="3" s="1"/>
  <c r="H21" i="3" a="1"/>
  <c r="H21" i="3" s="1"/>
  <c r="G22" i="3" a="1"/>
  <c r="G22" i="3" s="1"/>
  <c r="F23" i="3" a="1"/>
  <c r="F23" i="3" s="1"/>
  <c r="E24" i="3" a="1"/>
  <c r="E24" i="3" s="1"/>
  <c r="D25" i="3" a="1"/>
  <c r="D25" i="3" s="1"/>
  <c r="C26" i="3" a="1"/>
  <c r="C26" i="3" s="1"/>
  <c r="B30" i="3" a="1"/>
  <c r="B30" i="3" s="1"/>
  <c r="C31" i="3" a="1"/>
  <c r="C31" i="3" s="1"/>
  <c r="D32" i="3" a="1"/>
  <c r="D32" i="3" s="1"/>
  <c r="E33" i="3" a="1"/>
  <c r="E33" i="3" s="1"/>
  <c r="F34" i="3" a="1"/>
  <c r="F34" i="3" s="1"/>
  <c r="B36" i="3" a="1"/>
  <c r="B36" i="3" s="1"/>
  <c r="C37" i="3" a="1"/>
  <c r="C37" i="3" s="1"/>
  <c r="D41" i="3" a="1"/>
  <c r="D41" i="3" s="1"/>
  <c r="E42" i="3" a="1"/>
  <c r="E42" i="3" s="1"/>
  <c r="F43" i="3" a="1"/>
  <c r="F43" i="3" s="1"/>
  <c r="B45" i="3" a="1"/>
  <c r="B45" i="3" s="1"/>
  <c r="C46" i="3" a="1"/>
  <c r="C46" i="3" s="1"/>
  <c r="D47" i="3" a="1"/>
  <c r="D47" i="3" s="1"/>
  <c r="E48" i="3" a="1"/>
  <c r="E48" i="3" s="1"/>
  <c r="B47" i="1" a="1"/>
  <c r="B47" i="1" s="1"/>
  <c r="B48" i="1" a="1"/>
  <c r="B48" i="1" s="1"/>
  <c r="B49" i="1" a="1"/>
  <c r="B49" i="1" s="1"/>
  <c r="B50" i="1" a="1"/>
  <c r="B50" i="1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21" i="3" a="1"/>
  <c r="C21" i="3" s="1"/>
  <c r="B22" i="3" a="1"/>
  <c r="B22" i="3" s="1"/>
  <c r="H22" i="3" a="1"/>
  <c r="H22" i="3" s="1"/>
  <c r="G23" i="3" a="1"/>
  <c r="G23" i="3" s="1"/>
  <c r="F24" i="3" a="1"/>
  <c r="F24" i="3" s="1"/>
  <c r="E25" i="3" a="1"/>
  <c r="E25" i="3" s="1"/>
  <c r="D26" i="3" a="1"/>
  <c r="D26" i="3" s="1"/>
  <c r="C30" i="3" a="1"/>
  <c r="C30" i="3" s="1"/>
  <c r="D31" i="3" a="1"/>
  <c r="D31" i="3" s="1"/>
  <c r="E32" i="3" a="1"/>
  <c r="E32" i="3" s="1"/>
  <c r="F33" i="3" a="1"/>
  <c r="F33" i="3" s="1"/>
  <c r="B35" i="3" a="1"/>
  <c r="B35" i="3" s="1"/>
  <c r="C36" i="3" a="1"/>
  <c r="C36" i="3" s="1"/>
  <c r="D37" i="3" a="1"/>
  <c r="D37" i="3" s="1"/>
  <c r="E41" i="3" a="1"/>
  <c r="E41" i="3" s="1"/>
  <c r="F42" i="3" a="1"/>
  <c r="F42" i="3" s="1"/>
  <c r="B44" i="3" a="1"/>
  <c r="B44" i="3" s="1"/>
  <c r="C45" i="3" a="1"/>
  <c r="C45" i="3" s="1"/>
  <c r="D46" i="3" a="1"/>
  <c r="D46" i="3" s="1"/>
  <c r="E47" i="3" a="1"/>
  <c r="E47" i="3" s="1"/>
</calcChain>
</file>

<file path=xl/sharedStrings.xml><?xml version="1.0" encoding="utf-8"?>
<sst xmlns="http://schemas.openxmlformats.org/spreadsheetml/2006/main" count="177" uniqueCount="89">
  <si>
    <t>Overview</t>
  </si>
  <si>
    <t>Meeting Log</t>
  </si>
  <si>
    <t>Meeting Report</t>
  </si>
  <si>
    <t>Lists &amp; Config</t>
  </si>
  <si>
    <t>HBX Commissioning Review - Overview</t>
  </si>
  <si>
    <t>Open this before a meeting: pick the meeting date below and everything updates automatically from Meeting Log.</t>
  </si>
  <si>
    <t>Current Meeting Date:</t>
  </si>
  <si>
    <t>Total Subjects</t>
  </si>
  <si>
    <t>Open Actions</t>
  </si>
  <si>
    <t>Overdue Actions</t>
  </si>
  <si>
    <t>Closed</t>
  </si>
  <si>
    <t>Carried Over from Previous Meeting</t>
  </si>
  <si>
    <t>New Topics This Meeting</t>
  </si>
  <si>
    <t>Attendees</t>
  </si>
  <si>
    <t>Meeting Date</t>
  </si>
  <si>
    <t>Meeting Type</t>
  </si>
  <si>
    <t>Monthly</t>
  </si>
  <si>
    <t>Person A, Person B, Contractor A representative</t>
  </si>
  <si>
    <t>1. FOLLOW-UP FROM PREVIOUS MEETING (open, not yet touched today)</t>
  </si>
  <si>
    <t>Subject</t>
  </si>
  <si>
    <t>Sub-topic</t>
  </si>
  <si>
    <t>Discussion</t>
  </si>
  <si>
    <t>Action</t>
  </si>
  <si>
    <t>Owner</t>
  </si>
  <si>
    <t>Due Date</t>
  </si>
  <si>
    <t>Status</t>
  </si>
  <si>
    <t>2. NEW TOPICS (raised today)</t>
  </si>
  <si>
    <t>To continue a topic above: add a new row in Meeting Log with the SAME Subject/Sub-topic (pick from the dropdown) and today's date. Sort Meeting Log by Subject any time to see a topic's full history together.</t>
  </si>
  <si>
    <t>3. ACTIONS TO FOLLOW (all currently open topics)</t>
  </si>
  <si>
    <t>Priority</t>
  </si>
  <si>
    <t>Legend: Blue = fill in yourself | Black = automatic, do not overtype | Grey columns = automation helpers, leave untouched | New row: type directly below the table and Excel extends it automatically</t>
  </si>
  <si>
    <t>The single database. One row per subject discussed at one meeting - never overwritten, never deleted. To see a topic's full history, sort by Subject (click the column header's sort button): every past entry for that topic groups together on screen, no other sheet needed.</t>
  </si>
  <si>
    <t>Discussion / Notes</t>
  </si>
  <si>
    <t>Agreed Action</t>
  </si>
  <si>
    <t>Topic Key</t>
  </si>
  <si>
    <t>Overdue?</t>
  </si>
  <si>
    <t>Documentation</t>
  </si>
  <si>
    <t>Document A cannot be validated - missing the calibration certificate.</t>
  </si>
  <si>
    <t>J. Smith to retrieve the missing certificate.</t>
  </si>
  <si>
    <t>J. Smith</t>
  </si>
  <si>
    <t>Open</t>
  </si>
  <si>
    <t>Medium</t>
  </si>
  <si>
    <t>Still waiting on the calibration certificate from the supplier.</t>
  </si>
  <si>
    <t>J. Smith to chase the supplier.</t>
  </si>
  <si>
    <t>In Progress</t>
  </si>
  <si>
    <t>Safety</t>
  </si>
  <si>
    <t>Design / Engineering</t>
  </si>
  <si>
    <t>SSOW draft submitted for review.</t>
  </si>
  <si>
    <t>R. Taylor to review and approve the SSOW.</t>
  </si>
  <si>
    <t>R. Taylor</t>
  </si>
  <si>
    <t>High</t>
  </si>
  <si>
    <t>Testing / Results</t>
  </si>
  <si>
    <t>Testing</t>
  </si>
  <si>
    <t>First functional test results reviewed.</t>
  </si>
  <si>
    <t>A. Brown to issue the test report.</t>
  </si>
  <si>
    <t>A. Brown</t>
  </si>
  <si>
    <t>Mirrors the meeting date selected on Overview - change it there to generate a report for a different meeting. Short enough to copy straight into minutes or an email.</t>
  </si>
  <si>
    <t>Meeting Date:</t>
  </si>
  <si>
    <t>Meeting Type:</t>
  </si>
  <si>
    <t>Attendees:</t>
  </si>
  <si>
    <t>1. FOLLOW-UP FROM PREVIOUS MEETING</t>
  </si>
  <si>
    <t>2. NEW TOPICS</t>
  </si>
  <si>
    <t>3. DISCUSSION LOG FOR THIS MEETING</t>
  </si>
  <si>
    <t>4. OPEN / OVERDUE ACTIONS</t>
  </si>
  <si>
    <t>Dropdown values used across the workbook. Add or remove values here - every dropdown updates automatically. No formulas here need to change.</t>
  </si>
  <si>
    <t>Commissioning Planning</t>
  </si>
  <si>
    <t>Planning</t>
  </si>
  <si>
    <t>Low</t>
  </si>
  <si>
    <t>Weekly</t>
  </si>
  <si>
    <t>Site / Field Activities</t>
  </si>
  <si>
    <t>Progress</t>
  </si>
  <si>
    <t>Preparation</t>
  </si>
  <si>
    <t>Ad hoc</t>
  </si>
  <si>
    <t>Execution</t>
  </si>
  <si>
    <t>On Hold</t>
  </si>
  <si>
    <t>Critical</t>
  </si>
  <si>
    <t>Interfaces</t>
  </si>
  <si>
    <t>Cancelled</t>
  </si>
  <si>
    <t>Engineering</t>
  </si>
  <si>
    <t>Punch List</t>
  </si>
  <si>
    <t>Quality</t>
  </si>
  <si>
    <t>NCR / Quality</t>
  </si>
  <si>
    <t>Resources / Manpower</t>
  </si>
  <si>
    <t>Schedule</t>
  </si>
  <si>
    <t>Interface</t>
  </si>
  <si>
    <t>Other</t>
  </si>
  <si>
    <t>Resource</t>
  </si>
  <si>
    <t>Risk / Issue</t>
  </si>
  <si>
    <t>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</si>
</sst>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u/>
      <sz val="9"/>
      <color rgb="FFBFD3F2"/>
      <name val="Arial"/>
    </font>
    <font>
      <b/>
      <sz val="9"/>
      <color rgb="FFFFFFFF"/>
      <name val="Arial"/>
    </font>
    <font>
      <b/>
      <sz val="18"/>
      <color rgb="FF1F3864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sz val="10"/>
      <color rgb="FF1A1A1A"/>
      <name val="Arial"/>
    </font>
    <font>
      <i/>
      <sz val="9"/>
      <color rgb="FF595959"/>
      <name val="Arial"/>
    </font>
    <font>
      <b/>
      <sz val="10"/>
      <color rgb="FF1A1A1A"/>
      <name val="Arial"/>
    </font>
    <font>
      <sz val="10"/>
      <color rgb="FF1155CC"/>
      <name val="Arial"/>
    </font>
    <font>
      <i/>
      <sz val="9"/>
      <color rgb="FF808080"/>
      <name val="Arial"/>
    </font>
    <font>
      <b/>
      <sz val="10"/>
      <color rgb="FF44546A"/>
      <name val="Arial"/>
    </font>
    <font>
      <b/>
      <sz val="20"/>
      <color rgb="FF1F3864"/>
      <name val="Arial"/>
    </font>
    <font>
      <b/>
      <sz val="9"/>
      <color rgb="FF595959"/>
      <name val="Arial"/>
    </font>
    <font>
      <b/>
      <sz val="20"/>
      <color rgb="FFB00020"/>
      <name val="Arial"/>
    </font>
    <font>
      <b/>
      <sz val="20"/>
      <color rgb="FF1E7B34"/>
      <name val="Arial"/>
    </font>
    <font>
      <b/>
      <sz val="20"/>
      <color rgb="FF9C6500"/>
      <name val="Arial"/>
    </font>
    <font>
      <b/>
      <sz val="20"/>
      <color rgb="FF5B7FB5"/>
      <name val="Arial"/>
    </font>
    <font>
      <b/>
      <sz val="13"/>
      <color rgb="FF1F3864"/>
      <name val="Arial"/>
    </font>
    <font>
      <b/>
      <sz val="11"/>
      <color rgb="FFFFFFFF"/>
      <name val="Arial"/>
    </font>
    <font>
      <b/>
      <sz val="9"/>
      <color rgb="FF44546A"/>
      <name val="Arial"/>
    </font>
    <font>
      <b/>
      <sz val="11"/>
      <color rgb="FF1F3864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3B6EC4"/>
      </patternFill>
    </fill>
    <fill>
      <patternFill patternType="solid">
        <fgColor rgb="FFF2F5FA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44546A"/>
      </patternFill>
    </fill>
    <fill>
      <patternFill patternType="solid">
        <fgColor rgb="FFF7F9FC"/>
      </patternFill>
    </fill>
  </fills>
  <borders count="2">
    <border>
      <left/>
      <right/>
      <top/>
      <bottom/>
      <diagonal/>
    </border>
    <border>
      <left style="thin">
        <color rgb="FFC9D3E0"/>
      </left>
      <right style="thin">
        <color rgb="FFC9D3E0"/>
      </right>
      <top style="thin">
        <color rgb="FFC9D3E0"/>
      </top>
      <bottom style="thin">
        <color rgb="FFC9D3E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11" fillId="0" borderId="0" xfId="0" applyFont="1"/>
    <xf numFmtId="15" fontId="9" fillId="6" borderId="1" xfId="0" applyNumberFormat="1" applyFont="1" applyFill="1" applyBorder="1"/>
    <xf numFmtId="0" fontId="18" fillId="0" borderId="0" xfId="0" applyFont="1"/>
    <xf numFmtId="0" fontId="8" fillId="0" borderId="0" xfId="0" applyFont="1" applyAlignment="1">
      <alignment horizontal="center" vertical="center" wrapText="1"/>
    </xf>
    <xf numFmtId="15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9" fillId="7" borderId="1" xfId="0" applyFont="1" applyFill="1" applyBorder="1"/>
    <xf numFmtId="0" fontId="20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15" fontId="6" fillId="0" borderId="1" xfId="0" applyNumberFormat="1" applyFont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15" fontId="6" fillId="8" borderId="1" xfId="0" applyNumberFormat="1" applyFont="1" applyFill="1" applyBorder="1" applyAlignment="1">
      <alignment horizontal="left" vertical="top" wrapText="1"/>
    </xf>
    <xf numFmtId="0" fontId="7" fillId="0" borderId="0" xfId="0" applyFont="1"/>
    <xf numFmtId="0" fontId="10" fillId="5" borderId="1" xfId="0" applyFont="1" applyFill="1" applyBorder="1"/>
    <xf numFmtId="15" fontId="21" fillId="0" borderId="1" xfId="0" applyNumberFormat="1" applyFont="1" applyBorder="1"/>
    <xf numFmtId="0" fontId="21" fillId="0" borderId="1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0" fillId="0" borderId="0" xfId="0"/>
    <xf numFmtId="1" fontId="16" fillId="0" borderId="1" xfId="0" applyNumberFormat="1" applyFont="1" applyBorder="1" applyAlignment="1">
      <alignment horizontal="center" vertical="center"/>
    </xf>
    <xf numFmtId="0" fontId="0" fillId="0" borderId="1" xfId="0" applyBorder="1"/>
    <xf numFmtId="1" fontId="12" fillId="0" borderId="1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0" fontId="6" fillId="0" borderId="1" xfId="0" applyFont="1" applyBorder="1"/>
  </cellXfs>
  <cellStyles count="1">
    <cellStyle name="Normal" xfId="0" builtinId="0"/>
  </cellStyles>
  <dxfs count="4">
    <dxf>
      <font>
        <i/>
        <color rgb="FF6E6E6E"/>
      </font>
      <fill>
        <patternFill patternType="solid">
          <fgColor rgb="FFE8E8E8"/>
        </patternFill>
      </fill>
    </dxf>
    <dxf>
      <font>
        <color rgb="FF1E7B34"/>
      </font>
      <fill>
        <patternFill patternType="solid">
          <fgColor rgb="FFE2F0E4"/>
        </patternFill>
      </fill>
    </dxf>
    <dxf>
      <font>
        <color rgb="FFB00020"/>
      </font>
      <fill>
        <patternFill patternType="solid">
          <fgColor rgb="FFFBE4E4"/>
        </patternFill>
      </fill>
    </dxf>
    <dxf>
      <font>
        <b/>
        <color rgb="FFB00020"/>
      </font>
      <fill>
        <patternFill patternType="solid">
          <fgColor rgb="FFFBE4E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ttendees_Log" displayName="Attendees_Log" ref="B14:D15">
  <autoFilter ref="B14:D15" xr:uid="{00000000-0009-0000-0100-000001000000}"/>
  <tableColumns count="3">
    <tableColumn id="2" xr3:uid="{00000000-0010-0000-0000-000002000000}" name="Meeting Date"/>
    <tableColumn id="3" xr3:uid="{00000000-0010-0000-0000-000003000000}" name="Meeting Type"/>
    <tableColumn id="4" xr3:uid="{00000000-0010-0000-0000-000004000000}" name="Attende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eting_Log" displayName="Meeting_Log" ref="B7:L11">
  <autoFilter ref="B7:L11" xr:uid="{00000000-0009-0000-0100-000002000000}"/>
  <tableColumns count="11">
    <tableColumn id="2" xr3:uid="{00000000-0010-0000-0100-000002000000}" name="Subject"/>
    <tableColumn id="3" xr3:uid="{00000000-0010-0000-0100-000003000000}" name="Sub-topic"/>
    <tableColumn id="4" xr3:uid="{00000000-0010-0000-0100-000004000000}" name="Meeting Date"/>
    <tableColumn id="5" xr3:uid="{00000000-0010-0000-0100-000005000000}" name="Discussion / Notes"/>
    <tableColumn id="6" xr3:uid="{00000000-0010-0000-0100-000006000000}" name="Agreed Action"/>
    <tableColumn id="7" xr3:uid="{00000000-0010-0000-0100-000007000000}" name="Owner"/>
    <tableColumn id="8" xr3:uid="{00000000-0010-0000-0100-000008000000}" name="Due Date"/>
    <tableColumn id="9" xr3:uid="{00000000-0010-0000-0100-000009000000}" name="Status"/>
    <tableColumn id="10" xr3:uid="{00000000-0010-0000-0100-00000A000000}" name="Priority"/>
    <tableColumn id="11" xr3:uid="{00000000-0010-0000-0100-00000B000000}" name="Topic Key"/>
    <tableColumn id="12" xr3:uid="{00000000-0010-0000-0100-00000C000000}" name="Overdue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52"/>
  <sheetViews>
    <sheetView showGridLines="0" tabSelected="1" workbookViewId="0"/>
  </sheetViews>
  <sheetFormatPr baseColWidth="10" defaultColWidth="9.140625" defaultRowHeight="15" x14ac:dyDescent="0.25"/>
  <cols>
    <col min="1" max="1" width="2.42578125" customWidth="1"/>
    <col min="2" max="2" width="18" customWidth="1"/>
    <col min="3" max="3" width="34" customWidth="1"/>
    <col min="4" max="4" width="14" customWidth="1"/>
    <col min="5" max="5" width="12" customWidth="1"/>
    <col min="6" max="6" width="13" customWidth="1"/>
    <col min="7" max="7" width="11" customWidth="1"/>
    <col min="8" max="9" width="13" customWidth="1"/>
    <col min="11" max="12" width="13" customWidth="1"/>
    <col min="14" max="15" width="13" customWidth="1"/>
    <col min="17" max="18" width="13" customWidth="1"/>
  </cols>
  <sheetData>
    <row r="1" spans="2:18" ht="20.100000000000001" customHeight="1" x14ac:dyDescent="0.25">
      <c r="B1" s="1" t="s">
        <v>0</v>
      </c>
      <c r="C1" s="2" t="s">
        <v>1</v>
      </c>
      <c r="D1" s="2" t="s">
        <v>2</v>
      </c>
      <c r="E1" s="2" t="s">
        <v>3</v>
      </c>
    </row>
    <row r="2" spans="2:18" ht="26.1" customHeight="1" x14ac:dyDescent="0.35">
      <c r="B2" s="3" t="s">
        <v>4</v>
      </c>
    </row>
    <row r="3" spans="2:18" ht="15.95" customHeight="1" x14ac:dyDescent="0.25">
      <c r="B3" s="4" t="s">
        <v>5</v>
      </c>
    </row>
    <row r="5" spans="2:18" x14ac:dyDescent="0.25">
      <c r="B5" s="5" t="s">
        <v>6</v>
      </c>
      <c r="C5" s="6">
        <v>46296</v>
      </c>
    </row>
    <row r="8" spans="2:18" x14ac:dyDescent="0.25">
      <c r="B8" s="28">
        <f>SUMPRODUCT((Meeting_Log[Topic Key]&lt;&gt;"")*(Meeting_Log[Meeting Date]&lt;=$C$5)*(Meeting_Log[Meeting Date]=_xlfn.MAXIFS(Meeting_Log[Meeting Date],Meeting_Log[Topic Key],Meeting_Log[Topic Key],Meeting_Log[Meeting Date],"&lt;="&amp;$C$5)))</f>
        <v>3</v>
      </c>
      <c r="C8" s="27"/>
      <c r="E8" s="28">
        <f>SUMPRODUCT((Meeting_Log[Topic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Date],"&lt;="&amp;$C$5))*(Meeting_Log[Status]&lt;&gt;"Closed")*(Meeting_Log[Status]&lt;&gt;"Cancelled"))</f>
        <v>3</v>
      </c>
      <c r="F8" s="27"/>
      <c r="H8" s="30">
        <f ca="1">SUMPRODUCT((Meeting_Log[Topic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Date],"&lt;="&amp;$C$5))*(Meeting_Log[Status]&lt;&gt;"Closed")*(Meeting_Log[Status]&lt;&gt;"Cancelled")*(Meeting_Log[Overdue?]="Yes"))</f>
        <v>1</v>
      </c>
      <c r="I8" s="27"/>
      <c r="K8" s="29">
        <f>SUMPRODUCT((Meeting_Log[Topic Key]&lt;&gt;"")*(Meeting_Log[Meeting Date]&lt;=$C$5)*(Meeting_Log[Meeting Date]=_xlfn.MAXIFS(Meeting_Log[Meeting Date],Meeting_Log[Topic Key],Meeting_Log[Topic Key],Meeting_Log[Meeting Date],"&lt;="&amp;$C$5))*(Meeting_Log[Status]="Closed"))</f>
        <v>0</v>
      </c>
      <c r="L8" s="27"/>
      <c r="N8" s="26">
        <f>SUMPRODUCT((Meeting_Log[Topic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Date],"&lt;"&amp;$C$5))*(Meeting_Log[Status]&lt;&gt;"Closed")*(Meeting_Log[Status]&lt;&gt;"Cancelled"))</f>
        <v>2</v>
      </c>
      <c r="O8" s="27"/>
      <c r="Q8" s="31">
        <f>SUMPRODUCT((Meeting_Log[Topic Key]&lt;&gt;"")*(Meeting_Log[Meeting Date]=$C$5)*(COUNTIFS(Meeting_Log[Topic Key],Meeting_Log[Topic Key],Meeting_Log[Meeting Date],"&lt;"&amp;$C$5)=0))</f>
        <v>1</v>
      </c>
      <c r="R8" s="27"/>
    </row>
    <row r="9" spans="2:18" x14ac:dyDescent="0.25">
      <c r="B9" s="27"/>
      <c r="C9" s="27"/>
      <c r="E9" s="27"/>
      <c r="F9" s="27"/>
      <c r="H9" s="27"/>
      <c r="I9" s="27"/>
      <c r="K9" s="27"/>
      <c r="L9" s="27"/>
      <c r="N9" s="27"/>
      <c r="O9" s="27"/>
      <c r="Q9" s="27"/>
      <c r="R9" s="27"/>
    </row>
    <row r="10" spans="2:18" x14ac:dyDescent="0.25">
      <c r="B10" s="27"/>
      <c r="C10" s="27"/>
      <c r="E10" s="27"/>
      <c r="F10" s="27"/>
      <c r="H10" s="27"/>
      <c r="I10" s="27"/>
      <c r="K10" s="27"/>
      <c r="L10" s="27"/>
      <c r="N10" s="27"/>
      <c r="O10" s="27"/>
      <c r="Q10" s="27"/>
      <c r="R10" s="27"/>
    </row>
    <row r="11" spans="2:18" x14ac:dyDescent="0.25">
      <c r="B11" s="24" t="s">
        <v>7</v>
      </c>
      <c r="C11" s="25"/>
      <c r="E11" s="24" t="s">
        <v>8</v>
      </c>
      <c r="F11" s="25"/>
      <c r="H11" s="24" t="s">
        <v>9</v>
      </c>
      <c r="I11" s="25"/>
      <c r="K11" s="24" t="s">
        <v>10</v>
      </c>
      <c r="L11" s="25"/>
      <c r="N11" s="24" t="s">
        <v>11</v>
      </c>
      <c r="O11" s="25"/>
      <c r="Q11" s="24" t="s">
        <v>12</v>
      </c>
      <c r="R11" s="25"/>
    </row>
    <row r="13" spans="2:18" ht="16.5" x14ac:dyDescent="0.25">
      <c r="B13" s="7" t="s">
        <v>13</v>
      </c>
    </row>
    <row r="14" spans="2:18" ht="26.1" customHeight="1" x14ac:dyDescent="0.25">
      <c r="B14" s="8" t="s">
        <v>14</v>
      </c>
      <c r="C14" s="8" t="s">
        <v>15</v>
      </c>
      <c r="D14" s="8" t="s">
        <v>13</v>
      </c>
    </row>
    <row r="15" spans="2:18" ht="30" customHeight="1" x14ac:dyDescent="0.25">
      <c r="B15" s="9">
        <v>46296</v>
      </c>
      <c r="C15" s="10" t="s">
        <v>16</v>
      </c>
      <c r="D15" s="10" t="s">
        <v>17</v>
      </c>
    </row>
    <row r="17" spans="2:8" ht="21.95" customHeight="1" x14ac:dyDescent="0.25">
      <c r="B17" s="11" t="s">
        <v>18</v>
      </c>
      <c r="C17" s="11"/>
      <c r="D17" s="11"/>
      <c r="E17" s="11"/>
      <c r="F17" s="11"/>
      <c r="G17" s="11"/>
      <c r="H17" s="11"/>
    </row>
    <row r="18" spans="2:8" x14ac:dyDescent="0.25">
      <c r="B18" s="12" t="s">
        <v>19</v>
      </c>
      <c r="C18" s="12" t="s">
        <v>20</v>
      </c>
      <c r="D18" s="12" t="s">
        <v>21</v>
      </c>
      <c r="E18" s="12" t="s">
        <v>22</v>
      </c>
      <c r="F18" s="12" t="s">
        <v>23</v>
      </c>
      <c r="G18" s="12" t="s">
        <v>24</v>
      </c>
      <c r="H18" s="12" t="s">
        <v>25</v>
      </c>
    </row>
    <row r="19" spans="2:8" ht="26.1" customHeight="1" x14ac:dyDescent="0.25">
      <c r="B19" s="13" t="str">
        <f t="array" ref="B19">IFERROR(INDEX(Meeting_Log[Subject],SMALL(IF((Meeting_Log[Topic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Key])-7),1)),"")</f>
        <v>Documentation</v>
      </c>
      <c r="C19" s="13" t="str">
        <f t="array" ref="C19">IFERROR(INDEX(Meeting_Log[Sub-topic],SMALL(IF((Meeting_Log[Topic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Key])-7),1)),"")</f>
        <v>Documentation</v>
      </c>
      <c r="D19" s="13" t="str">
        <f t="array" ref="D19">IFERROR(INDEX(Meeting_Log[Discussion / Notes],SMALL(IF((Meeting_Log[Topic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Key])-7),1)),"")</f>
        <v>Document A cannot be validated - missing the calibration certificate.</v>
      </c>
      <c r="E19" s="13" t="str">
        <f t="array" ref="E19">IFERROR(INDEX(Meeting_Log[Agreed Action],SMALL(IF((Meeting_Log[Topic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Key])-7),1)),"")</f>
        <v>J. Smith to retrieve the missing certificate.</v>
      </c>
      <c r="F19" s="13" t="str">
        <f t="array" ref="F19">IFERROR(INDEX(Meeting_Log[Owner],SMALL(IF((Meeting_Log[Topic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Key])-7),1)),"")</f>
        <v>J. Smith</v>
      </c>
      <c r="G19" s="14">
        <f t="array" ref="G19">IFERROR(INDEX(Meeting_Log[Due Date],SMALL(IF((Meeting_Log[Topic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Key])-7),1)),"")</f>
        <v>0</v>
      </c>
      <c r="H19" s="13" t="str">
        <f t="array" ref="H19">IFERROR(INDEX(Meeting_Log[Status],SMALL(IF((Meeting_Log[Topic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Key])-7),1)),"")</f>
        <v>Open</v>
      </c>
    </row>
    <row r="20" spans="2:8" ht="26.1" customHeight="1" x14ac:dyDescent="0.25">
      <c r="B20" s="15" t="str">
        <f t="array" ref="B20">IFERROR(INDEX(Meeting_Log[Subject],SMALL(IF((Meeting_Log[Topic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Key])-7),2)),"")</f>
        <v>Safety</v>
      </c>
      <c r="C20" s="15" t="str">
        <f t="array" ref="C20">IFERROR(INDEX(Meeting_Log[Sub-topic],SMALL(IF((Meeting_Log[Topic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Key])-7),2)),"")</f>
        <v>Design / Engineering</v>
      </c>
      <c r="D20" s="15" t="str">
        <f t="array" ref="D20">IFERROR(INDEX(Meeting_Log[Discussion / Notes],SMALL(IF((Meeting_Log[Topic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Key])-7),2)),"")</f>
        <v>SSOW draft submitted for review.</v>
      </c>
      <c r="E20" s="15" t="str">
        <f t="array" ref="E20">IFERROR(INDEX(Meeting_Log[Agreed Action],SMALL(IF((Meeting_Log[Topic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Key])-7),2)),"")</f>
        <v>R. Taylor to review and approve the SSOW.</v>
      </c>
      <c r="F20" s="15" t="str">
        <f t="array" ref="F20">IFERROR(INDEX(Meeting_Log[Owner],SMALL(IF((Meeting_Log[Topic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Key])-7),2)),"")</f>
        <v>R. Taylor</v>
      </c>
      <c r="G20" s="16">
        <f t="array" ref="G20">IFERROR(INDEX(Meeting_Log[Due Date],SMALL(IF((Meeting_Log[Topic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Key])-7),2)),"")</f>
        <v>46285</v>
      </c>
      <c r="H20" s="15" t="str">
        <f t="array" ref="H20">IFERROR(INDEX(Meeting_Log[Status],SMALL(IF((Meeting_Log[Topic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Key])-7),2)),"")</f>
        <v>Open</v>
      </c>
    </row>
    <row r="21" spans="2:8" ht="26.1" customHeight="1" x14ac:dyDescent="0.25">
      <c r="B21" s="13" t="str">
        <f t="array" ref="B21">IFERROR(INDEX(Meeting_Log[Subject],SMALL(IF((Meeting_Log[Topic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Key])-7),3)),"")</f>
        <v/>
      </c>
      <c r="C21" s="13" t="str">
        <f t="array" ref="C21">IFERROR(INDEX(Meeting_Log[Sub-topic],SMALL(IF((Meeting_Log[Topic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Key])-7),3)),"")</f>
        <v/>
      </c>
      <c r="D21" s="13" t="str">
        <f t="array" ref="D21">IFERROR(INDEX(Meeting_Log[Discussion / Notes],SMALL(IF((Meeting_Log[Topic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Key])-7),3)),"")</f>
        <v/>
      </c>
      <c r="E21" s="13" t="str">
        <f t="array" ref="E21">IFERROR(INDEX(Meeting_Log[Agreed Action],SMALL(IF((Meeting_Log[Topic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Key])-7),3)),"")</f>
        <v/>
      </c>
      <c r="F21" s="13" t="str">
        <f t="array" ref="F21">IFERROR(INDEX(Meeting_Log[Owner],SMALL(IF((Meeting_Log[Topic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Key])-7),3)),"")</f>
        <v/>
      </c>
      <c r="G21" s="14" t="str">
        <f t="array" ref="G21">IFERROR(INDEX(Meeting_Log[Due Date],SMALL(IF((Meeting_Log[Topic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Key])-7),3)),"")</f>
        <v/>
      </c>
      <c r="H21" s="13" t="str">
        <f t="array" ref="H21">IFERROR(INDEX(Meeting_Log[Status],SMALL(IF((Meeting_Log[Topic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Key])-7),3)),"")</f>
        <v/>
      </c>
    </row>
    <row r="22" spans="2:8" ht="26.1" customHeight="1" x14ac:dyDescent="0.25">
      <c r="B22" s="15" t="str">
        <f t="array" ref="B22">IFERROR(INDEX(Meeting_Log[Subject],SMALL(IF((Meeting_Log[Topic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Key])-7),4)),"")</f>
        <v/>
      </c>
      <c r="C22" s="15" t="str">
        <f t="array" ref="C22">IFERROR(INDEX(Meeting_Log[Sub-topic],SMALL(IF((Meeting_Log[Topic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Key])-7),4)),"")</f>
        <v/>
      </c>
      <c r="D22" s="15" t="str">
        <f t="array" ref="D22">IFERROR(INDEX(Meeting_Log[Discussion / Notes],SMALL(IF((Meeting_Log[Topic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Key])-7),4)),"")</f>
        <v/>
      </c>
      <c r="E22" s="15" t="str">
        <f t="array" ref="E22">IFERROR(INDEX(Meeting_Log[Agreed Action],SMALL(IF((Meeting_Log[Topic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Key])-7),4)),"")</f>
        <v/>
      </c>
      <c r="F22" s="15" t="str">
        <f t="array" ref="F22">IFERROR(INDEX(Meeting_Log[Owner],SMALL(IF((Meeting_Log[Topic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Key])-7),4)),"")</f>
        <v/>
      </c>
      <c r="G22" s="16" t="str">
        <f t="array" ref="G22">IFERROR(INDEX(Meeting_Log[Due Date],SMALL(IF((Meeting_Log[Topic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Key])-7),4)),"")</f>
        <v/>
      </c>
      <c r="H22" s="15" t="str">
        <f t="array" ref="H22">IFERROR(INDEX(Meeting_Log[Status],SMALL(IF((Meeting_Log[Topic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Key])-7),4)),"")</f>
        <v/>
      </c>
    </row>
    <row r="23" spans="2:8" ht="26.1" customHeight="1" x14ac:dyDescent="0.25">
      <c r="B23" s="13" t="str">
        <f t="array" ref="B23">IFERROR(INDEX(Meeting_Log[Subject],SMALL(IF((Meeting_Log[Topic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Key])-7),5)),"")</f>
        <v/>
      </c>
      <c r="C23" s="13" t="str">
        <f t="array" ref="C23">IFERROR(INDEX(Meeting_Log[Sub-topic],SMALL(IF((Meeting_Log[Topic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Key])-7),5)),"")</f>
        <v/>
      </c>
      <c r="D23" s="13" t="str">
        <f t="array" ref="D23">IFERROR(INDEX(Meeting_Log[Discussion / Notes],SMALL(IF((Meeting_Log[Topic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Key])-7),5)),"")</f>
        <v/>
      </c>
      <c r="E23" s="13" t="str">
        <f t="array" ref="E23">IFERROR(INDEX(Meeting_Log[Agreed Action],SMALL(IF((Meeting_Log[Topic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Key])-7),5)),"")</f>
        <v/>
      </c>
      <c r="F23" s="13" t="str">
        <f t="array" ref="F23">IFERROR(INDEX(Meeting_Log[Owner],SMALL(IF((Meeting_Log[Topic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Key])-7),5)),"")</f>
        <v/>
      </c>
      <c r="G23" s="14" t="str">
        <f t="array" ref="G23">IFERROR(INDEX(Meeting_Log[Due Date],SMALL(IF((Meeting_Log[Topic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Key])-7),5)),"")</f>
        <v/>
      </c>
      <c r="H23" s="13" t="str">
        <f t="array" ref="H23">IFERROR(INDEX(Meeting_Log[Status],SMALL(IF((Meeting_Log[Topic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Key])-7),5)),"")</f>
        <v/>
      </c>
    </row>
    <row r="24" spans="2:8" ht="26.1" customHeight="1" x14ac:dyDescent="0.25">
      <c r="B24" s="15" t="str">
        <f t="array" ref="B24">IFERROR(INDEX(Meeting_Log[Subject],SMALL(IF((Meeting_Log[Topic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Key])-7),6)),"")</f>
        <v/>
      </c>
      <c r="C24" s="15" t="str">
        <f t="array" ref="C24">IFERROR(INDEX(Meeting_Log[Sub-topic],SMALL(IF((Meeting_Log[Topic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Key])-7),6)),"")</f>
        <v/>
      </c>
      <c r="D24" s="15" t="str">
        <f t="array" ref="D24">IFERROR(INDEX(Meeting_Log[Discussion / Notes],SMALL(IF((Meeting_Log[Topic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Key])-7),6)),"")</f>
        <v/>
      </c>
      <c r="E24" s="15" t="str">
        <f t="array" ref="E24">IFERROR(INDEX(Meeting_Log[Agreed Action],SMALL(IF((Meeting_Log[Topic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Key])-7),6)),"")</f>
        <v/>
      </c>
      <c r="F24" s="15" t="str">
        <f t="array" ref="F24">IFERROR(INDEX(Meeting_Log[Owner],SMALL(IF((Meeting_Log[Topic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Key])-7),6)),"")</f>
        <v/>
      </c>
      <c r="G24" s="16" t="str">
        <f t="array" ref="G24">IFERROR(INDEX(Meeting_Log[Due Date],SMALL(IF((Meeting_Log[Topic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Key])-7),6)),"")</f>
        <v/>
      </c>
      <c r="H24" s="15" t="str">
        <f t="array" ref="H24">IFERROR(INDEX(Meeting_Log[Status],SMALL(IF((Meeting_Log[Topic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Key])-7),6)),"")</f>
        <v/>
      </c>
    </row>
    <row r="25" spans="2:8" ht="26.1" customHeight="1" x14ac:dyDescent="0.25">
      <c r="B25" s="13" t="str">
        <f t="array" ref="B25">IFERROR(INDEX(Meeting_Log[Subject],SMALL(IF((Meeting_Log[Topic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Key])-7),7)),"")</f>
        <v/>
      </c>
      <c r="C25" s="13" t="str">
        <f t="array" ref="C25">IFERROR(INDEX(Meeting_Log[Sub-topic],SMALL(IF((Meeting_Log[Topic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Key])-7),7)),"")</f>
        <v/>
      </c>
      <c r="D25" s="13" t="str">
        <f t="array" ref="D25">IFERROR(INDEX(Meeting_Log[Discussion / Notes],SMALL(IF((Meeting_Log[Topic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Key])-7),7)),"")</f>
        <v/>
      </c>
      <c r="E25" s="13" t="str">
        <f t="array" ref="E25">IFERROR(INDEX(Meeting_Log[Agreed Action],SMALL(IF((Meeting_Log[Topic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Key])-7),7)),"")</f>
        <v/>
      </c>
      <c r="F25" s="13" t="str">
        <f t="array" ref="F25">IFERROR(INDEX(Meeting_Log[Owner],SMALL(IF((Meeting_Log[Topic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Key])-7),7)),"")</f>
        <v/>
      </c>
      <c r="G25" s="14" t="str">
        <f t="array" ref="G25">IFERROR(INDEX(Meeting_Log[Due Date],SMALL(IF((Meeting_Log[Topic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Key])-7),7)),"")</f>
        <v/>
      </c>
      <c r="H25" s="13" t="str">
        <f t="array" ref="H25">IFERROR(INDEX(Meeting_Log[Status],SMALL(IF((Meeting_Log[Topic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Key])-7),7)),"")</f>
        <v/>
      </c>
    </row>
    <row r="26" spans="2:8" ht="26.1" customHeight="1" x14ac:dyDescent="0.25">
      <c r="B26" s="15" t="str">
        <f t="array" ref="B26">IFERROR(INDEX(Meeting_Log[Subject],SMALL(IF((Meeting_Log[Topic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Key])-7),8)),"")</f>
        <v/>
      </c>
      <c r="C26" s="15" t="str">
        <f t="array" ref="C26">IFERROR(INDEX(Meeting_Log[Sub-topic],SMALL(IF((Meeting_Log[Topic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Key])-7),8)),"")</f>
        <v/>
      </c>
      <c r="D26" s="15" t="str">
        <f t="array" ref="D26">IFERROR(INDEX(Meeting_Log[Discussion / Notes],SMALL(IF((Meeting_Log[Topic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Key])-7),8)),"")</f>
        <v/>
      </c>
      <c r="E26" s="15" t="str">
        <f t="array" ref="E26">IFERROR(INDEX(Meeting_Log[Agreed Action],SMALL(IF((Meeting_Log[Topic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Key])-7),8)),"")</f>
        <v/>
      </c>
      <c r="F26" s="15" t="str">
        <f t="array" ref="F26">IFERROR(INDEX(Meeting_Log[Owner],SMALL(IF((Meeting_Log[Topic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Key])-7),8)),"")</f>
        <v/>
      </c>
      <c r="G26" s="16" t="str">
        <f t="array" ref="G26">IFERROR(INDEX(Meeting_Log[Due Date],SMALL(IF((Meeting_Log[Topic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Key])-7),8)),"")</f>
        <v/>
      </c>
      <c r="H26" s="15" t="str">
        <f t="array" ref="H26">IFERROR(INDEX(Meeting_Log[Status],SMALL(IF((Meeting_Log[Topic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Key])-7),8)),"")</f>
        <v/>
      </c>
    </row>
    <row r="28" spans="2:8" ht="21.95" customHeight="1" x14ac:dyDescent="0.25">
      <c r="B28" s="11" t="s">
        <v>26</v>
      </c>
      <c r="C28" s="11"/>
      <c r="D28" s="11"/>
      <c r="E28" s="11"/>
      <c r="F28" s="11"/>
      <c r="G28" s="11"/>
      <c r="H28" s="11"/>
    </row>
    <row r="29" spans="2:8" x14ac:dyDescent="0.25">
      <c r="B29" s="12" t="s">
        <v>19</v>
      </c>
      <c r="C29" s="12" t="s">
        <v>20</v>
      </c>
      <c r="D29" s="12" t="s">
        <v>21</v>
      </c>
      <c r="E29" s="12" t="s">
        <v>22</v>
      </c>
      <c r="F29" s="12" t="s">
        <v>23</v>
      </c>
      <c r="G29" s="12" t="s">
        <v>24</v>
      </c>
      <c r="H29" s="12" t="s">
        <v>25</v>
      </c>
    </row>
    <row r="30" spans="2:8" ht="26.1" customHeight="1" x14ac:dyDescent="0.25">
      <c r="B30" s="13" t="str">
        <f t="array" ref="B30">IFERROR(INDEX(Meeting_Log[Subject],SMALL(IF((Meeting_Log[Topic Key]&lt;&gt;"")*(Meeting_Log[Meeting Date]=$C$5)*(COUNTIFS(Meeting_Log[Topic Key],Meeting_Log[Topic Key],Meeting_Log[Meeting Date],"&lt;"&amp;$C$5)=0),ROW(Meeting_Log[Topic Key])-7),1)),"")</f>
        <v>Testing / Results</v>
      </c>
      <c r="C30" s="13" t="str">
        <f t="array" ref="C30">IFERROR(INDEX(Meeting_Log[Sub-topic],SMALL(IF((Meeting_Log[Topic Key]&lt;&gt;"")*(Meeting_Log[Meeting Date]=$C$5)*(COUNTIFS(Meeting_Log[Topic Key],Meeting_Log[Topic Key],Meeting_Log[Meeting Date],"&lt;"&amp;$C$5)=0),ROW(Meeting_Log[Topic Key])-7),1)),"")</f>
        <v>Testing</v>
      </c>
      <c r="D30" s="13" t="str">
        <f t="array" ref="D30">IFERROR(INDEX(Meeting_Log[Discussion / Notes],SMALL(IF((Meeting_Log[Topic Key]&lt;&gt;"")*(Meeting_Log[Meeting Date]=$C$5)*(COUNTIFS(Meeting_Log[Topic Key],Meeting_Log[Topic Key],Meeting_Log[Meeting Date],"&lt;"&amp;$C$5)=0),ROW(Meeting_Log[Topic Key])-7),1)),"")</f>
        <v>First functional test results reviewed.</v>
      </c>
      <c r="E30" s="13" t="str">
        <f t="array" ref="E30">IFERROR(INDEX(Meeting_Log[Agreed Action],SMALL(IF((Meeting_Log[Topic Key]&lt;&gt;"")*(Meeting_Log[Meeting Date]=$C$5)*(COUNTIFS(Meeting_Log[Topic Key],Meeting_Log[Topic Key],Meeting_Log[Meeting Date],"&lt;"&amp;$C$5)=0),ROW(Meeting_Log[Topic Key])-7),1)),"")</f>
        <v>A. Brown to issue the test report.</v>
      </c>
      <c r="F30" s="13" t="str">
        <f t="array" ref="F30">IFERROR(INDEX(Meeting_Log[Owner],SMALL(IF((Meeting_Log[Topic Key]&lt;&gt;"")*(Meeting_Log[Meeting Date]=$C$5)*(COUNTIFS(Meeting_Log[Topic Key],Meeting_Log[Topic Key],Meeting_Log[Meeting Date],"&lt;"&amp;$C$5)=0),ROW(Meeting_Log[Topic Key])-7),1)),"")</f>
        <v>A. Brown</v>
      </c>
      <c r="G30" s="14">
        <f t="array" ref="G30">IFERROR(INDEX(Meeting_Log[Due Date],SMALL(IF((Meeting_Log[Topic Key]&lt;&gt;"")*(Meeting_Log[Meeting Date]=$C$5)*(COUNTIFS(Meeting_Log[Topic Key],Meeting_Log[Topic Key],Meeting_Log[Meeting Date],"&lt;"&amp;$C$5)=0),ROW(Meeting_Log[Topic Key])-7),1)),"")</f>
        <v>46315</v>
      </c>
      <c r="H30" s="13" t="str">
        <f t="array" ref="H30">IFERROR(INDEX(Meeting_Log[Status],SMALL(IF((Meeting_Log[Topic Key]&lt;&gt;"")*(Meeting_Log[Meeting Date]=$C$5)*(COUNTIFS(Meeting_Log[Topic Key],Meeting_Log[Topic Key],Meeting_Log[Meeting Date],"&lt;"&amp;$C$5)=0),ROW(Meeting_Log[Topic Key])-7),1)),"")</f>
        <v>Open</v>
      </c>
    </row>
    <row r="31" spans="2:8" ht="26.1" customHeight="1" x14ac:dyDescent="0.25">
      <c r="B31" s="15" t="str">
        <f t="array" ref="B31">IFERROR(INDEX(Meeting_Log[Subject],SMALL(IF((Meeting_Log[Topic Key]&lt;&gt;"")*(Meeting_Log[Meeting Date]=$C$5)*(COUNTIFS(Meeting_Log[Topic Key],Meeting_Log[Topic Key],Meeting_Log[Meeting Date],"&lt;"&amp;$C$5)=0),ROW(Meeting_Log[Topic Key])-7),2)),"")</f>
        <v/>
      </c>
      <c r="C31" s="15" t="str">
        <f t="array" ref="C31">IFERROR(INDEX(Meeting_Log[Sub-topic],SMALL(IF((Meeting_Log[Topic Key]&lt;&gt;"")*(Meeting_Log[Meeting Date]=$C$5)*(COUNTIFS(Meeting_Log[Topic Key],Meeting_Log[Topic Key],Meeting_Log[Meeting Date],"&lt;"&amp;$C$5)=0),ROW(Meeting_Log[Topic Key])-7),2)),"")</f>
        <v/>
      </c>
      <c r="D31" s="15" t="str">
        <f t="array" ref="D31">IFERROR(INDEX(Meeting_Log[Discussion / Notes],SMALL(IF((Meeting_Log[Topic Key]&lt;&gt;"")*(Meeting_Log[Meeting Date]=$C$5)*(COUNTIFS(Meeting_Log[Topic Key],Meeting_Log[Topic Key],Meeting_Log[Meeting Date],"&lt;"&amp;$C$5)=0),ROW(Meeting_Log[Topic Key])-7),2)),"")</f>
        <v/>
      </c>
      <c r="E31" s="15" t="str">
        <f t="array" ref="E31">IFERROR(INDEX(Meeting_Log[Agreed Action],SMALL(IF((Meeting_Log[Topic Key]&lt;&gt;"")*(Meeting_Log[Meeting Date]=$C$5)*(COUNTIFS(Meeting_Log[Topic Key],Meeting_Log[Topic Key],Meeting_Log[Meeting Date],"&lt;"&amp;$C$5)=0),ROW(Meeting_Log[Topic Key])-7),2)),"")</f>
        <v/>
      </c>
      <c r="F31" s="15" t="str">
        <f t="array" ref="F31">IFERROR(INDEX(Meeting_Log[Owner],SMALL(IF((Meeting_Log[Topic Key]&lt;&gt;"")*(Meeting_Log[Meeting Date]=$C$5)*(COUNTIFS(Meeting_Log[Topic Key],Meeting_Log[Topic Key],Meeting_Log[Meeting Date],"&lt;"&amp;$C$5)=0),ROW(Meeting_Log[Topic Key])-7),2)),"")</f>
        <v/>
      </c>
      <c r="G31" s="16" t="str">
        <f t="array" ref="G31">IFERROR(INDEX(Meeting_Log[Due Date],SMALL(IF((Meeting_Log[Topic Key]&lt;&gt;"")*(Meeting_Log[Meeting Date]=$C$5)*(COUNTIFS(Meeting_Log[Topic Key],Meeting_Log[Topic Key],Meeting_Log[Meeting Date],"&lt;"&amp;$C$5)=0),ROW(Meeting_Log[Topic Key])-7),2)),"")</f>
        <v/>
      </c>
      <c r="H31" s="15" t="str">
        <f t="array" ref="H31">IFERROR(INDEX(Meeting_Log[Status],SMALL(IF((Meeting_Log[Topic Key]&lt;&gt;"")*(Meeting_Log[Meeting Date]=$C$5)*(COUNTIFS(Meeting_Log[Topic Key],Meeting_Log[Topic Key],Meeting_Log[Meeting Date],"&lt;"&amp;$C$5)=0),ROW(Meeting_Log[Topic Key])-7),2)),"")</f>
        <v/>
      </c>
    </row>
    <row r="32" spans="2:8" ht="26.1" customHeight="1" x14ac:dyDescent="0.25">
      <c r="B32" s="13" t="str">
        <f t="array" ref="B32">IFERROR(INDEX(Meeting_Log[Subject],SMALL(IF((Meeting_Log[Topic Key]&lt;&gt;"")*(Meeting_Log[Meeting Date]=$C$5)*(COUNTIFS(Meeting_Log[Topic Key],Meeting_Log[Topic Key],Meeting_Log[Meeting Date],"&lt;"&amp;$C$5)=0),ROW(Meeting_Log[Topic Key])-7),3)),"")</f>
        <v/>
      </c>
      <c r="C32" s="13" t="str">
        <f t="array" ref="C32">IFERROR(INDEX(Meeting_Log[Sub-topic],SMALL(IF((Meeting_Log[Topic Key]&lt;&gt;"")*(Meeting_Log[Meeting Date]=$C$5)*(COUNTIFS(Meeting_Log[Topic Key],Meeting_Log[Topic Key],Meeting_Log[Meeting Date],"&lt;"&amp;$C$5)=0),ROW(Meeting_Log[Topic Key])-7),3)),"")</f>
        <v/>
      </c>
      <c r="D32" s="13" t="str">
        <f t="array" ref="D32">IFERROR(INDEX(Meeting_Log[Discussion / Notes],SMALL(IF((Meeting_Log[Topic Key]&lt;&gt;"")*(Meeting_Log[Meeting Date]=$C$5)*(COUNTIFS(Meeting_Log[Topic Key],Meeting_Log[Topic Key],Meeting_Log[Meeting Date],"&lt;"&amp;$C$5)=0),ROW(Meeting_Log[Topic Key])-7),3)),"")</f>
        <v/>
      </c>
      <c r="E32" s="13" t="str">
        <f t="array" ref="E32">IFERROR(INDEX(Meeting_Log[Agreed Action],SMALL(IF((Meeting_Log[Topic Key]&lt;&gt;"")*(Meeting_Log[Meeting Date]=$C$5)*(COUNTIFS(Meeting_Log[Topic Key],Meeting_Log[Topic Key],Meeting_Log[Meeting Date],"&lt;"&amp;$C$5)=0),ROW(Meeting_Log[Topic Key])-7),3)),"")</f>
        <v/>
      </c>
      <c r="F32" s="13" t="str">
        <f t="array" ref="F32">IFERROR(INDEX(Meeting_Log[Owner],SMALL(IF((Meeting_Log[Topic Key]&lt;&gt;"")*(Meeting_Log[Meeting Date]=$C$5)*(COUNTIFS(Meeting_Log[Topic Key],Meeting_Log[Topic Key],Meeting_Log[Meeting Date],"&lt;"&amp;$C$5)=0),ROW(Meeting_Log[Topic Key])-7),3)),"")</f>
        <v/>
      </c>
      <c r="G32" s="14" t="str">
        <f t="array" ref="G32">IFERROR(INDEX(Meeting_Log[Due Date],SMALL(IF((Meeting_Log[Topic Key]&lt;&gt;"")*(Meeting_Log[Meeting Date]=$C$5)*(COUNTIFS(Meeting_Log[Topic Key],Meeting_Log[Topic Key],Meeting_Log[Meeting Date],"&lt;"&amp;$C$5)=0),ROW(Meeting_Log[Topic Key])-7),3)),"")</f>
        <v/>
      </c>
      <c r="H32" s="13" t="str">
        <f t="array" ref="H32">IFERROR(INDEX(Meeting_Log[Status],SMALL(IF((Meeting_Log[Topic Key]&lt;&gt;"")*(Meeting_Log[Meeting Date]=$C$5)*(COUNTIFS(Meeting_Log[Topic Key],Meeting_Log[Topic Key],Meeting_Log[Meeting Date],"&lt;"&amp;$C$5)=0),ROW(Meeting_Log[Topic Key])-7),3)),"")</f>
        <v/>
      </c>
    </row>
    <row r="33" spans="2:8" ht="26.1" customHeight="1" x14ac:dyDescent="0.25">
      <c r="B33" s="15" t="str">
        <f t="array" ref="B33">IFERROR(INDEX(Meeting_Log[Subject],SMALL(IF((Meeting_Log[Topic Key]&lt;&gt;"")*(Meeting_Log[Meeting Date]=$C$5)*(COUNTIFS(Meeting_Log[Topic Key],Meeting_Log[Topic Key],Meeting_Log[Meeting Date],"&lt;"&amp;$C$5)=0),ROW(Meeting_Log[Topic Key])-7),4)),"")</f>
        <v/>
      </c>
      <c r="C33" s="15" t="str">
        <f t="array" ref="C33">IFERROR(INDEX(Meeting_Log[Sub-topic],SMALL(IF((Meeting_Log[Topic Key]&lt;&gt;"")*(Meeting_Log[Meeting Date]=$C$5)*(COUNTIFS(Meeting_Log[Topic Key],Meeting_Log[Topic Key],Meeting_Log[Meeting Date],"&lt;"&amp;$C$5)=0),ROW(Meeting_Log[Topic Key])-7),4)),"")</f>
        <v/>
      </c>
      <c r="D33" s="15" t="str">
        <f t="array" ref="D33">IFERROR(INDEX(Meeting_Log[Discussion / Notes],SMALL(IF((Meeting_Log[Topic Key]&lt;&gt;"")*(Meeting_Log[Meeting Date]=$C$5)*(COUNTIFS(Meeting_Log[Topic Key],Meeting_Log[Topic Key],Meeting_Log[Meeting Date],"&lt;"&amp;$C$5)=0),ROW(Meeting_Log[Topic Key])-7),4)),"")</f>
        <v/>
      </c>
      <c r="E33" s="15" t="str">
        <f t="array" ref="E33">IFERROR(INDEX(Meeting_Log[Agreed Action],SMALL(IF((Meeting_Log[Topic Key]&lt;&gt;"")*(Meeting_Log[Meeting Date]=$C$5)*(COUNTIFS(Meeting_Log[Topic Key],Meeting_Log[Topic Key],Meeting_Log[Meeting Date],"&lt;"&amp;$C$5)=0),ROW(Meeting_Log[Topic Key])-7),4)),"")</f>
        <v/>
      </c>
      <c r="F33" s="15" t="str">
        <f t="array" ref="F33">IFERROR(INDEX(Meeting_Log[Owner],SMALL(IF((Meeting_Log[Topic Key]&lt;&gt;"")*(Meeting_Log[Meeting Date]=$C$5)*(COUNTIFS(Meeting_Log[Topic Key],Meeting_Log[Topic Key],Meeting_Log[Meeting Date],"&lt;"&amp;$C$5)=0),ROW(Meeting_Log[Topic Key])-7),4)),"")</f>
        <v/>
      </c>
      <c r="G33" s="16" t="str">
        <f t="array" ref="G33">IFERROR(INDEX(Meeting_Log[Due Date],SMALL(IF((Meeting_Log[Topic Key]&lt;&gt;"")*(Meeting_Log[Meeting Date]=$C$5)*(COUNTIFS(Meeting_Log[Topic Key],Meeting_Log[Topic Key],Meeting_Log[Meeting Date],"&lt;"&amp;$C$5)=0),ROW(Meeting_Log[Topic Key])-7),4)),"")</f>
        <v/>
      </c>
      <c r="H33" s="15" t="str">
        <f t="array" ref="H33">IFERROR(INDEX(Meeting_Log[Status],SMALL(IF((Meeting_Log[Topic Key]&lt;&gt;"")*(Meeting_Log[Meeting Date]=$C$5)*(COUNTIFS(Meeting_Log[Topic Key],Meeting_Log[Topic Key],Meeting_Log[Meeting Date],"&lt;"&amp;$C$5)=0),ROW(Meeting_Log[Topic Key])-7),4)),"")</f>
        <v/>
      </c>
    </row>
    <row r="34" spans="2:8" ht="26.1" customHeight="1" x14ac:dyDescent="0.25">
      <c r="B34" s="13" t="str">
        <f t="array" ref="B34">IFERROR(INDEX(Meeting_Log[Subject],SMALL(IF((Meeting_Log[Topic Key]&lt;&gt;"")*(Meeting_Log[Meeting Date]=$C$5)*(COUNTIFS(Meeting_Log[Topic Key],Meeting_Log[Topic Key],Meeting_Log[Meeting Date],"&lt;"&amp;$C$5)=0),ROW(Meeting_Log[Topic Key])-7),5)),"")</f>
        <v/>
      </c>
      <c r="C34" s="13" t="str">
        <f t="array" ref="C34">IFERROR(INDEX(Meeting_Log[Sub-topic],SMALL(IF((Meeting_Log[Topic Key]&lt;&gt;"")*(Meeting_Log[Meeting Date]=$C$5)*(COUNTIFS(Meeting_Log[Topic Key],Meeting_Log[Topic Key],Meeting_Log[Meeting Date],"&lt;"&amp;$C$5)=0),ROW(Meeting_Log[Topic Key])-7),5)),"")</f>
        <v/>
      </c>
      <c r="D34" s="13" t="str">
        <f t="array" ref="D34">IFERROR(INDEX(Meeting_Log[Discussion / Notes],SMALL(IF((Meeting_Log[Topic Key]&lt;&gt;"")*(Meeting_Log[Meeting Date]=$C$5)*(COUNTIFS(Meeting_Log[Topic Key],Meeting_Log[Topic Key],Meeting_Log[Meeting Date],"&lt;"&amp;$C$5)=0),ROW(Meeting_Log[Topic Key])-7),5)),"")</f>
        <v/>
      </c>
      <c r="E34" s="13" t="str">
        <f t="array" ref="E34">IFERROR(INDEX(Meeting_Log[Agreed Action],SMALL(IF((Meeting_Log[Topic Key]&lt;&gt;"")*(Meeting_Log[Meeting Date]=$C$5)*(COUNTIFS(Meeting_Log[Topic Key],Meeting_Log[Topic Key],Meeting_Log[Meeting Date],"&lt;"&amp;$C$5)=0),ROW(Meeting_Log[Topic Key])-7),5)),"")</f>
        <v/>
      </c>
      <c r="F34" s="13" t="str">
        <f t="array" ref="F34">IFERROR(INDEX(Meeting_Log[Owner],SMALL(IF((Meeting_Log[Topic Key]&lt;&gt;"")*(Meeting_Log[Meeting Date]=$C$5)*(COUNTIFS(Meeting_Log[Topic Key],Meeting_Log[Topic Key],Meeting_Log[Meeting Date],"&lt;"&amp;$C$5)=0),ROW(Meeting_Log[Topic Key])-7),5)),"")</f>
        <v/>
      </c>
      <c r="G34" s="14" t="str">
        <f t="array" ref="G34">IFERROR(INDEX(Meeting_Log[Due Date],SMALL(IF((Meeting_Log[Topic Key]&lt;&gt;"")*(Meeting_Log[Meeting Date]=$C$5)*(COUNTIFS(Meeting_Log[Topic Key],Meeting_Log[Topic Key],Meeting_Log[Meeting Date],"&lt;"&amp;$C$5)=0),ROW(Meeting_Log[Topic Key])-7),5)),"")</f>
        <v/>
      </c>
      <c r="H34" s="13" t="str">
        <f t="array" ref="H34">IFERROR(INDEX(Meeting_Log[Status],SMALL(IF((Meeting_Log[Topic Key]&lt;&gt;"")*(Meeting_Log[Meeting Date]=$C$5)*(COUNTIFS(Meeting_Log[Topic Key],Meeting_Log[Topic Key],Meeting_Log[Meeting Date],"&lt;"&amp;$C$5)=0),ROW(Meeting_Log[Topic Key])-7),5)),"")</f>
        <v/>
      </c>
    </row>
    <row r="35" spans="2:8" ht="26.1" customHeight="1" x14ac:dyDescent="0.25">
      <c r="B35" s="15" t="str">
        <f t="array" ref="B35">IFERROR(INDEX(Meeting_Log[Subject],SMALL(IF((Meeting_Log[Topic Key]&lt;&gt;"")*(Meeting_Log[Meeting Date]=$C$5)*(COUNTIFS(Meeting_Log[Topic Key],Meeting_Log[Topic Key],Meeting_Log[Meeting Date],"&lt;"&amp;$C$5)=0),ROW(Meeting_Log[Topic Key])-7),6)),"")</f>
        <v/>
      </c>
      <c r="C35" s="15" t="str">
        <f t="array" ref="C35">IFERROR(INDEX(Meeting_Log[Sub-topic],SMALL(IF((Meeting_Log[Topic Key]&lt;&gt;"")*(Meeting_Log[Meeting Date]=$C$5)*(COUNTIFS(Meeting_Log[Topic Key],Meeting_Log[Topic Key],Meeting_Log[Meeting Date],"&lt;"&amp;$C$5)=0),ROW(Meeting_Log[Topic Key])-7),6)),"")</f>
        <v/>
      </c>
      <c r="D35" s="15" t="str">
        <f t="array" ref="D35">IFERROR(INDEX(Meeting_Log[Discussion / Notes],SMALL(IF((Meeting_Log[Topic Key]&lt;&gt;"")*(Meeting_Log[Meeting Date]=$C$5)*(COUNTIFS(Meeting_Log[Topic Key],Meeting_Log[Topic Key],Meeting_Log[Meeting Date],"&lt;"&amp;$C$5)=0),ROW(Meeting_Log[Topic Key])-7),6)),"")</f>
        <v/>
      </c>
      <c r="E35" s="15" t="str">
        <f t="array" ref="E35">IFERROR(INDEX(Meeting_Log[Agreed Action],SMALL(IF((Meeting_Log[Topic Key]&lt;&gt;"")*(Meeting_Log[Meeting Date]=$C$5)*(COUNTIFS(Meeting_Log[Topic Key],Meeting_Log[Topic Key],Meeting_Log[Meeting Date],"&lt;"&amp;$C$5)=0),ROW(Meeting_Log[Topic Key])-7),6)),"")</f>
        <v/>
      </c>
      <c r="F35" s="15" t="str">
        <f t="array" ref="F35">IFERROR(INDEX(Meeting_Log[Owner],SMALL(IF((Meeting_Log[Topic Key]&lt;&gt;"")*(Meeting_Log[Meeting Date]=$C$5)*(COUNTIFS(Meeting_Log[Topic Key],Meeting_Log[Topic Key],Meeting_Log[Meeting Date],"&lt;"&amp;$C$5)=0),ROW(Meeting_Log[Topic Key])-7),6)),"")</f>
        <v/>
      </c>
      <c r="G35" s="16" t="str">
        <f t="array" ref="G35">IFERROR(INDEX(Meeting_Log[Due Date],SMALL(IF((Meeting_Log[Topic Key]&lt;&gt;"")*(Meeting_Log[Meeting Date]=$C$5)*(COUNTIFS(Meeting_Log[Topic Key],Meeting_Log[Topic Key],Meeting_Log[Meeting Date],"&lt;"&amp;$C$5)=0),ROW(Meeting_Log[Topic Key])-7),6)),"")</f>
        <v/>
      </c>
      <c r="H35" s="15" t="str">
        <f t="array" ref="H35">IFERROR(INDEX(Meeting_Log[Status],SMALL(IF((Meeting_Log[Topic Key]&lt;&gt;"")*(Meeting_Log[Meeting Date]=$C$5)*(COUNTIFS(Meeting_Log[Topic Key],Meeting_Log[Topic Key],Meeting_Log[Meeting Date],"&lt;"&amp;$C$5)=0),ROW(Meeting_Log[Topic Key])-7),6)),"")</f>
        <v/>
      </c>
    </row>
    <row r="37" spans="2:8" x14ac:dyDescent="0.25">
      <c r="B37" s="17" t="s">
        <v>27</v>
      </c>
    </row>
    <row r="39" spans="2:8" ht="21.95" customHeight="1" x14ac:dyDescent="0.25">
      <c r="B39" s="11" t="s">
        <v>28</v>
      </c>
      <c r="C39" s="11"/>
      <c r="D39" s="11"/>
      <c r="E39" s="11"/>
      <c r="F39" s="11"/>
      <c r="G39" s="11"/>
    </row>
    <row r="40" spans="2:8" x14ac:dyDescent="0.25">
      <c r="B40" s="12" t="s">
        <v>19</v>
      </c>
      <c r="C40" s="12" t="s">
        <v>22</v>
      </c>
      <c r="D40" s="12" t="s">
        <v>23</v>
      </c>
      <c r="E40" s="12" t="s">
        <v>24</v>
      </c>
      <c r="F40" s="12" t="s">
        <v>25</v>
      </c>
      <c r="G40" s="12" t="s">
        <v>29</v>
      </c>
    </row>
    <row r="41" spans="2:8" ht="26.1" customHeight="1" x14ac:dyDescent="0.25">
      <c r="B41" s="13" t="str">
        <f t="array" ref="B41">IFERROR(INDEX(Meeting_Log[Subject],SMALL(IF((Meeting_Log[Topic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Key])-7),1)),"")</f>
        <v>Documentation</v>
      </c>
      <c r="C41" s="13" t="str">
        <f t="array" ref="C41">IFERROR(INDEX(Meeting_Log[Agreed Action],SMALL(IF((Meeting_Log[Topic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Key])-7),1)),"")</f>
        <v>J. Smith to chase the supplier.</v>
      </c>
      <c r="D41" s="13" t="str">
        <f t="array" ref="D41">IFERROR(INDEX(Meeting_Log[Owner],SMALL(IF((Meeting_Log[Topic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Key])-7),1)),"")</f>
        <v>J. Smith</v>
      </c>
      <c r="E41" s="14">
        <f t="array" ref="E41">IFERROR(INDEX(Meeting_Log[Due Date],SMALL(IF((Meeting_Log[Topic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Key])-7),1)),"")</f>
        <v>0</v>
      </c>
      <c r="F41" s="13" t="str">
        <f t="array" ref="F41">IFERROR(INDEX(Meeting_Log[Status],SMALL(IF((Meeting_Log[Topic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Key])-7),1)),"")</f>
        <v>In Progress</v>
      </c>
      <c r="G41" s="13" t="str">
        <f t="array" ref="G41">IFERROR(INDEX(Meeting_Log[Priority],SMALL(IF((Meeting_Log[Topic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Key])-7),1)),"")</f>
        <v>Medium</v>
      </c>
    </row>
    <row r="42" spans="2:8" ht="26.1" customHeight="1" x14ac:dyDescent="0.25">
      <c r="B42" s="15" t="str">
        <f t="array" ref="B42">IFERROR(INDEX(Meeting_Log[Subject],SMALL(IF((Meeting_Log[Topic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Key])-7),2)),"")</f>
        <v>Safety</v>
      </c>
      <c r="C42" s="15" t="str">
        <f t="array" ref="C42">IFERROR(INDEX(Meeting_Log[Agreed Action],SMALL(IF((Meeting_Log[Topic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Key])-7),2)),"")</f>
        <v>R. Taylor to review and approve the SSOW.</v>
      </c>
      <c r="D42" s="15" t="str">
        <f t="array" ref="D42">IFERROR(INDEX(Meeting_Log[Owner],SMALL(IF((Meeting_Log[Topic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Key])-7),2)),"")</f>
        <v>R. Taylor</v>
      </c>
      <c r="E42" s="16">
        <f t="array" ref="E42">IFERROR(INDEX(Meeting_Log[Due Date],SMALL(IF((Meeting_Log[Topic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Key])-7),2)),"")</f>
        <v>46285</v>
      </c>
      <c r="F42" s="15" t="str">
        <f t="array" ref="F42">IFERROR(INDEX(Meeting_Log[Status],SMALL(IF((Meeting_Log[Topic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Key])-7),2)),"")</f>
        <v>Open</v>
      </c>
      <c r="G42" s="15" t="str">
        <f t="array" ref="G42">IFERROR(INDEX(Meeting_Log[Priority],SMALL(IF((Meeting_Log[Topic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Key])-7),2)),"")</f>
        <v>High</v>
      </c>
    </row>
    <row r="43" spans="2:8" ht="26.1" customHeight="1" x14ac:dyDescent="0.25">
      <c r="B43" s="13" t="str">
        <f t="array" ref="B43">IFERROR(INDEX(Meeting_Log[Subject],SMALL(IF((Meeting_Log[Topic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Key])-7),3)),"")</f>
        <v>Testing / Results</v>
      </c>
      <c r="C43" s="13" t="str">
        <f t="array" ref="C43">IFERROR(INDEX(Meeting_Log[Agreed Action],SMALL(IF((Meeting_Log[Topic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Key])-7),3)),"")</f>
        <v>A. Brown to issue the test report.</v>
      </c>
      <c r="D43" s="13" t="str">
        <f t="array" ref="D43">IFERROR(INDEX(Meeting_Log[Owner],SMALL(IF((Meeting_Log[Topic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Key])-7),3)),"")</f>
        <v>A. Brown</v>
      </c>
      <c r="E43" s="14">
        <f t="array" ref="E43">IFERROR(INDEX(Meeting_Log[Due Date],SMALL(IF((Meeting_Log[Topic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Key])-7),3)),"")</f>
        <v>46315</v>
      </c>
      <c r="F43" s="13" t="str">
        <f t="array" ref="F43">IFERROR(INDEX(Meeting_Log[Status],SMALL(IF((Meeting_Log[Topic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Key])-7),3)),"")</f>
        <v>Open</v>
      </c>
      <c r="G43" s="13" t="str">
        <f t="array" ref="G43">IFERROR(INDEX(Meeting_Log[Priority],SMALL(IF((Meeting_Log[Topic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Key])-7),3)),"")</f>
        <v>High</v>
      </c>
    </row>
    <row r="44" spans="2:8" ht="26.1" customHeight="1" x14ac:dyDescent="0.25">
      <c r="B44" s="15" t="str">
        <f t="array" ref="B44">IFERROR(INDEX(Meeting_Log[Subject],SMALL(IF((Meeting_Log[Topic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Key])-7),4)),"")</f>
        <v/>
      </c>
      <c r="C44" s="15" t="str">
        <f t="array" ref="C44">IFERROR(INDEX(Meeting_Log[Agreed Action],SMALL(IF((Meeting_Log[Topic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Key])-7),4)),"")</f>
        <v/>
      </c>
      <c r="D44" s="15" t="str">
        <f t="array" ref="D44">IFERROR(INDEX(Meeting_Log[Owner],SMALL(IF((Meeting_Log[Topic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Key])-7),4)),"")</f>
        <v/>
      </c>
      <c r="E44" s="16" t="str">
        <f t="array" ref="E44">IFERROR(INDEX(Meeting_Log[Due Date],SMALL(IF((Meeting_Log[Topic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Key])-7),4)),"")</f>
        <v/>
      </c>
      <c r="F44" s="15" t="str">
        <f t="array" ref="F44">IFERROR(INDEX(Meeting_Log[Status],SMALL(IF((Meeting_Log[Topic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Key])-7),4)),"")</f>
        <v/>
      </c>
      <c r="G44" s="15" t="str">
        <f t="array" ref="G44">IFERROR(INDEX(Meeting_Log[Priority],SMALL(IF((Meeting_Log[Topic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Key])-7),4)),"")</f>
        <v/>
      </c>
    </row>
    <row r="45" spans="2:8" ht="26.1" customHeight="1" x14ac:dyDescent="0.25">
      <c r="B45" s="13" t="str">
        <f t="array" ref="B45">IFERROR(INDEX(Meeting_Log[Subject],SMALL(IF((Meeting_Log[Topic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Key])-7),5)),"")</f>
        <v/>
      </c>
      <c r="C45" s="13" t="str">
        <f t="array" ref="C45">IFERROR(INDEX(Meeting_Log[Agreed Action],SMALL(IF((Meeting_Log[Topic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Key])-7),5)),"")</f>
        <v/>
      </c>
      <c r="D45" s="13" t="str">
        <f t="array" ref="D45">IFERROR(INDEX(Meeting_Log[Owner],SMALL(IF((Meeting_Log[Topic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Key])-7),5)),"")</f>
        <v/>
      </c>
      <c r="E45" s="14" t="str">
        <f t="array" ref="E45">IFERROR(INDEX(Meeting_Log[Due Date],SMALL(IF((Meeting_Log[Topic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Key])-7),5)),"")</f>
        <v/>
      </c>
      <c r="F45" s="13" t="str">
        <f t="array" ref="F45">IFERROR(INDEX(Meeting_Log[Status],SMALL(IF((Meeting_Log[Topic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Key])-7),5)),"")</f>
        <v/>
      </c>
      <c r="G45" s="13" t="str">
        <f t="array" ref="G45">IFERROR(INDEX(Meeting_Log[Priority],SMALL(IF((Meeting_Log[Topic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Key])-7),5)),"")</f>
        <v/>
      </c>
    </row>
    <row r="46" spans="2:8" ht="26.1" customHeight="1" x14ac:dyDescent="0.25">
      <c r="B46" s="15" t="str">
        <f t="array" ref="B46">IFERROR(INDEX(Meeting_Log[Subject],SMALL(IF((Meeting_Log[Topic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Key])-7),6)),"")</f>
        <v/>
      </c>
      <c r="C46" s="15" t="str">
        <f t="array" ref="C46">IFERROR(INDEX(Meeting_Log[Agreed Action],SMALL(IF((Meeting_Log[Topic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Key])-7),6)),"")</f>
        <v/>
      </c>
      <c r="D46" s="15" t="str">
        <f t="array" ref="D46">IFERROR(INDEX(Meeting_Log[Owner],SMALL(IF((Meeting_Log[Topic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Key])-7),6)),"")</f>
        <v/>
      </c>
      <c r="E46" s="16" t="str">
        <f t="array" ref="E46">IFERROR(INDEX(Meeting_Log[Due Date],SMALL(IF((Meeting_Log[Topic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Key])-7),6)),"")</f>
        <v/>
      </c>
      <c r="F46" s="15" t="str">
        <f t="array" ref="F46">IFERROR(INDEX(Meeting_Log[Status],SMALL(IF((Meeting_Log[Topic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Key])-7),6)),"")</f>
        <v/>
      </c>
      <c r="G46" s="15" t="str">
        <f t="array" ref="G46">IFERROR(INDEX(Meeting_Log[Priority],SMALL(IF((Meeting_Log[Topic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Key])-7),6)),"")</f>
        <v/>
      </c>
    </row>
    <row r="47" spans="2:8" ht="26.1" customHeight="1" x14ac:dyDescent="0.25">
      <c r="B47" s="13" t="str">
        <f t="array" ref="B47">IFERROR(INDEX(Meeting_Log[Subject],SMALL(IF((Meeting_Log[Topic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Key])-7),7)),"")</f>
        <v/>
      </c>
      <c r="C47" s="13" t="str">
        <f t="array" ref="C47">IFERROR(INDEX(Meeting_Log[Agreed Action],SMALL(IF((Meeting_Log[Topic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Key])-7),7)),"")</f>
        <v/>
      </c>
      <c r="D47" s="13" t="str">
        <f t="array" ref="D47">IFERROR(INDEX(Meeting_Log[Owner],SMALL(IF((Meeting_Log[Topic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Key])-7),7)),"")</f>
        <v/>
      </c>
      <c r="E47" s="14" t="str">
        <f t="array" ref="E47">IFERROR(INDEX(Meeting_Log[Due Date],SMALL(IF((Meeting_Log[Topic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Key])-7),7)),"")</f>
        <v/>
      </c>
      <c r="F47" s="13" t="str">
        <f t="array" ref="F47">IFERROR(INDEX(Meeting_Log[Status],SMALL(IF((Meeting_Log[Topic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Key])-7),7)),"")</f>
        <v/>
      </c>
      <c r="G47" s="13" t="str">
        <f t="array" ref="G47">IFERROR(INDEX(Meeting_Log[Priority],SMALL(IF((Meeting_Log[Topic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Key])-7),7)),"")</f>
        <v/>
      </c>
    </row>
    <row r="48" spans="2:8" ht="26.1" customHeight="1" x14ac:dyDescent="0.25">
      <c r="B48" s="15" t="str">
        <f t="array" ref="B48">IFERROR(INDEX(Meeting_Log[Subject],SMALL(IF((Meeting_Log[Topic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Key])-7),8)),"")</f>
        <v/>
      </c>
      <c r="C48" s="15" t="str">
        <f t="array" ref="C48">IFERROR(INDEX(Meeting_Log[Agreed Action],SMALL(IF((Meeting_Log[Topic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Key])-7),8)),"")</f>
        <v/>
      </c>
      <c r="D48" s="15" t="str">
        <f t="array" ref="D48">IFERROR(INDEX(Meeting_Log[Owner],SMALL(IF((Meeting_Log[Topic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Key])-7),8)),"")</f>
        <v/>
      </c>
      <c r="E48" s="16" t="str">
        <f t="array" ref="E48">IFERROR(INDEX(Meeting_Log[Due Date],SMALL(IF((Meeting_Log[Topic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Key])-7),8)),"")</f>
        <v/>
      </c>
      <c r="F48" s="15" t="str">
        <f t="array" ref="F48">IFERROR(INDEX(Meeting_Log[Status],SMALL(IF((Meeting_Log[Topic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Key])-7),8)),"")</f>
        <v/>
      </c>
      <c r="G48" s="15" t="str">
        <f t="array" ref="G48">IFERROR(INDEX(Meeting_Log[Priority],SMALL(IF((Meeting_Log[Topic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Key])-7),8)),"")</f>
        <v/>
      </c>
    </row>
    <row r="49" spans="2:7" ht="26.1" customHeight="1" x14ac:dyDescent="0.25">
      <c r="B49" s="13" t="str">
        <f t="array" ref="B49">IFERROR(INDEX(Meeting_Log[Subject],SMALL(IF((Meeting_Log[Topic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Key])-7),9)),"")</f>
        <v/>
      </c>
      <c r="C49" s="13" t="str">
        <f t="array" ref="C49">IFERROR(INDEX(Meeting_Log[Agreed Action],SMALL(IF((Meeting_Log[Topic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Key])-7),9)),"")</f>
        <v/>
      </c>
      <c r="D49" s="13" t="str">
        <f t="array" ref="D49">IFERROR(INDEX(Meeting_Log[Owner],SMALL(IF((Meeting_Log[Topic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Key])-7),9)),"")</f>
        <v/>
      </c>
      <c r="E49" s="14" t="str">
        <f t="array" ref="E49">IFERROR(INDEX(Meeting_Log[Due Date],SMALL(IF((Meeting_Log[Topic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Key])-7),9)),"")</f>
        <v/>
      </c>
      <c r="F49" s="13" t="str">
        <f t="array" ref="F49">IFERROR(INDEX(Meeting_Log[Status],SMALL(IF((Meeting_Log[Topic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Key])-7),9)),"")</f>
        <v/>
      </c>
      <c r="G49" s="13" t="str">
        <f t="array" ref="G49">IFERROR(INDEX(Meeting_Log[Priority],SMALL(IF((Meeting_Log[Topic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Key])-7),9)),"")</f>
        <v/>
      </c>
    </row>
    <row r="50" spans="2:7" ht="26.1" customHeight="1" x14ac:dyDescent="0.25">
      <c r="B50" s="15" t="str">
        <f t="array" ref="B50">IFERROR(INDEX(Meeting_Log[Subject],SMALL(IF((Meeting_Log[Topic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Key])-7),10)),"")</f>
        <v/>
      </c>
      <c r="C50" s="15" t="str">
        <f t="array" ref="C50">IFERROR(INDEX(Meeting_Log[Agreed Action],SMALL(IF((Meeting_Log[Topic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Key])-7),10)),"")</f>
        <v/>
      </c>
      <c r="D50" s="15" t="str">
        <f t="array" ref="D50">IFERROR(INDEX(Meeting_Log[Owner],SMALL(IF((Meeting_Log[Topic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Key])-7),10)),"")</f>
        <v/>
      </c>
      <c r="E50" s="16" t="str">
        <f t="array" ref="E50">IFERROR(INDEX(Meeting_Log[Due Date],SMALL(IF((Meeting_Log[Topic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Key])-7),10)),"")</f>
        <v/>
      </c>
      <c r="F50" s="15" t="str">
        <f t="array" ref="F50">IFERROR(INDEX(Meeting_Log[Status],SMALL(IF((Meeting_Log[Topic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Key])-7),10)),"")</f>
        <v/>
      </c>
      <c r="G50" s="15" t="str">
        <f t="array" ref="G50">IFERROR(INDEX(Meeting_Log[Priority],SMALL(IF((Meeting_Log[Topic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Date],"&lt;="&amp;$C$5))*(Meeting_Log[Status]&lt;&gt;"Closed")*(Meeting_Log[Status]&lt;&gt;"Cancelled"),ROW(Meeting_Log[Topic Key])-7),10)),"")</f>
        <v/>
      </c>
    </row>
    <row r="52" spans="2:7" x14ac:dyDescent="0.25">
      <c r="B52" s="17" t="s">
        <v>30</v>
      </c>
    </row>
  </sheetData>
  <mergeCells count="12">
    <mergeCell ref="Q11:R11"/>
    <mergeCell ref="E11:F11"/>
    <mergeCell ref="K8:L10"/>
    <mergeCell ref="H8:I10"/>
    <mergeCell ref="Q8:R10"/>
    <mergeCell ref="E8:F10"/>
    <mergeCell ref="H11:I11"/>
    <mergeCell ref="N8:O10"/>
    <mergeCell ref="K11:L11"/>
    <mergeCell ref="B8:C10"/>
    <mergeCell ref="B11:C11"/>
    <mergeCell ref="N11:O11"/>
  </mergeCells>
  <conditionalFormatting sqref="G41:G50">
    <cfRule type="cellIs" dxfId="3" priority="1" operator="equal">
      <formula>"Critical"</formula>
    </cfRule>
  </conditionalFormatting>
  <dataValidations count="1">
    <dataValidation type="list" allowBlank="1" sqref="C15" xr:uid="{00000000-0002-0000-0000-000000000000}">
      <formula1>LIST_MEETING_TYPE</formula1>
    </dataValidation>
  </dataValidations>
  <hyperlinks>
    <hyperlink ref="B1" location="'Overview'!A1" display="Overview" xr:uid="{00000000-0004-0000-0000-000000000000}"/>
    <hyperlink ref="C1" location="'Meeting Log'!A1" display="Meeting Log" xr:uid="{00000000-0004-0000-0000-000001000000}"/>
    <hyperlink ref="D1" location="'Meeting Report'!A1" display="Meeting Report" xr:uid="{00000000-0004-0000-0000-000002000000}"/>
    <hyperlink ref="E1" location="'Lists &amp; Config'!A1" display="Lists &amp; Config" xr:uid="{00000000-0004-0000-0000-000003000000}"/>
  </hyperlink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3"/>
  <sheetViews>
    <sheetView showGridLines="0" workbookViewId="0">
      <pane xSplit="3" ySplit="7" topLeftCell="D8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.42578125" customWidth="1"/>
    <col min="2" max="2" width="22" customWidth="1"/>
    <col min="3" max="3" width="20" customWidth="1"/>
    <col min="4" max="4" width="13" customWidth="1"/>
    <col min="5" max="5" width="36" customWidth="1"/>
    <col min="6" max="6" width="32" customWidth="1"/>
    <col min="7" max="7" width="16" customWidth="1"/>
    <col min="8" max="8" width="12" customWidth="1"/>
    <col min="9" max="9" width="13" customWidth="1"/>
    <col min="10" max="10" width="11" customWidth="1"/>
    <col min="11" max="11" width="22" customWidth="1"/>
    <col min="12" max="12" width="10" customWidth="1"/>
  </cols>
  <sheetData>
    <row r="1" spans="2:12" ht="20.100000000000001" customHeight="1" x14ac:dyDescent="0.25">
      <c r="B1" s="2" t="s">
        <v>0</v>
      </c>
      <c r="C1" s="1" t="s">
        <v>1</v>
      </c>
      <c r="D1" s="2" t="s">
        <v>2</v>
      </c>
      <c r="E1" s="2" t="s">
        <v>3</v>
      </c>
    </row>
    <row r="2" spans="2:12" ht="26.1" customHeight="1" x14ac:dyDescent="0.35">
      <c r="B2" s="3" t="s">
        <v>1</v>
      </c>
    </row>
    <row r="3" spans="2:12" ht="15.95" customHeight="1" x14ac:dyDescent="0.25">
      <c r="B3" s="4" t="s">
        <v>31</v>
      </c>
    </row>
    <row r="7" spans="2:12" ht="30" customHeight="1" x14ac:dyDescent="0.25">
      <c r="B7" s="8" t="s">
        <v>19</v>
      </c>
      <c r="C7" s="8" t="s">
        <v>20</v>
      </c>
      <c r="D7" s="8" t="s">
        <v>14</v>
      </c>
      <c r="E7" s="8" t="s">
        <v>32</v>
      </c>
      <c r="F7" s="8" t="s">
        <v>33</v>
      </c>
      <c r="G7" s="8" t="s">
        <v>23</v>
      </c>
      <c r="H7" s="8" t="s">
        <v>24</v>
      </c>
      <c r="I7" s="8" t="s">
        <v>25</v>
      </c>
      <c r="J7" s="8" t="s">
        <v>29</v>
      </c>
      <c r="K7" s="8" t="s">
        <v>34</v>
      </c>
      <c r="L7" s="8" t="s">
        <v>35</v>
      </c>
    </row>
    <row r="8" spans="2:12" ht="50.1" customHeight="1" x14ac:dyDescent="0.25">
      <c r="B8" s="10" t="s">
        <v>36</v>
      </c>
      <c r="C8" s="10" t="s">
        <v>36</v>
      </c>
      <c r="D8" s="9">
        <v>46266</v>
      </c>
      <c r="E8" s="10" t="s">
        <v>37</v>
      </c>
      <c r="F8" s="10" t="s">
        <v>38</v>
      </c>
      <c r="G8" s="10" t="s">
        <v>39</v>
      </c>
      <c r="H8" s="9"/>
      <c r="I8" s="10" t="s">
        <v>40</v>
      </c>
      <c r="J8" s="10" t="s">
        <v>41</v>
      </c>
      <c r="K8" s="18" t="str">
        <f>IF($B8="","",$B8&amp;"|"&amp;$C8)</f>
        <v>Documentation|Documentation</v>
      </c>
      <c r="L8" s="18" t="str">
        <f ca="1">IF($B8="","",IF(AND($I8&lt;&gt;"Closed",$I8&lt;&gt;"Cancelled",$H8&lt;&gt;"",$H8&lt;TODAY()),"Yes","No"))</f>
        <v>No</v>
      </c>
    </row>
    <row r="9" spans="2:12" ht="50.1" customHeight="1" x14ac:dyDescent="0.25">
      <c r="B9" s="10" t="s">
        <v>36</v>
      </c>
      <c r="C9" s="10" t="s">
        <v>36</v>
      </c>
      <c r="D9" s="9">
        <v>46296</v>
      </c>
      <c r="E9" s="10" t="s">
        <v>42</v>
      </c>
      <c r="F9" s="10" t="s">
        <v>43</v>
      </c>
      <c r="G9" s="10" t="s">
        <v>39</v>
      </c>
      <c r="H9" s="9"/>
      <c r="I9" s="10" t="s">
        <v>44</v>
      </c>
      <c r="J9" s="10" t="s">
        <v>41</v>
      </c>
      <c r="K9" s="18" t="str">
        <f>IF($B9="","",$B9&amp;"|"&amp;$C9)</f>
        <v>Documentation|Documentation</v>
      </c>
      <c r="L9" s="18" t="str">
        <f ca="1">IF($B9="","",IF(AND($I9&lt;&gt;"Closed",$I9&lt;&gt;"Cancelled",$H9&lt;&gt;"",$H9&lt;TODAY()),"Yes","No"))</f>
        <v>No</v>
      </c>
    </row>
    <row r="10" spans="2:12" ht="50.1" customHeight="1" x14ac:dyDescent="0.25">
      <c r="B10" s="10" t="s">
        <v>45</v>
      </c>
      <c r="C10" s="10" t="s">
        <v>46</v>
      </c>
      <c r="D10" s="9">
        <v>46266</v>
      </c>
      <c r="E10" s="10" t="s">
        <v>47</v>
      </c>
      <c r="F10" s="10" t="s">
        <v>48</v>
      </c>
      <c r="G10" s="10" t="s">
        <v>49</v>
      </c>
      <c r="H10" s="9">
        <v>46285</v>
      </c>
      <c r="I10" s="10" t="s">
        <v>40</v>
      </c>
      <c r="J10" s="10" t="s">
        <v>50</v>
      </c>
      <c r="K10" s="18" t="str">
        <f>IF($B10="","",$B10&amp;"|"&amp;$C10)</f>
        <v>Safety|Design / Engineering</v>
      </c>
      <c r="L10" s="18" t="str">
        <f ca="1">IF($B10="","",IF(AND($I10&lt;&gt;"Closed",$I10&lt;&gt;"Cancelled",$H10&lt;&gt;"",$H10&lt;TODAY()),"Yes","No"))</f>
        <v>Yes</v>
      </c>
    </row>
    <row r="11" spans="2:12" ht="50.1" customHeight="1" x14ac:dyDescent="0.25">
      <c r="B11" s="10" t="s">
        <v>51</v>
      </c>
      <c r="C11" s="10" t="s">
        <v>52</v>
      </c>
      <c r="D11" s="9">
        <v>46296</v>
      </c>
      <c r="E11" s="10" t="s">
        <v>53</v>
      </c>
      <c r="F11" s="10" t="s">
        <v>54</v>
      </c>
      <c r="G11" s="10" t="s">
        <v>55</v>
      </c>
      <c r="H11" s="9">
        <v>46315</v>
      </c>
      <c r="I11" s="10" t="s">
        <v>40</v>
      </c>
      <c r="J11" s="10" t="s">
        <v>50</v>
      </c>
      <c r="K11" s="18" t="str">
        <f>IF($B11="","",$B11&amp;"|"&amp;$C11)</f>
        <v>Testing / Results|Testing</v>
      </c>
      <c r="L11" s="18" t="str">
        <f ca="1">IF($B11="","",IF(AND($I11&lt;&gt;"Closed",$I11&lt;&gt;"Cancelled",$H11&lt;&gt;"",$H11&lt;TODAY()),"Yes","No"))</f>
        <v>No</v>
      </c>
    </row>
    <row r="13" spans="2:12" x14ac:dyDescent="0.25">
      <c r="B13" s="17" t="s">
        <v>30</v>
      </c>
    </row>
  </sheetData>
  <conditionalFormatting sqref="B8:L11">
    <cfRule type="expression" dxfId="2" priority="1">
      <formula>AND($I8&lt;&gt;"Closed",$L8="Yes")</formula>
    </cfRule>
    <cfRule type="expression" dxfId="1" priority="2">
      <formula>$I8="Closed"</formula>
    </cfRule>
    <cfRule type="expression" dxfId="0" priority="3">
      <formula>OR($I8="On Hold",$I8="Cancelled")</formula>
    </cfRule>
  </conditionalFormatting>
  <dataValidations count="4">
    <dataValidation type="list" allowBlank="1" sqref="B8:B11" xr:uid="{00000000-0002-0000-0100-000000000000}">
      <formula1>LIST_SUBJECT</formula1>
    </dataValidation>
    <dataValidation type="list" allowBlank="1" sqref="C8:C11" xr:uid="{00000000-0002-0000-0100-000001000000}">
      <formula1>LIST_SUBTOPIC</formula1>
    </dataValidation>
    <dataValidation type="list" allowBlank="1" sqref="I8:I11" xr:uid="{00000000-0002-0000-0100-000002000000}">
      <formula1>LIST_STATUS</formula1>
    </dataValidation>
    <dataValidation type="list" allowBlank="1" sqref="J8:J11" xr:uid="{00000000-0002-0000-0100-000003000000}">
      <formula1>LIST_PRIORITY</formula1>
    </dataValidation>
  </dataValidations>
  <hyperlinks>
    <hyperlink ref="B1" location="'Overview'!A1" display="Overview" xr:uid="{00000000-0004-0000-0100-000000000000}"/>
    <hyperlink ref="C1" location="'Meeting Log'!A1" display="Meeting Log" xr:uid="{00000000-0004-0000-0100-000001000000}"/>
    <hyperlink ref="D1" location="'Meeting Report'!A1" display="Meeting Report" xr:uid="{00000000-0004-0000-0100-000002000000}"/>
    <hyperlink ref="E1" location="'Lists &amp; Config'!A1" display="Lists &amp; Config" xr:uid="{00000000-0004-0000-0100-000003000000}"/>
  </hyperlink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50"/>
  <sheetViews>
    <sheetView showGridLines="0" workbookViewId="0"/>
  </sheetViews>
  <sheetFormatPr baseColWidth="10" defaultColWidth="9.140625" defaultRowHeight="15" x14ac:dyDescent="0.25"/>
  <cols>
    <col min="1" max="1" width="2.42578125" customWidth="1"/>
    <col min="2" max="2" width="18" customWidth="1"/>
    <col min="3" max="3" width="36" customWidth="1"/>
    <col min="4" max="4" width="14" customWidth="1"/>
    <col min="5" max="5" width="12" customWidth="1"/>
    <col min="6" max="6" width="13" customWidth="1"/>
    <col min="7" max="7" width="12" customWidth="1"/>
    <col min="8" max="8" width="13" customWidth="1"/>
  </cols>
  <sheetData>
    <row r="1" spans="2:8" ht="20.100000000000001" customHeight="1" x14ac:dyDescent="0.25">
      <c r="B1" s="2" t="s">
        <v>0</v>
      </c>
      <c r="C1" s="2" t="s">
        <v>1</v>
      </c>
      <c r="D1" s="1" t="s">
        <v>2</v>
      </c>
      <c r="E1" s="2" t="s">
        <v>3</v>
      </c>
    </row>
    <row r="2" spans="2:8" ht="26.1" customHeight="1" x14ac:dyDescent="0.35">
      <c r="B2" s="3" t="s">
        <v>2</v>
      </c>
    </row>
    <row r="3" spans="2:8" ht="15.95" customHeight="1" x14ac:dyDescent="0.25">
      <c r="B3" s="4" t="s">
        <v>56</v>
      </c>
    </row>
    <row r="5" spans="2:8" x14ac:dyDescent="0.25">
      <c r="B5" s="5" t="s">
        <v>57</v>
      </c>
      <c r="C5" s="19">
        <f>Overview!$C$5</f>
        <v>46296</v>
      </c>
      <c r="E5" s="5" t="s">
        <v>58</v>
      </c>
      <c r="F5" s="20" t="str">
        <f>IFERROR(INDEX(Attendees_Log[Meeting Type],MATCH($C$5,Attendees_Log[Meeting Date],0)),"")</f>
        <v>Monthly</v>
      </c>
    </row>
    <row r="6" spans="2:8" x14ac:dyDescent="0.25">
      <c r="B6" s="5" t="s">
        <v>59</v>
      </c>
      <c r="C6" s="32" t="str">
        <f>IFERROR(INDEX(Attendees_Log[Attendees],MATCH($C$5,Attendees_Log[Meeting Date],0)),"")</f>
        <v>Person A, Person B, Contractor A representative</v>
      </c>
      <c r="D6" s="25"/>
      <c r="E6" s="25"/>
      <c r="F6" s="25"/>
      <c r="G6" s="25"/>
      <c r="H6" s="25"/>
    </row>
    <row r="8" spans="2:8" ht="21.95" customHeight="1" x14ac:dyDescent="0.25">
      <c r="B8" s="11" t="s">
        <v>60</v>
      </c>
      <c r="C8" s="11"/>
      <c r="D8" s="11"/>
      <c r="E8" s="11"/>
      <c r="F8" s="11"/>
      <c r="G8" s="11"/>
    </row>
    <row r="9" spans="2:8" x14ac:dyDescent="0.25">
      <c r="B9" s="12" t="s">
        <v>19</v>
      </c>
      <c r="C9" s="12" t="s">
        <v>20</v>
      </c>
      <c r="D9" s="12" t="s">
        <v>21</v>
      </c>
      <c r="E9" s="12" t="s">
        <v>22</v>
      </c>
      <c r="F9" s="12" t="s">
        <v>23</v>
      </c>
      <c r="G9" s="12" t="s">
        <v>25</v>
      </c>
    </row>
    <row r="10" spans="2:8" ht="26.1" customHeight="1" x14ac:dyDescent="0.25">
      <c r="B10" s="13" t="str">
        <f t="array" ref="B10">IFERROR(INDEX(Meeting_Log[Subject],SMALL(IF((Meeting_Log[Topic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Key])-7),1)),"")</f>
        <v>Documentation</v>
      </c>
      <c r="C10" s="13" t="str">
        <f t="array" ref="C10">IFERROR(INDEX(Meeting_Log[Sub-topic],SMALL(IF((Meeting_Log[Topic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Key])-7),1)),"")</f>
        <v>Documentation</v>
      </c>
      <c r="D10" s="13" t="str">
        <f t="array" ref="D10">IFERROR(INDEX(Meeting_Log[Discussion / Notes],SMALL(IF((Meeting_Log[Topic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Key])-7),1)),"")</f>
        <v>Document A cannot be validated - missing the calibration certificate.</v>
      </c>
      <c r="E10" s="13" t="str">
        <f t="array" ref="E10">IFERROR(INDEX(Meeting_Log[Agreed Action],SMALL(IF((Meeting_Log[Topic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Key])-7),1)),"")</f>
        <v>J. Smith to retrieve the missing certificate.</v>
      </c>
      <c r="F10" s="13" t="str">
        <f t="array" ref="F10">IFERROR(INDEX(Meeting_Log[Owner],SMALL(IF((Meeting_Log[Topic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Key])-7),1)),"")</f>
        <v>J. Smith</v>
      </c>
      <c r="G10" s="13" t="str">
        <f t="array" ref="G10">IFERROR(INDEX(Meeting_Log[Status],SMALL(IF((Meeting_Log[Topic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Key])-7),1)),"")</f>
        <v>Open</v>
      </c>
    </row>
    <row r="11" spans="2:8" ht="26.1" customHeight="1" x14ac:dyDescent="0.25">
      <c r="B11" s="15" t="str">
        <f t="array" ref="B11">IFERROR(INDEX(Meeting_Log[Subject],SMALL(IF((Meeting_Log[Topic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Key])-7),2)),"")</f>
        <v>Safety</v>
      </c>
      <c r="C11" s="15" t="str">
        <f t="array" ref="C11">IFERROR(INDEX(Meeting_Log[Sub-topic],SMALL(IF((Meeting_Log[Topic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Key])-7),2)),"")</f>
        <v>Design / Engineering</v>
      </c>
      <c r="D11" s="15" t="str">
        <f t="array" ref="D11">IFERROR(INDEX(Meeting_Log[Discussion / Notes],SMALL(IF((Meeting_Log[Topic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Key])-7),2)),"")</f>
        <v>SSOW draft submitted for review.</v>
      </c>
      <c r="E11" s="15" t="str">
        <f t="array" ref="E11">IFERROR(INDEX(Meeting_Log[Agreed Action],SMALL(IF((Meeting_Log[Topic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Key])-7),2)),"")</f>
        <v>R. Taylor to review and approve the SSOW.</v>
      </c>
      <c r="F11" s="15" t="str">
        <f t="array" ref="F11">IFERROR(INDEX(Meeting_Log[Owner],SMALL(IF((Meeting_Log[Topic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Key])-7),2)),"")</f>
        <v>R. Taylor</v>
      </c>
      <c r="G11" s="15" t="str">
        <f t="array" ref="G11">IFERROR(INDEX(Meeting_Log[Status],SMALL(IF((Meeting_Log[Topic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Key])-7),2)),"")</f>
        <v>Open</v>
      </c>
    </row>
    <row r="12" spans="2:8" ht="26.1" customHeight="1" x14ac:dyDescent="0.25">
      <c r="B12" s="13" t="str">
        <f t="array" ref="B12">IFERROR(INDEX(Meeting_Log[Subject],SMALL(IF((Meeting_Log[Topic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Key])-7),3)),"")</f>
        <v/>
      </c>
      <c r="C12" s="13" t="str">
        <f t="array" ref="C12">IFERROR(INDEX(Meeting_Log[Sub-topic],SMALL(IF((Meeting_Log[Topic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Key])-7),3)),"")</f>
        <v/>
      </c>
      <c r="D12" s="13" t="str">
        <f t="array" ref="D12">IFERROR(INDEX(Meeting_Log[Discussion / Notes],SMALL(IF((Meeting_Log[Topic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Key])-7),3)),"")</f>
        <v/>
      </c>
      <c r="E12" s="13" t="str">
        <f t="array" ref="E12">IFERROR(INDEX(Meeting_Log[Agreed Action],SMALL(IF((Meeting_Log[Topic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Key])-7),3)),"")</f>
        <v/>
      </c>
      <c r="F12" s="13" t="str">
        <f t="array" ref="F12">IFERROR(INDEX(Meeting_Log[Owner],SMALL(IF((Meeting_Log[Topic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Key])-7),3)),"")</f>
        <v/>
      </c>
      <c r="G12" s="13" t="str">
        <f t="array" ref="G12">IFERROR(INDEX(Meeting_Log[Status],SMALL(IF((Meeting_Log[Topic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Key])-7),3)),"")</f>
        <v/>
      </c>
    </row>
    <row r="13" spans="2:8" ht="26.1" customHeight="1" x14ac:dyDescent="0.25">
      <c r="B13" s="15" t="str">
        <f t="array" ref="B13">IFERROR(INDEX(Meeting_Log[Subject],SMALL(IF((Meeting_Log[Topic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Key])-7),4)),"")</f>
        <v/>
      </c>
      <c r="C13" s="15" t="str">
        <f t="array" ref="C13">IFERROR(INDEX(Meeting_Log[Sub-topic],SMALL(IF((Meeting_Log[Topic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Key])-7),4)),"")</f>
        <v/>
      </c>
      <c r="D13" s="15" t="str">
        <f t="array" ref="D13">IFERROR(INDEX(Meeting_Log[Discussion / Notes],SMALL(IF((Meeting_Log[Topic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Key])-7),4)),"")</f>
        <v/>
      </c>
      <c r="E13" s="15" t="str">
        <f t="array" ref="E13">IFERROR(INDEX(Meeting_Log[Agreed Action],SMALL(IF((Meeting_Log[Topic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Key])-7),4)),"")</f>
        <v/>
      </c>
      <c r="F13" s="15" t="str">
        <f t="array" ref="F13">IFERROR(INDEX(Meeting_Log[Owner],SMALL(IF((Meeting_Log[Topic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Key])-7),4)),"")</f>
        <v/>
      </c>
      <c r="G13" s="15" t="str">
        <f t="array" ref="G13">IFERROR(INDEX(Meeting_Log[Status],SMALL(IF((Meeting_Log[Topic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Key])-7),4)),"")</f>
        <v/>
      </c>
    </row>
    <row r="14" spans="2:8" ht="26.1" customHeight="1" x14ac:dyDescent="0.25">
      <c r="B14" s="13" t="str">
        <f t="array" ref="B14">IFERROR(INDEX(Meeting_Log[Subject],SMALL(IF((Meeting_Log[Topic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Key])-7),5)),"")</f>
        <v/>
      </c>
      <c r="C14" s="13" t="str">
        <f t="array" ref="C14">IFERROR(INDEX(Meeting_Log[Sub-topic],SMALL(IF((Meeting_Log[Topic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Key])-7),5)),"")</f>
        <v/>
      </c>
      <c r="D14" s="13" t="str">
        <f t="array" ref="D14">IFERROR(INDEX(Meeting_Log[Discussion / Notes],SMALL(IF((Meeting_Log[Topic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Key])-7),5)),"")</f>
        <v/>
      </c>
      <c r="E14" s="13" t="str">
        <f t="array" ref="E14">IFERROR(INDEX(Meeting_Log[Agreed Action],SMALL(IF((Meeting_Log[Topic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Key])-7),5)),"")</f>
        <v/>
      </c>
      <c r="F14" s="13" t="str">
        <f t="array" ref="F14">IFERROR(INDEX(Meeting_Log[Owner],SMALL(IF((Meeting_Log[Topic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Key])-7),5)),"")</f>
        <v/>
      </c>
      <c r="G14" s="13" t="str">
        <f t="array" ref="G14">IFERROR(INDEX(Meeting_Log[Status],SMALL(IF((Meeting_Log[Topic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Key])-7),5)),"")</f>
        <v/>
      </c>
    </row>
    <row r="15" spans="2:8" ht="26.1" customHeight="1" x14ac:dyDescent="0.25">
      <c r="B15" s="15" t="str">
        <f t="array" ref="B15">IFERROR(INDEX(Meeting_Log[Subject],SMALL(IF((Meeting_Log[Topic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Key])-7),6)),"")</f>
        <v/>
      </c>
      <c r="C15" s="15" t="str">
        <f t="array" ref="C15">IFERROR(INDEX(Meeting_Log[Sub-topic],SMALL(IF((Meeting_Log[Topic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Key])-7),6)),"")</f>
        <v/>
      </c>
      <c r="D15" s="15" t="str">
        <f t="array" ref="D15">IFERROR(INDEX(Meeting_Log[Discussion / Notes],SMALL(IF((Meeting_Log[Topic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Key])-7),6)),"")</f>
        <v/>
      </c>
      <c r="E15" s="15" t="str">
        <f t="array" ref="E15">IFERROR(INDEX(Meeting_Log[Agreed Action],SMALL(IF((Meeting_Log[Topic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Key])-7),6)),"")</f>
        <v/>
      </c>
      <c r="F15" s="15" t="str">
        <f t="array" ref="F15">IFERROR(INDEX(Meeting_Log[Owner],SMALL(IF((Meeting_Log[Topic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Key])-7),6)),"")</f>
        <v/>
      </c>
      <c r="G15" s="15" t="str">
        <f t="array" ref="G15">IFERROR(INDEX(Meeting_Log[Status],SMALL(IF((Meeting_Log[Topic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Key])-7),6)),"")</f>
        <v/>
      </c>
    </row>
    <row r="16" spans="2:8" ht="26.1" customHeight="1" x14ac:dyDescent="0.25">
      <c r="B16" s="13" t="str">
        <f t="array" ref="B16">IFERROR(INDEX(Meeting_Log[Subject],SMALL(IF((Meeting_Log[Topic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Key])-7),7)),"")</f>
        <v/>
      </c>
      <c r="C16" s="13" t="str">
        <f t="array" ref="C16">IFERROR(INDEX(Meeting_Log[Sub-topic],SMALL(IF((Meeting_Log[Topic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Key])-7),7)),"")</f>
        <v/>
      </c>
      <c r="D16" s="13" t="str">
        <f t="array" ref="D16">IFERROR(INDEX(Meeting_Log[Discussion / Notes],SMALL(IF((Meeting_Log[Topic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Key])-7),7)),"")</f>
        <v/>
      </c>
      <c r="E16" s="13" t="str">
        <f t="array" ref="E16">IFERROR(INDEX(Meeting_Log[Agreed Action],SMALL(IF((Meeting_Log[Topic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Key])-7),7)),"")</f>
        <v/>
      </c>
      <c r="F16" s="13" t="str">
        <f t="array" ref="F16">IFERROR(INDEX(Meeting_Log[Owner],SMALL(IF((Meeting_Log[Topic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Key])-7),7)),"")</f>
        <v/>
      </c>
      <c r="G16" s="13" t="str">
        <f t="array" ref="G16">IFERROR(INDEX(Meeting_Log[Status],SMALL(IF((Meeting_Log[Topic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Key])-7),7)),"")</f>
        <v/>
      </c>
    </row>
    <row r="17" spans="2:8" ht="26.1" customHeight="1" x14ac:dyDescent="0.25">
      <c r="B17" s="15" t="str">
        <f t="array" ref="B17">IFERROR(INDEX(Meeting_Log[Subject],SMALL(IF((Meeting_Log[Topic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Key])-7),8)),"")</f>
        <v/>
      </c>
      <c r="C17" s="15" t="str">
        <f t="array" ref="C17">IFERROR(INDEX(Meeting_Log[Sub-topic],SMALL(IF((Meeting_Log[Topic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Key])-7),8)),"")</f>
        <v/>
      </c>
      <c r="D17" s="15" t="str">
        <f t="array" ref="D17">IFERROR(INDEX(Meeting_Log[Discussion / Notes],SMALL(IF((Meeting_Log[Topic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Key])-7),8)),"")</f>
        <v/>
      </c>
      <c r="E17" s="15" t="str">
        <f t="array" ref="E17">IFERROR(INDEX(Meeting_Log[Agreed Action],SMALL(IF((Meeting_Log[Topic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Key])-7),8)),"")</f>
        <v/>
      </c>
      <c r="F17" s="15" t="str">
        <f t="array" ref="F17">IFERROR(INDEX(Meeting_Log[Owner],SMALL(IF((Meeting_Log[Topic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Key])-7),8)),"")</f>
        <v/>
      </c>
      <c r="G17" s="15" t="str">
        <f t="array" ref="G17">IFERROR(INDEX(Meeting_Log[Status],SMALL(IF((Meeting_Log[Topic Key]&lt;&gt;"")*(Meeting_Log[Meeting Date]&lt;$C$5)*(Meeting_Log[Meeting Date]=_xlfn.MAXIFS(Meeting_Log[Meeting Date],Meeting_Log[Topic Key],Meeting_Log[Topic Key],Meeting_Log[Meeting Date],"&lt;"&amp;$C$5))*(Meeting_Log[Status]&lt;&gt;"Closed")*(Meeting_Log[Status]&lt;&gt;"Cancelled"),ROW(Meeting_Log[Topic Key])-7),8)),"")</f>
        <v/>
      </c>
    </row>
    <row r="19" spans="2:8" ht="21.95" customHeight="1" x14ac:dyDescent="0.25">
      <c r="B19" s="11" t="s">
        <v>61</v>
      </c>
      <c r="C19" s="11"/>
      <c r="D19" s="11"/>
      <c r="E19" s="11"/>
      <c r="F19" s="11"/>
      <c r="G19" s="11"/>
      <c r="H19" s="11"/>
    </row>
    <row r="20" spans="2:8" ht="24" x14ac:dyDescent="0.25">
      <c r="B20" s="12" t="s">
        <v>19</v>
      </c>
      <c r="C20" s="12" t="s">
        <v>20</v>
      </c>
      <c r="D20" s="12" t="s">
        <v>32</v>
      </c>
      <c r="E20" s="12" t="s">
        <v>33</v>
      </c>
      <c r="F20" s="12" t="s">
        <v>23</v>
      </c>
      <c r="G20" s="12" t="s">
        <v>24</v>
      </c>
      <c r="H20" s="12" t="s">
        <v>25</v>
      </c>
    </row>
    <row r="21" spans="2:8" ht="26.1" customHeight="1" x14ac:dyDescent="0.25">
      <c r="B21" s="13" t="str">
        <f t="array" ref="B21">IFERROR(INDEX(Meeting_Log[Subject],SMALL(IF((Meeting_Log[Topic Key]&lt;&gt;"")*(Meeting_Log[Meeting Date]=$C$5)*(COUNTIFS(Meeting_Log[Topic Key],Meeting_Log[Topic Key],Meeting_Log[Meeting Date],"&lt;"&amp;$C$5)=0),ROW(Meeting_Log[Topic Key])-7),1)),"")</f>
        <v>Testing / Results</v>
      </c>
      <c r="C21" s="13" t="str">
        <f t="array" ref="C21">IFERROR(INDEX(Meeting_Log[Sub-topic],SMALL(IF((Meeting_Log[Topic Key]&lt;&gt;"")*(Meeting_Log[Meeting Date]=$C$5)*(COUNTIFS(Meeting_Log[Topic Key],Meeting_Log[Topic Key],Meeting_Log[Meeting Date],"&lt;"&amp;$C$5)=0),ROW(Meeting_Log[Topic Key])-7),1)),"")</f>
        <v>Testing</v>
      </c>
      <c r="D21" s="13" t="str">
        <f t="array" ref="D21">IFERROR(INDEX(Meeting_Log[Discussion / Notes],SMALL(IF((Meeting_Log[Topic Key]&lt;&gt;"")*(Meeting_Log[Meeting Date]=$C$5)*(COUNTIFS(Meeting_Log[Topic Key],Meeting_Log[Topic Key],Meeting_Log[Meeting Date],"&lt;"&amp;$C$5)=0),ROW(Meeting_Log[Topic Key])-7),1)),"")</f>
        <v>First functional test results reviewed.</v>
      </c>
      <c r="E21" s="13" t="str">
        <f t="array" ref="E21">IFERROR(INDEX(Meeting_Log[Agreed Action],SMALL(IF((Meeting_Log[Topic Key]&lt;&gt;"")*(Meeting_Log[Meeting Date]=$C$5)*(COUNTIFS(Meeting_Log[Topic Key],Meeting_Log[Topic Key],Meeting_Log[Meeting Date],"&lt;"&amp;$C$5)=0),ROW(Meeting_Log[Topic Key])-7),1)),"")</f>
        <v>A. Brown to issue the test report.</v>
      </c>
      <c r="F21" s="13" t="str">
        <f t="array" ref="F21">IFERROR(INDEX(Meeting_Log[Owner],SMALL(IF((Meeting_Log[Topic Key]&lt;&gt;"")*(Meeting_Log[Meeting Date]=$C$5)*(COUNTIFS(Meeting_Log[Topic Key],Meeting_Log[Topic Key],Meeting_Log[Meeting Date],"&lt;"&amp;$C$5)=0),ROW(Meeting_Log[Topic Key])-7),1)),"")</f>
        <v>A. Brown</v>
      </c>
      <c r="G21" s="14">
        <f t="array" ref="G21">IFERROR(INDEX(Meeting_Log[Due Date],SMALL(IF((Meeting_Log[Topic Key]&lt;&gt;"")*(Meeting_Log[Meeting Date]=$C$5)*(COUNTIFS(Meeting_Log[Topic Key],Meeting_Log[Topic Key],Meeting_Log[Meeting Date],"&lt;"&amp;$C$5)=0),ROW(Meeting_Log[Topic Key])-7),1)),"")</f>
        <v>46315</v>
      </c>
      <c r="H21" s="13" t="str">
        <f t="array" ref="H21">IFERROR(INDEX(Meeting_Log[Status],SMALL(IF((Meeting_Log[Topic Key]&lt;&gt;"")*(Meeting_Log[Meeting Date]=$C$5)*(COUNTIFS(Meeting_Log[Topic Key],Meeting_Log[Topic Key],Meeting_Log[Meeting Date],"&lt;"&amp;$C$5)=0),ROW(Meeting_Log[Topic Key])-7),1)),"")</f>
        <v>Open</v>
      </c>
    </row>
    <row r="22" spans="2:8" ht="26.1" customHeight="1" x14ac:dyDescent="0.25">
      <c r="B22" s="15" t="str">
        <f t="array" ref="B22">IFERROR(INDEX(Meeting_Log[Subject],SMALL(IF((Meeting_Log[Topic Key]&lt;&gt;"")*(Meeting_Log[Meeting Date]=$C$5)*(COUNTIFS(Meeting_Log[Topic Key],Meeting_Log[Topic Key],Meeting_Log[Meeting Date],"&lt;"&amp;$C$5)=0),ROW(Meeting_Log[Topic Key])-7),2)),"")</f>
        <v/>
      </c>
      <c r="C22" s="15" t="str">
        <f t="array" ref="C22">IFERROR(INDEX(Meeting_Log[Sub-topic],SMALL(IF((Meeting_Log[Topic Key]&lt;&gt;"")*(Meeting_Log[Meeting Date]=$C$5)*(COUNTIFS(Meeting_Log[Topic Key],Meeting_Log[Topic Key],Meeting_Log[Meeting Date],"&lt;"&amp;$C$5)=0),ROW(Meeting_Log[Topic Key])-7),2)),"")</f>
        <v/>
      </c>
      <c r="D22" s="15" t="str">
        <f t="array" ref="D22">IFERROR(INDEX(Meeting_Log[Discussion / Notes],SMALL(IF((Meeting_Log[Topic Key]&lt;&gt;"")*(Meeting_Log[Meeting Date]=$C$5)*(COUNTIFS(Meeting_Log[Topic Key],Meeting_Log[Topic Key],Meeting_Log[Meeting Date],"&lt;"&amp;$C$5)=0),ROW(Meeting_Log[Topic Key])-7),2)),"")</f>
        <v/>
      </c>
      <c r="E22" s="15" t="str">
        <f t="array" ref="E22">IFERROR(INDEX(Meeting_Log[Agreed Action],SMALL(IF((Meeting_Log[Topic Key]&lt;&gt;"")*(Meeting_Log[Meeting Date]=$C$5)*(COUNTIFS(Meeting_Log[Topic Key],Meeting_Log[Topic Key],Meeting_Log[Meeting Date],"&lt;"&amp;$C$5)=0),ROW(Meeting_Log[Topic Key])-7),2)),"")</f>
        <v/>
      </c>
      <c r="F22" s="15" t="str">
        <f t="array" ref="F22">IFERROR(INDEX(Meeting_Log[Owner],SMALL(IF((Meeting_Log[Topic Key]&lt;&gt;"")*(Meeting_Log[Meeting Date]=$C$5)*(COUNTIFS(Meeting_Log[Topic Key],Meeting_Log[Topic Key],Meeting_Log[Meeting Date],"&lt;"&amp;$C$5)=0),ROW(Meeting_Log[Topic Key])-7),2)),"")</f>
        <v/>
      </c>
      <c r="G22" s="16" t="str">
        <f t="array" ref="G22">IFERROR(INDEX(Meeting_Log[Due Date],SMALL(IF((Meeting_Log[Topic Key]&lt;&gt;"")*(Meeting_Log[Meeting Date]=$C$5)*(COUNTIFS(Meeting_Log[Topic Key],Meeting_Log[Topic Key],Meeting_Log[Meeting Date],"&lt;"&amp;$C$5)=0),ROW(Meeting_Log[Topic Key])-7),2)),"")</f>
        <v/>
      </c>
      <c r="H22" s="15" t="str">
        <f t="array" ref="H22">IFERROR(INDEX(Meeting_Log[Status],SMALL(IF((Meeting_Log[Topic Key]&lt;&gt;"")*(Meeting_Log[Meeting Date]=$C$5)*(COUNTIFS(Meeting_Log[Topic Key],Meeting_Log[Topic Key],Meeting_Log[Meeting Date],"&lt;"&amp;$C$5)=0),ROW(Meeting_Log[Topic Key])-7),2)),"")</f>
        <v/>
      </c>
    </row>
    <row r="23" spans="2:8" ht="26.1" customHeight="1" x14ac:dyDescent="0.25">
      <c r="B23" s="13" t="str">
        <f t="array" ref="B23">IFERROR(INDEX(Meeting_Log[Subject],SMALL(IF((Meeting_Log[Topic Key]&lt;&gt;"")*(Meeting_Log[Meeting Date]=$C$5)*(COUNTIFS(Meeting_Log[Topic Key],Meeting_Log[Topic Key],Meeting_Log[Meeting Date],"&lt;"&amp;$C$5)=0),ROW(Meeting_Log[Topic Key])-7),3)),"")</f>
        <v/>
      </c>
      <c r="C23" s="13" t="str">
        <f t="array" ref="C23">IFERROR(INDEX(Meeting_Log[Sub-topic],SMALL(IF((Meeting_Log[Topic Key]&lt;&gt;"")*(Meeting_Log[Meeting Date]=$C$5)*(COUNTIFS(Meeting_Log[Topic Key],Meeting_Log[Topic Key],Meeting_Log[Meeting Date],"&lt;"&amp;$C$5)=0),ROW(Meeting_Log[Topic Key])-7),3)),"")</f>
        <v/>
      </c>
      <c r="D23" s="13" t="str">
        <f t="array" ref="D23">IFERROR(INDEX(Meeting_Log[Discussion / Notes],SMALL(IF((Meeting_Log[Topic Key]&lt;&gt;"")*(Meeting_Log[Meeting Date]=$C$5)*(COUNTIFS(Meeting_Log[Topic Key],Meeting_Log[Topic Key],Meeting_Log[Meeting Date],"&lt;"&amp;$C$5)=0),ROW(Meeting_Log[Topic Key])-7),3)),"")</f>
        <v/>
      </c>
      <c r="E23" s="13" t="str">
        <f t="array" ref="E23">IFERROR(INDEX(Meeting_Log[Agreed Action],SMALL(IF((Meeting_Log[Topic Key]&lt;&gt;"")*(Meeting_Log[Meeting Date]=$C$5)*(COUNTIFS(Meeting_Log[Topic Key],Meeting_Log[Topic Key],Meeting_Log[Meeting Date],"&lt;"&amp;$C$5)=0),ROW(Meeting_Log[Topic Key])-7),3)),"")</f>
        <v/>
      </c>
      <c r="F23" s="13" t="str">
        <f t="array" ref="F23">IFERROR(INDEX(Meeting_Log[Owner],SMALL(IF((Meeting_Log[Topic Key]&lt;&gt;"")*(Meeting_Log[Meeting Date]=$C$5)*(COUNTIFS(Meeting_Log[Topic Key],Meeting_Log[Topic Key],Meeting_Log[Meeting Date],"&lt;"&amp;$C$5)=0),ROW(Meeting_Log[Topic Key])-7),3)),"")</f>
        <v/>
      </c>
      <c r="G23" s="14" t="str">
        <f t="array" ref="G23">IFERROR(INDEX(Meeting_Log[Due Date],SMALL(IF((Meeting_Log[Topic Key]&lt;&gt;"")*(Meeting_Log[Meeting Date]=$C$5)*(COUNTIFS(Meeting_Log[Topic Key],Meeting_Log[Topic Key],Meeting_Log[Meeting Date],"&lt;"&amp;$C$5)=0),ROW(Meeting_Log[Topic Key])-7),3)),"")</f>
        <v/>
      </c>
      <c r="H23" s="13" t="str">
        <f t="array" ref="H23">IFERROR(INDEX(Meeting_Log[Status],SMALL(IF((Meeting_Log[Topic Key]&lt;&gt;"")*(Meeting_Log[Meeting Date]=$C$5)*(COUNTIFS(Meeting_Log[Topic Key],Meeting_Log[Topic Key],Meeting_Log[Meeting Date],"&lt;"&amp;$C$5)=0),ROW(Meeting_Log[Topic Key])-7),3)),"")</f>
        <v/>
      </c>
    </row>
    <row r="24" spans="2:8" ht="26.1" customHeight="1" x14ac:dyDescent="0.25">
      <c r="B24" s="15" t="str">
        <f t="array" ref="B24">IFERROR(INDEX(Meeting_Log[Subject],SMALL(IF((Meeting_Log[Topic Key]&lt;&gt;"")*(Meeting_Log[Meeting Date]=$C$5)*(COUNTIFS(Meeting_Log[Topic Key],Meeting_Log[Topic Key],Meeting_Log[Meeting Date],"&lt;"&amp;$C$5)=0),ROW(Meeting_Log[Topic Key])-7),4)),"")</f>
        <v/>
      </c>
      <c r="C24" s="15" t="str">
        <f t="array" ref="C24">IFERROR(INDEX(Meeting_Log[Sub-topic],SMALL(IF((Meeting_Log[Topic Key]&lt;&gt;"")*(Meeting_Log[Meeting Date]=$C$5)*(COUNTIFS(Meeting_Log[Topic Key],Meeting_Log[Topic Key],Meeting_Log[Meeting Date],"&lt;"&amp;$C$5)=0),ROW(Meeting_Log[Topic Key])-7),4)),"")</f>
        <v/>
      </c>
      <c r="D24" s="15" t="str">
        <f t="array" ref="D24">IFERROR(INDEX(Meeting_Log[Discussion / Notes],SMALL(IF((Meeting_Log[Topic Key]&lt;&gt;"")*(Meeting_Log[Meeting Date]=$C$5)*(COUNTIFS(Meeting_Log[Topic Key],Meeting_Log[Topic Key],Meeting_Log[Meeting Date],"&lt;"&amp;$C$5)=0),ROW(Meeting_Log[Topic Key])-7),4)),"")</f>
        <v/>
      </c>
      <c r="E24" s="15" t="str">
        <f t="array" ref="E24">IFERROR(INDEX(Meeting_Log[Agreed Action],SMALL(IF((Meeting_Log[Topic Key]&lt;&gt;"")*(Meeting_Log[Meeting Date]=$C$5)*(COUNTIFS(Meeting_Log[Topic Key],Meeting_Log[Topic Key],Meeting_Log[Meeting Date],"&lt;"&amp;$C$5)=0),ROW(Meeting_Log[Topic Key])-7),4)),"")</f>
        <v/>
      </c>
      <c r="F24" s="15" t="str">
        <f t="array" ref="F24">IFERROR(INDEX(Meeting_Log[Owner],SMALL(IF((Meeting_Log[Topic Key]&lt;&gt;"")*(Meeting_Log[Meeting Date]=$C$5)*(COUNTIFS(Meeting_Log[Topic Key],Meeting_Log[Topic Key],Meeting_Log[Meeting Date],"&lt;"&amp;$C$5)=0),ROW(Meeting_Log[Topic Key])-7),4)),"")</f>
        <v/>
      </c>
      <c r="G24" s="16" t="str">
        <f t="array" ref="G24">IFERROR(INDEX(Meeting_Log[Due Date],SMALL(IF((Meeting_Log[Topic Key]&lt;&gt;"")*(Meeting_Log[Meeting Date]=$C$5)*(COUNTIFS(Meeting_Log[Topic Key],Meeting_Log[Topic Key],Meeting_Log[Meeting Date],"&lt;"&amp;$C$5)=0),ROW(Meeting_Log[Topic Key])-7),4)),"")</f>
        <v/>
      </c>
      <c r="H24" s="15" t="str">
        <f t="array" ref="H24">IFERROR(INDEX(Meeting_Log[Status],SMALL(IF((Meeting_Log[Topic Key]&lt;&gt;"")*(Meeting_Log[Meeting Date]=$C$5)*(COUNTIFS(Meeting_Log[Topic Key],Meeting_Log[Topic Key],Meeting_Log[Meeting Date],"&lt;"&amp;$C$5)=0),ROW(Meeting_Log[Topic Key])-7),4)),"")</f>
        <v/>
      </c>
    </row>
    <row r="25" spans="2:8" ht="26.1" customHeight="1" x14ac:dyDescent="0.25">
      <c r="B25" s="13" t="str">
        <f t="array" ref="B25">IFERROR(INDEX(Meeting_Log[Subject],SMALL(IF((Meeting_Log[Topic Key]&lt;&gt;"")*(Meeting_Log[Meeting Date]=$C$5)*(COUNTIFS(Meeting_Log[Topic Key],Meeting_Log[Topic Key],Meeting_Log[Meeting Date],"&lt;"&amp;$C$5)=0),ROW(Meeting_Log[Topic Key])-7),5)),"")</f>
        <v/>
      </c>
      <c r="C25" s="13" t="str">
        <f t="array" ref="C25">IFERROR(INDEX(Meeting_Log[Sub-topic],SMALL(IF((Meeting_Log[Topic Key]&lt;&gt;"")*(Meeting_Log[Meeting Date]=$C$5)*(COUNTIFS(Meeting_Log[Topic Key],Meeting_Log[Topic Key],Meeting_Log[Meeting Date],"&lt;"&amp;$C$5)=0),ROW(Meeting_Log[Topic Key])-7),5)),"")</f>
        <v/>
      </c>
      <c r="D25" s="13" t="str">
        <f t="array" ref="D25">IFERROR(INDEX(Meeting_Log[Discussion / Notes],SMALL(IF((Meeting_Log[Topic Key]&lt;&gt;"")*(Meeting_Log[Meeting Date]=$C$5)*(COUNTIFS(Meeting_Log[Topic Key],Meeting_Log[Topic Key],Meeting_Log[Meeting Date],"&lt;"&amp;$C$5)=0),ROW(Meeting_Log[Topic Key])-7),5)),"")</f>
        <v/>
      </c>
      <c r="E25" s="13" t="str">
        <f t="array" ref="E25">IFERROR(INDEX(Meeting_Log[Agreed Action],SMALL(IF((Meeting_Log[Topic Key]&lt;&gt;"")*(Meeting_Log[Meeting Date]=$C$5)*(COUNTIFS(Meeting_Log[Topic Key],Meeting_Log[Topic Key],Meeting_Log[Meeting Date],"&lt;"&amp;$C$5)=0),ROW(Meeting_Log[Topic Key])-7),5)),"")</f>
        <v/>
      </c>
      <c r="F25" s="13" t="str">
        <f t="array" ref="F25">IFERROR(INDEX(Meeting_Log[Owner],SMALL(IF((Meeting_Log[Topic Key]&lt;&gt;"")*(Meeting_Log[Meeting Date]=$C$5)*(COUNTIFS(Meeting_Log[Topic Key],Meeting_Log[Topic Key],Meeting_Log[Meeting Date],"&lt;"&amp;$C$5)=0),ROW(Meeting_Log[Topic Key])-7),5)),"")</f>
        <v/>
      </c>
      <c r="G25" s="14" t="str">
        <f t="array" ref="G25">IFERROR(INDEX(Meeting_Log[Due Date],SMALL(IF((Meeting_Log[Topic Key]&lt;&gt;"")*(Meeting_Log[Meeting Date]=$C$5)*(COUNTIFS(Meeting_Log[Topic Key],Meeting_Log[Topic Key],Meeting_Log[Meeting Date],"&lt;"&amp;$C$5)=0),ROW(Meeting_Log[Topic Key])-7),5)),"")</f>
        <v/>
      </c>
      <c r="H25" s="13" t="str">
        <f t="array" ref="H25">IFERROR(INDEX(Meeting_Log[Status],SMALL(IF((Meeting_Log[Topic Key]&lt;&gt;"")*(Meeting_Log[Meeting Date]=$C$5)*(COUNTIFS(Meeting_Log[Topic Key],Meeting_Log[Topic Key],Meeting_Log[Meeting Date],"&lt;"&amp;$C$5)=0),ROW(Meeting_Log[Topic Key])-7),5)),"")</f>
        <v/>
      </c>
    </row>
    <row r="26" spans="2:8" ht="26.1" customHeight="1" x14ac:dyDescent="0.25">
      <c r="B26" s="15" t="str">
        <f t="array" ref="B26">IFERROR(INDEX(Meeting_Log[Subject],SMALL(IF((Meeting_Log[Topic Key]&lt;&gt;"")*(Meeting_Log[Meeting Date]=$C$5)*(COUNTIFS(Meeting_Log[Topic Key],Meeting_Log[Topic Key],Meeting_Log[Meeting Date],"&lt;"&amp;$C$5)=0),ROW(Meeting_Log[Topic Key])-7),6)),"")</f>
        <v/>
      </c>
      <c r="C26" s="15" t="str">
        <f t="array" ref="C26">IFERROR(INDEX(Meeting_Log[Sub-topic],SMALL(IF((Meeting_Log[Topic Key]&lt;&gt;"")*(Meeting_Log[Meeting Date]=$C$5)*(COUNTIFS(Meeting_Log[Topic Key],Meeting_Log[Topic Key],Meeting_Log[Meeting Date],"&lt;"&amp;$C$5)=0),ROW(Meeting_Log[Topic Key])-7),6)),"")</f>
        <v/>
      </c>
      <c r="D26" s="15" t="str">
        <f t="array" ref="D26">IFERROR(INDEX(Meeting_Log[Discussion / Notes],SMALL(IF((Meeting_Log[Topic Key]&lt;&gt;"")*(Meeting_Log[Meeting Date]=$C$5)*(COUNTIFS(Meeting_Log[Topic Key],Meeting_Log[Topic Key],Meeting_Log[Meeting Date],"&lt;"&amp;$C$5)=0),ROW(Meeting_Log[Topic Key])-7),6)),"")</f>
        <v/>
      </c>
      <c r="E26" s="15" t="str">
        <f t="array" ref="E26">IFERROR(INDEX(Meeting_Log[Agreed Action],SMALL(IF((Meeting_Log[Topic Key]&lt;&gt;"")*(Meeting_Log[Meeting Date]=$C$5)*(COUNTIFS(Meeting_Log[Topic Key],Meeting_Log[Topic Key],Meeting_Log[Meeting Date],"&lt;"&amp;$C$5)=0),ROW(Meeting_Log[Topic Key])-7),6)),"")</f>
        <v/>
      </c>
      <c r="F26" s="15" t="str">
        <f t="array" ref="F26">IFERROR(INDEX(Meeting_Log[Owner],SMALL(IF((Meeting_Log[Topic Key]&lt;&gt;"")*(Meeting_Log[Meeting Date]=$C$5)*(COUNTIFS(Meeting_Log[Topic Key],Meeting_Log[Topic Key],Meeting_Log[Meeting Date],"&lt;"&amp;$C$5)=0),ROW(Meeting_Log[Topic Key])-7),6)),"")</f>
        <v/>
      </c>
      <c r="G26" s="16" t="str">
        <f t="array" ref="G26">IFERROR(INDEX(Meeting_Log[Due Date],SMALL(IF((Meeting_Log[Topic Key]&lt;&gt;"")*(Meeting_Log[Meeting Date]=$C$5)*(COUNTIFS(Meeting_Log[Topic Key],Meeting_Log[Topic Key],Meeting_Log[Meeting Date],"&lt;"&amp;$C$5)=0),ROW(Meeting_Log[Topic Key])-7),6)),"")</f>
        <v/>
      </c>
      <c r="H26" s="15" t="str">
        <f t="array" ref="H26">IFERROR(INDEX(Meeting_Log[Status],SMALL(IF((Meeting_Log[Topic Key]&lt;&gt;"")*(Meeting_Log[Meeting Date]=$C$5)*(COUNTIFS(Meeting_Log[Topic Key],Meeting_Log[Topic Key],Meeting_Log[Meeting Date],"&lt;"&amp;$C$5)=0),ROW(Meeting_Log[Topic Key])-7),6)),"")</f>
        <v/>
      </c>
    </row>
    <row r="28" spans="2:8" ht="21.95" customHeight="1" x14ac:dyDescent="0.25">
      <c r="B28" s="11" t="s">
        <v>62</v>
      </c>
      <c r="C28" s="11"/>
      <c r="D28" s="11"/>
      <c r="E28" s="11"/>
      <c r="F28" s="11"/>
    </row>
    <row r="29" spans="2:8" ht="24" x14ac:dyDescent="0.25">
      <c r="B29" s="12" t="s">
        <v>19</v>
      </c>
      <c r="C29" s="12" t="s">
        <v>20</v>
      </c>
      <c r="D29" s="12" t="s">
        <v>32</v>
      </c>
      <c r="E29" s="12" t="s">
        <v>33</v>
      </c>
      <c r="F29" s="12" t="s">
        <v>23</v>
      </c>
    </row>
    <row r="30" spans="2:8" ht="26.1" customHeight="1" x14ac:dyDescent="0.25">
      <c r="B30" s="13" t="str">
        <f t="array" ref="B30">IFERROR(INDEX(Meeting_Log[Subject],SMALL(IF((Meeting_Log[Topic Key]&lt;&gt;"")*(Meeting_Log[Meeting Date]=$C$5),ROW(Meeting_Log[Topic Key])-7),1)),"")</f>
        <v>Documentation</v>
      </c>
      <c r="C30" s="13" t="str">
        <f t="array" ref="C30">IFERROR(INDEX(Meeting_Log[Sub-topic],SMALL(IF((Meeting_Log[Topic Key]&lt;&gt;"")*(Meeting_Log[Meeting Date]=$C$5),ROW(Meeting_Log[Topic Key])-7),1)),"")</f>
        <v>Documentation</v>
      </c>
      <c r="D30" s="13" t="str">
        <f t="array" ref="D30">IFERROR(INDEX(Meeting_Log[Discussion / Notes],SMALL(IF((Meeting_Log[Topic Key]&lt;&gt;"")*(Meeting_Log[Meeting Date]=$C$5),ROW(Meeting_Log[Topic Key])-7),1)),"")</f>
        <v>Still waiting on the calibration certificate from the supplier.</v>
      </c>
      <c r="E30" s="13" t="str">
        <f t="array" ref="E30">IFERROR(INDEX(Meeting_Log[Agreed Action],SMALL(IF((Meeting_Log[Topic Key]&lt;&gt;"")*(Meeting_Log[Meeting Date]=$C$5),ROW(Meeting_Log[Topic Key])-7),1)),"")</f>
        <v>J. Smith to chase the supplier.</v>
      </c>
      <c r="F30" s="13" t="str">
        <f t="array" ref="F30">IFERROR(INDEX(Meeting_Log[Owner],SMALL(IF((Meeting_Log[Topic Key]&lt;&gt;"")*(Meeting_Log[Meeting Date]=$C$5),ROW(Meeting_Log[Topic Key])-7),1)),"")</f>
        <v>J. Smith</v>
      </c>
    </row>
    <row r="31" spans="2:8" ht="26.1" customHeight="1" x14ac:dyDescent="0.25">
      <c r="B31" s="15" t="str">
        <f t="array" ref="B31">IFERROR(INDEX(Meeting_Log[Subject],SMALL(IF((Meeting_Log[Topic Key]&lt;&gt;"")*(Meeting_Log[Meeting Date]=$C$5),ROW(Meeting_Log[Topic Key])-7),2)),"")</f>
        <v>Testing / Results</v>
      </c>
      <c r="C31" s="15" t="str">
        <f t="array" ref="C31">IFERROR(INDEX(Meeting_Log[Sub-topic],SMALL(IF((Meeting_Log[Topic Key]&lt;&gt;"")*(Meeting_Log[Meeting Date]=$C$5),ROW(Meeting_Log[Topic Key])-7),2)),"")</f>
        <v>Testing</v>
      </c>
      <c r="D31" s="15" t="str">
        <f t="array" ref="D31">IFERROR(INDEX(Meeting_Log[Discussion / Notes],SMALL(IF((Meeting_Log[Topic Key]&lt;&gt;"")*(Meeting_Log[Meeting Date]=$C$5),ROW(Meeting_Log[Topic Key])-7),2)),"")</f>
        <v>First functional test results reviewed.</v>
      </c>
      <c r="E31" s="15" t="str">
        <f t="array" ref="E31">IFERROR(INDEX(Meeting_Log[Agreed Action],SMALL(IF((Meeting_Log[Topic Key]&lt;&gt;"")*(Meeting_Log[Meeting Date]=$C$5),ROW(Meeting_Log[Topic Key])-7),2)),"")</f>
        <v>A. Brown to issue the test report.</v>
      </c>
      <c r="F31" s="15" t="str">
        <f t="array" ref="F31">IFERROR(INDEX(Meeting_Log[Owner],SMALL(IF((Meeting_Log[Topic Key]&lt;&gt;"")*(Meeting_Log[Meeting Date]=$C$5),ROW(Meeting_Log[Topic Key])-7),2)),"")</f>
        <v>A. Brown</v>
      </c>
    </row>
    <row r="32" spans="2:8" ht="26.1" customHeight="1" x14ac:dyDescent="0.25">
      <c r="B32" s="13" t="str">
        <f t="array" ref="B32">IFERROR(INDEX(Meeting_Log[Subject],SMALL(IF((Meeting_Log[Topic Key]&lt;&gt;"")*(Meeting_Log[Meeting Date]=$C$5),ROW(Meeting_Log[Topic Key])-7),3)),"")</f>
        <v/>
      </c>
      <c r="C32" s="13" t="str">
        <f t="array" ref="C32">IFERROR(INDEX(Meeting_Log[Sub-topic],SMALL(IF((Meeting_Log[Topic Key]&lt;&gt;"")*(Meeting_Log[Meeting Date]=$C$5),ROW(Meeting_Log[Topic Key])-7),3)),"")</f>
        <v/>
      </c>
      <c r="D32" s="13" t="str">
        <f t="array" ref="D32">IFERROR(INDEX(Meeting_Log[Discussion / Notes],SMALL(IF((Meeting_Log[Topic Key]&lt;&gt;"")*(Meeting_Log[Meeting Date]=$C$5),ROW(Meeting_Log[Topic Key])-7),3)),"")</f>
        <v/>
      </c>
      <c r="E32" s="13" t="str">
        <f t="array" ref="E32">IFERROR(INDEX(Meeting_Log[Agreed Action],SMALL(IF((Meeting_Log[Topic Key]&lt;&gt;"")*(Meeting_Log[Meeting Date]=$C$5),ROW(Meeting_Log[Topic Key])-7),3)),"")</f>
        <v/>
      </c>
      <c r="F32" s="13" t="str">
        <f t="array" ref="F32">IFERROR(INDEX(Meeting_Log[Owner],SMALL(IF((Meeting_Log[Topic Key]&lt;&gt;"")*(Meeting_Log[Meeting Date]=$C$5),ROW(Meeting_Log[Topic Key])-7),3)),"")</f>
        <v/>
      </c>
    </row>
    <row r="33" spans="2:6" ht="26.1" customHeight="1" x14ac:dyDescent="0.25">
      <c r="B33" s="15" t="str">
        <f t="array" ref="B33">IFERROR(INDEX(Meeting_Log[Subject],SMALL(IF((Meeting_Log[Topic Key]&lt;&gt;"")*(Meeting_Log[Meeting Date]=$C$5),ROW(Meeting_Log[Topic Key])-7),4)),"")</f>
        <v/>
      </c>
      <c r="C33" s="15" t="str">
        <f t="array" ref="C33">IFERROR(INDEX(Meeting_Log[Sub-topic],SMALL(IF((Meeting_Log[Topic Key]&lt;&gt;"")*(Meeting_Log[Meeting Date]=$C$5),ROW(Meeting_Log[Topic Key])-7),4)),"")</f>
        <v/>
      </c>
      <c r="D33" s="15" t="str">
        <f t="array" ref="D33">IFERROR(INDEX(Meeting_Log[Discussion / Notes],SMALL(IF((Meeting_Log[Topic Key]&lt;&gt;"")*(Meeting_Log[Meeting Date]=$C$5),ROW(Meeting_Log[Topic Key])-7),4)),"")</f>
        <v/>
      </c>
      <c r="E33" s="15" t="str">
        <f t="array" ref="E33">IFERROR(INDEX(Meeting_Log[Agreed Action],SMALL(IF((Meeting_Log[Topic Key]&lt;&gt;"")*(Meeting_Log[Meeting Date]=$C$5),ROW(Meeting_Log[Topic Key])-7),4)),"")</f>
        <v/>
      </c>
      <c r="F33" s="15" t="str">
        <f t="array" ref="F33">IFERROR(INDEX(Meeting_Log[Owner],SMALL(IF((Meeting_Log[Topic Key]&lt;&gt;"")*(Meeting_Log[Meeting Date]=$C$5),ROW(Meeting_Log[Topic Key])-7),4)),"")</f>
        <v/>
      </c>
    </row>
    <row r="34" spans="2:6" ht="26.1" customHeight="1" x14ac:dyDescent="0.25">
      <c r="B34" s="13" t="str">
        <f t="array" ref="B34">IFERROR(INDEX(Meeting_Log[Subject],SMALL(IF((Meeting_Log[Topic Key]&lt;&gt;"")*(Meeting_Log[Meeting Date]=$C$5),ROW(Meeting_Log[Topic Key])-7),5)),"")</f>
        <v/>
      </c>
      <c r="C34" s="13" t="str">
        <f t="array" ref="C34">IFERROR(INDEX(Meeting_Log[Sub-topic],SMALL(IF((Meeting_Log[Topic Key]&lt;&gt;"")*(Meeting_Log[Meeting Date]=$C$5),ROW(Meeting_Log[Topic Key])-7),5)),"")</f>
        <v/>
      </c>
      <c r="D34" s="13" t="str">
        <f t="array" ref="D34">IFERROR(INDEX(Meeting_Log[Discussion / Notes],SMALL(IF((Meeting_Log[Topic Key]&lt;&gt;"")*(Meeting_Log[Meeting Date]=$C$5),ROW(Meeting_Log[Topic Key])-7),5)),"")</f>
        <v/>
      </c>
      <c r="E34" s="13" t="str">
        <f t="array" ref="E34">IFERROR(INDEX(Meeting_Log[Agreed Action],SMALL(IF((Meeting_Log[Topic Key]&lt;&gt;"")*(Meeting_Log[Meeting Date]=$C$5),ROW(Meeting_Log[Topic Key])-7),5)),"")</f>
        <v/>
      </c>
      <c r="F34" s="13" t="str">
        <f t="array" ref="F34">IFERROR(INDEX(Meeting_Log[Owner],SMALL(IF((Meeting_Log[Topic Key]&lt;&gt;"")*(Meeting_Log[Meeting Date]=$C$5),ROW(Meeting_Log[Topic Key])-7),5)),"")</f>
        <v/>
      </c>
    </row>
    <row r="35" spans="2:6" ht="26.1" customHeight="1" x14ac:dyDescent="0.25">
      <c r="B35" s="15" t="str">
        <f t="array" ref="B35">IFERROR(INDEX(Meeting_Log[Subject],SMALL(IF((Meeting_Log[Topic Key]&lt;&gt;"")*(Meeting_Log[Meeting Date]=$C$5),ROW(Meeting_Log[Topic Key])-7),6)),"")</f>
        <v/>
      </c>
      <c r="C35" s="15" t="str">
        <f t="array" ref="C35">IFERROR(INDEX(Meeting_Log[Sub-topic],SMALL(IF((Meeting_Log[Topic Key]&lt;&gt;"")*(Meeting_Log[Meeting Date]=$C$5),ROW(Meeting_Log[Topic Key])-7),6)),"")</f>
        <v/>
      </c>
      <c r="D35" s="15" t="str">
        <f t="array" ref="D35">IFERROR(INDEX(Meeting_Log[Discussion / Notes],SMALL(IF((Meeting_Log[Topic Key]&lt;&gt;"")*(Meeting_Log[Meeting Date]=$C$5),ROW(Meeting_Log[Topic Key])-7),6)),"")</f>
        <v/>
      </c>
      <c r="E35" s="15" t="str">
        <f t="array" ref="E35">IFERROR(INDEX(Meeting_Log[Agreed Action],SMALL(IF((Meeting_Log[Topic Key]&lt;&gt;"")*(Meeting_Log[Meeting Date]=$C$5),ROW(Meeting_Log[Topic Key])-7),6)),"")</f>
        <v/>
      </c>
      <c r="F35" s="15" t="str">
        <f t="array" ref="F35">IFERROR(INDEX(Meeting_Log[Owner],SMALL(IF((Meeting_Log[Topic Key]&lt;&gt;"")*(Meeting_Log[Meeting Date]=$C$5),ROW(Meeting_Log[Topic Key])-7),6)),"")</f>
        <v/>
      </c>
    </row>
    <row r="36" spans="2:6" ht="26.1" customHeight="1" x14ac:dyDescent="0.25">
      <c r="B36" s="13" t="str">
        <f t="array" ref="B36">IFERROR(INDEX(Meeting_Log[Subject],SMALL(IF((Meeting_Log[Topic Key]&lt;&gt;"")*(Meeting_Log[Meeting Date]=$C$5),ROW(Meeting_Log[Topic Key])-7),7)),"")</f>
        <v/>
      </c>
      <c r="C36" s="13" t="str">
        <f t="array" ref="C36">IFERROR(INDEX(Meeting_Log[Sub-topic],SMALL(IF((Meeting_Log[Topic Key]&lt;&gt;"")*(Meeting_Log[Meeting Date]=$C$5),ROW(Meeting_Log[Topic Key])-7),7)),"")</f>
        <v/>
      </c>
      <c r="D36" s="13" t="str">
        <f t="array" ref="D36">IFERROR(INDEX(Meeting_Log[Discussion / Notes],SMALL(IF((Meeting_Log[Topic Key]&lt;&gt;"")*(Meeting_Log[Meeting Date]=$C$5),ROW(Meeting_Log[Topic Key])-7),7)),"")</f>
        <v/>
      </c>
      <c r="E36" s="13" t="str">
        <f t="array" ref="E36">IFERROR(INDEX(Meeting_Log[Agreed Action],SMALL(IF((Meeting_Log[Topic Key]&lt;&gt;"")*(Meeting_Log[Meeting Date]=$C$5),ROW(Meeting_Log[Topic Key])-7),7)),"")</f>
        <v/>
      </c>
      <c r="F36" s="13" t="str">
        <f t="array" ref="F36">IFERROR(INDEX(Meeting_Log[Owner],SMALL(IF((Meeting_Log[Topic Key]&lt;&gt;"")*(Meeting_Log[Meeting Date]=$C$5),ROW(Meeting_Log[Topic Key])-7),7)),"")</f>
        <v/>
      </c>
    </row>
    <row r="37" spans="2:6" ht="26.1" customHeight="1" x14ac:dyDescent="0.25">
      <c r="B37" s="15" t="str">
        <f t="array" ref="B37">IFERROR(INDEX(Meeting_Log[Subject],SMALL(IF((Meeting_Log[Topic Key]&lt;&gt;"")*(Meeting_Log[Meeting Date]=$C$5),ROW(Meeting_Log[Topic Key])-7),8)),"")</f>
        <v/>
      </c>
      <c r="C37" s="15" t="str">
        <f t="array" ref="C37">IFERROR(INDEX(Meeting_Log[Sub-topic],SMALL(IF((Meeting_Log[Topic Key]&lt;&gt;"")*(Meeting_Log[Meeting Date]=$C$5),ROW(Meeting_Log[Topic Key])-7),8)),"")</f>
        <v/>
      </c>
      <c r="D37" s="15" t="str">
        <f t="array" ref="D37">IFERROR(INDEX(Meeting_Log[Discussion / Notes],SMALL(IF((Meeting_Log[Topic Key]&lt;&gt;"")*(Meeting_Log[Meeting Date]=$C$5),ROW(Meeting_Log[Topic Key])-7),8)),"")</f>
        <v/>
      </c>
      <c r="E37" s="15" t="str">
        <f t="array" ref="E37">IFERROR(INDEX(Meeting_Log[Agreed Action],SMALL(IF((Meeting_Log[Topic Key]&lt;&gt;"")*(Meeting_Log[Meeting Date]=$C$5),ROW(Meeting_Log[Topic Key])-7),8)),"")</f>
        <v/>
      </c>
      <c r="F37" s="15" t="str">
        <f t="array" ref="F37">IFERROR(INDEX(Meeting_Log[Owner],SMALL(IF((Meeting_Log[Topic Key]&lt;&gt;"")*(Meeting_Log[Meeting Date]=$C$5),ROW(Meeting_Log[Topic Key])-7),8)),"")</f>
        <v/>
      </c>
    </row>
    <row r="39" spans="2:6" ht="21.95" customHeight="1" x14ac:dyDescent="0.25">
      <c r="B39" s="11" t="s">
        <v>63</v>
      </c>
      <c r="C39" s="11"/>
      <c r="D39" s="11"/>
      <c r="E39" s="11"/>
      <c r="F39" s="11"/>
    </row>
    <row r="40" spans="2:6" x14ac:dyDescent="0.25">
      <c r="B40" s="12" t="s">
        <v>19</v>
      </c>
      <c r="C40" s="12" t="s">
        <v>22</v>
      </c>
      <c r="D40" s="12" t="s">
        <v>23</v>
      </c>
      <c r="E40" s="12" t="s">
        <v>24</v>
      </c>
      <c r="F40" s="12" t="s">
        <v>25</v>
      </c>
    </row>
    <row r="41" spans="2:6" ht="26.1" customHeight="1" x14ac:dyDescent="0.25">
      <c r="B41" s="13" t="str">
        <f t="array" ref="B41">IFERROR(INDEX(Meeting_Log[Subject],SMALL(IF((Meeting_Log[Topic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Key])-7),1)),"")</f>
        <v>Safety</v>
      </c>
      <c r="C41" s="13" t="str">
        <f t="array" ref="C41">IFERROR(INDEX(Meeting_Log[Agreed Action],SMALL(IF((Meeting_Log[Topic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Key])-7),1)),"")</f>
        <v>R. Taylor to review and approve the SSOW.</v>
      </c>
      <c r="D41" s="13" t="str">
        <f t="array" ref="D41">IFERROR(INDEX(Meeting_Log[Owner],SMALL(IF((Meeting_Log[Topic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Key])-7),1)),"")</f>
        <v>R. Taylor</v>
      </c>
      <c r="E41" s="14">
        <f t="array" ref="E41">IFERROR(INDEX(Meeting_Log[Due Date],SMALL(IF((Meeting_Log[Topic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Key])-7),1)),"")</f>
        <v>46285</v>
      </c>
      <c r="F41" s="13" t="str">
        <f t="array" ref="F41">IFERROR(INDEX(Meeting_Log[Status],SMALL(IF((Meeting_Log[Topic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Key])-7),1)),"")</f>
        <v>Open</v>
      </c>
    </row>
    <row r="42" spans="2:6" ht="26.1" customHeight="1" x14ac:dyDescent="0.25">
      <c r="B42" s="15" t="str">
        <f t="array" ref="B42">IFERROR(INDEX(Meeting_Log[Subject],SMALL(IF((Meeting_Log[Topic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Key])-7),2)),"")</f>
        <v/>
      </c>
      <c r="C42" s="15" t="str">
        <f t="array" ref="C42">IFERROR(INDEX(Meeting_Log[Agreed Action],SMALL(IF((Meeting_Log[Topic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Key])-7),2)),"")</f>
        <v/>
      </c>
      <c r="D42" s="15" t="str">
        <f t="array" ref="D42">IFERROR(INDEX(Meeting_Log[Owner],SMALL(IF((Meeting_Log[Topic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Key])-7),2)),"")</f>
        <v/>
      </c>
      <c r="E42" s="16" t="str">
        <f t="array" ref="E42">IFERROR(INDEX(Meeting_Log[Due Date],SMALL(IF((Meeting_Log[Topic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Key])-7),2)),"")</f>
        <v/>
      </c>
      <c r="F42" s="15" t="str">
        <f t="array" ref="F42">IFERROR(INDEX(Meeting_Log[Status],SMALL(IF((Meeting_Log[Topic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Key])-7),2)),"")</f>
        <v/>
      </c>
    </row>
    <row r="43" spans="2:6" ht="26.1" customHeight="1" x14ac:dyDescent="0.25">
      <c r="B43" s="13" t="str">
        <f t="array" ref="B43">IFERROR(INDEX(Meeting_Log[Subject],SMALL(IF((Meeting_Log[Topic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Key])-7),3)),"")</f>
        <v/>
      </c>
      <c r="C43" s="13" t="str">
        <f t="array" ref="C43">IFERROR(INDEX(Meeting_Log[Agreed Action],SMALL(IF((Meeting_Log[Topic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Key])-7),3)),"")</f>
        <v/>
      </c>
      <c r="D43" s="13" t="str">
        <f t="array" ref="D43">IFERROR(INDEX(Meeting_Log[Owner],SMALL(IF((Meeting_Log[Topic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Key])-7),3)),"")</f>
        <v/>
      </c>
      <c r="E43" s="14" t="str">
        <f t="array" ref="E43">IFERROR(INDEX(Meeting_Log[Due Date],SMALL(IF((Meeting_Log[Topic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Key])-7),3)),"")</f>
        <v/>
      </c>
      <c r="F43" s="13" t="str">
        <f t="array" ref="F43">IFERROR(INDEX(Meeting_Log[Status],SMALL(IF((Meeting_Log[Topic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Key])-7),3)),"")</f>
        <v/>
      </c>
    </row>
    <row r="44" spans="2:6" ht="26.1" customHeight="1" x14ac:dyDescent="0.25">
      <c r="B44" s="15" t="str">
        <f t="array" ref="B44">IFERROR(INDEX(Meeting_Log[Subject],SMALL(IF((Meeting_Log[Topic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Key])-7),4)),"")</f>
        <v/>
      </c>
      <c r="C44" s="15" t="str">
        <f t="array" ref="C44">IFERROR(INDEX(Meeting_Log[Agreed Action],SMALL(IF((Meeting_Log[Topic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Key])-7),4)),"")</f>
        <v/>
      </c>
      <c r="D44" s="15" t="str">
        <f t="array" ref="D44">IFERROR(INDEX(Meeting_Log[Owner],SMALL(IF((Meeting_Log[Topic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Key])-7),4)),"")</f>
        <v/>
      </c>
      <c r="E44" s="16" t="str">
        <f t="array" ref="E44">IFERROR(INDEX(Meeting_Log[Due Date],SMALL(IF((Meeting_Log[Topic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Key])-7),4)),"")</f>
        <v/>
      </c>
      <c r="F44" s="15" t="str">
        <f t="array" ref="F44">IFERROR(INDEX(Meeting_Log[Status],SMALL(IF((Meeting_Log[Topic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Key])-7),4)),"")</f>
        <v/>
      </c>
    </row>
    <row r="45" spans="2:6" ht="26.1" customHeight="1" x14ac:dyDescent="0.25">
      <c r="B45" s="13" t="str">
        <f t="array" ref="B45">IFERROR(INDEX(Meeting_Log[Subject],SMALL(IF((Meeting_Log[Topic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Key])-7),5)),"")</f>
        <v/>
      </c>
      <c r="C45" s="13" t="str">
        <f t="array" ref="C45">IFERROR(INDEX(Meeting_Log[Agreed Action],SMALL(IF((Meeting_Log[Topic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Key])-7),5)),"")</f>
        <v/>
      </c>
      <c r="D45" s="13" t="str">
        <f t="array" ref="D45">IFERROR(INDEX(Meeting_Log[Owner],SMALL(IF((Meeting_Log[Topic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Key])-7),5)),"")</f>
        <v/>
      </c>
      <c r="E45" s="14" t="str">
        <f t="array" ref="E45">IFERROR(INDEX(Meeting_Log[Due Date],SMALL(IF((Meeting_Log[Topic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Key])-7),5)),"")</f>
        <v/>
      </c>
      <c r="F45" s="13" t="str">
        <f t="array" ref="F45">IFERROR(INDEX(Meeting_Log[Status],SMALL(IF((Meeting_Log[Topic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Key])-7),5)),"")</f>
        <v/>
      </c>
    </row>
    <row r="46" spans="2:6" ht="26.1" customHeight="1" x14ac:dyDescent="0.25">
      <c r="B46" s="15" t="str">
        <f t="array" ref="B46">IFERROR(INDEX(Meeting_Log[Subject],SMALL(IF((Meeting_Log[Topic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Key])-7),6)),"")</f>
        <v/>
      </c>
      <c r="C46" s="15" t="str">
        <f t="array" ref="C46">IFERROR(INDEX(Meeting_Log[Agreed Action],SMALL(IF((Meeting_Log[Topic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Key])-7),6)),"")</f>
        <v/>
      </c>
      <c r="D46" s="15" t="str">
        <f t="array" ref="D46">IFERROR(INDEX(Meeting_Log[Owner],SMALL(IF((Meeting_Log[Topic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Key])-7),6)),"")</f>
        <v/>
      </c>
      <c r="E46" s="16" t="str">
        <f t="array" ref="E46">IFERROR(INDEX(Meeting_Log[Due Date],SMALL(IF((Meeting_Log[Topic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Key])-7),6)),"")</f>
        <v/>
      </c>
      <c r="F46" s="15" t="str">
        <f t="array" ref="F46">IFERROR(INDEX(Meeting_Log[Status],SMALL(IF((Meeting_Log[Topic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Key])-7),6)),"")</f>
        <v/>
      </c>
    </row>
    <row r="47" spans="2:6" ht="26.1" customHeight="1" x14ac:dyDescent="0.25">
      <c r="B47" s="13" t="str">
        <f t="array" ref="B47">IFERROR(INDEX(Meeting_Log[Subject],SMALL(IF((Meeting_Log[Topic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Key])-7),7)),"")</f>
        <v/>
      </c>
      <c r="C47" s="13" t="str">
        <f t="array" ref="C47">IFERROR(INDEX(Meeting_Log[Agreed Action],SMALL(IF((Meeting_Log[Topic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Key])-7),7)),"")</f>
        <v/>
      </c>
      <c r="D47" s="13" t="str">
        <f t="array" ref="D47">IFERROR(INDEX(Meeting_Log[Owner],SMALL(IF((Meeting_Log[Topic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Key])-7),7)),"")</f>
        <v/>
      </c>
      <c r="E47" s="14" t="str">
        <f t="array" ref="E47">IFERROR(INDEX(Meeting_Log[Due Date],SMALL(IF((Meeting_Log[Topic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Key])-7),7)),"")</f>
        <v/>
      </c>
      <c r="F47" s="13" t="str">
        <f t="array" ref="F47">IFERROR(INDEX(Meeting_Log[Status],SMALL(IF((Meeting_Log[Topic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Key])-7),7)),"")</f>
        <v/>
      </c>
    </row>
    <row r="48" spans="2:6" ht="26.1" customHeight="1" x14ac:dyDescent="0.25">
      <c r="B48" s="15" t="str">
        <f t="array" ref="B48">IFERROR(INDEX(Meeting_Log[Subject],SMALL(IF((Meeting_Log[Topic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Key])-7),8)),"")</f>
        <v/>
      </c>
      <c r="C48" s="15" t="str">
        <f t="array" ref="C48">IFERROR(INDEX(Meeting_Log[Agreed Action],SMALL(IF((Meeting_Log[Topic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Key])-7),8)),"")</f>
        <v/>
      </c>
      <c r="D48" s="15" t="str">
        <f t="array" ref="D48">IFERROR(INDEX(Meeting_Log[Owner],SMALL(IF((Meeting_Log[Topic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Key])-7),8)),"")</f>
        <v/>
      </c>
      <c r="E48" s="16" t="str">
        <f t="array" ref="E48">IFERROR(INDEX(Meeting_Log[Due Date],SMALL(IF((Meeting_Log[Topic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Key])-7),8)),"")</f>
        <v/>
      </c>
      <c r="F48" s="15" t="str">
        <f t="array" ref="F48">IFERROR(INDEX(Meeting_Log[Status],SMALL(IF((Meeting_Log[Topic Key]&lt;&gt;"")*(Meeting_Log[Meeting Date]&lt;=$C$5)*(Meeting_Log[Meeting Date]=_xlfn.MAXIFS(Meeting_Log[Meeting Date],Meeting_Log[Topic Key],Meeting_Log[Topic Key],Meeting_Log[Meeting Date],"&lt;="&amp;$C$5))*(Meeting_Log[Status]&lt;&gt;"Closed")*(Meeting_Log[Status]&lt;&gt;"Cancelled")*(Meeting_Log[Due Date]&lt;&gt;"")*(Meeting_Log[Due Date]&lt;$C$5),ROW(Meeting_Log[Topic Key])-7),8)),"")</f>
        <v/>
      </c>
    </row>
    <row r="50" spans="2:2" x14ac:dyDescent="0.25">
      <c r="B50" s="17" t="s">
        <v>30</v>
      </c>
    </row>
  </sheetData>
  <mergeCells count="1">
    <mergeCell ref="C6:H6"/>
  </mergeCells>
  <hyperlinks>
    <hyperlink ref="B1" location="'Overview'!A1" display="Overview" xr:uid="{00000000-0004-0000-0200-000000000000}"/>
    <hyperlink ref="C1" location="'Meeting Log'!A1" display="Meeting Log" xr:uid="{00000000-0004-0000-0200-000001000000}"/>
    <hyperlink ref="D1" location="'Meeting Report'!A1" display="Meeting Report" xr:uid="{00000000-0004-0000-0200-000002000000}"/>
    <hyperlink ref="E1" location="'Lists &amp; Config'!A1" display="Lists &amp; Config" xr:uid="{00000000-0004-0000-0200-000003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22"/>
  <sheetViews>
    <sheetView showGridLines="0" workbookViewId="0"/>
  </sheetViews>
  <sheetFormatPr baseColWidth="10" defaultColWidth="9.140625" defaultRowHeight="15" x14ac:dyDescent="0.25"/>
  <cols>
    <col min="1" max="1" width="2.42578125" customWidth="1"/>
    <col min="2" max="6" width="26" customWidth="1"/>
  </cols>
  <sheetData>
    <row r="1" spans="2:6" ht="20.100000000000001" customHeight="1" x14ac:dyDescent="0.25">
      <c r="B1" s="2" t="s">
        <v>0</v>
      </c>
      <c r="C1" s="2" t="s">
        <v>1</v>
      </c>
      <c r="D1" s="2" t="s">
        <v>2</v>
      </c>
      <c r="E1" s="1" t="s">
        <v>3</v>
      </c>
    </row>
    <row r="2" spans="2:6" ht="26.1" customHeight="1" x14ac:dyDescent="0.35">
      <c r="B2" s="3" t="s">
        <v>3</v>
      </c>
    </row>
    <row r="3" spans="2:6" ht="15.95" customHeight="1" x14ac:dyDescent="0.25">
      <c r="B3" s="4" t="s">
        <v>64</v>
      </c>
    </row>
    <row r="5" spans="2:6" ht="21.95" customHeight="1" x14ac:dyDescent="0.25">
      <c r="B5" s="21" t="s">
        <v>19</v>
      </c>
      <c r="C5" s="21" t="s">
        <v>20</v>
      </c>
      <c r="D5" s="21" t="s">
        <v>25</v>
      </c>
      <c r="E5" s="21" t="s">
        <v>29</v>
      </c>
      <c r="F5" s="21" t="s">
        <v>15</v>
      </c>
    </row>
    <row r="6" spans="2:6" x14ac:dyDescent="0.25">
      <c r="B6" s="22" t="s">
        <v>65</v>
      </c>
      <c r="C6" s="22" t="s">
        <v>66</v>
      </c>
      <c r="D6" s="22" t="s">
        <v>40</v>
      </c>
      <c r="E6" s="22" t="s">
        <v>67</v>
      </c>
      <c r="F6" s="22" t="s">
        <v>68</v>
      </c>
    </row>
    <row r="7" spans="2:6" x14ac:dyDescent="0.25">
      <c r="B7" s="23" t="s">
        <v>69</v>
      </c>
      <c r="C7" s="23" t="s">
        <v>70</v>
      </c>
      <c r="D7" s="23" t="s">
        <v>44</v>
      </c>
      <c r="E7" s="23" t="s">
        <v>41</v>
      </c>
      <c r="F7" s="23" t="s">
        <v>16</v>
      </c>
    </row>
    <row r="8" spans="2:6" x14ac:dyDescent="0.25">
      <c r="B8" s="22" t="s">
        <v>36</v>
      </c>
      <c r="C8" s="22" t="s">
        <v>71</v>
      </c>
      <c r="D8" s="22" t="s">
        <v>10</v>
      </c>
      <c r="E8" s="22" t="s">
        <v>50</v>
      </c>
      <c r="F8" s="22" t="s">
        <v>72</v>
      </c>
    </row>
    <row r="9" spans="2:6" x14ac:dyDescent="0.25">
      <c r="B9" s="23" t="s">
        <v>51</v>
      </c>
      <c r="C9" s="23" t="s">
        <v>73</v>
      </c>
      <c r="D9" s="23" t="s">
        <v>74</v>
      </c>
      <c r="E9" s="23" t="s">
        <v>75</v>
      </c>
    </row>
    <row r="10" spans="2:6" x14ac:dyDescent="0.25">
      <c r="B10" s="22" t="s">
        <v>76</v>
      </c>
      <c r="C10" s="22" t="s">
        <v>52</v>
      </c>
      <c r="D10" s="22" t="s">
        <v>77</v>
      </c>
    </row>
    <row r="11" spans="2:6" x14ac:dyDescent="0.25">
      <c r="B11" s="23" t="s">
        <v>78</v>
      </c>
      <c r="C11" s="23" t="s">
        <v>79</v>
      </c>
    </row>
    <row r="12" spans="2:6" x14ac:dyDescent="0.25">
      <c r="B12" s="22" t="s">
        <v>80</v>
      </c>
      <c r="C12" s="22" t="s">
        <v>36</v>
      </c>
    </row>
    <row r="13" spans="2:6" x14ac:dyDescent="0.25">
      <c r="B13" s="23" t="s">
        <v>45</v>
      </c>
      <c r="C13" s="23" t="s">
        <v>81</v>
      </c>
    </row>
    <row r="14" spans="2:6" x14ac:dyDescent="0.25">
      <c r="B14" s="22" t="s">
        <v>82</v>
      </c>
      <c r="C14" s="22" t="s">
        <v>46</v>
      </c>
    </row>
    <row r="15" spans="2:6" x14ac:dyDescent="0.25">
      <c r="B15" s="23" t="s">
        <v>83</v>
      </c>
      <c r="C15" s="23" t="s">
        <v>84</v>
      </c>
    </row>
    <row r="16" spans="2:6" x14ac:dyDescent="0.25">
      <c r="B16" s="22" t="s">
        <v>85</v>
      </c>
      <c r="C16" s="22" t="s">
        <v>86</v>
      </c>
    </row>
    <row r="17" spans="2:3" x14ac:dyDescent="0.25">
      <c r="C17" s="23" t="s">
        <v>83</v>
      </c>
    </row>
    <row r="18" spans="2:3" x14ac:dyDescent="0.25">
      <c r="C18" s="22" t="s">
        <v>87</v>
      </c>
    </row>
    <row r="19" spans="2:3" x14ac:dyDescent="0.25">
      <c r="C19" s="23" t="s">
        <v>88</v>
      </c>
    </row>
    <row r="20" spans="2:3" x14ac:dyDescent="0.25">
      <c r="C20" s="22" t="s">
        <v>85</v>
      </c>
    </row>
    <row r="22" spans="2:3" x14ac:dyDescent="0.25">
      <c r="B22" s="17" t="s">
        <v>30</v>
      </c>
    </row>
  </sheetData>
  <hyperlinks>
    <hyperlink ref="B1" location="'Overview'!A1" display="Overview" xr:uid="{00000000-0004-0000-0300-000000000000}"/>
    <hyperlink ref="C1" location="'Meeting Log'!A1" display="Meeting Log" xr:uid="{00000000-0004-0000-0300-000001000000}"/>
    <hyperlink ref="D1" location="'Meeting Report'!A1" display="Meeting Report" xr:uid="{00000000-0004-0000-0300-000002000000}"/>
    <hyperlink ref="E1" location="'Lists &amp; Config'!A1" display="Lists &amp; Config" xr:uid="{00000000-0004-0000-0300-00000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5</vt:i4>
      </vt:variant>
    </vt:vector>
  </HeadingPairs>
  <TitlesOfParts>
    <vt:vector size="9" baseType="lpstr">
      <vt:lpstr>Overview</vt:lpstr>
      <vt:lpstr>Meeting Log</vt:lpstr>
      <vt:lpstr>Meeting Report</vt:lpstr>
      <vt:lpstr>Lists &amp; Config</vt:lpstr>
      <vt:lpstr>LIST_MEETING_TYPE</vt:lpstr>
      <vt:lpstr>LIST_PRIORITY</vt:lpstr>
      <vt:lpstr>LIST_STATUS</vt:lpstr>
      <vt:lpstr>LIST_SUBJECT</vt:lpstr>
      <vt:lpstr>LIST_SUBTOPIC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Rejeb Youssri</cp:lastModifiedBy>
  <dcterms:created xsi:type="dcterms:W3CDTF">2026-09-28T12:01:24Z</dcterms:created>
  <dcterms:modified xsi:type="dcterms:W3CDTF">2026-09-28T14:01:45Z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4443ded-827a-46bf-8c23-accc3d394867_Enabled">
    <vt:lpwstr>true</vt:lpwstr>
  </property>
  <property fmtid="{D5CDD505-2E9C-101B-9397-08002B2CF9AE}" pid="3" name="MSIP_Label_04443ded-827a-46bf-8c23-accc3d394867_SetDate">
    <vt:lpwstr>2026-09-28T14:01:35Z</vt:lpwstr>
  </property>
  <property fmtid="{D5CDD505-2E9C-101B-9397-08002B2CF9AE}" pid="4" name="MSIP_Label_04443ded-827a-46bf-8c23-accc3d394867_Method">
    <vt:lpwstr>Privileged</vt:lpwstr>
  </property>
  <property fmtid="{D5CDD505-2E9C-101B-9397-08002B2CF9AE}" pid="5" name="MSIP_Label_04443ded-827a-46bf-8c23-accc3d394867_Name">
    <vt:lpwstr>NOT PROTECTIVELY MARKED</vt:lpwstr>
  </property>
  <property fmtid="{D5CDD505-2E9C-101B-9397-08002B2CF9AE}" pid="6" name="MSIP_Label_04443ded-827a-46bf-8c23-accc3d394867_SiteId">
    <vt:lpwstr>75046e30-7443-48c1-89c4-f710fef78b2b</vt:lpwstr>
  </property>
  <property fmtid="{D5CDD505-2E9C-101B-9397-08002B2CF9AE}" pid="7" name="MSIP_Label_04443ded-827a-46bf-8c23-accc3d394867_ActionId">
    <vt:lpwstr>24f82039-4828-4fc1-847b-59cd109c94eb</vt:lpwstr>
  </property>
  <property fmtid="{D5CDD505-2E9C-101B-9397-08002B2CF9AE}" pid="8" name="MSIP_Label_04443ded-827a-46bf-8c23-accc3d394867_ContentBits">
    <vt:lpwstr>0</vt:lpwstr>
  </property>
  <property fmtid="{D5CDD505-2E9C-101B-9397-08002B2CF9AE}" pid="9" name="MSIP_Label_04443ded-827a-46bf-8c23-accc3d394867_Tag">
    <vt:lpwstr>10, 0, 1, 1</vt:lpwstr>
  </property>
</Properties>
</file>