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Meeting Report" sheetId="3" state="visible" r:id="rId3"/>
    <sheet name="Lists &amp; Config" sheetId="4" state="visible" r:id="rId4"/>
  </sheets>
  <definedNames>
    <definedName name="LIST_SUBJECT">'Lists &amp; Config'!$B$6:$B$16</definedName>
    <definedName name="LIST_SUBTOPIC">'Lists &amp; Config'!$C$6:$C$20</definedName>
    <definedName name="LIST_OWNER">'Lists &amp; Config'!$D$6:$D$14</definedName>
    <definedName name="LIST_STATUS">'Lists &amp; Config'!$E$6:$E$10</definedName>
    <definedName name="LIST_PRIORITY">'Lists &amp; Config'!$F$6:$F$9</definedName>
    <definedName name="LIST_MEETING_TYPE">'Lists &amp; Config'!$G$6:$G$8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i val="1"/>
      <color rgb="00808080"/>
      <sz val="9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1" fillId="0" borderId="0" pivotButton="0" quotePrefix="0" xfId="0"/>
    <xf numFmtId="165" fontId="9" fillId="6" borderId="1" pivotButton="0" quotePrefix="0" xfId="0"/>
    <xf numFmtId="1" fontId="12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1" fontId="17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18" fillId="7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165" fontId="6" fillId="8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5" borderId="1" pivotButton="0" quotePrefix="0" xfId="0"/>
    <xf numFmtId="165" fontId="20" fillId="0" borderId="1" pivotButton="0" quotePrefix="0" xfId="0"/>
    <xf numFmtId="0" fontId="2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Meeting_Log" displayName="Meeting_Log" ref="B7:O10" headerRowCount="1">
  <autoFilter ref="B7:O10"/>
  <tableColumns count="14">
    <tableColumn id="2" name="Meeting ID"/>
    <tableColumn id="3" name="Meeting Date"/>
    <tableColumn id="4" name="Meeting Type"/>
    <tableColumn id="5" name="Subject"/>
    <tableColumn id="6" name="Sub-topic"/>
    <tableColumn id="7" name="Owner"/>
    <tableColumn id="8" name="Discussion / Notes"/>
    <tableColumn id="9" name="Agreed Action"/>
    <tableColumn id="10" name="Due Date"/>
    <tableColumn id="11" name="Status"/>
    <tableColumn id="12" name="Priority"/>
    <tableColumn id="13" name="Follow-up / Update"/>
    <tableColumn id="14" name="Topic Key"/>
    <tableColumn id="15" name="Overdue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4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SUMPRODUCT((Meeting_Log[Topic Key]&lt;&gt;"")*(Meeting_Log[Meeting Date]&lt;=$C$5)*(Meeting_Log[Meeting Date]=_xlfn.MAXIFS(Meeting_Log[Meeting Date],Meeting_Log[Topic Key],Meeting_Log[Topic Key],Meeting_Log[Meeting Date],"&lt;="&amp;$C$5)))</f>
        <v/>
      </c>
      <c r="C8" s="8" t="n"/>
      <c r="E8" s="7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Date],"&lt;="&amp;$C$5))*(Meeting_Log[Status]&lt;&gt;"Closed")*(Meeting_Log[Status]&lt;&gt;"Cancelled"))</f>
        <v/>
      </c>
      <c r="F8" s="8" t="n"/>
      <c r="H8" s="9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Date],"&lt;="&amp;$C$5))*(Meeting_Log[Status]&lt;&gt;"Closed")*(Meeting_Log[Status]&lt;&gt;"Cancelled")*(Meeting_Log[Overdue?]="Yes"))</f>
        <v/>
      </c>
      <c r="I8" s="8" t="n"/>
      <c r="K8" s="10">
        <f>SUMPRODUCT((Meeting_Log[Topic Key]&lt;&gt;"")*(Meeting_Log[Meeting Date]&lt;=$C$5)*(Meeting_Log[Meeting Date]=_xlfn.MAXIFS(Meeting_Log[Meeting Date],Meeting_Log[Topic Key],Meeting_Log[Topic Key],Meeting_Log[Meeting Date],"&lt;="&amp;$C$5))*(Meeting_Log[Status]="Closed"))</f>
        <v/>
      </c>
      <c r="L8" s="8" t="n"/>
      <c r="N8" s="11">
        <f>SUMPRODUCT((Meeting_Log[Topic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Date],"&lt;"&amp;$C$5))*(Meeting_Log[Status]&lt;&gt;"Closed")*(Meeting_Log[Status]&lt;&gt;"Cancelled"))</f>
        <v/>
      </c>
      <c r="O8" s="8" t="n"/>
      <c r="Q8" s="12">
        <f>SUMPRODUCT((Meeting_Log[Topic Key]&lt;&gt;"")*(Meeting_Log[Meeting Date]=$C$5)*(COUNTIFS(Meeting_Log[Topic Key],Meeting_Log[Topic Key],Meeting_Log[Meeting Date],"&lt;"&amp;$C$5)=0))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 ht="22" customHeight="1">
      <c r="B13" s="14" t="inlineStr">
        <is>
          <t>1. FOLLOW-UP FROM PREVIOUS MEETING</t>
        </is>
      </c>
      <c r="C13" s="14" t="n"/>
      <c r="D13" s="14" t="n"/>
      <c r="E13" s="14" t="n"/>
      <c r="F13" s="14" t="n"/>
      <c r="G13" s="14" t="n"/>
      <c r="H13" s="14" t="n"/>
    </row>
    <row r="14">
      <c r="B14" s="15" t="inlineStr">
        <is>
          <t>Subject</t>
        </is>
      </c>
      <c r="C14" s="15" t="inlineStr">
        <is>
          <t>Sub-topic</t>
        </is>
      </c>
      <c r="D14" s="15" t="inlineStr">
        <is>
          <t>Previous Discussion</t>
        </is>
      </c>
      <c r="E14" s="15" t="inlineStr">
        <is>
          <t>Previous Action</t>
        </is>
      </c>
      <c r="F14" s="15" t="inlineStr">
        <is>
          <t>Owner</t>
        </is>
      </c>
      <c r="G14" s="15" t="inlineStr">
        <is>
          <t>Previous Due Date</t>
        </is>
      </c>
      <c r="H14" s="15" t="inlineStr">
        <is>
          <t>Previous Status</t>
        </is>
      </c>
    </row>
    <row r="15" ht="26" customHeight="1">
      <c r="B15" s="16">
        <f t="array" ref="B1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15" s="16">
        <f t="array" ref="C1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15" s="16">
        <f t="array" ref="D1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15" s="16">
        <f t="array" ref="E1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15" s="16">
        <f t="array" ref="F1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15" s="17">
        <f t="array" ref="G15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H15" s="16">
        <f t="array" ref="H1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16" ht="26" customHeight="1">
      <c r="B16" s="18">
        <f t="array" ref="B1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16" s="18">
        <f t="array" ref="C1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16" s="18">
        <f t="array" ref="D1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16" s="18">
        <f t="array" ref="E1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16" s="18">
        <f t="array" ref="F1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16" s="19">
        <f t="array" ref="G16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H16" s="18">
        <f t="array" ref="H1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17" ht="26" customHeight="1">
      <c r="B17" s="16">
        <f t="array" ref="B17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17" s="16">
        <f t="array" ref="C17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17" s="16">
        <f t="array" ref="D17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17" s="16">
        <f t="array" ref="E17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17" s="16">
        <f t="array" ref="F17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17" s="17">
        <f t="array" ref="G17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H17" s="16">
        <f t="array" ref="H17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18" ht="26" customHeight="1">
      <c r="B18" s="18">
        <f t="array" ref="B18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18" s="18">
        <f t="array" ref="C18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18" s="18">
        <f t="array" ref="D18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18" s="18">
        <f t="array" ref="E18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18" s="18">
        <f t="array" ref="F18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18" s="19">
        <f t="array" ref="G18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H18" s="18">
        <f t="array" ref="H18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19" ht="26" customHeight="1">
      <c r="B19" s="16">
        <f t="array" ref="B19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19" s="16">
        <f t="array" ref="C19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19" s="16">
        <f t="array" ref="D19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19" s="16">
        <f t="array" ref="E19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19" s="16">
        <f t="array" ref="F19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19" s="17">
        <f t="array" ref="G19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H19" s="16">
        <f t="array" ref="H19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20" ht="26" customHeight="1">
      <c r="B20" s="18">
        <f t="array" ref="B2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20" s="18">
        <f t="array" ref="C2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20" s="18">
        <f t="array" ref="D2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20" s="18">
        <f t="array" ref="E2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20" s="18">
        <f t="array" ref="F2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20" s="19">
        <f t="array" ref="G20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H20" s="18">
        <f t="array" ref="H2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21" ht="26" customHeight="1">
      <c r="B21" s="16">
        <f t="array" ref="B2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21" s="16">
        <f t="array" ref="C2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21" s="16">
        <f t="array" ref="D2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21" s="16">
        <f t="array" ref="E2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21" s="16">
        <f t="array" ref="F2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21" s="17">
        <f t="array" ref="G21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H21" s="16">
        <f t="array" ref="H2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22" ht="26" customHeight="1">
      <c r="B22" s="18">
        <f t="array" ref="B2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22" s="18">
        <f t="array" ref="C2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22" s="18">
        <f t="array" ref="D2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22" s="18">
        <f t="array" ref="E2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22" s="18">
        <f t="array" ref="F2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22" s="19">
        <f t="array" ref="G22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H22" s="18">
        <f t="array" ref="H2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24" ht="22" customHeight="1">
      <c r="B24" s="14" t="inlineStr">
        <is>
          <t>2. NEW TOPICS</t>
        </is>
      </c>
      <c r="C24" s="14" t="n"/>
      <c r="D24" s="14" t="n"/>
      <c r="E24" s="14" t="n"/>
      <c r="F24" s="14" t="n"/>
      <c r="G24" s="14" t="n"/>
      <c r="H24" s="14" t="n"/>
    </row>
    <row r="25">
      <c r="B25" s="15" t="inlineStr">
        <is>
          <t>Subject</t>
        </is>
      </c>
      <c r="C25" s="15" t="inlineStr">
        <is>
          <t>Sub-topic</t>
        </is>
      </c>
      <c r="D25" s="15" t="inlineStr">
        <is>
          <t>Discussion</t>
        </is>
      </c>
      <c r="E25" s="15" t="inlineStr">
        <is>
          <t>Action</t>
        </is>
      </c>
      <c r="F25" s="15" t="inlineStr">
        <is>
          <t>Owner</t>
        </is>
      </c>
      <c r="G25" s="15" t="inlineStr">
        <is>
          <t>Due Date</t>
        </is>
      </c>
      <c r="H25" s="15" t="inlineStr">
        <is>
          <t>Status</t>
        </is>
      </c>
    </row>
    <row r="26" ht="26" customHeight="1">
      <c r="B26" s="16">
        <f t="array" ref="B26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26" s="16">
        <f t="array" ref="C26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26" s="16">
        <f t="array" ref="D26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26" s="16">
        <f t="array" ref="E26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26" s="16">
        <f t="array" ref="F26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26" s="17">
        <f t="array" ref="G26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26" s="16">
        <f t="array" ref="H26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27" ht="26" customHeight="1">
      <c r="B27" s="18">
        <f t="array" ref="B27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27" s="18">
        <f t="array" ref="C27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27" s="18">
        <f t="array" ref="D27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27" s="18">
        <f t="array" ref="E27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27" s="18">
        <f t="array" ref="F27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27" s="19">
        <f t="array" ref="G27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27" s="18">
        <f t="array" ref="H27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28" ht="26" customHeight="1">
      <c r="B28" s="16">
        <f t="array" ref="B28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28" s="16">
        <f t="array" ref="C28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28" s="16">
        <f t="array" ref="D28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28" s="16">
        <f t="array" ref="E28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28" s="16">
        <f t="array" ref="F28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28" s="17">
        <f t="array" ref="G28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28" s="16">
        <f t="array" ref="H28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29" ht="26" customHeight="1">
      <c r="B29" s="18">
        <f t="array" ref="B29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29" s="18">
        <f t="array" ref="C29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29" s="18">
        <f t="array" ref="D29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29" s="18">
        <f t="array" ref="E29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29" s="18">
        <f t="array" ref="F29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29" s="19">
        <f t="array" ref="G29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29" s="18">
        <f t="array" ref="H29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30" ht="26" customHeight="1">
      <c r="B30" s="16">
        <f t="array" ref="B30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30" s="16">
        <f t="array" ref="C30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30" s="16">
        <f t="array" ref="D30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30" s="16">
        <f t="array" ref="E30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30" s="16">
        <f t="array" ref="F30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30" s="17">
        <f t="array" ref="G30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30" s="16">
        <f t="array" ref="H30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31" ht="26" customHeight="1">
      <c r="B31" s="18">
        <f t="array" ref="B31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31" s="18">
        <f t="array" ref="C31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31" s="18">
        <f t="array" ref="D31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31" s="18">
        <f t="array" ref="E31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31" s="18">
        <f t="array" ref="F31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31" s="19">
        <f t="array" ref="G31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31" s="18">
        <f t="array" ref="H31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33">
      <c r="B33" s="20" t="inlineStr">
        <is>
          <t>Add new topics directly in Meeting Log with today's date - they will appear above automatically.</t>
        </is>
      </c>
    </row>
    <row r="35" ht="22" customHeight="1">
      <c r="B35" s="14" t="inlineStr">
        <is>
          <t>3. ACTIONS TO FOLLOW (all open actions, latest status)</t>
        </is>
      </c>
      <c r="C35" s="14" t="n"/>
      <c r="D35" s="14" t="n"/>
      <c r="E35" s="14" t="n"/>
      <c r="F35" s="14" t="n"/>
      <c r="G35" s="14" t="n"/>
    </row>
    <row r="36">
      <c r="B36" s="15" t="inlineStr">
        <is>
          <t>Subject</t>
        </is>
      </c>
      <c r="C36" s="15" t="inlineStr">
        <is>
          <t>Action</t>
        </is>
      </c>
      <c r="D36" s="15" t="inlineStr">
        <is>
          <t>Owner</t>
        </is>
      </c>
      <c r="E36" s="15" t="inlineStr">
        <is>
          <t>Due Date</t>
        </is>
      </c>
      <c r="F36" s="15" t="inlineStr">
        <is>
          <t>Status</t>
        </is>
      </c>
      <c r="G36" s="15" t="inlineStr">
        <is>
          <t>Priority</t>
        </is>
      </c>
    </row>
    <row r="37" ht="26" customHeight="1">
      <c r="B37" s="16">
        <f t="array" ref="B3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C37" s="16">
        <f t="array" ref="C3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D37" s="16">
        <f t="array" ref="D3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E37" s="17">
        <f t="array" ref="E3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F37" s="16">
        <f t="array" ref="F3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G37" s="16">
        <f t="array" ref="G37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</row>
    <row r="38" ht="26" customHeight="1">
      <c r="B38" s="18">
        <f t="array" ref="B38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C38" s="18">
        <f t="array" ref="C38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D38" s="18">
        <f t="array" ref="D38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E38" s="19">
        <f t="array" ref="E38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F38" s="18">
        <f t="array" ref="F38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G38" s="18">
        <f t="array" ref="G38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</row>
    <row r="39" ht="26" customHeight="1">
      <c r="B39" s="16">
        <f t="array" ref="B39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C39" s="16">
        <f t="array" ref="C39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D39" s="16">
        <f t="array" ref="D39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E39" s="17">
        <f t="array" ref="E39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F39" s="16">
        <f t="array" ref="F39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G39" s="16">
        <f t="array" ref="G39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</row>
    <row r="40" ht="26" customHeight="1">
      <c r="B40" s="18">
        <f t="array" ref="B40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C40" s="18">
        <f t="array" ref="C40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D40" s="18">
        <f t="array" ref="D40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E40" s="19">
        <f t="array" ref="E40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F40" s="18">
        <f t="array" ref="F40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G40" s="18">
        <f t="array" ref="G40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</row>
    <row r="41" ht="26" customHeight="1">
      <c r="B41" s="16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C41" s="16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D41" s="16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E41" s="17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F41" s="16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G41" s="16">
        <f t="array" ref="G41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</row>
    <row r="42" ht="26" customHeight="1">
      <c r="B42" s="18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C42" s="18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D42" s="18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E42" s="19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F42" s="18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G42" s="18">
        <f t="array" ref="G42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</row>
    <row r="43" ht="26" customHeight="1">
      <c r="B43" s="16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C43" s="16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D43" s="16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E43" s="17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F43" s="16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G43" s="16">
        <f t="array" ref="G43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</row>
    <row r="44" ht="26" customHeight="1">
      <c r="B44" s="18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C44" s="18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D44" s="18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E44" s="19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F44" s="18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G44" s="18">
        <f t="array" ref="G44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</row>
    <row r="45" ht="26" customHeight="1">
      <c r="B45" s="16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C45" s="16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D45" s="16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E45" s="17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F45" s="16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G45" s="16">
        <f t="array" ref="G45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</row>
    <row r="46" ht="26" customHeight="1">
      <c r="B46" s="18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C46" s="18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D46" s="18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E46" s="19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F46" s="18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G46" s="18">
        <f t="array" ref="G46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</row>
    <row r="48">
      <c r="B48" s="20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37:G46">
    <cfRule type="cellIs" priority="1" operator="equal" dxfId="0">
      <formula>"Critical"</formula>
    </cfRule>
  </conditionalFormatting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12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13" customWidth="1" min="3" max="3"/>
    <col width="12" customWidth="1" min="4" max="4"/>
    <col width="22" customWidth="1" min="5" max="5"/>
    <col width="20" customWidth="1" min="6" max="6"/>
    <col width="16" customWidth="1" min="7" max="7"/>
    <col width="34" customWidth="1" min="8" max="8"/>
    <col width="30" customWidth="1" min="9" max="9"/>
    <col width="12" customWidth="1" min="10" max="10"/>
    <col width="13" customWidth="1" min="11" max="11"/>
    <col width="11" customWidth="1" min="12" max="12"/>
    <col width="26" customWidth="1" min="13" max="13"/>
    <col width="22" customWidth="1" min="14" max="14"/>
    <col width="10" customWidth="1" min="15" max="15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single database. One row = one subject discussed at one meeting. Continuity across meetings is found automatically via Subject + Sub-topic - just add a new row with the same Subject/Sub-topic to continue a topic.</t>
        </is>
      </c>
    </row>
    <row r="7" ht="30" customHeight="1">
      <c r="B7" s="21" t="inlineStr">
        <is>
          <t>Meeting ID</t>
        </is>
      </c>
      <c r="C7" s="21" t="inlineStr">
        <is>
          <t>Meeting Date</t>
        </is>
      </c>
      <c r="D7" s="21" t="inlineStr">
        <is>
          <t>Meeting Type</t>
        </is>
      </c>
      <c r="E7" s="21" t="inlineStr">
        <is>
          <t>Subject</t>
        </is>
      </c>
      <c r="F7" s="21" t="inlineStr">
        <is>
          <t>Sub-topic</t>
        </is>
      </c>
      <c r="G7" s="21" t="inlineStr">
        <is>
          <t>Owner</t>
        </is>
      </c>
      <c r="H7" s="21" t="inlineStr">
        <is>
          <t>Discussion / Notes</t>
        </is>
      </c>
      <c r="I7" s="21" t="inlineStr">
        <is>
          <t>Agreed Action</t>
        </is>
      </c>
      <c r="J7" s="21" t="inlineStr">
        <is>
          <t>Due Date</t>
        </is>
      </c>
      <c r="K7" s="21" t="inlineStr">
        <is>
          <t>Status</t>
        </is>
      </c>
      <c r="L7" s="21" t="inlineStr">
        <is>
          <t>Priority</t>
        </is>
      </c>
      <c r="M7" s="21" t="inlineStr">
        <is>
          <t>Follow-up / Update</t>
        </is>
      </c>
      <c r="N7" s="21" t="inlineStr">
        <is>
          <t>Topic Key</t>
        </is>
      </c>
      <c r="O7" s="21" t="inlineStr">
        <is>
          <t>Overdue?</t>
        </is>
      </c>
    </row>
    <row r="8" ht="50" customHeight="1">
      <c r="B8" s="16">
        <f>IF($E8="","","M"&amp;TEXT(ROW()-7,"000"))</f>
        <v/>
      </c>
      <c r="C8" s="22" t="n">
        <v>46266</v>
      </c>
      <c r="D8" s="23" t="inlineStr">
        <is>
          <t>Monthly</t>
        </is>
      </c>
      <c r="E8" s="23" t="inlineStr">
        <is>
          <t>Documentation</t>
        </is>
      </c>
      <c r="F8" s="23" t="inlineStr">
        <is>
          <t>Documentation</t>
        </is>
      </c>
      <c r="G8" s="23" t="inlineStr">
        <is>
          <t>Engineering</t>
        </is>
      </c>
      <c r="H8" s="23" t="inlineStr">
        <is>
          <t>Documents missing for the commissioning dossier.</t>
        </is>
      </c>
      <c r="I8" s="23" t="inlineStr">
        <is>
          <t>Engineering to provide the missing documents.</t>
        </is>
      </c>
      <c r="J8" s="22" t="n">
        <v>46280</v>
      </c>
      <c r="K8" s="23" t="inlineStr">
        <is>
          <t>Open</t>
        </is>
      </c>
      <c r="L8" s="23" t="inlineStr">
        <is>
          <t>Medium</t>
        </is>
      </c>
      <c r="M8" s="23" t="inlineStr"/>
      <c r="N8" s="24">
        <f>IF($E8="","",$E8&amp;"|"&amp;$F8)</f>
        <v/>
      </c>
      <c r="O8" s="16">
        <f>IF($E8="","",IF(AND($K8&lt;&gt;"Closed",$K8&lt;&gt;"Cancelled",$J8&lt;&gt;"",$J8&lt;TODAY()),"Yes","No"))</f>
        <v/>
      </c>
    </row>
    <row r="9" ht="50" customHeight="1">
      <c r="B9" s="16">
        <f>IF($E9="","","M"&amp;TEXT(ROW()-7,"000"))</f>
        <v/>
      </c>
      <c r="C9" s="22" t="n">
        <v>46296</v>
      </c>
      <c r="D9" s="23" t="inlineStr">
        <is>
          <t>Monthly</t>
        </is>
      </c>
      <c r="E9" s="23" t="inlineStr">
        <is>
          <t>Documentation</t>
        </is>
      </c>
      <c r="F9" s="23" t="inlineStr">
        <is>
          <t>Documentation</t>
        </is>
      </c>
      <c r="G9" s="23" t="inlineStr">
        <is>
          <t>Engineering</t>
        </is>
      </c>
      <c r="H9" s="23" t="inlineStr">
        <is>
          <t>Engineering confirmed the documents are being finalised.</t>
        </is>
      </c>
      <c r="I9" s="23" t="inlineStr">
        <is>
          <t>Engineering to issue the documents.</t>
        </is>
      </c>
      <c r="J9" s="22" t="n">
        <v>46310</v>
      </c>
      <c r="K9" s="23" t="inlineStr">
        <is>
          <t>In Progress</t>
        </is>
      </c>
      <c r="L9" s="23" t="inlineStr">
        <is>
          <t>Medium</t>
        </is>
      </c>
      <c r="M9" s="23" t="inlineStr">
        <is>
          <t>Continued from the 01-Sep meeting - still outstanding.</t>
        </is>
      </c>
      <c r="N9" s="24">
        <f>IF($E9="","",$E9&amp;"|"&amp;$F9)</f>
        <v/>
      </c>
      <c r="O9" s="16">
        <f>IF($E9="","",IF(AND($K9&lt;&gt;"Closed",$K9&lt;&gt;"Cancelled",$J9&lt;&gt;"",$J9&lt;TODAY()),"Yes","No"))</f>
        <v/>
      </c>
    </row>
    <row r="10" ht="50" customHeight="1">
      <c r="B10" s="16">
        <f>IF($E10="","","M"&amp;TEXT(ROW()-7,"000"))</f>
        <v/>
      </c>
      <c r="C10" s="22" t="n">
        <v>46296</v>
      </c>
      <c r="D10" s="23" t="inlineStr">
        <is>
          <t>Monthly</t>
        </is>
      </c>
      <c r="E10" s="23" t="inlineStr">
        <is>
          <t>Testing / Results</t>
        </is>
      </c>
      <c r="F10" s="23" t="inlineStr">
        <is>
          <t>Testing</t>
        </is>
      </c>
      <c r="G10" s="23" t="inlineStr">
        <is>
          <t>Commissioning</t>
        </is>
      </c>
      <c r="H10" s="23" t="inlineStr">
        <is>
          <t>First functional test results reviewed.</t>
        </is>
      </c>
      <c r="I10" s="23" t="inlineStr">
        <is>
          <t>Commissioning to issue the test report.</t>
        </is>
      </c>
      <c r="J10" s="22" t="n">
        <v>46315</v>
      </c>
      <c r="K10" s="23" t="inlineStr">
        <is>
          <t>Open</t>
        </is>
      </c>
      <c r="L10" s="23" t="inlineStr">
        <is>
          <t>High</t>
        </is>
      </c>
      <c r="M10" s="23" t="inlineStr"/>
      <c r="N10" s="24">
        <f>IF($E10="","",$E10&amp;"|"&amp;$F10)</f>
        <v/>
      </c>
      <c r="O10" s="16">
        <f>IF($E10="","",IF(AND($K10&lt;&gt;"Closed",$K10&lt;&gt;"Cancelled",$J10&lt;&gt;"",$J10&lt;TODAY()),"Yes","No"))</f>
        <v/>
      </c>
    </row>
    <row r="12">
      <c r="B12" s="20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O10">
    <cfRule type="expression" priority="1" dxfId="1">
      <formula>AND($K8&lt;&gt;"Closed",$O8="Yes")</formula>
    </cfRule>
    <cfRule type="expression" priority="2" dxfId="2">
      <formula>$K8="Closed"</formula>
    </cfRule>
    <cfRule type="expression" priority="3" dxfId="3">
      <formula>OR($K8="On Hold",$K8="Cancelled")</formula>
    </cfRule>
  </conditionalFormatting>
  <dataValidations count="6">
    <dataValidation sqref="D8:D10" showDropDown="0" showInputMessage="0" showErrorMessage="0" allowBlank="1" type="list">
      <formula1>=LIST_MEETING_TYPE</formula1>
    </dataValidation>
    <dataValidation sqref="E8:E10" showDropDown="0" showInputMessage="0" showErrorMessage="0" allowBlank="1" type="list">
      <formula1>=LIST_SUBJECT</formula1>
    </dataValidation>
    <dataValidation sqref="F8:F10" showDropDown="0" showInputMessage="0" showErrorMessage="0" allowBlank="1" type="list">
      <formula1>=LIST_SUBTOPIC</formula1>
    </dataValidation>
    <dataValidation sqref="G8:G10" showDropDown="0" showInputMessage="0" showErrorMessage="0" allowBlank="1" type="list">
      <formula1>=LIST_OWNER</formula1>
    </dataValidation>
    <dataValidation sqref="K8:K10" showDropDown="0" showInputMessage="0" showErrorMessage="0" allowBlank="1" type="list">
      <formula1>=LIST_STATUS</formula1>
    </dataValidation>
    <dataValidation sqref="L8:L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IFERROR(INDEX(Meeting_Log[Meeting Type],MATCH($C$5,Meeting_Log[Meeting Date],0)),"")</f>
        <v/>
      </c>
    </row>
    <row r="7" ht="22" customHeight="1">
      <c r="B7" s="14" t="inlineStr">
        <is>
          <t>1. FOLLOW-UP FROM PREVIOUS MEETING</t>
        </is>
      </c>
      <c r="C7" s="14" t="n"/>
      <c r="D7" s="14" t="n"/>
      <c r="E7" s="14" t="n"/>
      <c r="F7" s="14" t="n"/>
      <c r="G7" s="14" t="n"/>
    </row>
    <row r="8">
      <c r="B8" s="15" t="inlineStr">
        <is>
          <t>Subject</t>
        </is>
      </c>
      <c r="C8" s="15" t="inlineStr">
        <is>
          <t>Sub-topic</t>
        </is>
      </c>
      <c r="D8" s="15" t="inlineStr">
        <is>
          <t>Previous Discussion</t>
        </is>
      </c>
      <c r="E8" s="15" t="inlineStr">
        <is>
          <t>Previous Action</t>
        </is>
      </c>
      <c r="F8" s="15" t="inlineStr">
        <is>
          <t>Owner</t>
        </is>
      </c>
      <c r="G8" s="15" t="inlineStr">
        <is>
          <t>Previous Status</t>
        </is>
      </c>
    </row>
    <row r="9" ht="26" customHeight="1">
      <c r="B9" s="16">
        <f t="array" ref="B9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9" s="16">
        <f t="array" ref="C9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9" s="16">
        <f t="array" ref="D9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9" s="16">
        <f t="array" ref="E9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9" s="16">
        <f t="array" ref="F9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9" s="16">
        <f t="array" ref="G9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10" ht="26" customHeight="1">
      <c r="B10" s="18">
        <f t="array" ref="B1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10" s="18">
        <f t="array" ref="C1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10" s="18">
        <f t="array" ref="D1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10" s="18">
        <f t="array" ref="E1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10" s="18">
        <f t="array" ref="F1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10" s="18">
        <f t="array" ref="G1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11" ht="26" customHeight="1">
      <c r="B11" s="16">
        <f t="array" ref="B1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11" s="16">
        <f t="array" ref="C1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11" s="16">
        <f t="array" ref="D1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11" s="16">
        <f t="array" ref="E1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11" s="16">
        <f t="array" ref="F1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11" s="16">
        <f t="array" ref="G1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12" ht="26" customHeight="1">
      <c r="B12" s="18">
        <f t="array" ref="B1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12" s="18">
        <f t="array" ref="C1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12" s="18">
        <f t="array" ref="D1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12" s="18">
        <f t="array" ref="E1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12" s="18">
        <f t="array" ref="F1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12" s="18">
        <f t="array" ref="G1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13" ht="26" customHeight="1">
      <c r="B13" s="16">
        <f t="array" ref="B13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13" s="16">
        <f t="array" ref="C13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13" s="16">
        <f t="array" ref="D13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13" s="16">
        <f t="array" ref="E13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13" s="16">
        <f t="array" ref="F13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13" s="16">
        <f t="array" ref="G13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14" ht="26" customHeight="1">
      <c r="B14" s="18">
        <f t="array" ref="B14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14" s="18">
        <f t="array" ref="C14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14" s="18">
        <f t="array" ref="D14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14" s="18">
        <f t="array" ref="E14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14" s="18">
        <f t="array" ref="F14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14" s="18">
        <f t="array" ref="G14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15" ht="26" customHeight="1">
      <c r="B15" s="16">
        <f t="array" ref="B1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15" s="16">
        <f t="array" ref="C1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15" s="16">
        <f t="array" ref="D1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15" s="16">
        <f t="array" ref="E1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15" s="16">
        <f t="array" ref="F1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15" s="16">
        <f t="array" ref="G1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16" ht="26" customHeight="1">
      <c r="B16" s="18">
        <f t="array" ref="B1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16" s="18">
        <f t="array" ref="C1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16" s="18">
        <f t="array" ref="D1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16" s="18">
        <f t="array" ref="E1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16" s="18">
        <f t="array" ref="F1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16" s="18">
        <f t="array" ref="G1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18" ht="22" customHeight="1">
      <c r="B18" s="14" t="inlineStr">
        <is>
          <t>2. NEW TOPICS</t>
        </is>
      </c>
      <c r="C18" s="14" t="n"/>
      <c r="D18" s="14" t="n"/>
      <c r="E18" s="14" t="n"/>
      <c r="F18" s="14" t="n"/>
      <c r="G18" s="14" t="n"/>
      <c r="H18" s="14" t="n"/>
    </row>
    <row r="19">
      <c r="B19" s="15" t="inlineStr">
        <is>
          <t>Subject</t>
        </is>
      </c>
      <c r="C19" s="15" t="inlineStr">
        <is>
          <t>Sub-topic</t>
        </is>
      </c>
      <c r="D19" s="15" t="inlineStr">
        <is>
          <t>Discussion / Notes</t>
        </is>
      </c>
      <c r="E19" s="15" t="inlineStr">
        <is>
          <t>Agreed Action</t>
        </is>
      </c>
      <c r="F19" s="15" t="inlineStr">
        <is>
          <t>Owner</t>
        </is>
      </c>
      <c r="G19" s="15" t="inlineStr">
        <is>
          <t>Due Date</t>
        </is>
      </c>
      <c r="H19" s="15" t="inlineStr">
        <is>
          <t>Status</t>
        </is>
      </c>
    </row>
    <row r="20" ht="26" customHeight="1">
      <c r="B20" s="16">
        <f t="array" ref="B20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20" s="16">
        <f t="array" ref="C20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20" s="16">
        <f t="array" ref="D20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20" s="16">
        <f t="array" ref="E20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20" s="16">
        <f t="array" ref="F20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20" s="17">
        <f t="array" ref="G20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20" s="16">
        <f t="array" ref="H20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21" ht="26" customHeight="1">
      <c r="B21" s="18">
        <f t="array" ref="B21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21" s="18">
        <f t="array" ref="C21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21" s="18">
        <f t="array" ref="D21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21" s="18">
        <f t="array" ref="E21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21" s="18">
        <f t="array" ref="F21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21" s="19">
        <f t="array" ref="G21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21" s="18">
        <f t="array" ref="H21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22" ht="26" customHeight="1">
      <c r="B22" s="16">
        <f t="array" ref="B22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22" s="16">
        <f t="array" ref="C22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22" s="16">
        <f t="array" ref="D22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22" s="16">
        <f t="array" ref="E22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22" s="16">
        <f t="array" ref="F22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22" s="17">
        <f t="array" ref="G22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22" s="16">
        <f t="array" ref="H22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23" ht="26" customHeight="1">
      <c r="B23" s="18">
        <f t="array" ref="B23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23" s="18">
        <f t="array" ref="C23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23" s="18">
        <f t="array" ref="D23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23" s="18">
        <f t="array" ref="E23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23" s="18">
        <f t="array" ref="F23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23" s="19">
        <f t="array" ref="G23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23" s="18">
        <f t="array" ref="H23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24" ht="26" customHeight="1">
      <c r="B24" s="16">
        <f t="array" ref="B24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24" s="16">
        <f t="array" ref="C24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24" s="16">
        <f t="array" ref="D24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24" s="16">
        <f t="array" ref="E24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24" s="16">
        <f t="array" ref="F24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24" s="17">
        <f t="array" ref="G24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24" s="16">
        <f t="array" ref="H24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25" ht="26" customHeight="1">
      <c r="B25" s="18">
        <f t="array" ref="B25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25" s="18">
        <f t="array" ref="C25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25" s="18">
        <f t="array" ref="D25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25" s="18">
        <f t="array" ref="E25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25" s="18">
        <f t="array" ref="F25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25" s="19">
        <f t="array" ref="G25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25" s="18">
        <f t="array" ref="H25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27" ht="22" customHeight="1">
      <c r="B27" s="14" t="inlineStr">
        <is>
          <t>3. ACTION SUMMARY</t>
        </is>
      </c>
      <c r="C27" s="14" t="n"/>
      <c r="D27" s="14" t="n"/>
      <c r="E27" s="14" t="n"/>
      <c r="F27" s="14" t="n"/>
    </row>
    <row r="28">
      <c r="B28" s="15" t="inlineStr">
        <is>
          <t>Action</t>
        </is>
      </c>
      <c r="C28" s="15" t="inlineStr">
        <is>
          <t>Owner</t>
        </is>
      </c>
      <c r="D28" s="15" t="inlineStr">
        <is>
          <t>Due Date</t>
        </is>
      </c>
      <c r="E28" s="15" t="inlineStr">
        <is>
          <t>Status</t>
        </is>
      </c>
      <c r="F28" s="15" t="inlineStr">
        <is>
          <t>Priority</t>
        </is>
      </c>
    </row>
    <row r="29" ht="26" customHeight="1">
      <c r="B29" s="16">
        <f t="array" ref="B29">IFERROR(INDEX(Meeting_Log[Agreed Action],SMALL(IF((Meeting_Log[Topic Key]&lt;&gt;"")*(Meeting_Log[Meeting Date]=$C$5),ROW(Meeting_Log[Topic Key])-7),1)),"")</f>
        <v/>
      </c>
      <c r="C29" s="16">
        <f t="array" ref="C29">IFERROR(INDEX(Meeting_Log[Owner],SMALL(IF((Meeting_Log[Topic Key]&lt;&gt;"")*(Meeting_Log[Meeting Date]=$C$5),ROW(Meeting_Log[Topic Key])-7),1)),"")</f>
        <v/>
      </c>
      <c r="D29" s="17">
        <f t="array" ref="D29">IFERROR(INDEX(Meeting_Log[Due Date],SMALL(IF((Meeting_Log[Topic Key]&lt;&gt;"")*(Meeting_Log[Meeting Date]=$C$5),ROW(Meeting_Log[Topic Key])-7),1)),"")</f>
        <v/>
      </c>
      <c r="E29" s="16">
        <f t="array" ref="E29">IFERROR(INDEX(Meeting_Log[Status],SMALL(IF((Meeting_Log[Topic Key]&lt;&gt;"")*(Meeting_Log[Meeting Date]=$C$5),ROW(Meeting_Log[Topic Key])-7),1)),"")</f>
        <v/>
      </c>
      <c r="F29" s="16">
        <f t="array" ref="F29">IFERROR(INDEX(Meeting_Log[Priority],SMALL(IF((Meeting_Log[Topic Key]&lt;&gt;"")*(Meeting_Log[Meeting Date]=$C$5),ROW(Meeting_Log[Topic Key])-7),1)),"")</f>
        <v/>
      </c>
    </row>
    <row r="30" ht="26" customHeight="1">
      <c r="B30" s="18">
        <f t="array" ref="B30">IFERROR(INDEX(Meeting_Log[Agreed Action],SMALL(IF((Meeting_Log[Topic Key]&lt;&gt;"")*(Meeting_Log[Meeting Date]=$C$5),ROW(Meeting_Log[Topic Key])-7),2)),"")</f>
        <v/>
      </c>
      <c r="C30" s="18">
        <f t="array" ref="C30">IFERROR(INDEX(Meeting_Log[Owner],SMALL(IF((Meeting_Log[Topic Key]&lt;&gt;"")*(Meeting_Log[Meeting Date]=$C$5),ROW(Meeting_Log[Topic Key])-7),2)),"")</f>
        <v/>
      </c>
      <c r="D30" s="19">
        <f t="array" ref="D30">IFERROR(INDEX(Meeting_Log[Due Date],SMALL(IF((Meeting_Log[Topic Key]&lt;&gt;"")*(Meeting_Log[Meeting Date]=$C$5),ROW(Meeting_Log[Topic Key])-7),2)),"")</f>
        <v/>
      </c>
      <c r="E30" s="18">
        <f t="array" ref="E30">IFERROR(INDEX(Meeting_Log[Status],SMALL(IF((Meeting_Log[Topic Key]&lt;&gt;"")*(Meeting_Log[Meeting Date]=$C$5),ROW(Meeting_Log[Topic Key])-7),2)),"")</f>
        <v/>
      </c>
      <c r="F30" s="18">
        <f t="array" ref="F30">IFERROR(INDEX(Meeting_Log[Priority],SMALL(IF((Meeting_Log[Topic Key]&lt;&gt;"")*(Meeting_Log[Meeting Date]=$C$5),ROW(Meeting_Log[Topic Key])-7),2)),"")</f>
        <v/>
      </c>
    </row>
    <row r="31" ht="26" customHeight="1">
      <c r="B31" s="16">
        <f t="array" ref="B31">IFERROR(INDEX(Meeting_Log[Agreed Action],SMALL(IF((Meeting_Log[Topic Key]&lt;&gt;"")*(Meeting_Log[Meeting Date]=$C$5),ROW(Meeting_Log[Topic Key])-7),3)),"")</f>
        <v/>
      </c>
      <c r="C31" s="16">
        <f t="array" ref="C31">IFERROR(INDEX(Meeting_Log[Owner],SMALL(IF((Meeting_Log[Topic Key]&lt;&gt;"")*(Meeting_Log[Meeting Date]=$C$5),ROW(Meeting_Log[Topic Key])-7),3)),"")</f>
        <v/>
      </c>
      <c r="D31" s="17">
        <f t="array" ref="D31">IFERROR(INDEX(Meeting_Log[Due Date],SMALL(IF((Meeting_Log[Topic Key]&lt;&gt;"")*(Meeting_Log[Meeting Date]=$C$5),ROW(Meeting_Log[Topic Key])-7),3)),"")</f>
        <v/>
      </c>
      <c r="E31" s="16">
        <f t="array" ref="E31">IFERROR(INDEX(Meeting_Log[Status],SMALL(IF((Meeting_Log[Topic Key]&lt;&gt;"")*(Meeting_Log[Meeting Date]=$C$5),ROW(Meeting_Log[Topic Key])-7),3)),"")</f>
        <v/>
      </c>
      <c r="F31" s="16">
        <f t="array" ref="F31">IFERROR(INDEX(Meeting_Log[Priority],SMALL(IF((Meeting_Log[Topic Key]&lt;&gt;"")*(Meeting_Log[Meeting Date]=$C$5),ROW(Meeting_Log[Topic Key])-7),3)),"")</f>
        <v/>
      </c>
    </row>
    <row r="32" ht="26" customHeight="1">
      <c r="B32" s="18">
        <f t="array" ref="B32">IFERROR(INDEX(Meeting_Log[Agreed Action],SMALL(IF((Meeting_Log[Topic Key]&lt;&gt;"")*(Meeting_Log[Meeting Date]=$C$5),ROW(Meeting_Log[Topic Key])-7),4)),"")</f>
        <v/>
      </c>
      <c r="C32" s="18">
        <f t="array" ref="C32">IFERROR(INDEX(Meeting_Log[Owner],SMALL(IF((Meeting_Log[Topic Key]&lt;&gt;"")*(Meeting_Log[Meeting Date]=$C$5),ROW(Meeting_Log[Topic Key])-7),4)),"")</f>
        <v/>
      </c>
      <c r="D32" s="19">
        <f t="array" ref="D32">IFERROR(INDEX(Meeting_Log[Due Date],SMALL(IF((Meeting_Log[Topic Key]&lt;&gt;"")*(Meeting_Log[Meeting Date]=$C$5),ROW(Meeting_Log[Topic Key])-7),4)),"")</f>
        <v/>
      </c>
      <c r="E32" s="18">
        <f t="array" ref="E32">IFERROR(INDEX(Meeting_Log[Status],SMALL(IF((Meeting_Log[Topic Key]&lt;&gt;"")*(Meeting_Log[Meeting Date]=$C$5),ROW(Meeting_Log[Topic Key])-7),4)),"")</f>
        <v/>
      </c>
      <c r="F32" s="18">
        <f t="array" ref="F32">IFERROR(INDEX(Meeting_Log[Priority],SMALL(IF((Meeting_Log[Topic Key]&lt;&gt;"")*(Meeting_Log[Meeting Date]=$C$5),ROW(Meeting_Log[Topic Key])-7),4)),"")</f>
        <v/>
      </c>
    </row>
    <row r="33" ht="26" customHeight="1">
      <c r="B33" s="16">
        <f t="array" ref="B33">IFERROR(INDEX(Meeting_Log[Agreed Action],SMALL(IF((Meeting_Log[Topic Key]&lt;&gt;"")*(Meeting_Log[Meeting Date]=$C$5),ROW(Meeting_Log[Topic Key])-7),5)),"")</f>
        <v/>
      </c>
      <c r="C33" s="16">
        <f t="array" ref="C33">IFERROR(INDEX(Meeting_Log[Owner],SMALL(IF((Meeting_Log[Topic Key]&lt;&gt;"")*(Meeting_Log[Meeting Date]=$C$5),ROW(Meeting_Log[Topic Key])-7),5)),"")</f>
        <v/>
      </c>
      <c r="D33" s="17">
        <f t="array" ref="D33">IFERROR(INDEX(Meeting_Log[Due Date],SMALL(IF((Meeting_Log[Topic Key]&lt;&gt;"")*(Meeting_Log[Meeting Date]=$C$5),ROW(Meeting_Log[Topic Key])-7),5)),"")</f>
        <v/>
      </c>
      <c r="E33" s="16">
        <f t="array" ref="E33">IFERROR(INDEX(Meeting_Log[Status],SMALL(IF((Meeting_Log[Topic Key]&lt;&gt;"")*(Meeting_Log[Meeting Date]=$C$5),ROW(Meeting_Log[Topic Key])-7),5)),"")</f>
        <v/>
      </c>
      <c r="F33" s="16">
        <f t="array" ref="F33">IFERROR(INDEX(Meeting_Log[Priority],SMALL(IF((Meeting_Log[Topic Key]&lt;&gt;"")*(Meeting_Log[Meeting Date]=$C$5),ROW(Meeting_Log[Topic Key])-7),5)),"")</f>
        <v/>
      </c>
    </row>
    <row r="34" ht="26" customHeight="1">
      <c r="B34" s="18">
        <f t="array" ref="B34">IFERROR(INDEX(Meeting_Log[Agreed Action],SMALL(IF((Meeting_Log[Topic Key]&lt;&gt;"")*(Meeting_Log[Meeting Date]=$C$5),ROW(Meeting_Log[Topic Key])-7),6)),"")</f>
        <v/>
      </c>
      <c r="C34" s="18">
        <f t="array" ref="C34">IFERROR(INDEX(Meeting_Log[Owner],SMALL(IF((Meeting_Log[Topic Key]&lt;&gt;"")*(Meeting_Log[Meeting Date]=$C$5),ROW(Meeting_Log[Topic Key])-7),6)),"")</f>
        <v/>
      </c>
      <c r="D34" s="19">
        <f t="array" ref="D34">IFERROR(INDEX(Meeting_Log[Due Date],SMALL(IF((Meeting_Log[Topic Key]&lt;&gt;"")*(Meeting_Log[Meeting Date]=$C$5),ROW(Meeting_Log[Topic Key])-7),6)),"")</f>
        <v/>
      </c>
      <c r="E34" s="18">
        <f t="array" ref="E34">IFERROR(INDEX(Meeting_Log[Status],SMALL(IF((Meeting_Log[Topic Key]&lt;&gt;"")*(Meeting_Log[Meeting Date]=$C$5),ROW(Meeting_Log[Topic Key])-7),6)),"")</f>
        <v/>
      </c>
      <c r="F34" s="18">
        <f t="array" ref="F34">IFERROR(INDEX(Meeting_Log[Priority],SMALL(IF((Meeting_Log[Topic Key]&lt;&gt;"")*(Meeting_Log[Meeting Date]=$C$5),ROW(Meeting_Log[Topic Key])-7),6)),"")</f>
        <v/>
      </c>
    </row>
    <row r="35" ht="26" customHeight="1">
      <c r="B35" s="16">
        <f t="array" ref="B35">IFERROR(INDEX(Meeting_Log[Agreed Action],SMALL(IF((Meeting_Log[Topic Key]&lt;&gt;"")*(Meeting_Log[Meeting Date]=$C$5),ROW(Meeting_Log[Topic Key])-7),7)),"")</f>
        <v/>
      </c>
      <c r="C35" s="16">
        <f t="array" ref="C35">IFERROR(INDEX(Meeting_Log[Owner],SMALL(IF((Meeting_Log[Topic Key]&lt;&gt;"")*(Meeting_Log[Meeting Date]=$C$5),ROW(Meeting_Log[Topic Key])-7),7)),"")</f>
        <v/>
      </c>
      <c r="D35" s="17">
        <f t="array" ref="D35">IFERROR(INDEX(Meeting_Log[Due Date],SMALL(IF((Meeting_Log[Topic Key]&lt;&gt;"")*(Meeting_Log[Meeting Date]=$C$5),ROW(Meeting_Log[Topic Key])-7),7)),"")</f>
        <v/>
      </c>
      <c r="E35" s="16">
        <f t="array" ref="E35">IFERROR(INDEX(Meeting_Log[Status],SMALL(IF((Meeting_Log[Topic Key]&lt;&gt;"")*(Meeting_Log[Meeting Date]=$C$5),ROW(Meeting_Log[Topic Key])-7),7)),"")</f>
        <v/>
      </c>
      <c r="F35" s="16">
        <f t="array" ref="F35">IFERROR(INDEX(Meeting_Log[Priority],SMALL(IF((Meeting_Log[Topic Key]&lt;&gt;"")*(Meeting_Log[Meeting Date]=$C$5),ROW(Meeting_Log[Topic Key])-7),7)),"")</f>
        <v/>
      </c>
    </row>
    <row r="36" ht="26" customHeight="1">
      <c r="B36" s="18">
        <f t="array" ref="B36">IFERROR(INDEX(Meeting_Log[Agreed Action],SMALL(IF((Meeting_Log[Topic Key]&lt;&gt;"")*(Meeting_Log[Meeting Date]=$C$5),ROW(Meeting_Log[Topic Key])-7),8)),"")</f>
        <v/>
      </c>
      <c r="C36" s="18">
        <f t="array" ref="C36">IFERROR(INDEX(Meeting_Log[Owner],SMALL(IF((Meeting_Log[Topic Key]&lt;&gt;"")*(Meeting_Log[Meeting Date]=$C$5),ROW(Meeting_Log[Topic Key])-7),8)),"")</f>
        <v/>
      </c>
      <c r="D36" s="19">
        <f t="array" ref="D36">IFERROR(INDEX(Meeting_Log[Due Date],SMALL(IF((Meeting_Log[Topic Key]&lt;&gt;"")*(Meeting_Log[Meeting Date]=$C$5),ROW(Meeting_Log[Topic Key])-7),8)),"")</f>
        <v/>
      </c>
      <c r="E36" s="18">
        <f t="array" ref="E36">IFERROR(INDEX(Meeting_Log[Status],SMALL(IF((Meeting_Log[Topic Key]&lt;&gt;"")*(Meeting_Log[Meeting Date]=$C$5),ROW(Meeting_Log[Topic Key])-7),8)),"")</f>
        <v/>
      </c>
      <c r="F36" s="18">
        <f t="array" ref="F36">IFERROR(INDEX(Meeting_Log[Priority],SMALL(IF((Meeting_Log[Topic Key]&lt;&gt;"")*(Meeting_Log[Meeting Date]=$C$5),ROW(Meeting_Log[Topic Key])-7),8)),"")</f>
        <v/>
      </c>
    </row>
    <row r="38" ht="22" customHeight="1">
      <c r="B38" s="14" t="inlineStr">
        <is>
          <t>4. OPEN / OVERDUE ACTIONS</t>
        </is>
      </c>
      <c r="C38" s="14" t="n"/>
      <c r="D38" s="14" t="n"/>
      <c r="E38" s="14" t="n"/>
      <c r="F38" s="14" t="n"/>
    </row>
    <row r="39">
      <c r="B39" s="15" t="inlineStr">
        <is>
          <t>Subject</t>
        </is>
      </c>
      <c r="C39" s="15" t="inlineStr">
        <is>
          <t>Action</t>
        </is>
      </c>
      <c r="D39" s="15" t="inlineStr">
        <is>
          <t>Owner</t>
        </is>
      </c>
      <c r="E39" s="15" t="inlineStr">
        <is>
          <t>Due Date</t>
        </is>
      </c>
      <c r="F39" s="15" t="inlineStr">
        <is>
          <t>Status</t>
        </is>
      </c>
    </row>
    <row r="40" ht="26" customHeight="1">
      <c r="B40" s="16">
        <f t="array" ref="B40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C40" s="16">
        <f t="array" ref="C40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D40" s="16">
        <f t="array" ref="D40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E40" s="17">
        <f t="array" ref="E40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F40" s="16">
        <f t="array" ref="F40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</row>
    <row r="41" ht="26" customHeight="1">
      <c r="B41" s="18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C41" s="18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D41" s="18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E41" s="19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F41" s="18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</row>
    <row r="42" ht="26" customHeight="1">
      <c r="B42" s="16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C42" s="16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D42" s="16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E42" s="17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F42" s="16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</row>
    <row r="43" ht="26" customHeight="1">
      <c r="B43" s="18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C43" s="18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D43" s="18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E43" s="19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F43" s="18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</row>
    <row r="44" ht="26" customHeight="1">
      <c r="B44" s="16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C44" s="16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D44" s="16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E44" s="17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F44" s="16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</row>
    <row r="45" ht="26" customHeight="1">
      <c r="B45" s="18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C45" s="18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D45" s="18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E45" s="19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F45" s="18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</row>
    <row r="46" ht="26" customHeight="1">
      <c r="B46" s="16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C46" s="16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D46" s="16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E46" s="17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F46" s="16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</row>
    <row r="47" ht="26" customHeight="1">
      <c r="B47" s="18">
        <f t="array" ref="B4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C47" s="18">
        <f t="array" ref="C4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D47" s="18">
        <f t="array" ref="D4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E47" s="19">
        <f t="array" ref="E4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F47" s="18">
        <f t="array" ref="F4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</row>
    <row r="49">
      <c r="B49" s="20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7" t="inlineStr">
        <is>
          <t>Subject</t>
        </is>
      </c>
      <c r="C5" s="27" t="inlineStr">
        <is>
          <t>Sub-topic</t>
        </is>
      </c>
      <c r="D5" s="27" t="inlineStr">
        <is>
          <t>Owner</t>
        </is>
      </c>
      <c r="E5" s="27" t="inlineStr">
        <is>
          <t>Status</t>
        </is>
      </c>
      <c r="F5" s="27" t="inlineStr">
        <is>
          <t>Priority</t>
        </is>
      </c>
      <c r="G5" s="27" t="inlineStr">
        <is>
          <t>Meeting Type</t>
        </is>
      </c>
    </row>
    <row r="6">
      <c r="B6" s="28" t="inlineStr">
        <is>
          <t>Commissioning Planning</t>
        </is>
      </c>
      <c r="C6" s="28" t="inlineStr">
        <is>
          <t>Planning</t>
        </is>
      </c>
      <c r="D6" s="28" t="inlineStr">
        <is>
          <t>Commissioning</t>
        </is>
      </c>
      <c r="E6" s="28" t="inlineStr">
        <is>
          <t>Open</t>
        </is>
      </c>
      <c r="F6" s="28" t="inlineStr">
        <is>
          <t>Low</t>
        </is>
      </c>
      <c r="G6" s="28" t="inlineStr">
        <is>
          <t>Weekly</t>
        </is>
      </c>
    </row>
    <row r="7">
      <c r="B7" s="29" t="inlineStr">
        <is>
          <t>Site / Field Activities</t>
        </is>
      </c>
      <c r="C7" s="29" t="inlineStr">
        <is>
          <t>Progress</t>
        </is>
      </c>
      <c r="D7" s="29" t="inlineStr">
        <is>
          <t>Engineering</t>
        </is>
      </c>
      <c r="E7" s="29" t="inlineStr">
        <is>
          <t>In Progress</t>
        </is>
      </c>
      <c r="F7" s="29" t="inlineStr">
        <is>
          <t>Medium</t>
        </is>
      </c>
      <c r="G7" s="29" t="inlineStr">
        <is>
          <t>Monthly</t>
        </is>
      </c>
    </row>
    <row r="8">
      <c r="B8" s="28" t="inlineStr">
        <is>
          <t>Documentation</t>
        </is>
      </c>
      <c r="C8" s="28" t="inlineStr">
        <is>
          <t>Preparation</t>
        </is>
      </c>
      <c r="D8" s="28" t="inlineStr">
        <is>
          <t>Construction</t>
        </is>
      </c>
      <c r="E8" s="28" t="inlineStr">
        <is>
          <t>Closed</t>
        </is>
      </c>
      <c r="F8" s="28" t="inlineStr">
        <is>
          <t>High</t>
        </is>
      </c>
      <c r="G8" s="28" t="inlineStr">
        <is>
          <t>Ad hoc</t>
        </is>
      </c>
    </row>
    <row r="9">
      <c r="B9" s="29" t="inlineStr">
        <is>
          <t>Testing / Results</t>
        </is>
      </c>
      <c r="C9" s="29" t="inlineStr">
        <is>
          <t>Execution</t>
        </is>
      </c>
      <c r="D9" s="29" t="inlineStr">
        <is>
          <t>Quality</t>
        </is>
      </c>
      <c r="E9" s="29" t="inlineStr">
        <is>
          <t>On Hold</t>
        </is>
      </c>
      <c r="F9" s="29" t="inlineStr">
        <is>
          <t>Critical</t>
        </is>
      </c>
    </row>
    <row r="10">
      <c r="B10" s="28" t="inlineStr">
        <is>
          <t>Interfaces</t>
        </is>
      </c>
      <c r="C10" s="28" t="inlineStr">
        <is>
          <t>Testing</t>
        </is>
      </c>
      <c r="D10" s="28" t="inlineStr">
        <is>
          <t>HSE</t>
        </is>
      </c>
      <c r="E10" s="28" t="inlineStr">
        <is>
          <t>Cancelled</t>
        </is>
      </c>
    </row>
    <row r="11">
      <c r="B11" s="29" t="inlineStr">
        <is>
          <t>Engineering</t>
        </is>
      </c>
      <c r="C11" s="29" t="inlineStr">
        <is>
          <t>Punch List</t>
        </is>
      </c>
      <c r="D11" s="29" t="inlineStr">
        <is>
          <t>Planning</t>
        </is>
      </c>
    </row>
    <row r="12">
      <c r="B12" s="28" t="inlineStr">
        <is>
          <t>Quality</t>
        </is>
      </c>
      <c r="C12" s="28" t="inlineStr">
        <is>
          <t>Documentation</t>
        </is>
      </c>
      <c r="D12" s="28" t="inlineStr">
        <is>
          <t>Document Control</t>
        </is>
      </c>
    </row>
    <row r="13">
      <c r="B13" s="29" t="inlineStr">
        <is>
          <t>Safety</t>
        </is>
      </c>
      <c r="C13" s="29" t="inlineStr">
        <is>
          <t>NCR / Quality</t>
        </is>
      </c>
      <c r="D13" s="29" t="inlineStr">
        <is>
          <t>Project Team</t>
        </is>
      </c>
    </row>
    <row r="14">
      <c r="B14" s="28" t="inlineStr">
        <is>
          <t>Resources / Manpower</t>
        </is>
      </c>
      <c r="C14" s="28" t="inlineStr">
        <is>
          <t>Design / Engineering</t>
        </is>
      </c>
      <c r="D14" s="28" t="inlineStr">
        <is>
          <t>Other</t>
        </is>
      </c>
    </row>
    <row r="15">
      <c r="B15" s="29" t="inlineStr">
        <is>
          <t>Schedule</t>
        </is>
      </c>
      <c r="C15" s="29" t="inlineStr">
        <is>
          <t>Interface</t>
        </is>
      </c>
    </row>
    <row r="16">
      <c r="B16" s="28" t="inlineStr">
        <is>
          <t>Other</t>
        </is>
      </c>
      <c r="C16" s="28" t="inlineStr">
        <is>
          <t>Resource</t>
        </is>
      </c>
    </row>
    <row r="17">
      <c r="C17" s="29" t="inlineStr">
        <is>
          <t>Schedule</t>
        </is>
      </c>
    </row>
    <row r="18">
      <c r="C18" s="28" t="inlineStr">
        <is>
          <t>Risk / Issue</t>
        </is>
      </c>
    </row>
    <row r="19">
      <c r="C19" s="29" t="inlineStr">
        <is>
          <t>Decision</t>
        </is>
      </c>
    </row>
    <row r="20">
      <c r="C20" s="28" t="inlineStr">
        <is>
          <t>Other</t>
        </is>
      </c>
    </row>
    <row r="22">
      <c r="B22" s="20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2026-09-28T09:57:00Z</dcterms:created>
  <dcterms:modified xsi:type="dcterms:W3CDTF">2026-09-28T09:57:00Z</dcterms:modified>
</cp:coreProperties>
</file>