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eting Log" sheetId="1" state="visible" r:id="rId1"/>
    <sheet name="Overview" sheetId="2" state="visible" r:id="rId2"/>
    <sheet name="Lists &amp; Config" sheetId="3" state="visible" r:id="rId3"/>
  </sheets>
  <definedNames>
    <definedName name="LIST_SUJET">'Lists &amp; Config'!$B$6:$B$14</definedName>
    <definedName name="LIST_SOUS_SUJET">'Lists &amp; Config'!$C$6:$C$11</definedName>
    <definedName name="LIST_RESPONSABLE">'Lists &amp; Config'!$D$6:$D$8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17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6E6E6E"/>
      <sz val="20"/>
    </font>
    <font>
      <name val="Arial"/>
      <b val="1"/>
      <color rgb="009C6500"/>
      <sz val="20"/>
    </font>
    <font>
      <name val="Arial"/>
      <b val="1"/>
      <color rgb="00FFFFFF"/>
      <sz val="11"/>
    </font>
    <font>
      <name val="Arial"/>
      <b val="1"/>
      <color rgb="0044546A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165" fontId="9" fillId="0" borderId="1" applyAlignment="1" pivotButton="0" quotePrefix="0" xfId="0">
      <alignment horizontal="left" vertical="top" wrapText="1"/>
    </xf>
    <xf numFmtId="0" fontId="7" fillId="0" borderId="0" pivotButton="0" quotePrefix="0" xfId="0"/>
    <xf numFmtId="1" fontId="10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2" fillId="0" borderId="1" applyAlignment="1" pivotButton="0" quotePrefix="0" xfId="0">
      <alignment horizontal="center" vertical="center"/>
    </xf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5" fillId="5" borderId="1" pivotButton="0" quotePrefix="0" xfId="0"/>
    <xf numFmtId="0" fontId="1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5" fontId="6" fillId="6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color rgb="001E7B34"/>
      </font>
      <fill>
        <patternFill patternType="solid">
          <fgColor rgb="00E2F0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9C6500"/>
      </font>
      <fill>
        <patternFill patternType="solid">
          <fgColor rgb="00FFF3CD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eeting_Log" displayName="Meeting_Log" ref="B7:H12" headerRowCount="1">
  <autoFilter ref="B7:H12"/>
  <tableColumns count="7">
    <tableColumn id="2" name="Sujet"/>
    <tableColumn id="3" name="Sous-sujet"/>
    <tableColumn id="4" name="Objet / Discussion"/>
    <tableColumn id="5" name="Action décidée"/>
    <tableColumn id="6" name="Responsable"/>
    <tableColumn id="7" name="Date attendue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Meeting Log'!A1" TargetMode="External" Id="rId1" /><Relationship Type="http://schemas.openxmlformats.org/officeDocument/2006/relationships/hyperlink" Target="#'Overview'!A1" TargetMode="External" Id="rId2" /><Relationship Type="http://schemas.openxmlformats.org/officeDocument/2006/relationships/hyperlink" Target="#'Lists &amp; Config'!A1" TargetMode="External" Id="rId3" /><Relationship Type="http://schemas.openxmlformats.org/officeDocument/2006/relationships/table" Target="/xl/tables/table1.xml" Id="rId4" /></Relationships>
</file>

<file path=xl/worksheets/_rels/sheet2.xml.rels><Relationships xmlns="http://schemas.openxmlformats.org/package/2006/relationships"><Relationship Type="http://schemas.openxmlformats.org/officeDocument/2006/relationships/hyperlink" Target="#'Meeting Log'!A1" TargetMode="External" Id="rId1" /><Relationship Type="http://schemas.openxmlformats.org/officeDocument/2006/relationships/hyperlink" Target="#'Overview'!A1" TargetMode="External" Id="rId2" /><Relationship Type="http://schemas.openxmlformats.org/officeDocument/2006/relationships/hyperlink" Target="#'Lists &amp; Config'!A1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#'Meeting Log'!A1" TargetMode="External" Id="rId1" /><Relationship Type="http://schemas.openxmlformats.org/officeDocument/2006/relationships/hyperlink" Target="#'Overview'!A1" TargetMode="External" Id="rId2" /><Relationship Type="http://schemas.openxmlformats.org/officeDocument/2006/relationships/hyperlink" Target="#'Lists &amp; Config'!A1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34" customWidth="1" min="4" max="4"/>
    <col width="32" customWidth="1" min="5" max="5"/>
    <col width="16" customWidth="1" min="6" max="6"/>
    <col width="13" customWidth="1" min="7" max="7"/>
    <col width="11" customWidth="1" min="8" max="8"/>
  </cols>
  <sheetData>
    <row r="1" ht="20" customHeight="1">
      <c r="B1" s="1" t="inlineStr">
        <is>
          <t>Meeting Log</t>
        </is>
      </c>
      <c r="C1" s="2" t="inlineStr">
        <is>
          <t>Overview</t>
        </is>
      </c>
      <c r="D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30" customHeight="1">
      <c r="B3" s="4" t="inlineStr">
        <is>
          <t>The only sheet you type into. One row per action - pick Sujet/Sous-sujet/Responsable from the dropdowns (edit the lists on Lists &amp; Config), free-type the rest. If a subject comes back at a later meeting, just add a new row below - don't edit an old one. Status is the one thing to keep current: set it to Closed once an action is done, so it drops off Overview automatically.</t>
        </is>
      </c>
    </row>
    <row r="7" ht="30" customHeight="1">
      <c r="B7" s="5" t="inlineStr">
        <is>
          <t>Sujet</t>
        </is>
      </c>
      <c r="C7" s="5" t="inlineStr">
        <is>
          <t>Sous-sujet</t>
        </is>
      </c>
      <c r="D7" s="5" t="inlineStr">
        <is>
          <t>Objet / Discussion</t>
        </is>
      </c>
      <c r="E7" s="5" t="inlineStr">
        <is>
          <t>Action décidée</t>
        </is>
      </c>
      <c r="F7" s="5" t="inlineStr">
        <is>
          <t>Responsable</t>
        </is>
      </c>
      <c r="G7" s="5" t="inlineStr">
        <is>
          <t>Date attendue</t>
        </is>
      </c>
      <c r="H7" s="5" t="inlineStr">
        <is>
          <t>Status</t>
        </is>
      </c>
    </row>
    <row r="8" ht="50" customHeight="1">
      <c r="B8" s="6" t="inlineStr">
        <is>
          <t>Documentation</t>
        </is>
      </c>
      <c r="C8" s="6" t="inlineStr">
        <is>
          <t>Commissioning Dossier</t>
        </is>
      </c>
      <c r="D8" s="6" t="inlineStr">
        <is>
          <t>Documents manquants pour le dossier.</t>
        </is>
      </c>
      <c r="E8" s="6" t="inlineStr">
        <is>
          <t>Ingénierie a fourni les documents manquants.</t>
        </is>
      </c>
      <c r="F8" s="6" t="inlineStr">
        <is>
          <t>John Smith</t>
        </is>
      </c>
      <c r="G8" s="7" t="n">
        <v>46193</v>
      </c>
      <c r="H8" s="6" t="inlineStr">
        <is>
          <t>Closed</t>
        </is>
      </c>
    </row>
    <row r="9" ht="50" customHeight="1">
      <c r="B9" s="6" t="inlineStr">
        <is>
          <t>Documentation</t>
        </is>
      </c>
      <c r="C9" s="6" t="inlineStr">
        <is>
          <t>Commissioning Dossier</t>
        </is>
      </c>
      <c r="D9" s="6" t="inlineStr">
        <is>
          <t>Un document est toujours manquant.</t>
        </is>
      </c>
      <c r="E9" s="6" t="inlineStr">
        <is>
          <t>John à relancer le fournisseur pour le document restant.</t>
        </is>
      </c>
      <c r="F9" s="6" t="inlineStr">
        <is>
          <t>John Smith</t>
        </is>
      </c>
      <c r="G9" s="7" t="n">
        <v>46303</v>
      </c>
      <c r="H9" s="6" t="inlineStr">
        <is>
          <t>Open</t>
        </is>
      </c>
    </row>
    <row r="10" ht="50" customHeight="1">
      <c r="B10" s="6" t="inlineStr">
        <is>
          <t>Testing</t>
        </is>
      </c>
      <c r="C10" s="6" t="inlineStr">
        <is>
          <t>Test Reports</t>
        </is>
      </c>
      <c r="D10" s="6" t="inlineStr">
        <is>
          <t>Premiers resultats de tests revus.</t>
        </is>
      </c>
      <c r="E10" s="6" t="inlineStr">
        <is>
          <t>Sarah à émettre le rapport de test.</t>
        </is>
      </c>
      <c r="F10" s="6" t="inlineStr">
        <is>
          <t>Sarah Williams</t>
        </is>
      </c>
      <c r="G10" s="7" t="n">
        <v>46285</v>
      </c>
      <c r="H10" s="6" t="inlineStr">
        <is>
          <t>Open</t>
        </is>
      </c>
    </row>
    <row r="11" ht="50" customHeight="1">
      <c r="B11" s="6" t="inlineStr">
        <is>
          <t>Safety</t>
        </is>
      </c>
      <c r="C11" s="6" t="inlineStr">
        <is>
          <t>SSOW Approval</t>
        </is>
      </c>
      <c r="D11" s="6" t="inlineStr">
        <is>
          <t>Brouillon SSOW soumis pour révision.</t>
        </is>
      </c>
      <c r="E11" s="6" t="inlineStr">
        <is>
          <t>Robert à revoir et approuver le SSOW.</t>
        </is>
      </c>
      <c r="F11" s="6" t="inlineStr">
        <is>
          <t>Robert Taylor</t>
        </is>
      </c>
      <c r="G11" s="7" t="n"/>
      <c r="H11" s="6" t="inlineStr">
        <is>
          <t>Open</t>
        </is>
      </c>
    </row>
    <row r="12" ht="50" customHeight="1">
      <c r="B12" s="6" t="inlineStr">
        <is>
          <t>Quality</t>
        </is>
      </c>
      <c r="C12" s="6" t="inlineStr">
        <is>
          <t>Audit</t>
        </is>
      </c>
      <c r="D12" s="6" t="inlineStr">
        <is>
          <t>Audit qualité réalisé, aucun écart relevé.</t>
        </is>
      </c>
      <c r="E12" s="6" t="inlineStr"/>
      <c r="F12" s="6" t="inlineStr"/>
      <c r="G12" s="7" t="n"/>
      <c r="H12" s="6" t="inlineStr">
        <is>
          <t>Closed</t>
        </is>
      </c>
    </row>
    <row r="14">
      <c r="B14" s="8" t="inlineStr">
        <is>
          <t>Legend: Blue = fill in yourself | Black = automatic | New row: type directly below the table and Excel extends it automatically</t>
        </is>
      </c>
    </row>
  </sheetData>
  <mergeCells count="1">
    <mergeCell ref="B3:H3"/>
  </mergeCells>
  <conditionalFormatting sqref="B8:H12">
    <cfRule type="expression" priority="1" dxfId="0">
      <formula>$H8="Closed"</formula>
    </cfRule>
  </conditionalFormatting>
  <dataValidations count="4">
    <dataValidation sqref="B8:B12" showDropDown="0" showInputMessage="0" showErrorMessage="0" allowBlank="1" type="list">
      <formula1>=LIST_SUJET</formula1>
    </dataValidation>
    <dataValidation sqref="C8:C12" showDropDown="0" showInputMessage="0" showErrorMessage="0" allowBlank="1" type="list">
      <formula1>=LIST_SOUS_SUJET</formula1>
    </dataValidation>
    <dataValidation sqref="F8:F12" showDropDown="0" showInputMessage="0" showErrorMessage="0" allowBlank="1" type="list">
      <formula1>=LIST_RESPONSABLE</formula1>
    </dataValidation>
    <dataValidation sqref="H8:H12" showDropDown="0" showInputMessage="0" showErrorMessage="0" allowBlank="1" type="list">
      <formula1>"Open,Closed"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34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0" customHeight="1">
      <c r="B1" s="2" t="inlineStr">
        <is>
          <t>Meeting Log</t>
        </is>
      </c>
      <c r="C1" s="1" t="inlineStr">
        <is>
          <t>Overview</t>
        </is>
      </c>
      <c r="D1" s="2" t="inlineStr">
        <is>
          <t>Lists &amp; Config</t>
        </is>
      </c>
    </row>
    <row r="2" ht="26" customHeight="1">
      <c r="B2" s="3" t="inlineStr">
        <is>
          <t>Overview</t>
        </is>
      </c>
    </row>
    <row r="3" ht="30" customHeight="1">
      <c r="B3" s="4" t="inlineStr">
        <is>
          <t>Nothing to type here - this page reads Meeting Log automatically. Set a row's Status to Closed in Meeting Log once its action is done, and it disappears from the list below by itself.</t>
        </is>
      </c>
    </row>
    <row r="8">
      <c r="B8" s="9">
        <f>SUMPRODUCT(IFERROR((Meeting_Log[Sujet]&lt;&gt;"")/COUNTIF(Meeting_Log[Sujet],Meeting_Log[Sujet]&amp;""),0))</f>
        <v/>
      </c>
      <c r="C8" s="10" t="n"/>
      <c r="D8" s="9">
        <f>COUNTIFS(Meeting_Log[Status],"Open")</f>
        <v/>
      </c>
      <c r="E8" s="10" t="n"/>
      <c r="F8" s="11">
        <f>COUNTIFS(Meeting_Log[Status],"Open",Meeting_Log[Date attendue],"&lt;&gt;",Meeting_Log[Date attendue],"&lt;"&amp;TODAY())</f>
        <v/>
      </c>
      <c r="G8" s="10" t="n"/>
      <c r="H8" s="12">
        <f>COUNTIFS(Meeting_Log[Status],"Open",Meeting_Log[Date attendue],"")</f>
        <v/>
      </c>
      <c r="I8" s="10" t="n"/>
      <c r="J8" s="13">
        <f>SUMPRODUCT(IFERROR((Meeting_Log[Status]="Open")*(Meeting_Log[Responsable]&lt;&gt;"")/COUNTIFS(Meeting_Log[Responsable],Meeting_Log[Responsable]&amp;"",Meeting_Log[Status],"Open"),0))</f>
        <v/>
      </c>
      <c r="K8" s="10" t="n"/>
    </row>
    <row r="9"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B11" s="14" t="inlineStr">
        <is>
          <t>Total de sujets</t>
        </is>
      </c>
      <c r="D11" s="14" t="inlineStr">
        <is>
          <t>Actions en cours</t>
        </is>
      </c>
      <c r="F11" s="14" t="inlineStr">
        <is>
          <t>Actions en retard</t>
        </is>
      </c>
      <c r="H11" s="14" t="inlineStr">
        <is>
          <t>Actions sans date</t>
        </is>
      </c>
      <c r="J11" s="14" t="inlineStr">
        <is>
          <t>Responsables actifs</t>
        </is>
      </c>
    </row>
    <row r="13" ht="22" customHeight="1">
      <c r="B13" s="15" t="inlineStr">
        <is>
          <t>ACTIONS EN COURS</t>
        </is>
      </c>
      <c r="C13" s="15" t="n"/>
      <c r="D13" s="15" t="n"/>
      <c r="E13" s="15" t="n"/>
      <c r="F13" s="15" t="n"/>
    </row>
    <row r="14">
      <c r="B14" s="16" t="inlineStr">
        <is>
          <t>Sujet</t>
        </is>
      </c>
      <c r="C14" s="16" t="inlineStr">
        <is>
          <t>Sous-sujet</t>
        </is>
      </c>
      <c r="D14" s="16" t="inlineStr">
        <is>
          <t>Action décidée</t>
        </is>
      </c>
      <c r="E14" s="16" t="inlineStr">
        <is>
          <t>Responsable</t>
        </is>
      </c>
      <c r="F14" s="16" t="inlineStr">
        <is>
          <t>Date attendue</t>
        </is>
      </c>
    </row>
    <row r="15" ht="26" customHeight="1">
      <c r="B15" s="17">
        <f t="array" ref="B15">IFERROR(INDEX(Meeting_Log[Sujet],SMALL(IF((Meeting_Log[Sujet]&lt;&gt;"")*(Meeting_Log[Status]="Open"),ROW(Meeting_Log[Sujet])-7),1)),"")</f>
        <v/>
      </c>
      <c r="C15" s="17">
        <f t="array" ref="C15">IFERROR(INDEX(Meeting_Log[Sous-sujet],SMALL(IF((Meeting_Log[Sujet]&lt;&gt;"")*(Meeting_Log[Status]="Open"),ROW(Meeting_Log[Sujet])-7),1)),"")</f>
        <v/>
      </c>
      <c r="D15" s="17">
        <f t="array" ref="D15">IFERROR(INDEX(Meeting_Log[Action décidée],SMALL(IF((Meeting_Log[Sujet]&lt;&gt;"")*(Meeting_Log[Status]="Open"),ROW(Meeting_Log[Sujet])-7),1)),"")</f>
        <v/>
      </c>
      <c r="E15" s="17">
        <f t="array" ref="E15">IFERROR(INDEX(Meeting_Log[Responsable],SMALL(IF((Meeting_Log[Sujet]&lt;&gt;"")*(Meeting_Log[Status]="Open"),ROW(Meeting_Log[Sujet])-7),1)),"")</f>
        <v/>
      </c>
      <c r="F15" s="18">
        <f t="array" ref="F15">IFERROR(INDEX(Meeting_Log[Date attendue],SMALL(IF((Meeting_Log[Sujet]&lt;&gt;"")*(Meeting_Log[Status]="Open"),ROW(Meeting_Log[Sujet])-7),1)),"")</f>
        <v/>
      </c>
    </row>
    <row r="16" ht="26" customHeight="1">
      <c r="B16" s="19">
        <f t="array" ref="B16">IFERROR(INDEX(Meeting_Log[Sujet],SMALL(IF((Meeting_Log[Sujet]&lt;&gt;"")*(Meeting_Log[Status]="Open"),ROW(Meeting_Log[Sujet])-7),2)),"")</f>
        <v/>
      </c>
      <c r="C16" s="19">
        <f t="array" ref="C16">IFERROR(INDEX(Meeting_Log[Sous-sujet],SMALL(IF((Meeting_Log[Sujet]&lt;&gt;"")*(Meeting_Log[Status]="Open"),ROW(Meeting_Log[Sujet])-7),2)),"")</f>
        <v/>
      </c>
      <c r="D16" s="19">
        <f t="array" ref="D16">IFERROR(INDEX(Meeting_Log[Action décidée],SMALL(IF((Meeting_Log[Sujet]&lt;&gt;"")*(Meeting_Log[Status]="Open"),ROW(Meeting_Log[Sujet])-7),2)),"")</f>
        <v/>
      </c>
      <c r="E16" s="19">
        <f t="array" ref="E16">IFERROR(INDEX(Meeting_Log[Responsable],SMALL(IF((Meeting_Log[Sujet]&lt;&gt;"")*(Meeting_Log[Status]="Open"),ROW(Meeting_Log[Sujet])-7),2)),"")</f>
        <v/>
      </c>
      <c r="F16" s="20">
        <f t="array" ref="F16">IFERROR(INDEX(Meeting_Log[Date attendue],SMALL(IF((Meeting_Log[Sujet]&lt;&gt;"")*(Meeting_Log[Status]="Open"),ROW(Meeting_Log[Sujet])-7),2)),"")</f>
        <v/>
      </c>
    </row>
    <row r="17" ht="26" customHeight="1">
      <c r="B17" s="17">
        <f t="array" ref="B17">IFERROR(INDEX(Meeting_Log[Sujet],SMALL(IF((Meeting_Log[Sujet]&lt;&gt;"")*(Meeting_Log[Status]="Open"),ROW(Meeting_Log[Sujet])-7),3)),"")</f>
        <v/>
      </c>
      <c r="C17" s="17">
        <f t="array" ref="C17">IFERROR(INDEX(Meeting_Log[Sous-sujet],SMALL(IF((Meeting_Log[Sujet]&lt;&gt;"")*(Meeting_Log[Status]="Open"),ROW(Meeting_Log[Sujet])-7),3)),"")</f>
        <v/>
      </c>
      <c r="D17" s="17">
        <f t="array" ref="D17">IFERROR(INDEX(Meeting_Log[Action décidée],SMALL(IF((Meeting_Log[Sujet]&lt;&gt;"")*(Meeting_Log[Status]="Open"),ROW(Meeting_Log[Sujet])-7),3)),"")</f>
        <v/>
      </c>
      <c r="E17" s="17">
        <f t="array" ref="E17">IFERROR(INDEX(Meeting_Log[Responsable],SMALL(IF((Meeting_Log[Sujet]&lt;&gt;"")*(Meeting_Log[Status]="Open"),ROW(Meeting_Log[Sujet])-7),3)),"")</f>
        <v/>
      </c>
      <c r="F17" s="18">
        <f t="array" ref="F17">IFERROR(INDEX(Meeting_Log[Date attendue],SMALL(IF((Meeting_Log[Sujet]&lt;&gt;"")*(Meeting_Log[Status]="Open"),ROW(Meeting_Log[Sujet])-7),3)),"")</f>
        <v/>
      </c>
    </row>
    <row r="18" ht="26" customHeight="1">
      <c r="B18" s="19">
        <f t="array" ref="B18">IFERROR(INDEX(Meeting_Log[Sujet],SMALL(IF((Meeting_Log[Sujet]&lt;&gt;"")*(Meeting_Log[Status]="Open"),ROW(Meeting_Log[Sujet])-7),4)),"")</f>
        <v/>
      </c>
      <c r="C18" s="19">
        <f t="array" ref="C18">IFERROR(INDEX(Meeting_Log[Sous-sujet],SMALL(IF((Meeting_Log[Sujet]&lt;&gt;"")*(Meeting_Log[Status]="Open"),ROW(Meeting_Log[Sujet])-7),4)),"")</f>
        <v/>
      </c>
      <c r="D18" s="19">
        <f t="array" ref="D18">IFERROR(INDEX(Meeting_Log[Action décidée],SMALL(IF((Meeting_Log[Sujet]&lt;&gt;"")*(Meeting_Log[Status]="Open"),ROW(Meeting_Log[Sujet])-7),4)),"")</f>
        <v/>
      </c>
      <c r="E18" s="19">
        <f t="array" ref="E18">IFERROR(INDEX(Meeting_Log[Responsable],SMALL(IF((Meeting_Log[Sujet]&lt;&gt;"")*(Meeting_Log[Status]="Open"),ROW(Meeting_Log[Sujet])-7),4)),"")</f>
        <v/>
      </c>
      <c r="F18" s="20">
        <f t="array" ref="F18">IFERROR(INDEX(Meeting_Log[Date attendue],SMALL(IF((Meeting_Log[Sujet]&lt;&gt;"")*(Meeting_Log[Status]="Open"),ROW(Meeting_Log[Sujet])-7),4)),"")</f>
        <v/>
      </c>
    </row>
    <row r="19" ht="26" customHeight="1">
      <c r="B19" s="17">
        <f t="array" ref="B19">IFERROR(INDEX(Meeting_Log[Sujet],SMALL(IF((Meeting_Log[Sujet]&lt;&gt;"")*(Meeting_Log[Status]="Open"),ROW(Meeting_Log[Sujet])-7),5)),"")</f>
        <v/>
      </c>
      <c r="C19" s="17">
        <f t="array" ref="C19">IFERROR(INDEX(Meeting_Log[Sous-sujet],SMALL(IF((Meeting_Log[Sujet]&lt;&gt;"")*(Meeting_Log[Status]="Open"),ROW(Meeting_Log[Sujet])-7),5)),"")</f>
        <v/>
      </c>
      <c r="D19" s="17">
        <f t="array" ref="D19">IFERROR(INDEX(Meeting_Log[Action décidée],SMALL(IF((Meeting_Log[Sujet]&lt;&gt;"")*(Meeting_Log[Status]="Open"),ROW(Meeting_Log[Sujet])-7),5)),"")</f>
        <v/>
      </c>
      <c r="E19" s="17">
        <f t="array" ref="E19">IFERROR(INDEX(Meeting_Log[Responsable],SMALL(IF((Meeting_Log[Sujet]&lt;&gt;"")*(Meeting_Log[Status]="Open"),ROW(Meeting_Log[Sujet])-7),5)),"")</f>
        <v/>
      </c>
      <c r="F19" s="18">
        <f t="array" ref="F19">IFERROR(INDEX(Meeting_Log[Date attendue],SMALL(IF((Meeting_Log[Sujet]&lt;&gt;"")*(Meeting_Log[Status]="Open"),ROW(Meeting_Log[Sujet])-7),5)),"")</f>
        <v/>
      </c>
    </row>
    <row r="20" ht="26" customHeight="1">
      <c r="B20" s="19">
        <f t="array" ref="B20">IFERROR(INDEX(Meeting_Log[Sujet],SMALL(IF((Meeting_Log[Sujet]&lt;&gt;"")*(Meeting_Log[Status]="Open"),ROW(Meeting_Log[Sujet])-7),6)),"")</f>
        <v/>
      </c>
      <c r="C20" s="19">
        <f t="array" ref="C20">IFERROR(INDEX(Meeting_Log[Sous-sujet],SMALL(IF((Meeting_Log[Sujet]&lt;&gt;"")*(Meeting_Log[Status]="Open"),ROW(Meeting_Log[Sujet])-7),6)),"")</f>
        <v/>
      </c>
      <c r="D20" s="19">
        <f t="array" ref="D20">IFERROR(INDEX(Meeting_Log[Action décidée],SMALL(IF((Meeting_Log[Sujet]&lt;&gt;"")*(Meeting_Log[Status]="Open"),ROW(Meeting_Log[Sujet])-7),6)),"")</f>
        <v/>
      </c>
      <c r="E20" s="19">
        <f t="array" ref="E20">IFERROR(INDEX(Meeting_Log[Responsable],SMALL(IF((Meeting_Log[Sujet]&lt;&gt;"")*(Meeting_Log[Status]="Open"),ROW(Meeting_Log[Sujet])-7),6)),"")</f>
        <v/>
      </c>
      <c r="F20" s="20">
        <f t="array" ref="F20">IFERROR(INDEX(Meeting_Log[Date attendue],SMALL(IF((Meeting_Log[Sujet]&lt;&gt;"")*(Meeting_Log[Status]="Open"),ROW(Meeting_Log[Sujet])-7),6)),"")</f>
        <v/>
      </c>
    </row>
    <row r="21" ht="26" customHeight="1">
      <c r="B21" s="17">
        <f t="array" ref="B21">IFERROR(INDEX(Meeting_Log[Sujet],SMALL(IF((Meeting_Log[Sujet]&lt;&gt;"")*(Meeting_Log[Status]="Open"),ROW(Meeting_Log[Sujet])-7),7)),"")</f>
        <v/>
      </c>
      <c r="C21" s="17">
        <f t="array" ref="C21">IFERROR(INDEX(Meeting_Log[Sous-sujet],SMALL(IF((Meeting_Log[Sujet]&lt;&gt;"")*(Meeting_Log[Status]="Open"),ROW(Meeting_Log[Sujet])-7),7)),"")</f>
        <v/>
      </c>
      <c r="D21" s="17">
        <f t="array" ref="D21">IFERROR(INDEX(Meeting_Log[Action décidée],SMALL(IF((Meeting_Log[Sujet]&lt;&gt;"")*(Meeting_Log[Status]="Open"),ROW(Meeting_Log[Sujet])-7),7)),"")</f>
        <v/>
      </c>
      <c r="E21" s="17">
        <f t="array" ref="E21">IFERROR(INDEX(Meeting_Log[Responsable],SMALL(IF((Meeting_Log[Sujet]&lt;&gt;"")*(Meeting_Log[Status]="Open"),ROW(Meeting_Log[Sujet])-7),7)),"")</f>
        <v/>
      </c>
      <c r="F21" s="18">
        <f t="array" ref="F21">IFERROR(INDEX(Meeting_Log[Date attendue],SMALL(IF((Meeting_Log[Sujet]&lt;&gt;"")*(Meeting_Log[Status]="Open"),ROW(Meeting_Log[Sujet])-7),7)),"")</f>
        <v/>
      </c>
    </row>
    <row r="22" ht="26" customHeight="1">
      <c r="B22" s="19">
        <f t="array" ref="B22">IFERROR(INDEX(Meeting_Log[Sujet],SMALL(IF((Meeting_Log[Sujet]&lt;&gt;"")*(Meeting_Log[Status]="Open"),ROW(Meeting_Log[Sujet])-7),8)),"")</f>
        <v/>
      </c>
      <c r="C22" s="19">
        <f t="array" ref="C22">IFERROR(INDEX(Meeting_Log[Sous-sujet],SMALL(IF((Meeting_Log[Sujet]&lt;&gt;"")*(Meeting_Log[Status]="Open"),ROW(Meeting_Log[Sujet])-7),8)),"")</f>
        <v/>
      </c>
      <c r="D22" s="19">
        <f t="array" ref="D22">IFERROR(INDEX(Meeting_Log[Action décidée],SMALL(IF((Meeting_Log[Sujet]&lt;&gt;"")*(Meeting_Log[Status]="Open"),ROW(Meeting_Log[Sujet])-7),8)),"")</f>
        <v/>
      </c>
      <c r="E22" s="19">
        <f t="array" ref="E22">IFERROR(INDEX(Meeting_Log[Responsable],SMALL(IF((Meeting_Log[Sujet]&lt;&gt;"")*(Meeting_Log[Status]="Open"),ROW(Meeting_Log[Sujet])-7),8)),"")</f>
        <v/>
      </c>
      <c r="F22" s="20">
        <f t="array" ref="F22">IFERROR(INDEX(Meeting_Log[Date attendue],SMALL(IF((Meeting_Log[Sujet]&lt;&gt;"")*(Meeting_Log[Status]="Open"),ROW(Meeting_Log[Sujet])-7),8)),"")</f>
        <v/>
      </c>
    </row>
    <row r="23" ht="26" customHeight="1">
      <c r="B23" s="17">
        <f t="array" ref="B23">IFERROR(INDEX(Meeting_Log[Sujet],SMALL(IF((Meeting_Log[Sujet]&lt;&gt;"")*(Meeting_Log[Status]="Open"),ROW(Meeting_Log[Sujet])-7),9)),"")</f>
        <v/>
      </c>
      <c r="C23" s="17">
        <f t="array" ref="C23">IFERROR(INDEX(Meeting_Log[Sous-sujet],SMALL(IF((Meeting_Log[Sujet]&lt;&gt;"")*(Meeting_Log[Status]="Open"),ROW(Meeting_Log[Sujet])-7),9)),"")</f>
        <v/>
      </c>
      <c r="D23" s="17">
        <f t="array" ref="D23">IFERROR(INDEX(Meeting_Log[Action décidée],SMALL(IF((Meeting_Log[Sujet]&lt;&gt;"")*(Meeting_Log[Status]="Open"),ROW(Meeting_Log[Sujet])-7),9)),"")</f>
        <v/>
      </c>
      <c r="E23" s="17">
        <f t="array" ref="E23">IFERROR(INDEX(Meeting_Log[Responsable],SMALL(IF((Meeting_Log[Sujet]&lt;&gt;"")*(Meeting_Log[Status]="Open"),ROW(Meeting_Log[Sujet])-7),9)),"")</f>
        <v/>
      </c>
      <c r="F23" s="18">
        <f t="array" ref="F23">IFERROR(INDEX(Meeting_Log[Date attendue],SMALL(IF((Meeting_Log[Sujet]&lt;&gt;"")*(Meeting_Log[Status]="Open"),ROW(Meeting_Log[Sujet])-7),9)),"")</f>
        <v/>
      </c>
    </row>
    <row r="24" ht="26" customHeight="1">
      <c r="B24" s="19">
        <f t="array" ref="B24">IFERROR(INDEX(Meeting_Log[Sujet],SMALL(IF((Meeting_Log[Sujet]&lt;&gt;"")*(Meeting_Log[Status]="Open"),ROW(Meeting_Log[Sujet])-7),10)),"")</f>
        <v/>
      </c>
      <c r="C24" s="19">
        <f t="array" ref="C24">IFERROR(INDEX(Meeting_Log[Sous-sujet],SMALL(IF((Meeting_Log[Sujet]&lt;&gt;"")*(Meeting_Log[Status]="Open"),ROW(Meeting_Log[Sujet])-7),10)),"")</f>
        <v/>
      </c>
      <c r="D24" s="19">
        <f t="array" ref="D24">IFERROR(INDEX(Meeting_Log[Action décidée],SMALL(IF((Meeting_Log[Sujet]&lt;&gt;"")*(Meeting_Log[Status]="Open"),ROW(Meeting_Log[Sujet])-7),10)),"")</f>
        <v/>
      </c>
      <c r="E24" s="19">
        <f t="array" ref="E24">IFERROR(INDEX(Meeting_Log[Responsable],SMALL(IF((Meeting_Log[Sujet]&lt;&gt;"")*(Meeting_Log[Status]="Open"),ROW(Meeting_Log[Sujet])-7),10)),"")</f>
        <v/>
      </c>
      <c r="F24" s="20">
        <f t="array" ref="F24">IFERROR(INDEX(Meeting_Log[Date attendue],SMALL(IF((Meeting_Log[Sujet]&lt;&gt;"")*(Meeting_Log[Status]="Open"),ROW(Meeting_Log[Sujet])-7),10)),"")</f>
        <v/>
      </c>
    </row>
    <row r="25" ht="26" customHeight="1">
      <c r="B25" s="17">
        <f t="array" ref="B25">IFERROR(INDEX(Meeting_Log[Sujet],SMALL(IF((Meeting_Log[Sujet]&lt;&gt;"")*(Meeting_Log[Status]="Open"),ROW(Meeting_Log[Sujet])-7),11)),"")</f>
        <v/>
      </c>
      <c r="C25" s="17">
        <f t="array" ref="C25">IFERROR(INDEX(Meeting_Log[Sous-sujet],SMALL(IF((Meeting_Log[Sujet]&lt;&gt;"")*(Meeting_Log[Status]="Open"),ROW(Meeting_Log[Sujet])-7),11)),"")</f>
        <v/>
      </c>
      <c r="D25" s="17">
        <f t="array" ref="D25">IFERROR(INDEX(Meeting_Log[Action décidée],SMALL(IF((Meeting_Log[Sujet]&lt;&gt;"")*(Meeting_Log[Status]="Open"),ROW(Meeting_Log[Sujet])-7),11)),"")</f>
        <v/>
      </c>
      <c r="E25" s="17">
        <f t="array" ref="E25">IFERROR(INDEX(Meeting_Log[Responsable],SMALL(IF((Meeting_Log[Sujet]&lt;&gt;"")*(Meeting_Log[Status]="Open"),ROW(Meeting_Log[Sujet])-7),11)),"")</f>
        <v/>
      </c>
      <c r="F25" s="18">
        <f t="array" ref="F25">IFERROR(INDEX(Meeting_Log[Date attendue],SMALL(IF((Meeting_Log[Sujet]&lt;&gt;"")*(Meeting_Log[Status]="Open"),ROW(Meeting_Log[Sujet])-7),11)),"")</f>
        <v/>
      </c>
    </row>
    <row r="26" ht="26" customHeight="1">
      <c r="B26" s="19">
        <f t="array" ref="B26">IFERROR(INDEX(Meeting_Log[Sujet],SMALL(IF((Meeting_Log[Sujet]&lt;&gt;"")*(Meeting_Log[Status]="Open"),ROW(Meeting_Log[Sujet])-7),12)),"")</f>
        <v/>
      </c>
      <c r="C26" s="19">
        <f t="array" ref="C26">IFERROR(INDEX(Meeting_Log[Sous-sujet],SMALL(IF((Meeting_Log[Sujet]&lt;&gt;"")*(Meeting_Log[Status]="Open"),ROW(Meeting_Log[Sujet])-7),12)),"")</f>
        <v/>
      </c>
      <c r="D26" s="19">
        <f t="array" ref="D26">IFERROR(INDEX(Meeting_Log[Action décidée],SMALL(IF((Meeting_Log[Sujet]&lt;&gt;"")*(Meeting_Log[Status]="Open"),ROW(Meeting_Log[Sujet])-7),12)),"")</f>
        <v/>
      </c>
      <c r="E26" s="19">
        <f t="array" ref="E26">IFERROR(INDEX(Meeting_Log[Responsable],SMALL(IF((Meeting_Log[Sujet]&lt;&gt;"")*(Meeting_Log[Status]="Open"),ROW(Meeting_Log[Sujet])-7),12)),"")</f>
        <v/>
      </c>
      <c r="F26" s="20">
        <f t="array" ref="F26">IFERROR(INDEX(Meeting_Log[Date attendue],SMALL(IF((Meeting_Log[Sujet]&lt;&gt;"")*(Meeting_Log[Status]="Open"),ROW(Meeting_Log[Sujet])-7),12)),"")</f>
        <v/>
      </c>
    </row>
    <row r="27" ht="26" customHeight="1">
      <c r="B27" s="17">
        <f t="array" ref="B27">IFERROR(INDEX(Meeting_Log[Sujet],SMALL(IF((Meeting_Log[Sujet]&lt;&gt;"")*(Meeting_Log[Status]="Open"),ROW(Meeting_Log[Sujet])-7),13)),"")</f>
        <v/>
      </c>
      <c r="C27" s="17">
        <f t="array" ref="C27">IFERROR(INDEX(Meeting_Log[Sous-sujet],SMALL(IF((Meeting_Log[Sujet]&lt;&gt;"")*(Meeting_Log[Status]="Open"),ROW(Meeting_Log[Sujet])-7),13)),"")</f>
        <v/>
      </c>
      <c r="D27" s="17">
        <f t="array" ref="D27">IFERROR(INDEX(Meeting_Log[Action décidée],SMALL(IF((Meeting_Log[Sujet]&lt;&gt;"")*(Meeting_Log[Status]="Open"),ROW(Meeting_Log[Sujet])-7),13)),"")</f>
        <v/>
      </c>
      <c r="E27" s="17">
        <f t="array" ref="E27">IFERROR(INDEX(Meeting_Log[Responsable],SMALL(IF((Meeting_Log[Sujet]&lt;&gt;"")*(Meeting_Log[Status]="Open"),ROW(Meeting_Log[Sujet])-7),13)),"")</f>
        <v/>
      </c>
      <c r="F27" s="18">
        <f t="array" ref="F27">IFERROR(INDEX(Meeting_Log[Date attendue],SMALL(IF((Meeting_Log[Sujet]&lt;&gt;"")*(Meeting_Log[Status]="Open"),ROW(Meeting_Log[Sujet])-7),13)),"")</f>
        <v/>
      </c>
    </row>
    <row r="28" ht="26" customHeight="1">
      <c r="B28" s="19">
        <f t="array" ref="B28">IFERROR(INDEX(Meeting_Log[Sujet],SMALL(IF((Meeting_Log[Sujet]&lt;&gt;"")*(Meeting_Log[Status]="Open"),ROW(Meeting_Log[Sujet])-7),14)),"")</f>
        <v/>
      </c>
      <c r="C28" s="19">
        <f t="array" ref="C28">IFERROR(INDEX(Meeting_Log[Sous-sujet],SMALL(IF((Meeting_Log[Sujet]&lt;&gt;"")*(Meeting_Log[Status]="Open"),ROW(Meeting_Log[Sujet])-7),14)),"")</f>
        <v/>
      </c>
      <c r="D28" s="19">
        <f t="array" ref="D28">IFERROR(INDEX(Meeting_Log[Action décidée],SMALL(IF((Meeting_Log[Sujet]&lt;&gt;"")*(Meeting_Log[Status]="Open"),ROW(Meeting_Log[Sujet])-7),14)),"")</f>
        <v/>
      </c>
      <c r="E28" s="19">
        <f t="array" ref="E28">IFERROR(INDEX(Meeting_Log[Responsable],SMALL(IF((Meeting_Log[Sujet]&lt;&gt;"")*(Meeting_Log[Status]="Open"),ROW(Meeting_Log[Sujet])-7),14)),"")</f>
        <v/>
      </c>
      <c r="F28" s="20">
        <f t="array" ref="F28">IFERROR(INDEX(Meeting_Log[Date attendue],SMALL(IF((Meeting_Log[Sujet]&lt;&gt;"")*(Meeting_Log[Status]="Open"),ROW(Meeting_Log[Sujet])-7),14)),"")</f>
        <v/>
      </c>
    </row>
    <row r="29" ht="26" customHeight="1">
      <c r="B29" s="17">
        <f t="array" ref="B29">IFERROR(INDEX(Meeting_Log[Sujet],SMALL(IF((Meeting_Log[Sujet]&lt;&gt;"")*(Meeting_Log[Status]="Open"),ROW(Meeting_Log[Sujet])-7),15)),"")</f>
        <v/>
      </c>
      <c r="C29" s="17">
        <f t="array" ref="C29">IFERROR(INDEX(Meeting_Log[Sous-sujet],SMALL(IF((Meeting_Log[Sujet]&lt;&gt;"")*(Meeting_Log[Status]="Open"),ROW(Meeting_Log[Sujet])-7),15)),"")</f>
        <v/>
      </c>
      <c r="D29" s="17">
        <f t="array" ref="D29">IFERROR(INDEX(Meeting_Log[Action décidée],SMALL(IF((Meeting_Log[Sujet]&lt;&gt;"")*(Meeting_Log[Status]="Open"),ROW(Meeting_Log[Sujet])-7),15)),"")</f>
        <v/>
      </c>
      <c r="E29" s="17">
        <f t="array" ref="E29">IFERROR(INDEX(Meeting_Log[Responsable],SMALL(IF((Meeting_Log[Sujet]&lt;&gt;"")*(Meeting_Log[Status]="Open"),ROW(Meeting_Log[Sujet])-7),15)),"")</f>
        <v/>
      </c>
      <c r="F29" s="18">
        <f t="array" ref="F29">IFERROR(INDEX(Meeting_Log[Date attendue],SMALL(IF((Meeting_Log[Sujet]&lt;&gt;"")*(Meeting_Log[Status]="Open"),ROW(Meeting_Log[Sujet])-7),15)),"")</f>
        <v/>
      </c>
    </row>
    <row r="31">
      <c r="B31" s="8" t="inlineStr">
        <is>
          <t>Legend: Blue = fill in yourself | Black = automatic | New row: type directly below the table and Excel extends it automatically</t>
        </is>
      </c>
    </row>
  </sheetData>
  <mergeCells count="11">
    <mergeCell ref="H11:I11"/>
    <mergeCell ref="F11:G11"/>
    <mergeCell ref="J11:K11"/>
    <mergeCell ref="D8:E10"/>
    <mergeCell ref="B8:C10"/>
    <mergeCell ref="B11:C11"/>
    <mergeCell ref="D11:E11"/>
    <mergeCell ref="H8:I10"/>
    <mergeCell ref="F8:G10"/>
    <mergeCell ref="J8:K10"/>
    <mergeCell ref="B3:H3"/>
  </mergeCells>
  <conditionalFormatting sqref="B15:F29">
    <cfRule type="expression" priority="1" dxfId="1" stopIfTrue="1">
      <formula>AND($F15&lt;&gt;"",$F15&lt;TODAY())</formula>
    </cfRule>
    <cfRule type="expression" priority="2" dxfId="2" stopIfTrue="1">
      <formula>AND($F15&lt;&gt;"",$F15&lt;=TODAY()+14)</formula>
    </cfRule>
    <cfRule type="expression" priority="3" dxfId="3" stopIfTrue="1">
      <formula>AND($B15&lt;&gt;"",$F15="")</formula>
    </cfRule>
  </conditionalFormatting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4" customWidth="1" min="3" max="3"/>
    <col width="24" customWidth="1" min="4" max="4"/>
  </cols>
  <sheetData>
    <row r="1" ht="20" customHeight="1">
      <c r="B1" s="2" t="inlineStr">
        <is>
          <t>Meeting Log</t>
        </is>
      </c>
      <c r="C1" s="2" t="inlineStr">
        <is>
          <t>Overview</t>
        </is>
      </c>
      <c r="D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30" customHeight="1">
      <c r="B3" s="4" t="inlineStr">
        <is>
          <t>Dropdown values used on Meeting Log. Add or remove values here - every dropdown updates automatically.</t>
        </is>
      </c>
    </row>
    <row r="5" ht="22" customHeight="1">
      <c r="B5" s="21" t="inlineStr">
        <is>
          <t>Sujet</t>
        </is>
      </c>
      <c r="C5" s="21" t="inlineStr">
        <is>
          <t>Sous-sujet</t>
        </is>
      </c>
      <c r="D5" s="21" t="inlineStr">
        <is>
          <t>Responsable</t>
        </is>
      </c>
    </row>
    <row r="6">
      <c r="B6" s="22" t="inlineStr">
        <is>
          <t>Documentation</t>
        </is>
      </c>
      <c r="C6" s="22" t="inlineStr">
        <is>
          <t>Commissioning Dossier</t>
        </is>
      </c>
      <c r="D6" s="22" t="inlineStr">
        <is>
          <t>John Smith</t>
        </is>
      </c>
    </row>
    <row r="7">
      <c r="B7" s="23" t="inlineStr">
        <is>
          <t>Testing</t>
        </is>
      </c>
      <c r="C7" s="23" t="inlineStr">
        <is>
          <t>Test Reports</t>
        </is>
      </c>
      <c r="D7" s="23" t="inlineStr">
        <is>
          <t>Sarah Williams</t>
        </is>
      </c>
    </row>
    <row r="8">
      <c r="B8" s="22" t="inlineStr">
        <is>
          <t>Safety</t>
        </is>
      </c>
      <c r="C8" s="22" t="inlineStr">
        <is>
          <t>SSOW Approval</t>
        </is>
      </c>
      <c r="D8" s="22" t="inlineStr">
        <is>
          <t>Robert Taylor</t>
        </is>
      </c>
    </row>
    <row r="9">
      <c r="B9" s="23" t="inlineStr">
        <is>
          <t>Commissioning Planning</t>
        </is>
      </c>
      <c r="C9" s="23" t="inlineStr">
        <is>
          <t>Audit</t>
        </is>
      </c>
    </row>
    <row r="10">
      <c r="B10" s="22" t="inlineStr">
        <is>
          <t>Engineering</t>
        </is>
      </c>
      <c r="C10" s="22" t="inlineStr">
        <is>
          <t>General</t>
        </is>
      </c>
    </row>
    <row r="11">
      <c r="B11" s="23" t="inlineStr">
        <is>
          <t>Quality</t>
        </is>
      </c>
      <c r="C11" s="23" t="inlineStr">
        <is>
          <t>Other</t>
        </is>
      </c>
    </row>
    <row r="12">
      <c r="B12" s="22" t="inlineStr">
        <is>
          <t>Interfaces</t>
        </is>
      </c>
    </row>
    <row r="13">
      <c r="B13" s="23" t="inlineStr">
        <is>
          <t>Schedule</t>
        </is>
      </c>
    </row>
    <row r="14">
      <c r="B14" s="22" t="inlineStr">
        <is>
          <t>Other</t>
        </is>
      </c>
    </row>
    <row r="16">
      <c r="B16" s="8" t="inlineStr">
        <is>
          <t>Legend: Blue = fill in yourself | Black = automatic | New row: type directly below the table and Excel extends it automatically</t>
        </is>
      </c>
    </row>
    <row r="17">
      <c r="B17" s="8" t="inlineStr">
        <is>
          <t>Add more Subjects/Sub-topics/People any time - just type a new value in the next blank cell in that column.</t>
        </is>
      </c>
    </row>
  </sheetData>
  <mergeCells count="1">
    <mergeCell ref="B3:H3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2026-09-28T13:53:22Z</dcterms:created>
  <dcterms:modified xsi:type="dcterms:W3CDTF">2026-09-28T13:53:22Z</dcterms:modified>
</cp:coreProperties>
</file>