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eting Log" sheetId="2" state="visible" r:id="rId2"/>
    <sheet name="History" sheetId="3" state="visible" r:id="rId3"/>
    <sheet name="Meeting Report" sheetId="4" state="visible" r:id="rId4"/>
    <sheet name="Lists &amp; Config" sheetId="5" state="visible" r:id="rId5"/>
  </sheets>
  <definedNames>
    <definedName name="LIST_SUBJECT">'Lists &amp; Config'!$B$6:$B$16</definedName>
    <definedName name="LIST_SUBTOPIC">'Lists &amp; Config'!$C$6:$C$20</definedName>
    <definedName name="LIST_STATUS">'Lists &amp; Config'!$D$6:$D$10</definedName>
    <definedName name="LIST_PRIORITY">'Lists &amp; Config'!$E$6:$E$9</definedName>
    <definedName name="LIST_MEETING_TYPE">'Lists &amp; Config'!$F$6:$F$8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21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b val="1"/>
      <color rgb="0044546A"/>
      <sz val="10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1E7B34"/>
      <sz val="20"/>
    </font>
    <font>
      <name val="Arial"/>
      <b val="1"/>
      <color rgb="009C6500"/>
      <sz val="20"/>
    </font>
    <font>
      <name val="Arial"/>
      <b val="1"/>
      <color rgb="005B7FB5"/>
      <sz val="20"/>
    </font>
    <font>
      <name val="Arial"/>
      <b val="1"/>
      <color rgb="001F3864"/>
      <sz val="13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165" fontId="9" fillId="5" borderId="1" pivotButton="0" quotePrefix="0" xfId="0"/>
    <xf numFmtId="1" fontId="11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3" fillId="0" borderId="1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8" fillId="6" borderId="1" pivotButton="0" quotePrefix="0" xfId="0"/>
    <xf numFmtId="0" fontId="1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165" fontId="6" fillId="7" borderId="1" applyAlignment="1" pivotButton="0" quotePrefix="0" xfId="0">
      <alignment horizontal="left" vertical="top" wrapText="1"/>
    </xf>
    <xf numFmtId="0" fontId="7" fillId="0" borderId="0" pivotButton="0" quotePrefix="0" xfId="0"/>
    <xf numFmtId="165" fontId="20" fillId="0" borderId="1" pivotButton="0" quotePrefix="0" xfId="0"/>
    <xf numFmtId="0" fontId="20" fillId="0" borderId="1" pivotButton="0" quotePrefix="0" xfId="0"/>
    <xf numFmtId="0" fontId="6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B00020"/>
      </font>
      <fill>
        <patternFill patternType="solid">
          <fgColor rgb="00FBE4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ttendees_Log" displayName="Attendees_Log" ref="B14:D15" headerRowCount="1">
  <autoFilter ref="B14:D15"/>
  <tableColumns count="3">
    <tableColumn id="2" name="Meeting Date"/>
    <tableColumn id="3" name="Meeting Type"/>
    <tableColumn id="4" name="Attende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eting_Log" displayName="Meeting_Log" ref="B7:L10" headerRowCount="1">
  <autoFilter ref="B7:L10"/>
  <tableColumns count="11">
    <tableColumn id="2" name="Subject"/>
    <tableColumn id="3" name="Sub-topic"/>
    <tableColumn id="4" name="Owner"/>
    <tableColumn id="5" name="Discussion / Notes"/>
    <tableColumn id="6" name="Agreed Action"/>
    <tableColumn id="7" name="Due Date"/>
    <tableColumn id="8" name="Status"/>
    <tableColumn id="9" name="Priority"/>
    <tableColumn id="10" name="Added Date"/>
    <tableColumn id="11" name="Last Update Date"/>
    <tableColumn id="12" name="Overdue?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History_Log" displayName="History_Log" ref="B7:F10" headerRowCount="1">
  <autoFilter ref="B7:F10"/>
  <tableColumns count="5">
    <tableColumn id="2" name="Meeting Date"/>
    <tableColumn id="3" name="Subject"/>
    <tableColumn id="4" name="Sub-topic"/>
    <tableColumn id="5" name="Update / Discussion"/>
    <tableColumn id="6" name="Dec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1.xml" Id="rId6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2.xml" Id="rId6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3.xm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4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1" max="11"/>
    <col width="13" customWidth="1" min="12" max="12"/>
    <col width="13" customWidth="1" min="14" max="14"/>
    <col width="13" customWidth="1" min="15" max="15"/>
    <col width="13" customWidth="1" min="17" max="17"/>
    <col width="13" customWidth="1" min="18" max="18"/>
  </cols>
  <sheetData>
    <row r="1" ht="20" customHeight="1">
      <c r="B1" s="1" t="inlineStr">
        <is>
          <t>Overview</t>
        </is>
      </c>
      <c r="C1" s="2" t="inlineStr">
        <is>
          <t>Meeting Log</t>
        </is>
      </c>
      <c r="D1" s="2" t="inlineStr">
        <is>
          <t>History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HBX Commissioning Review - Overview</t>
        </is>
      </c>
    </row>
    <row r="3" ht="16" customHeight="1">
      <c r="B3" s="4" t="inlineStr">
        <is>
          <t>Open this before a meeting: pick the meeting date below and everything updates automatically from Meeting Log.</t>
        </is>
      </c>
    </row>
    <row r="5">
      <c r="B5" s="5" t="inlineStr">
        <is>
          <t>Current Meeting Date:</t>
        </is>
      </c>
      <c r="C5" s="6" t="n">
        <v>46296</v>
      </c>
    </row>
    <row r="8">
      <c r="B8" s="7">
        <f>SUMPRODUCT((Meeting_Log[Subject]&lt;&gt;""))</f>
        <v/>
      </c>
      <c r="C8" s="8" t="n"/>
      <c r="E8" s="7">
        <f>SUMPRODUCT((Meeting_Log[Subject]&lt;&gt;"")*(Meeting_Log[Status]&lt;&gt;"Closed")*(Meeting_Log[Status]&lt;&gt;"Cancelled"))</f>
        <v/>
      </c>
      <c r="F8" s="8" t="n"/>
      <c r="H8" s="9">
        <f>SUMPRODUCT((Meeting_Log[Subject]&lt;&gt;"")*(Meeting_Log[Status]&lt;&gt;"Closed")*(Meeting_Log[Status]&lt;&gt;"Cancelled")*(Meeting_Log[Overdue?]="Yes"))</f>
        <v/>
      </c>
      <c r="I8" s="8" t="n"/>
      <c r="K8" s="10">
        <f>SUMPRODUCT((Meeting_Log[Subject]&lt;&gt;"")*(Meeting_Log[Status]="Closed"))</f>
        <v/>
      </c>
      <c r="L8" s="8" t="n"/>
      <c r="N8" s="11">
        <f>SUMPRODUCT((Meeting_Log[Subject]&lt;&gt;"")*(Meeting_Log[Status]&lt;&gt;"Closed")*(Meeting_Log[Status]&lt;&gt;"Cancelled")*(Meeting_Log[Last Update Date]&lt;$C$5))</f>
        <v/>
      </c>
      <c r="O8" s="8" t="n"/>
      <c r="Q8" s="12">
        <f>SUMPRODUCT((Meeting_Log[Subject]&lt;&gt;"")*(Meeting_Log[Added Date]=$C$5))</f>
        <v/>
      </c>
      <c r="R8" s="8" t="n"/>
    </row>
    <row r="9">
      <c r="B9" s="8" t="n"/>
      <c r="C9" s="8" t="n"/>
      <c r="E9" s="8" t="n"/>
      <c r="F9" s="8" t="n"/>
      <c r="H9" s="8" t="n"/>
      <c r="I9" s="8" t="n"/>
      <c r="K9" s="8" t="n"/>
      <c r="L9" s="8" t="n"/>
      <c r="N9" s="8" t="n"/>
      <c r="O9" s="8" t="n"/>
      <c r="Q9" s="8" t="n"/>
      <c r="R9" s="8" t="n"/>
    </row>
    <row r="10">
      <c r="B10" s="8" t="n"/>
      <c r="C10" s="8" t="n"/>
      <c r="E10" s="8" t="n"/>
      <c r="F10" s="8" t="n"/>
      <c r="H10" s="8" t="n"/>
      <c r="I10" s="8" t="n"/>
      <c r="K10" s="8" t="n"/>
      <c r="L10" s="8" t="n"/>
      <c r="N10" s="8" t="n"/>
      <c r="O10" s="8" t="n"/>
      <c r="Q10" s="8" t="n"/>
      <c r="R10" s="8" t="n"/>
    </row>
    <row r="11">
      <c r="B11" s="13" t="inlineStr">
        <is>
          <t>Total Subjects</t>
        </is>
      </c>
      <c r="E11" s="13" t="inlineStr">
        <is>
          <t>Open Actions</t>
        </is>
      </c>
      <c r="H11" s="13" t="inlineStr">
        <is>
          <t>Overdue Actions</t>
        </is>
      </c>
      <c r="K11" s="13" t="inlineStr">
        <is>
          <t>Closed</t>
        </is>
      </c>
      <c r="N11" s="13" t="inlineStr">
        <is>
          <t>Carried Over from Previous Meeting</t>
        </is>
      </c>
      <c r="Q11" s="13" t="inlineStr">
        <is>
          <t>New Topics This Meeting</t>
        </is>
      </c>
    </row>
    <row r="13">
      <c r="B13" s="14" t="inlineStr">
        <is>
          <t>Attendees</t>
        </is>
      </c>
    </row>
    <row r="14" ht="26" customHeight="1">
      <c r="B14" s="15" t="inlineStr">
        <is>
          <t>Meeting Date</t>
        </is>
      </c>
      <c r="C14" s="15" t="inlineStr">
        <is>
          <t>Meeting Type</t>
        </is>
      </c>
      <c r="D14" s="15" t="inlineStr">
        <is>
          <t>Attendees</t>
        </is>
      </c>
    </row>
    <row r="15" ht="30" customHeight="1">
      <c r="B15" s="16" t="n">
        <v>46296</v>
      </c>
      <c r="C15" s="17" t="inlineStr">
        <is>
          <t>Monthly</t>
        </is>
      </c>
      <c r="D15" s="17" t="inlineStr">
        <is>
          <t>Person A, Person B, Contractor A representative</t>
        </is>
      </c>
    </row>
    <row r="17" ht="22" customHeight="1">
      <c r="B17" s="18" t="inlineStr">
        <is>
          <t>1. FOLLOW-UP FROM PREVIOUS MEETING (open, not yet touched today)</t>
        </is>
      </c>
      <c r="C17" s="18" t="n"/>
      <c r="D17" s="18" t="n"/>
      <c r="E17" s="18" t="n"/>
      <c r="F17" s="18" t="n"/>
      <c r="G17" s="18" t="n"/>
      <c r="H17" s="18" t="n"/>
    </row>
    <row r="18">
      <c r="B18" s="19" t="inlineStr">
        <is>
          <t>Subject</t>
        </is>
      </c>
      <c r="C18" s="19" t="inlineStr">
        <is>
          <t>Sub-topic</t>
        </is>
      </c>
      <c r="D18" s="19" t="inlineStr">
        <is>
          <t>Discussion</t>
        </is>
      </c>
      <c r="E18" s="19" t="inlineStr">
        <is>
          <t>Action</t>
        </is>
      </c>
      <c r="F18" s="19" t="inlineStr">
        <is>
          <t>Owner</t>
        </is>
      </c>
      <c r="G18" s="19" t="inlineStr">
        <is>
          <t>Due Date</t>
        </is>
      </c>
      <c r="H18" s="19" t="inlineStr">
        <is>
          <t>Status</t>
        </is>
      </c>
    </row>
    <row r="19" ht="26" customHeight="1">
      <c r="B19" s="20">
        <f t="array" ref="B19">IFERROR(INDEX(Meeting_Log[Subject],SMALL(IF((Meeting_Log[Subject]&lt;&gt;"")*(Meeting_Log[Status]&lt;&gt;"Closed")*(Meeting_Log[Status]&lt;&gt;"Cancelled")*(Meeting_Log[Last Update Date]&lt;$C$5),ROW(Meeting_Log[Subject])-7),1)),"")</f>
        <v/>
      </c>
      <c r="C19" s="20">
        <f t="array" ref="C19">IFERROR(INDEX(Meeting_Log[Sub-topic],SMALL(IF((Meeting_Log[Subject]&lt;&gt;"")*(Meeting_Log[Status]&lt;&gt;"Closed")*(Meeting_Log[Status]&lt;&gt;"Cancelled")*(Meeting_Log[Last Update Date]&lt;$C$5),ROW(Meeting_Log[Subject])-7),1)),"")</f>
        <v/>
      </c>
      <c r="D19" s="20">
        <f t="array" ref="D19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9" s="20">
        <f t="array" ref="E19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9" s="20">
        <f t="array" ref="F19">IFERROR(INDEX(Meeting_Log[Owner],SMALL(IF((Meeting_Log[Subject]&lt;&gt;"")*(Meeting_Log[Status]&lt;&gt;"Closed")*(Meeting_Log[Status]&lt;&gt;"Cancelled")*(Meeting_Log[Last Update Date]&lt;$C$5),ROW(Meeting_Log[Subject])-7),1)),"")</f>
        <v/>
      </c>
      <c r="G19" s="21">
        <f t="array" ref="G19">IFERROR(INDEX(Meeting_Log[Due Date],SMALL(IF((Meeting_Log[Subject]&lt;&gt;"")*(Meeting_Log[Status]&lt;&gt;"Closed")*(Meeting_Log[Status]&lt;&gt;"Cancelled")*(Meeting_Log[Last Update Date]&lt;$C$5),ROW(Meeting_Log[Subject])-7),1)),"")</f>
        <v/>
      </c>
      <c r="H19" s="20">
        <f t="array" ref="H19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20" ht="26" customHeight="1">
      <c r="B20" s="22">
        <f t="array" ref="B20">IFERROR(INDEX(Meeting_Log[Subject],SMALL(IF((Meeting_Log[Subject]&lt;&gt;"")*(Meeting_Log[Status]&lt;&gt;"Closed")*(Meeting_Log[Status]&lt;&gt;"Cancelled")*(Meeting_Log[Last Update Date]&lt;$C$5),ROW(Meeting_Log[Subject])-7),2)),"")</f>
        <v/>
      </c>
      <c r="C20" s="22">
        <f t="array" ref="C20">IFERROR(INDEX(Meeting_Log[Sub-topic],SMALL(IF((Meeting_Log[Subject]&lt;&gt;"")*(Meeting_Log[Status]&lt;&gt;"Closed")*(Meeting_Log[Status]&lt;&gt;"Cancelled")*(Meeting_Log[Last Update Date]&lt;$C$5),ROW(Meeting_Log[Subject])-7),2)),"")</f>
        <v/>
      </c>
      <c r="D20" s="22">
        <f t="array" ref="D20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20" s="22">
        <f t="array" ref="E20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20" s="22">
        <f t="array" ref="F20">IFERROR(INDEX(Meeting_Log[Owner],SMALL(IF((Meeting_Log[Subject]&lt;&gt;"")*(Meeting_Log[Status]&lt;&gt;"Closed")*(Meeting_Log[Status]&lt;&gt;"Cancelled")*(Meeting_Log[Last Update Date]&lt;$C$5),ROW(Meeting_Log[Subject])-7),2)),"")</f>
        <v/>
      </c>
      <c r="G20" s="23">
        <f t="array" ref="G20">IFERROR(INDEX(Meeting_Log[Due Date],SMALL(IF((Meeting_Log[Subject]&lt;&gt;"")*(Meeting_Log[Status]&lt;&gt;"Closed")*(Meeting_Log[Status]&lt;&gt;"Cancelled")*(Meeting_Log[Last Update Date]&lt;$C$5),ROW(Meeting_Log[Subject])-7),2)),"")</f>
        <v/>
      </c>
      <c r="H20" s="22">
        <f t="array" ref="H20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21" ht="26" customHeight="1">
      <c r="B21" s="20">
        <f t="array" ref="B21">IFERROR(INDEX(Meeting_Log[Subject],SMALL(IF((Meeting_Log[Subject]&lt;&gt;"")*(Meeting_Log[Status]&lt;&gt;"Closed")*(Meeting_Log[Status]&lt;&gt;"Cancelled")*(Meeting_Log[Last Update Date]&lt;$C$5),ROW(Meeting_Log[Subject])-7),3)),"")</f>
        <v/>
      </c>
      <c r="C21" s="20">
        <f t="array" ref="C21">IFERROR(INDEX(Meeting_Log[Sub-topic],SMALL(IF((Meeting_Log[Subject]&lt;&gt;"")*(Meeting_Log[Status]&lt;&gt;"Closed")*(Meeting_Log[Status]&lt;&gt;"Cancelled")*(Meeting_Log[Last Update Date]&lt;$C$5),ROW(Meeting_Log[Subject])-7),3)),"")</f>
        <v/>
      </c>
      <c r="D21" s="20">
        <f t="array" ref="D21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21" s="20">
        <f t="array" ref="E21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21" s="20">
        <f t="array" ref="F21">IFERROR(INDEX(Meeting_Log[Owner],SMALL(IF((Meeting_Log[Subject]&lt;&gt;"")*(Meeting_Log[Status]&lt;&gt;"Closed")*(Meeting_Log[Status]&lt;&gt;"Cancelled")*(Meeting_Log[Last Update Date]&lt;$C$5),ROW(Meeting_Log[Subject])-7),3)),"")</f>
        <v/>
      </c>
      <c r="G21" s="21">
        <f t="array" ref="G21">IFERROR(INDEX(Meeting_Log[Due Date],SMALL(IF((Meeting_Log[Subject]&lt;&gt;"")*(Meeting_Log[Status]&lt;&gt;"Closed")*(Meeting_Log[Status]&lt;&gt;"Cancelled")*(Meeting_Log[Last Update Date]&lt;$C$5),ROW(Meeting_Log[Subject])-7),3)),"")</f>
        <v/>
      </c>
      <c r="H21" s="20">
        <f t="array" ref="H21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22" ht="26" customHeight="1">
      <c r="B22" s="22">
        <f t="array" ref="B22">IFERROR(INDEX(Meeting_Log[Subject],SMALL(IF((Meeting_Log[Subject]&lt;&gt;"")*(Meeting_Log[Status]&lt;&gt;"Closed")*(Meeting_Log[Status]&lt;&gt;"Cancelled")*(Meeting_Log[Last Update Date]&lt;$C$5),ROW(Meeting_Log[Subject])-7),4)),"")</f>
        <v/>
      </c>
      <c r="C22" s="22">
        <f t="array" ref="C22">IFERROR(INDEX(Meeting_Log[Sub-topic],SMALL(IF((Meeting_Log[Subject]&lt;&gt;"")*(Meeting_Log[Status]&lt;&gt;"Closed")*(Meeting_Log[Status]&lt;&gt;"Cancelled")*(Meeting_Log[Last Update Date]&lt;$C$5),ROW(Meeting_Log[Subject])-7),4)),"")</f>
        <v/>
      </c>
      <c r="D22" s="22">
        <f t="array" ref="D22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22" s="22">
        <f t="array" ref="E22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22" s="22">
        <f t="array" ref="F22">IFERROR(INDEX(Meeting_Log[Owner],SMALL(IF((Meeting_Log[Subject]&lt;&gt;"")*(Meeting_Log[Status]&lt;&gt;"Closed")*(Meeting_Log[Status]&lt;&gt;"Cancelled")*(Meeting_Log[Last Update Date]&lt;$C$5),ROW(Meeting_Log[Subject])-7),4)),"")</f>
        <v/>
      </c>
      <c r="G22" s="23">
        <f t="array" ref="G22">IFERROR(INDEX(Meeting_Log[Due Date],SMALL(IF((Meeting_Log[Subject]&lt;&gt;"")*(Meeting_Log[Status]&lt;&gt;"Closed")*(Meeting_Log[Status]&lt;&gt;"Cancelled")*(Meeting_Log[Last Update Date]&lt;$C$5),ROW(Meeting_Log[Subject])-7),4)),"")</f>
        <v/>
      </c>
      <c r="H22" s="22">
        <f t="array" ref="H22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23" ht="26" customHeight="1">
      <c r="B23" s="20">
        <f t="array" ref="B23">IFERROR(INDEX(Meeting_Log[Subject],SMALL(IF((Meeting_Log[Subject]&lt;&gt;"")*(Meeting_Log[Status]&lt;&gt;"Closed")*(Meeting_Log[Status]&lt;&gt;"Cancelled")*(Meeting_Log[Last Update Date]&lt;$C$5),ROW(Meeting_Log[Subject])-7),5)),"")</f>
        <v/>
      </c>
      <c r="C23" s="20">
        <f t="array" ref="C23">IFERROR(INDEX(Meeting_Log[Sub-topic],SMALL(IF((Meeting_Log[Subject]&lt;&gt;"")*(Meeting_Log[Status]&lt;&gt;"Closed")*(Meeting_Log[Status]&lt;&gt;"Cancelled")*(Meeting_Log[Last Update Date]&lt;$C$5),ROW(Meeting_Log[Subject])-7),5)),"")</f>
        <v/>
      </c>
      <c r="D23" s="20">
        <f t="array" ref="D23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23" s="20">
        <f t="array" ref="E23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23" s="20">
        <f t="array" ref="F23">IFERROR(INDEX(Meeting_Log[Owner],SMALL(IF((Meeting_Log[Subject]&lt;&gt;"")*(Meeting_Log[Status]&lt;&gt;"Closed")*(Meeting_Log[Status]&lt;&gt;"Cancelled")*(Meeting_Log[Last Update Date]&lt;$C$5),ROW(Meeting_Log[Subject])-7),5)),"")</f>
        <v/>
      </c>
      <c r="G23" s="21">
        <f t="array" ref="G23">IFERROR(INDEX(Meeting_Log[Due Date],SMALL(IF((Meeting_Log[Subject]&lt;&gt;"")*(Meeting_Log[Status]&lt;&gt;"Closed")*(Meeting_Log[Status]&lt;&gt;"Cancelled")*(Meeting_Log[Last Update Date]&lt;$C$5),ROW(Meeting_Log[Subject])-7),5)),"")</f>
        <v/>
      </c>
      <c r="H23" s="20">
        <f t="array" ref="H23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24" ht="26" customHeight="1">
      <c r="B24" s="22">
        <f t="array" ref="B24">IFERROR(INDEX(Meeting_Log[Subject],SMALL(IF((Meeting_Log[Subject]&lt;&gt;"")*(Meeting_Log[Status]&lt;&gt;"Closed")*(Meeting_Log[Status]&lt;&gt;"Cancelled")*(Meeting_Log[Last Update Date]&lt;$C$5),ROW(Meeting_Log[Subject])-7),6)),"")</f>
        <v/>
      </c>
      <c r="C24" s="22">
        <f t="array" ref="C24">IFERROR(INDEX(Meeting_Log[Sub-topic],SMALL(IF((Meeting_Log[Subject]&lt;&gt;"")*(Meeting_Log[Status]&lt;&gt;"Closed")*(Meeting_Log[Status]&lt;&gt;"Cancelled")*(Meeting_Log[Last Update Date]&lt;$C$5),ROW(Meeting_Log[Subject])-7),6)),"")</f>
        <v/>
      </c>
      <c r="D24" s="22">
        <f t="array" ref="D24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24" s="22">
        <f t="array" ref="E24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24" s="22">
        <f t="array" ref="F24">IFERROR(INDEX(Meeting_Log[Owner],SMALL(IF((Meeting_Log[Subject]&lt;&gt;"")*(Meeting_Log[Status]&lt;&gt;"Closed")*(Meeting_Log[Status]&lt;&gt;"Cancelled")*(Meeting_Log[Last Update Date]&lt;$C$5),ROW(Meeting_Log[Subject])-7),6)),"")</f>
        <v/>
      </c>
      <c r="G24" s="23">
        <f t="array" ref="G24">IFERROR(INDEX(Meeting_Log[Due Date],SMALL(IF((Meeting_Log[Subject]&lt;&gt;"")*(Meeting_Log[Status]&lt;&gt;"Closed")*(Meeting_Log[Status]&lt;&gt;"Cancelled")*(Meeting_Log[Last Update Date]&lt;$C$5),ROW(Meeting_Log[Subject])-7),6)),"")</f>
        <v/>
      </c>
      <c r="H24" s="22">
        <f t="array" ref="H24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25" ht="26" customHeight="1">
      <c r="B25" s="20">
        <f t="array" ref="B25">IFERROR(INDEX(Meeting_Log[Subject],SMALL(IF((Meeting_Log[Subject]&lt;&gt;"")*(Meeting_Log[Status]&lt;&gt;"Closed")*(Meeting_Log[Status]&lt;&gt;"Cancelled")*(Meeting_Log[Last Update Date]&lt;$C$5),ROW(Meeting_Log[Subject])-7),7)),"")</f>
        <v/>
      </c>
      <c r="C25" s="20">
        <f t="array" ref="C25">IFERROR(INDEX(Meeting_Log[Sub-topic],SMALL(IF((Meeting_Log[Subject]&lt;&gt;"")*(Meeting_Log[Status]&lt;&gt;"Closed")*(Meeting_Log[Status]&lt;&gt;"Cancelled")*(Meeting_Log[Last Update Date]&lt;$C$5),ROW(Meeting_Log[Subject])-7),7)),"")</f>
        <v/>
      </c>
      <c r="D25" s="20">
        <f t="array" ref="D25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25" s="20">
        <f t="array" ref="E25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25" s="20">
        <f t="array" ref="F25">IFERROR(INDEX(Meeting_Log[Owner],SMALL(IF((Meeting_Log[Subject]&lt;&gt;"")*(Meeting_Log[Status]&lt;&gt;"Closed")*(Meeting_Log[Status]&lt;&gt;"Cancelled")*(Meeting_Log[Last Update Date]&lt;$C$5),ROW(Meeting_Log[Subject])-7),7)),"")</f>
        <v/>
      </c>
      <c r="G25" s="21">
        <f t="array" ref="G25">IFERROR(INDEX(Meeting_Log[Due Date],SMALL(IF((Meeting_Log[Subject]&lt;&gt;"")*(Meeting_Log[Status]&lt;&gt;"Closed")*(Meeting_Log[Status]&lt;&gt;"Cancelled")*(Meeting_Log[Last Update Date]&lt;$C$5),ROW(Meeting_Log[Subject])-7),7)),"")</f>
        <v/>
      </c>
      <c r="H25" s="20">
        <f t="array" ref="H25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26" ht="26" customHeight="1">
      <c r="B26" s="22">
        <f t="array" ref="B26">IFERROR(INDEX(Meeting_Log[Subject],SMALL(IF((Meeting_Log[Subject]&lt;&gt;"")*(Meeting_Log[Status]&lt;&gt;"Closed")*(Meeting_Log[Status]&lt;&gt;"Cancelled")*(Meeting_Log[Last Update Date]&lt;$C$5),ROW(Meeting_Log[Subject])-7),8)),"")</f>
        <v/>
      </c>
      <c r="C26" s="22">
        <f t="array" ref="C26">IFERROR(INDEX(Meeting_Log[Sub-topic],SMALL(IF((Meeting_Log[Subject]&lt;&gt;"")*(Meeting_Log[Status]&lt;&gt;"Closed")*(Meeting_Log[Status]&lt;&gt;"Cancelled")*(Meeting_Log[Last Update Date]&lt;$C$5),ROW(Meeting_Log[Subject])-7),8)),"")</f>
        <v/>
      </c>
      <c r="D26" s="22">
        <f t="array" ref="D26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26" s="22">
        <f t="array" ref="E26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26" s="22">
        <f t="array" ref="F26">IFERROR(INDEX(Meeting_Log[Owner],SMALL(IF((Meeting_Log[Subject]&lt;&gt;"")*(Meeting_Log[Status]&lt;&gt;"Closed")*(Meeting_Log[Status]&lt;&gt;"Cancelled")*(Meeting_Log[Last Update Date]&lt;$C$5),ROW(Meeting_Log[Subject])-7),8)),"")</f>
        <v/>
      </c>
      <c r="G26" s="23">
        <f t="array" ref="G26">IFERROR(INDEX(Meeting_Log[Due Date],SMALL(IF((Meeting_Log[Subject]&lt;&gt;"")*(Meeting_Log[Status]&lt;&gt;"Closed")*(Meeting_Log[Status]&lt;&gt;"Cancelled")*(Meeting_Log[Last Update Date]&lt;$C$5),ROW(Meeting_Log[Subject])-7),8)),"")</f>
        <v/>
      </c>
      <c r="H26" s="22">
        <f t="array" ref="H26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28" ht="22" customHeight="1">
      <c r="B28" s="18" t="inlineStr">
        <is>
          <t>2. NEW TOPICS (raised today)</t>
        </is>
      </c>
      <c r="C28" s="18" t="n"/>
      <c r="D28" s="18" t="n"/>
      <c r="E28" s="18" t="n"/>
      <c r="F28" s="18" t="n"/>
      <c r="G28" s="18" t="n"/>
      <c r="H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Discussion</t>
        </is>
      </c>
      <c r="E29" s="19" t="inlineStr">
        <is>
          <t>Action</t>
        </is>
      </c>
      <c r="F29" s="19" t="inlineStr">
        <is>
          <t>Owner</t>
        </is>
      </c>
      <c r="G29" s="19" t="inlineStr">
        <is>
          <t>Due Date</t>
        </is>
      </c>
      <c r="H29" s="19" t="inlineStr">
        <is>
          <t>Status</t>
        </is>
      </c>
    </row>
    <row r="30" ht="26" customHeight="1">
      <c r="B30" s="20">
        <f t="array" ref="B30">IFERROR(INDEX(Meeting_Log[Subject],SMALL(IF((Meeting_Log[Subject]&lt;&gt;"")*(Meeting_Log[Added Date]=$C$5),ROW(Meeting_Log[Subject])-7),1)),"")</f>
        <v/>
      </c>
      <c r="C30" s="20">
        <f t="array" ref="C30">IFERROR(INDEX(Meeting_Log[Sub-topic],SMALL(IF((Meeting_Log[Subject]&lt;&gt;"")*(Meeting_Log[Added Date]=$C$5),ROW(Meeting_Log[Subject])-7),1)),"")</f>
        <v/>
      </c>
      <c r="D30" s="20">
        <f t="array" ref="D30">IFERROR(INDEX(Meeting_Log[Discussion / Notes],SMALL(IF((Meeting_Log[Subject]&lt;&gt;"")*(Meeting_Log[Added Date]=$C$5),ROW(Meeting_Log[Subject])-7),1)),"")</f>
        <v/>
      </c>
      <c r="E30" s="20">
        <f t="array" ref="E30">IFERROR(INDEX(Meeting_Log[Agreed Action],SMALL(IF((Meeting_Log[Subject]&lt;&gt;"")*(Meeting_Log[Added Date]=$C$5),ROW(Meeting_Log[Subject])-7),1)),"")</f>
        <v/>
      </c>
      <c r="F30" s="20">
        <f t="array" ref="F30">IFERROR(INDEX(Meeting_Log[Owner],SMALL(IF((Meeting_Log[Subject]&lt;&gt;"")*(Meeting_Log[Added Date]=$C$5),ROW(Meeting_Log[Subject])-7),1)),"")</f>
        <v/>
      </c>
      <c r="G30" s="21">
        <f t="array" ref="G30">IFERROR(INDEX(Meeting_Log[Due Date],SMALL(IF((Meeting_Log[Subject]&lt;&gt;"")*(Meeting_Log[Added Date]=$C$5),ROW(Meeting_Log[Subject])-7),1)),"")</f>
        <v/>
      </c>
      <c r="H30" s="20">
        <f t="array" ref="H30">IFERROR(INDEX(Meeting_Log[Status],SMALL(IF((Meeting_Log[Subject]&lt;&gt;"")*(Meeting_Log[Added Date]=$C$5),ROW(Meeting_Log[Subject])-7),1)),"")</f>
        <v/>
      </c>
    </row>
    <row r="31" ht="26" customHeight="1">
      <c r="B31" s="22">
        <f t="array" ref="B31">IFERROR(INDEX(Meeting_Log[Subject],SMALL(IF((Meeting_Log[Subject]&lt;&gt;"")*(Meeting_Log[Added Date]=$C$5),ROW(Meeting_Log[Subject])-7),2)),"")</f>
        <v/>
      </c>
      <c r="C31" s="22">
        <f t="array" ref="C31">IFERROR(INDEX(Meeting_Log[Sub-topic],SMALL(IF((Meeting_Log[Subject]&lt;&gt;"")*(Meeting_Log[Added Date]=$C$5),ROW(Meeting_Log[Subject])-7),2)),"")</f>
        <v/>
      </c>
      <c r="D31" s="22">
        <f t="array" ref="D31">IFERROR(INDEX(Meeting_Log[Discussion / Notes],SMALL(IF((Meeting_Log[Subject]&lt;&gt;"")*(Meeting_Log[Added Date]=$C$5),ROW(Meeting_Log[Subject])-7),2)),"")</f>
        <v/>
      </c>
      <c r="E31" s="22">
        <f t="array" ref="E31">IFERROR(INDEX(Meeting_Log[Agreed Action],SMALL(IF((Meeting_Log[Subject]&lt;&gt;"")*(Meeting_Log[Added Date]=$C$5),ROW(Meeting_Log[Subject])-7),2)),"")</f>
        <v/>
      </c>
      <c r="F31" s="22">
        <f t="array" ref="F31">IFERROR(INDEX(Meeting_Log[Owner],SMALL(IF((Meeting_Log[Subject]&lt;&gt;"")*(Meeting_Log[Added Date]=$C$5),ROW(Meeting_Log[Subject])-7),2)),"")</f>
        <v/>
      </c>
      <c r="G31" s="23">
        <f t="array" ref="G31">IFERROR(INDEX(Meeting_Log[Due Date],SMALL(IF((Meeting_Log[Subject]&lt;&gt;"")*(Meeting_Log[Added Date]=$C$5),ROW(Meeting_Log[Subject])-7),2)),"")</f>
        <v/>
      </c>
      <c r="H31" s="22">
        <f t="array" ref="H31">IFERROR(INDEX(Meeting_Log[Status],SMALL(IF((Meeting_Log[Subject]&lt;&gt;"")*(Meeting_Log[Added Date]=$C$5),ROW(Meeting_Log[Subject])-7),2)),"")</f>
        <v/>
      </c>
    </row>
    <row r="32" ht="26" customHeight="1">
      <c r="B32" s="20">
        <f t="array" ref="B32">IFERROR(INDEX(Meeting_Log[Subject],SMALL(IF((Meeting_Log[Subject]&lt;&gt;"")*(Meeting_Log[Added Date]=$C$5),ROW(Meeting_Log[Subject])-7),3)),"")</f>
        <v/>
      </c>
      <c r="C32" s="20">
        <f t="array" ref="C32">IFERROR(INDEX(Meeting_Log[Sub-topic],SMALL(IF((Meeting_Log[Subject]&lt;&gt;"")*(Meeting_Log[Added Date]=$C$5),ROW(Meeting_Log[Subject])-7),3)),"")</f>
        <v/>
      </c>
      <c r="D32" s="20">
        <f t="array" ref="D32">IFERROR(INDEX(Meeting_Log[Discussion / Notes],SMALL(IF((Meeting_Log[Subject]&lt;&gt;"")*(Meeting_Log[Added Date]=$C$5),ROW(Meeting_Log[Subject])-7),3)),"")</f>
        <v/>
      </c>
      <c r="E32" s="20">
        <f t="array" ref="E32">IFERROR(INDEX(Meeting_Log[Agreed Action],SMALL(IF((Meeting_Log[Subject]&lt;&gt;"")*(Meeting_Log[Added Date]=$C$5),ROW(Meeting_Log[Subject])-7),3)),"")</f>
        <v/>
      </c>
      <c r="F32" s="20">
        <f t="array" ref="F32">IFERROR(INDEX(Meeting_Log[Owner],SMALL(IF((Meeting_Log[Subject]&lt;&gt;"")*(Meeting_Log[Added Date]=$C$5),ROW(Meeting_Log[Subject])-7),3)),"")</f>
        <v/>
      </c>
      <c r="G32" s="21">
        <f t="array" ref="G32">IFERROR(INDEX(Meeting_Log[Due Date],SMALL(IF((Meeting_Log[Subject]&lt;&gt;"")*(Meeting_Log[Added Date]=$C$5),ROW(Meeting_Log[Subject])-7),3)),"")</f>
        <v/>
      </c>
      <c r="H32" s="20">
        <f t="array" ref="H32">IFERROR(INDEX(Meeting_Log[Status],SMALL(IF((Meeting_Log[Subject]&lt;&gt;"")*(Meeting_Log[Added Date]=$C$5),ROW(Meeting_Log[Subject])-7),3)),"")</f>
        <v/>
      </c>
    </row>
    <row r="33" ht="26" customHeight="1">
      <c r="B33" s="22">
        <f t="array" ref="B33">IFERROR(INDEX(Meeting_Log[Subject],SMALL(IF((Meeting_Log[Subject]&lt;&gt;"")*(Meeting_Log[Added Date]=$C$5),ROW(Meeting_Log[Subject])-7),4)),"")</f>
        <v/>
      </c>
      <c r="C33" s="22">
        <f t="array" ref="C33">IFERROR(INDEX(Meeting_Log[Sub-topic],SMALL(IF((Meeting_Log[Subject]&lt;&gt;"")*(Meeting_Log[Added Date]=$C$5),ROW(Meeting_Log[Subject])-7),4)),"")</f>
        <v/>
      </c>
      <c r="D33" s="22">
        <f t="array" ref="D33">IFERROR(INDEX(Meeting_Log[Discussion / Notes],SMALL(IF((Meeting_Log[Subject]&lt;&gt;"")*(Meeting_Log[Added Date]=$C$5),ROW(Meeting_Log[Subject])-7),4)),"")</f>
        <v/>
      </c>
      <c r="E33" s="22">
        <f t="array" ref="E33">IFERROR(INDEX(Meeting_Log[Agreed Action],SMALL(IF((Meeting_Log[Subject]&lt;&gt;"")*(Meeting_Log[Added Date]=$C$5),ROW(Meeting_Log[Subject])-7),4)),"")</f>
        <v/>
      </c>
      <c r="F33" s="22">
        <f t="array" ref="F33">IFERROR(INDEX(Meeting_Log[Owner],SMALL(IF((Meeting_Log[Subject]&lt;&gt;"")*(Meeting_Log[Added Date]=$C$5),ROW(Meeting_Log[Subject])-7),4)),"")</f>
        <v/>
      </c>
      <c r="G33" s="23">
        <f t="array" ref="G33">IFERROR(INDEX(Meeting_Log[Due Date],SMALL(IF((Meeting_Log[Subject]&lt;&gt;"")*(Meeting_Log[Added Date]=$C$5),ROW(Meeting_Log[Subject])-7),4)),"")</f>
        <v/>
      </c>
      <c r="H33" s="22">
        <f t="array" ref="H33">IFERROR(INDEX(Meeting_Log[Status],SMALL(IF((Meeting_Log[Subject]&lt;&gt;"")*(Meeting_Log[Added Date]=$C$5),ROW(Meeting_Log[Subject])-7),4)),"")</f>
        <v/>
      </c>
    </row>
    <row r="34" ht="26" customHeight="1">
      <c r="B34" s="20">
        <f t="array" ref="B34">IFERROR(INDEX(Meeting_Log[Subject],SMALL(IF((Meeting_Log[Subject]&lt;&gt;"")*(Meeting_Log[Added Date]=$C$5),ROW(Meeting_Log[Subject])-7),5)),"")</f>
        <v/>
      </c>
      <c r="C34" s="20">
        <f t="array" ref="C34">IFERROR(INDEX(Meeting_Log[Sub-topic],SMALL(IF((Meeting_Log[Subject]&lt;&gt;"")*(Meeting_Log[Added Date]=$C$5),ROW(Meeting_Log[Subject])-7),5)),"")</f>
        <v/>
      </c>
      <c r="D34" s="20">
        <f t="array" ref="D34">IFERROR(INDEX(Meeting_Log[Discussion / Notes],SMALL(IF((Meeting_Log[Subject]&lt;&gt;"")*(Meeting_Log[Added Date]=$C$5),ROW(Meeting_Log[Subject])-7),5)),"")</f>
        <v/>
      </c>
      <c r="E34" s="20">
        <f t="array" ref="E34">IFERROR(INDEX(Meeting_Log[Agreed Action],SMALL(IF((Meeting_Log[Subject]&lt;&gt;"")*(Meeting_Log[Added Date]=$C$5),ROW(Meeting_Log[Subject])-7),5)),"")</f>
        <v/>
      </c>
      <c r="F34" s="20">
        <f t="array" ref="F34">IFERROR(INDEX(Meeting_Log[Owner],SMALL(IF((Meeting_Log[Subject]&lt;&gt;"")*(Meeting_Log[Added Date]=$C$5),ROW(Meeting_Log[Subject])-7),5)),"")</f>
        <v/>
      </c>
      <c r="G34" s="21">
        <f t="array" ref="G34">IFERROR(INDEX(Meeting_Log[Due Date],SMALL(IF((Meeting_Log[Subject]&lt;&gt;"")*(Meeting_Log[Added Date]=$C$5),ROW(Meeting_Log[Subject])-7),5)),"")</f>
        <v/>
      </c>
      <c r="H34" s="20">
        <f t="array" ref="H34">IFERROR(INDEX(Meeting_Log[Status],SMALL(IF((Meeting_Log[Subject]&lt;&gt;"")*(Meeting_Log[Added Date]=$C$5),ROW(Meeting_Log[Subject])-7),5)),"")</f>
        <v/>
      </c>
    </row>
    <row r="35" ht="26" customHeight="1">
      <c r="B35" s="22">
        <f t="array" ref="B35">IFERROR(INDEX(Meeting_Log[Subject],SMALL(IF((Meeting_Log[Subject]&lt;&gt;"")*(Meeting_Log[Added Date]=$C$5),ROW(Meeting_Log[Subject])-7),6)),"")</f>
        <v/>
      </c>
      <c r="C35" s="22">
        <f t="array" ref="C35">IFERROR(INDEX(Meeting_Log[Sub-topic],SMALL(IF((Meeting_Log[Subject]&lt;&gt;"")*(Meeting_Log[Added Date]=$C$5),ROW(Meeting_Log[Subject])-7),6)),"")</f>
        <v/>
      </c>
      <c r="D35" s="22">
        <f t="array" ref="D35">IFERROR(INDEX(Meeting_Log[Discussion / Notes],SMALL(IF((Meeting_Log[Subject]&lt;&gt;"")*(Meeting_Log[Added Date]=$C$5),ROW(Meeting_Log[Subject])-7),6)),"")</f>
        <v/>
      </c>
      <c r="E35" s="22">
        <f t="array" ref="E35">IFERROR(INDEX(Meeting_Log[Agreed Action],SMALL(IF((Meeting_Log[Subject]&lt;&gt;"")*(Meeting_Log[Added Date]=$C$5),ROW(Meeting_Log[Subject])-7),6)),"")</f>
        <v/>
      </c>
      <c r="F35" s="22">
        <f t="array" ref="F35">IFERROR(INDEX(Meeting_Log[Owner],SMALL(IF((Meeting_Log[Subject]&lt;&gt;"")*(Meeting_Log[Added Date]=$C$5),ROW(Meeting_Log[Subject])-7),6)),"")</f>
        <v/>
      </c>
      <c r="G35" s="23">
        <f t="array" ref="G35">IFERROR(INDEX(Meeting_Log[Due Date],SMALL(IF((Meeting_Log[Subject]&lt;&gt;"")*(Meeting_Log[Added Date]=$C$5),ROW(Meeting_Log[Subject])-7),6)),"")</f>
        <v/>
      </c>
      <c r="H35" s="22">
        <f t="array" ref="H35">IFERROR(INDEX(Meeting_Log[Status],SMALL(IF((Meeting_Log[Subject]&lt;&gt;"")*(Meeting_Log[Added Date]=$C$5),ROW(Meeting_Log[Subject])-7),6)),"")</f>
        <v/>
      </c>
    </row>
    <row r="37">
      <c r="B37" s="24" t="inlineStr">
        <is>
          <t>To continue a topic above: edit its row directly in Meeting Log (Discussion/Action/Status/Due Date) and set Last Update Date to today - do not create a new row. Only add a new row for a topic never raised before, with today as its Added Date.</t>
        </is>
      </c>
    </row>
    <row r="39" ht="22" customHeight="1">
      <c r="B39" s="18" t="inlineStr">
        <is>
          <t>3. ACTIONS TO FOLLOW (all currently open topics)</t>
        </is>
      </c>
      <c r="C39" s="18" t="n"/>
      <c r="D39" s="18" t="n"/>
      <c r="E39" s="18" t="n"/>
      <c r="F39" s="18" t="n"/>
      <c r="G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  <c r="G40" s="19" t="inlineStr">
        <is>
          <t>Priority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Action],SMALL(IF((Meeting_Log[Subject]&lt;&gt;"")*(Meeting_Log[Status]&lt;&gt;"Closed")*(Meeting_Log[Status]&lt;&gt;"Cancelled"),ROW(Meeting_Log[Subject])-7),1)),"")</f>
        <v/>
      </c>
      <c r="D41" s="20">
        <f t="array" ref="D41">IFERROR(INDEX(Meeting_Log[Owner],SMALL(IF((Meeting_Log[Subject]&lt;&gt;"")*(Meeting_Log[Status]&lt;&gt;"Closed")*(Meeting_Log[Status]&lt;&gt;"Cancelled"),ROW(Meeting_Log[Subject])-7),1)),"")</f>
        <v/>
      </c>
      <c r="E41" s="21">
        <f t="array" ref="E41">IFERROR(INDEX(Meeting_Log[Due Date],SMALL(IF((Meeting_Log[Subject]&lt;&gt;"")*(Meeting_Log[Status]&lt;&gt;"Closed")*(Meeting_Log[Status]&lt;&gt;"Cancelled"),ROW(Meeting_Log[Subject])-7),1)),"")</f>
        <v/>
      </c>
      <c r="F41" s="20">
        <f t="array" ref="F41">IFERROR(INDEX(Meeting_Log[Status],SMALL(IF((Meeting_Log[Subject]&lt;&gt;"")*(Meeting_Log[Status]&lt;&gt;"Closed")*(Meeting_Log[Status]&lt;&gt;"Cancelled"),ROW(Meeting_Log[Subject])-7),1)),"")</f>
        <v/>
      </c>
      <c r="G41" s="20">
        <f t="array" ref="G41">IFERROR(INDEX(Meeting_Log[Priority],SMALL(IF((Meeting_Log[Subject]&lt;&gt;"")*(Meeting_Log[Status]&lt;&gt;"Closed")*(Meeting_Log[Status]&lt;&gt;"Cancelled"),ROW(Meeting_Log[Subject])-7),1)),"")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Action],SMALL(IF((Meeting_Log[Subject]&lt;&gt;"")*(Meeting_Log[Status]&lt;&gt;"Closed")*(Meeting_Log[Status]&lt;&gt;"Cancelled"),ROW(Meeting_Log[Subject])-7),2)),"")</f>
        <v/>
      </c>
      <c r="D42" s="22">
        <f t="array" ref="D42">IFERROR(INDEX(Meeting_Log[Owner],SMALL(IF((Meeting_Log[Subject]&lt;&gt;"")*(Meeting_Log[Status]&lt;&gt;"Closed")*(Meeting_Log[Status]&lt;&gt;"Cancelled"),ROW(Meeting_Log[Subject])-7),2)),"")</f>
        <v/>
      </c>
      <c r="E42" s="23">
        <f t="array" ref="E42">IFERROR(INDEX(Meeting_Log[Due Date],SMALL(IF((Meeting_Log[Subject]&lt;&gt;"")*(Meeting_Log[Status]&lt;&gt;"Closed")*(Meeting_Log[Status]&lt;&gt;"Cancelled"),ROW(Meeting_Log[Subject])-7),2)),"")</f>
        <v/>
      </c>
      <c r="F42" s="22">
        <f t="array" ref="F42">IFERROR(INDEX(Meeting_Log[Status],SMALL(IF((Meeting_Log[Subject]&lt;&gt;"")*(Meeting_Log[Status]&lt;&gt;"Closed")*(Meeting_Log[Status]&lt;&gt;"Cancelled"),ROW(Meeting_Log[Subject])-7),2)),"")</f>
        <v/>
      </c>
      <c r="G42" s="22">
        <f t="array" ref="G42">IFERROR(INDEX(Meeting_Log[Priority],SMALL(IF((Meeting_Log[Subject]&lt;&gt;"")*(Meeting_Log[Status]&lt;&gt;"Closed")*(Meeting_Log[Status]&lt;&gt;"Cancelled"),ROW(Meeting_Log[Subject])-7),2)),"")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Action],SMALL(IF((Meeting_Log[Subject]&lt;&gt;"")*(Meeting_Log[Status]&lt;&gt;"Closed")*(Meeting_Log[Status]&lt;&gt;"Cancelled"),ROW(Meeting_Log[Subject])-7),3)),"")</f>
        <v/>
      </c>
      <c r="D43" s="20">
        <f t="array" ref="D43">IFERROR(INDEX(Meeting_Log[Owner],SMALL(IF((Meeting_Log[Subject]&lt;&gt;"")*(Meeting_Log[Status]&lt;&gt;"Closed")*(Meeting_Log[Status]&lt;&gt;"Cancelled"),ROW(Meeting_Log[Subject])-7),3)),"")</f>
        <v/>
      </c>
      <c r="E43" s="21">
        <f t="array" ref="E43">IFERROR(INDEX(Meeting_Log[Due Date],SMALL(IF((Meeting_Log[Subject]&lt;&gt;"")*(Meeting_Log[Status]&lt;&gt;"Closed")*(Meeting_Log[Status]&lt;&gt;"Cancelled"),ROW(Meeting_Log[Subject])-7),3)),"")</f>
        <v/>
      </c>
      <c r="F43" s="20">
        <f t="array" ref="F43">IFERROR(INDEX(Meeting_Log[Status],SMALL(IF((Meeting_Log[Subject]&lt;&gt;"")*(Meeting_Log[Status]&lt;&gt;"Closed")*(Meeting_Log[Status]&lt;&gt;"Cancelled"),ROW(Meeting_Log[Subject])-7),3)),"")</f>
        <v/>
      </c>
      <c r="G43" s="20">
        <f t="array" ref="G43">IFERROR(INDEX(Meeting_Log[Priority],SMALL(IF((Meeting_Log[Subject]&lt;&gt;"")*(Meeting_Log[Status]&lt;&gt;"Closed")*(Meeting_Log[Status]&lt;&gt;"Cancelled"),ROW(Meeting_Log[Subject])-7),3)),"")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Action],SMALL(IF((Meeting_Log[Subject]&lt;&gt;"")*(Meeting_Log[Status]&lt;&gt;"Closed")*(Meeting_Log[Status]&lt;&gt;"Cancelled"),ROW(Meeting_Log[Subject])-7),4)),"")</f>
        <v/>
      </c>
      <c r="D44" s="22">
        <f t="array" ref="D44">IFERROR(INDEX(Meeting_Log[Owner],SMALL(IF((Meeting_Log[Subject]&lt;&gt;"")*(Meeting_Log[Status]&lt;&gt;"Closed")*(Meeting_Log[Status]&lt;&gt;"Cancelled"),ROW(Meeting_Log[Subject])-7),4)),"")</f>
        <v/>
      </c>
      <c r="E44" s="23">
        <f t="array" ref="E44">IFERROR(INDEX(Meeting_Log[Due Date],SMALL(IF((Meeting_Log[Subject]&lt;&gt;"")*(Meeting_Log[Status]&lt;&gt;"Closed")*(Meeting_Log[Status]&lt;&gt;"Cancelled"),ROW(Meeting_Log[Subject])-7),4)),"")</f>
        <v/>
      </c>
      <c r="F44" s="22">
        <f t="array" ref="F44">IFERROR(INDEX(Meeting_Log[Status],SMALL(IF((Meeting_Log[Subject]&lt;&gt;"")*(Meeting_Log[Status]&lt;&gt;"Closed")*(Meeting_Log[Status]&lt;&gt;"Cancelled"),ROW(Meeting_Log[Subject])-7),4)),"")</f>
        <v/>
      </c>
      <c r="G44" s="22">
        <f t="array" ref="G44">IFERROR(INDEX(Meeting_Log[Priority],SMALL(IF((Meeting_Log[Subject]&lt;&gt;"")*(Meeting_Log[Status]&lt;&gt;"Closed")*(Meeting_Log[Status]&lt;&gt;"Cancelled"),ROW(Meeting_Log[Subject])-7),4)),"")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Action],SMALL(IF((Meeting_Log[Subject]&lt;&gt;"")*(Meeting_Log[Status]&lt;&gt;"Closed")*(Meeting_Log[Status]&lt;&gt;"Cancelled"),ROW(Meeting_Log[Subject])-7),5)),"")</f>
        <v/>
      </c>
      <c r="D45" s="20">
        <f t="array" ref="D45">IFERROR(INDEX(Meeting_Log[Owner],SMALL(IF((Meeting_Log[Subject]&lt;&gt;"")*(Meeting_Log[Status]&lt;&gt;"Closed")*(Meeting_Log[Status]&lt;&gt;"Cancelled"),ROW(Meeting_Log[Subject])-7),5)),"")</f>
        <v/>
      </c>
      <c r="E45" s="21">
        <f t="array" ref="E45">IFERROR(INDEX(Meeting_Log[Due Date],SMALL(IF((Meeting_Log[Subject]&lt;&gt;"")*(Meeting_Log[Status]&lt;&gt;"Closed")*(Meeting_Log[Status]&lt;&gt;"Cancelled"),ROW(Meeting_Log[Subject])-7),5)),"")</f>
        <v/>
      </c>
      <c r="F45" s="20">
        <f t="array" ref="F45">IFERROR(INDEX(Meeting_Log[Status],SMALL(IF((Meeting_Log[Subject]&lt;&gt;"")*(Meeting_Log[Status]&lt;&gt;"Closed")*(Meeting_Log[Status]&lt;&gt;"Cancelled"),ROW(Meeting_Log[Subject])-7),5)),"")</f>
        <v/>
      </c>
      <c r="G45" s="20">
        <f t="array" ref="G45">IFERROR(INDEX(Meeting_Log[Priority],SMALL(IF((Meeting_Log[Subject]&lt;&gt;"")*(Meeting_Log[Status]&lt;&gt;"Closed")*(Meeting_Log[Status]&lt;&gt;"Cancelled"),ROW(Meeting_Log[Subject])-7),5)),"")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Action],SMALL(IF((Meeting_Log[Subject]&lt;&gt;"")*(Meeting_Log[Status]&lt;&gt;"Closed")*(Meeting_Log[Status]&lt;&gt;"Cancelled"),ROW(Meeting_Log[Subject])-7),6)),"")</f>
        <v/>
      </c>
      <c r="D46" s="22">
        <f t="array" ref="D46">IFERROR(INDEX(Meeting_Log[Owner],SMALL(IF((Meeting_Log[Subject]&lt;&gt;"")*(Meeting_Log[Status]&lt;&gt;"Closed")*(Meeting_Log[Status]&lt;&gt;"Cancelled"),ROW(Meeting_Log[Subject])-7),6)),"")</f>
        <v/>
      </c>
      <c r="E46" s="23">
        <f t="array" ref="E46">IFERROR(INDEX(Meeting_Log[Due Date],SMALL(IF((Meeting_Log[Subject]&lt;&gt;"")*(Meeting_Log[Status]&lt;&gt;"Closed")*(Meeting_Log[Status]&lt;&gt;"Cancelled"),ROW(Meeting_Log[Subject])-7),6)),"")</f>
        <v/>
      </c>
      <c r="F46" s="22">
        <f t="array" ref="F46">IFERROR(INDEX(Meeting_Log[Status],SMALL(IF((Meeting_Log[Subject]&lt;&gt;"")*(Meeting_Log[Status]&lt;&gt;"Closed")*(Meeting_Log[Status]&lt;&gt;"Cancelled"),ROW(Meeting_Log[Subject])-7),6)),"")</f>
        <v/>
      </c>
      <c r="G46" s="22">
        <f t="array" ref="G46">IFERROR(INDEX(Meeting_Log[Priority],SMALL(IF((Meeting_Log[Subject]&lt;&gt;"")*(Meeting_Log[Status]&lt;&gt;"Closed")*(Meeting_Log[Status]&lt;&gt;"Cancelled"),ROW(Meeting_Log[Subject])-7),6)),"")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Action],SMALL(IF((Meeting_Log[Subject]&lt;&gt;"")*(Meeting_Log[Status]&lt;&gt;"Closed")*(Meeting_Log[Status]&lt;&gt;"Cancelled"),ROW(Meeting_Log[Subject])-7),7)),"")</f>
        <v/>
      </c>
      <c r="D47" s="20">
        <f t="array" ref="D47">IFERROR(INDEX(Meeting_Log[Owner],SMALL(IF((Meeting_Log[Subject]&lt;&gt;"")*(Meeting_Log[Status]&lt;&gt;"Closed")*(Meeting_Log[Status]&lt;&gt;"Cancelled"),ROW(Meeting_Log[Subject])-7),7)),"")</f>
        <v/>
      </c>
      <c r="E47" s="21">
        <f t="array" ref="E47">IFERROR(INDEX(Meeting_Log[Due Date],SMALL(IF((Meeting_Log[Subject]&lt;&gt;"")*(Meeting_Log[Status]&lt;&gt;"Closed")*(Meeting_Log[Status]&lt;&gt;"Cancelled"),ROW(Meeting_Log[Subject])-7),7)),"")</f>
        <v/>
      </c>
      <c r="F47" s="20">
        <f t="array" ref="F47">IFERROR(INDEX(Meeting_Log[Status],SMALL(IF((Meeting_Log[Subject]&lt;&gt;"")*(Meeting_Log[Status]&lt;&gt;"Closed")*(Meeting_Log[Status]&lt;&gt;"Cancelled"),ROW(Meeting_Log[Subject])-7),7)),"")</f>
        <v/>
      </c>
      <c r="G47" s="20">
        <f t="array" ref="G47">IFERROR(INDEX(Meeting_Log[Priority],SMALL(IF((Meeting_Log[Subject]&lt;&gt;"")*(Meeting_Log[Status]&lt;&gt;"Closed")*(Meeting_Log[Status]&lt;&gt;"Cancelled"),ROW(Meeting_Log[Subject])-7),7)),"")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Action],SMALL(IF((Meeting_Log[Subject]&lt;&gt;"")*(Meeting_Log[Status]&lt;&gt;"Closed")*(Meeting_Log[Status]&lt;&gt;"Cancelled"),ROW(Meeting_Log[Subject])-7),8)),"")</f>
        <v/>
      </c>
      <c r="D48" s="22">
        <f t="array" ref="D48">IFERROR(INDEX(Meeting_Log[Owner],SMALL(IF((Meeting_Log[Subject]&lt;&gt;"")*(Meeting_Log[Status]&lt;&gt;"Closed")*(Meeting_Log[Status]&lt;&gt;"Cancelled"),ROW(Meeting_Log[Subject])-7),8)),"")</f>
        <v/>
      </c>
      <c r="E48" s="23">
        <f t="array" ref="E48">IFERROR(INDEX(Meeting_Log[Due Date],SMALL(IF((Meeting_Log[Subject]&lt;&gt;"")*(Meeting_Log[Status]&lt;&gt;"Closed")*(Meeting_Log[Status]&lt;&gt;"Cancelled"),ROW(Meeting_Log[Subject])-7),8)),"")</f>
        <v/>
      </c>
      <c r="F48" s="22">
        <f t="array" ref="F48">IFERROR(INDEX(Meeting_Log[Status],SMALL(IF((Meeting_Log[Subject]&lt;&gt;"")*(Meeting_Log[Status]&lt;&gt;"Closed")*(Meeting_Log[Status]&lt;&gt;"Cancelled"),ROW(Meeting_Log[Subject])-7),8)),"")</f>
        <v/>
      </c>
      <c r="G48" s="22">
        <f t="array" ref="G48">IFERROR(INDEX(Meeting_Log[Priority],SMALL(IF((Meeting_Log[Subject]&lt;&gt;"")*(Meeting_Log[Status]&lt;&gt;"Closed")*(Meeting_Log[Status]&lt;&gt;"Cancelled"),ROW(Meeting_Log[Subject])-7),8)),"")</f>
        <v/>
      </c>
    </row>
    <row r="49" ht="26" customHeight="1">
      <c r="B49" s="20">
        <f t="array" ref="B49">IFERROR(INDEX(Meeting_Log[Subject],SMALL(IF((Meeting_Log[Subject]&lt;&gt;"")*(Meeting_Log[Status]&lt;&gt;"Closed")*(Meeting_Log[Status]&lt;&gt;"Cancelled"),ROW(Meeting_Log[Subject])-7),9)),"")</f>
        <v/>
      </c>
      <c r="C49" s="20">
        <f t="array" ref="C49">IFERROR(INDEX(Meeting_Log[Agreed Action],SMALL(IF((Meeting_Log[Subject]&lt;&gt;"")*(Meeting_Log[Status]&lt;&gt;"Closed")*(Meeting_Log[Status]&lt;&gt;"Cancelled"),ROW(Meeting_Log[Subject])-7),9)),"")</f>
        <v/>
      </c>
      <c r="D49" s="20">
        <f t="array" ref="D49">IFERROR(INDEX(Meeting_Log[Owner],SMALL(IF((Meeting_Log[Subject]&lt;&gt;"")*(Meeting_Log[Status]&lt;&gt;"Closed")*(Meeting_Log[Status]&lt;&gt;"Cancelled"),ROW(Meeting_Log[Subject])-7),9)),"")</f>
        <v/>
      </c>
      <c r="E49" s="21">
        <f t="array" ref="E49">IFERROR(INDEX(Meeting_Log[Due Date],SMALL(IF((Meeting_Log[Subject]&lt;&gt;"")*(Meeting_Log[Status]&lt;&gt;"Closed")*(Meeting_Log[Status]&lt;&gt;"Cancelled"),ROW(Meeting_Log[Subject])-7),9)),"")</f>
        <v/>
      </c>
      <c r="F49" s="20">
        <f t="array" ref="F49">IFERROR(INDEX(Meeting_Log[Status],SMALL(IF((Meeting_Log[Subject]&lt;&gt;"")*(Meeting_Log[Status]&lt;&gt;"Closed")*(Meeting_Log[Status]&lt;&gt;"Cancelled"),ROW(Meeting_Log[Subject])-7),9)),"")</f>
        <v/>
      </c>
      <c r="G49" s="20">
        <f t="array" ref="G49">IFERROR(INDEX(Meeting_Log[Priority],SMALL(IF((Meeting_Log[Subject]&lt;&gt;"")*(Meeting_Log[Status]&lt;&gt;"Closed")*(Meeting_Log[Status]&lt;&gt;"Cancelled"),ROW(Meeting_Log[Subject])-7),9)),"")</f>
        <v/>
      </c>
    </row>
    <row r="50" ht="26" customHeight="1">
      <c r="B50" s="22">
        <f t="array" ref="B50">IFERROR(INDEX(Meeting_Log[Subject],SMALL(IF((Meeting_Log[Subject]&lt;&gt;"")*(Meeting_Log[Status]&lt;&gt;"Closed")*(Meeting_Log[Status]&lt;&gt;"Cancelled"),ROW(Meeting_Log[Subject])-7),10)),"")</f>
        <v/>
      </c>
      <c r="C50" s="22">
        <f t="array" ref="C50">IFERROR(INDEX(Meeting_Log[Agreed Action],SMALL(IF((Meeting_Log[Subject]&lt;&gt;"")*(Meeting_Log[Status]&lt;&gt;"Closed")*(Meeting_Log[Status]&lt;&gt;"Cancelled"),ROW(Meeting_Log[Subject])-7),10)),"")</f>
        <v/>
      </c>
      <c r="D50" s="22">
        <f t="array" ref="D50">IFERROR(INDEX(Meeting_Log[Owner],SMALL(IF((Meeting_Log[Subject]&lt;&gt;"")*(Meeting_Log[Status]&lt;&gt;"Closed")*(Meeting_Log[Status]&lt;&gt;"Cancelled"),ROW(Meeting_Log[Subject])-7),10)),"")</f>
        <v/>
      </c>
      <c r="E50" s="23">
        <f t="array" ref="E50">IFERROR(INDEX(Meeting_Log[Due Date],SMALL(IF((Meeting_Log[Subject]&lt;&gt;"")*(Meeting_Log[Status]&lt;&gt;"Closed")*(Meeting_Log[Status]&lt;&gt;"Cancelled"),ROW(Meeting_Log[Subject])-7),10)),"")</f>
        <v/>
      </c>
      <c r="F50" s="22">
        <f t="array" ref="F50">IFERROR(INDEX(Meeting_Log[Status],SMALL(IF((Meeting_Log[Subject]&lt;&gt;"")*(Meeting_Log[Status]&lt;&gt;"Closed")*(Meeting_Log[Status]&lt;&gt;"Cancelled"),ROW(Meeting_Log[Subject])-7),10)),"")</f>
        <v/>
      </c>
      <c r="G50" s="22">
        <f t="array" ref="G50">IFERROR(INDEX(Meeting_Log[Priority],SMALL(IF((Meeting_Log[Subject]&lt;&gt;"")*(Meeting_Log[Status]&lt;&gt;"Closed")*(Meeting_Log[Status]&lt;&gt;"Cancelled"),ROW(Meeting_Log[Subject])-7),10)),"")</f>
        <v/>
      </c>
    </row>
    <row r="52">
      <c r="B5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2">
    <mergeCell ref="H11:I11"/>
    <mergeCell ref="N8:O10"/>
    <mergeCell ref="K11:L11"/>
    <mergeCell ref="B8:C10"/>
    <mergeCell ref="B11:C11"/>
    <mergeCell ref="N11:O11"/>
    <mergeCell ref="Q11:R11"/>
    <mergeCell ref="E11:F11"/>
    <mergeCell ref="K8:L10"/>
    <mergeCell ref="H8:I10"/>
    <mergeCell ref="Q8:R10"/>
    <mergeCell ref="E8:F10"/>
  </mergeCells>
  <conditionalFormatting sqref="G41:G50">
    <cfRule type="cellIs" priority="1" operator="equal" dxfId="0">
      <formula>"Critical"</formula>
    </cfRule>
  </conditionalFormatting>
  <dataValidations count="1">
    <dataValidation sqref="C15" showDropDown="0" showInputMessage="0" showErrorMessage="0" allowBlank="1" type="list">
      <formula1>=LIST_MEETING_TYPE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1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20" customWidth="1" min="3" max="3"/>
    <col width="16" customWidth="1" min="4" max="4"/>
    <col width="36" customWidth="1" min="5" max="5"/>
    <col width="32" customWidth="1" min="6" max="6"/>
    <col width="12" customWidth="1" min="7" max="7"/>
    <col width="13" customWidth="1" min="8" max="8"/>
    <col width="11" customWidth="1" min="9" max="9"/>
    <col width="12" customWidth="1" min="10" max="10"/>
    <col width="14" customWidth="1" min="11" max="11"/>
    <col width="10" customWidth="1" min="12" max="12"/>
  </cols>
  <sheetData>
    <row r="1" ht="20" customHeight="1">
      <c r="B1" s="2" t="inlineStr">
        <is>
          <t>Overview</t>
        </is>
      </c>
      <c r="C1" s="1" t="inlineStr">
        <is>
          <t>Meeting Log</t>
        </is>
      </c>
      <c r="D1" s="2" t="inlineStr">
        <is>
          <t>History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Meeting Log</t>
        </is>
      </c>
    </row>
    <row r="3" ht="16" customHeight="1">
      <c r="B3" s="4" t="inlineStr">
        <is>
          <t>The current state. One row per topic, forever - never recreate a row to continue a topic. Each meeting: update Discussion/Action/Status/Due Date on the topic's existing row, set Last Update Date to today, then add one line to History with what was actually said - that keeps every past meeting's record without retyping anything here. Add a brand new row only for a topic that has never been raised before.</t>
        </is>
      </c>
    </row>
    <row r="7" ht="30" customHeight="1">
      <c r="B7" s="15" t="inlineStr">
        <is>
          <t>Subject</t>
        </is>
      </c>
      <c r="C7" s="15" t="inlineStr">
        <is>
          <t>Sub-topic</t>
        </is>
      </c>
      <c r="D7" s="15" t="inlineStr">
        <is>
          <t>Owner</t>
        </is>
      </c>
      <c r="E7" s="15" t="inlineStr">
        <is>
          <t>Discussion / Notes</t>
        </is>
      </c>
      <c r="F7" s="15" t="inlineStr">
        <is>
          <t>Agreed Action</t>
        </is>
      </c>
      <c r="G7" s="15" t="inlineStr">
        <is>
          <t>Due Date</t>
        </is>
      </c>
      <c r="H7" s="15" t="inlineStr">
        <is>
          <t>Status</t>
        </is>
      </c>
      <c r="I7" s="15" t="inlineStr">
        <is>
          <t>Priority</t>
        </is>
      </c>
      <c r="J7" s="15" t="inlineStr">
        <is>
          <t>Added Date</t>
        </is>
      </c>
      <c r="K7" s="15" t="inlineStr">
        <is>
          <t>Last Update Date</t>
        </is>
      </c>
      <c r="L7" s="15" t="inlineStr">
        <is>
          <t>Overdue?</t>
        </is>
      </c>
    </row>
    <row r="8" ht="50" customHeight="1">
      <c r="B8" s="17" t="inlineStr">
        <is>
          <t>Documentation</t>
        </is>
      </c>
      <c r="C8" s="17" t="inlineStr">
        <is>
          <t>Documentation</t>
        </is>
      </c>
      <c r="D8" s="17" t="inlineStr">
        <is>
          <t>J. Smith</t>
        </is>
      </c>
      <c r="E8" s="17" t="inlineStr">
        <is>
          <t>Document A cannot be validated - missing the calibration certificate.</t>
        </is>
      </c>
      <c r="F8" s="17" t="inlineStr">
        <is>
          <t>J. Smith to retrieve the missing calibration certificate.</t>
        </is>
      </c>
      <c r="G8" s="16" t="n"/>
      <c r="H8" s="17" t="inlineStr">
        <is>
          <t>In Progress</t>
        </is>
      </c>
      <c r="I8" s="17" t="inlineStr">
        <is>
          <t>Medium</t>
        </is>
      </c>
      <c r="J8" s="16" t="n">
        <v>46266</v>
      </c>
      <c r="K8" s="16" t="n">
        <v>46296</v>
      </c>
      <c r="L8" s="20">
        <f>IF($B8="","",IF(AND($H8&lt;&gt;"Closed",$H8&lt;&gt;"Cancelled",$G8&lt;&gt;"",$G8&lt;TODAY()),"Yes","No"))</f>
        <v/>
      </c>
    </row>
    <row r="9" ht="50" customHeight="1">
      <c r="B9" s="17" t="inlineStr">
        <is>
          <t>Testing / Results</t>
        </is>
      </c>
      <c r="C9" s="17" t="inlineStr">
        <is>
          <t>Testing</t>
        </is>
      </c>
      <c r="D9" s="17" t="inlineStr">
        <is>
          <t>A. Brown</t>
        </is>
      </c>
      <c r="E9" s="17" t="inlineStr">
        <is>
          <t>First functional test results reviewed.</t>
        </is>
      </c>
      <c r="F9" s="17" t="inlineStr">
        <is>
          <t>A. Brown to issue the test report.</t>
        </is>
      </c>
      <c r="G9" s="16" t="n">
        <v>46315</v>
      </c>
      <c r="H9" s="17" t="inlineStr">
        <is>
          <t>Open</t>
        </is>
      </c>
      <c r="I9" s="17" t="inlineStr">
        <is>
          <t>High</t>
        </is>
      </c>
      <c r="J9" s="16" t="n">
        <v>46296</v>
      </c>
      <c r="K9" s="16" t="n">
        <v>46296</v>
      </c>
      <c r="L9" s="20">
        <f>IF($B9="","",IF(AND($H9&lt;&gt;"Closed",$H9&lt;&gt;"Cancelled",$G9&lt;&gt;"",$G9&lt;TODAY()),"Yes","No"))</f>
        <v/>
      </c>
    </row>
    <row r="10" ht="50" customHeight="1">
      <c r="B10" s="17" t="inlineStr">
        <is>
          <t>Safety</t>
        </is>
      </c>
      <c r="C10" s="17" t="inlineStr">
        <is>
          <t>Design / Engineering</t>
        </is>
      </c>
      <c r="D10" s="17" t="inlineStr">
        <is>
          <t>R. Taylor</t>
        </is>
      </c>
      <c r="E10" s="17" t="inlineStr">
        <is>
          <t>SSOW draft submitted for review.</t>
        </is>
      </c>
      <c r="F10" s="17" t="inlineStr">
        <is>
          <t>R. Taylor to review and approve the SSOW.</t>
        </is>
      </c>
      <c r="G10" s="16" t="n"/>
      <c r="H10" s="17" t="inlineStr">
        <is>
          <t>Open</t>
        </is>
      </c>
      <c r="I10" s="17" t="inlineStr">
        <is>
          <t>High</t>
        </is>
      </c>
      <c r="J10" s="16" t="n">
        <v>46266</v>
      </c>
      <c r="K10" s="16" t="n">
        <v>46266</v>
      </c>
      <c r="L10" s="20">
        <f>IF($B10="","",IF(AND($H10&lt;&gt;"Closed",$H10&lt;&gt;"Cancelled",$G10&lt;&gt;"",$G10&lt;TODAY()),"Yes","No"))</f>
        <v/>
      </c>
    </row>
    <row r="12">
      <c r="B1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conditionalFormatting sqref="B8:L10">
    <cfRule type="expression" priority="1" dxfId="1">
      <formula>AND($H8&lt;&gt;"Closed",$L8="Yes")</formula>
    </cfRule>
    <cfRule type="expression" priority="2" dxfId="2">
      <formula>$H8="Closed"</formula>
    </cfRule>
    <cfRule type="expression" priority="3" dxfId="3">
      <formula>OR($H8="On Hold",$H8="Cancelled")</formula>
    </cfRule>
  </conditionalFormatting>
  <dataValidations count="4">
    <dataValidation sqref="B8:B10" showDropDown="0" showInputMessage="0" showErrorMessage="0" allowBlank="1" type="list">
      <formula1>=LIST_SUBJECT</formula1>
    </dataValidation>
    <dataValidation sqref="C8:C10" showDropDown="0" showInputMessage="0" showErrorMessage="0" allowBlank="1" type="list">
      <formula1>=LIST_SUBTOPIC</formula1>
    </dataValidation>
    <dataValidation sqref="H8:H10" showDropDown="0" showInputMessage="0" showErrorMessage="0" allowBlank="1" type="list">
      <formula1>=LIST_STATUS</formula1>
    </dataValidation>
    <dataValidation sqref="I8:I10" showDropDown="0" showInputMessage="0" showErrorMessage="0" allowBlank="1" type="list">
      <formula1>=LIST_PRIORITY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2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3" customWidth="1" min="2" max="2"/>
    <col width="22" customWidth="1" min="3" max="3"/>
    <col width="20" customWidth="1" min="4" max="4"/>
    <col width="40" customWidth="1" min="5" max="5"/>
    <col width="30" customWidth="1" min="6" max="6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1" t="inlineStr">
        <is>
          <t>History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History</t>
        </is>
      </c>
    </row>
    <row r="3" ht="16" customHeight="1">
      <c r="B3" s="4" t="inlineStr">
        <is>
          <t>The full past record. Every time you touch a topic in Meeting Log, add one line here too - date, topic, what was said or decided. Never edit or delete a past row; just keep adding new ones underneath.</t>
        </is>
      </c>
    </row>
    <row r="7" ht="30" customHeight="1">
      <c r="B7" s="15" t="inlineStr">
        <is>
          <t>Meeting Date</t>
        </is>
      </c>
      <c r="C7" s="15" t="inlineStr">
        <is>
          <t>Subject</t>
        </is>
      </c>
      <c r="D7" s="15" t="inlineStr">
        <is>
          <t>Sub-topic</t>
        </is>
      </c>
      <c r="E7" s="15" t="inlineStr">
        <is>
          <t>Update / Discussion</t>
        </is>
      </c>
      <c r="F7" s="15" t="inlineStr">
        <is>
          <t>Decision</t>
        </is>
      </c>
    </row>
    <row r="8">
      <c r="B8" s="16" t="n">
        <v>46266</v>
      </c>
      <c r="C8" s="17" t="inlineStr">
        <is>
          <t>Documentation</t>
        </is>
      </c>
      <c r="D8" s="17" t="inlineStr">
        <is>
          <t>Documentation</t>
        </is>
      </c>
      <c r="E8" s="17" t="inlineStr">
        <is>
          <t>Document A cannot be validated - the calibration certificate is missing.</t>
        </is>
      </c>
      <c r="F8" s="17" t="inlineStr">
        <is>
          <t>J. Smith to retrieve the missing certificate.</t>
        </is>
      </c>
    </row>
    <row r="9">
      <c r="B9" s="16" t="n">
        <v>46296</v>
      </c>
      <c r="C9" s="17" t="inlineStr">
        <is>
          <t>Documentation</t>
        </is>
      </c>
      <c r="D9" s="17" t="inlineStr">
        <is>
          <t>Documentation</t>
        </is>
      </c>
      <c r="E9" s="17" t="inlineStr">
        <is>
          <t>Still waiting on the calibration certificate from the supplier.</t>
        </is>
      </c>
      <c r="F9" s="17" t="inlineStr">
        <is>
          <t>No change - carried to next meeting.</t>
        </is>
      </c>
    </row>
    <row r="10" ht="50" customHeight="1">
      <c r="B10" s="16" t="n">
        <v>46296</v>
      </c>
      <c r="C10" s="17" t="inlineStr">
        <is>
          <t>Testing / Results</t>
        </is>
      </c>
      <c r="D10" s="17" t="inlineStr">
        <is>
          <t>Testing</t>
        </is>
      </c>
      <c r="E10" s="17" t="inlineStr">
        <is>
          <t>First functional test results reviewed.</t>
        </is>
      </c>
      <c r="F10" s="17" t="inlineStr">
        <is>
          <t>A. Brown to issue the test report by 20-Oct.</t>
        </is>
      </c>
    </row>
    <row r="12">
      <c r="B1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dataValidations count="2">
    <dataValidation sqref="C8:C10" showDropDown="0" showInputMessage="0" showErrorMessage="0" allowBlank="1" type="list">
      <formula1>=LIST_SUBJECT</formula1>
    </dataValidation>
    <dataValidation sqref="D8:D10" showDropDown="0" showInputMessage="0" showErrorMessage="0" allowBlank="1" type="list">
      <formula1>=LIST_SUBTOPIC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6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History</t>
        </is>
      </c>
      <c r="E1" s="1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Meeting Report</t>
        </is>
      </c>
    </row>
    <row r="3" ht="16" customHeight="1">
      <c r="B3" s="4" t="inlineStr">
        <is>
          <t>Mirrors the meeting date selected on Overview - change it there to generate a report for a different meeting. Short enough to copy straight into minutes or an email.</t>
        </is>
      </c>
    </row>
    <row r="5">
      <c r="B5" s="5" t="inlineStr">
        <is>
          <t>Meeting Date:</t>
        </is>
      </c>
      <c r="C5" s="25">
        <f>'Overview'!$C$5</f>
        <v/>
      </c>
      <c r="E5" s="5" t="inlineStr">
        <is>
          <t>Meeting Type:</t>
        </is>
      </c>
      <c r="F5" s="26">
        <f>IFERROR(INDEX(Attendees_Log[Meeting Type],MATCH($C$5,Attendees_Log[Meeting Date],0)),"")</f>
        <v/>
      </c>
    </row>
    <row r="6">
      <c r="B6" s="5" t="inlineStr">
        <is>
          <t>Attendees:</t>
        </is>
      </c>
      <c r="C6" s="27">
        <f>IFERROR(INDEX(Attendees_Log[Attendees],MATCH($C$5,Attendees_Log[Meeting Date],0)),"")</f>
        <v/>
      </c>
    </row>
    <row r="8" ht="22" customHeight="1">
      <c r="B8" s="18" t="inlineStr">
        <is>
          <t>1. FOLLOW-UP FROM PREVIOUS MEETING</t>
        </is>
      </c>
      <c r="C8" s="18" t="n"/>
      <c r="D8" s="18" t="n"/>
      <c r="E8" s="18" t="n"/>
      <c r="F8" s="18" t="n"/>
      <c r="G8" s="18" t="n"/>
    </row>
    <row r="9">
      <c r="B9" s="19" t="inlineStr">
        <is>
          <t>Subject</t>
        </is>
      </c>
      <c r="C9" s="19" t="inlineStr">
        <is>
          <t>Sub-topic</t>
        </is>
      </c>
      <c r="D9" s="19" t="inlineStr">
        <is>
          <t>Discussion</t>
        </is>
      </c>
      <c r="E9" s="19" t="inlineStr">
        <is>
          <t>Action</t>
        </is>
      </c>
      <c r="F9" s="19" t="inlineStr">
        <is>
          <t>Owner</t>
        </is>
      </c>
      <c r="G9" s="19" t="inlineStr">
        <is>
          <t>Status</t>
        </is>
      </c>
    </row>
    <row r="10" ht="26" customHeight="1">
      <c r="B10" s="20">
        <f t="array" ref="B10">IFERROR(INDEX(Meeting_Log[Subject],SMALL(IF((Meeting_Log[Subject]&lt;&gt;"")*(Meeting_Log[Status]&lt;&gt;"Closed")*(Meeting_Log[Status]&lt;&gt;"Cancelled")*(Meeting_Log[Last Update Date]&lt;$C$5),ROW(Meeting_Log[Subject])-7),1)),"")</f>
        <v/>
      </c>
      <c r="C10" s="20">
        <f t="array" ref="C10">IFERROR(INDEX(Meeting_Log[Sub-topic],SMALL(IF((Meeting_Log[Subject]&lt;&gt;"")*(Meeting_Log[Status]&lt;&gt;"Closed")*(Meeting_Log[Status]&lt;&gt;"Cancelled")*(Meeting_Log[Last Update Date]&lt;$C$5),ROW(Meeting_Log[Subject])-7),1)),"")</f>
        <v/>
      </c>
      <c r="D10" s="20">
        <f t="array" ref="D10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0" s="20">
        <f t="array" ref="E10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0" s="20">
        <f t="array" ref="F10">IFERROR(INDEX(Meeting_Log[Owner],SMALL(IF((Meeting_Log[Subject]&lt;&gt;"")*(Meeting_Log[Status]&lt;&gt;"Closed")*(Meeting_Log[Status]&lt;&gt;"Cancelled")*(Meeting_Log[Last Update Date]&lt;$C$5),ROW(Meeting_Log[Subject])-7),1)),"")</f>
        <v/>
      </c>
      <c r="G10" s="20">
        <f t="array" ref="G10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11" ht="26" customHeight="1">
      <c r="B11" s="22">
        <f t="array" ref="B11">IFERROR(INDEX(Meeting_Log[Subject],SMALL(IF((Meeting_Log[Subject]&lt;&gt;"")*(Meeting_Log[Status]&lt;&gt;"Closed")*(Meeting_Log[Status]&lt;&gt;"Cancelled")*(Meeting_Log[Last Update Date]&lt;$C$5),ROW(Meeting_Log[Subject])-7),2)),"")</f>
        <v/>
      </c>
      <c r="C11" s="22">
        <f t="array" ref="C11">IFERROR(INDEX(Meeting_Log[Sub-topic],SMALL(IF((Meeting_Log[Subject]&lt;&gt;"")*(Meeting_Log[Status]&lt;&gt;"Closed")*(Meeting_Log[Status]&lt;&gt;"Cancelled")*(Meeting_Log[Last Update Date]&lt;$C$5),ROW(Meeting_Log[Subject])-7),2)),"")</f>
        <v/>
      </c>
      <c r="D11" s="22">
        <f t="array" ref="D11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11" s="22">
        <f t="array" ref="E11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11" s="22">
        <f t="array" ref="F11">IFERROR(INDEX(Meeting_Log[Owner],SMALL(IF((Meeting_Log[Subject]&lt;&gt;"")*(Meeting_Log[Status]&lt;&gt;"Closed")*(Meeting_Log[Status]&lt;&gt;"Cancelled")*(Meeting_Log[Last Update Date]&lt;$C$5),ROW(Meeting_Log[Subject])-7),2)),"")</f>
        <v/>
      </c>
      <c r="G11" s="22">
        <f t="array" ref="G11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12" ht="26" customHeight="1">
      <c r="B12" s="20">
        <f t="array" ref="B12">IFERROR(INDEX(Meeting_Log[Subject],SMALL(IF((Meeting_Log[Subject]&lt;&gt;"")*(Meeting_Log[Status]&lt;&gt;"Closed")*(Meeting_Log[Status]&lt;&gt;"Cancelled")*(Meeting_Log[Last Update Date]&lt;$C$5),ROW(Meeting_Log[Subject])-7),3)),"")</f>
        <v/>
      </c>
      <c r="C12" s="20">
        <f t="array" ref="C12">IFERROR(INDEX(Meeting_Log[Sub-topic],SMALL(IF((Meeting_Log[Subject]&lt;&gt;"")*(Meeting_Log[Status]&lt;&gt;"Closed")*(Meeting_Log[Status]&lt;&gt;"Cancelled")*(Meeting_Log[Last Update Date]&lt;$C$5),ROW(Meeting_Log[Subject])-7),3)),"")</f>
        <v/>
      </c>
      <c r="D12" s="20">
        <f t="array" ref="D12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12" s="20">
        <f t="array" ref="E12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12" s="20">
        <f t="array" ref="F12">IFERROR(INDEX(Meeting_Log[Owner],SMALL(IF((Meeting_Log[Subject]&lt;&gt;"")*(Meeting_Log[Status]&lt;&gt;"Closed")*(Meeting_Log[Status]&lt;&gt;"Cancelled")*(Meeting_Log[Last Update Date]&lt;$C$5),ROW(Meeting_Log[Subject])-7),3)),"")</f>
        <v/>
      </c>
      <c r="G12" s="20">
        <f t="array" ref="G12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13" ht="26" customHeight="1">
      <c r="B13" s="22">
        <f t="array" ref="B13">IFERROR(INDEX(Meeting_Log[Subject],SMALL(IF((Meeting_Log[Subject]&lt;&gt;"")*(Meeting_Log[Status]&lt;&gt;"Closed")*(Meeting_Log[Status]&lt;&gt;"Cancelled")*(Meeting_Log[Last Update Date]&lt;$C$5),ROW(Meeting_Log[Subject])-7),4)),"")</f>
        <v/>
      </c>
      <c r="C13" s="22">
        <f t="array" ref="C13">IFERROR(INDEX(Meeting_Log[Sub-topic],SMALL(IF((Meeting_Log[Subject]&lt;&gt;"")*(Meeting_Log[Status]&lt;&gt;"Closed")*(Meeting_Log[Status]&lt;&gt;"Cancelled")*(Meeting_Log[Last Update Date]&lt;$C$5),ROW(Meeting_Log[Subject])-7),4)),"")</f>
        <v/>
      </c>
      <c r="D13" s="22">
        <f t="array" ref="D13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13" s="22">
        <f t="array" ref="E13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13" s="22">
        <f t="array" ref="F13">IFERROR(INDEX(Meeting_Log[Owner],SMALL(IF((Meeting_Log[Subject]&lt;&gt;"")*(Meeting_Log[Status]&lt;&gt;"Closed")*(Meeting_Log[Status]&lt;&gt;"Cancelled")*(Meeting_Log[Last Update Date]&lt;$C$5),ROW(Meeting_Log[Subject])-7),4)),"")</f>
        <v/>
      </c>
      <c r="G13" s="22">
        <f t="array" ref="G13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14" ht="26" customHeight="1">
      <c r="B14" s="20">
        <f t="array" ref="B14">IFERROR(INDEX(Meeting_Log[Subject],SMALL(IF((Meeting_Log[Subject]&lt;&gt;"")*(Meeting_Log[Status]&lt;&gt;"Closed")*(Meeting_Log[Status]&lt;&gt;"Cancelled")*(Meeting_Log[Last Update Date]&lt;$C$5),ROW(Meeting_Log[Subject])-7),5)),"")</f>
        <v/>
      </c>
      <c r="C14" s="20">
        <f t="array" ref="C14">IFERROR(INDEX(Meeting_Log[Sub-topic],SMALL(IF((Meeting_Log[Subject]&lt;&gt;"")*(Meeting_Log[Status]&lt;&gt;"Closed")*(Meeting_Log[Status]&lt;&gt;"Cancelled")*(Meeting_Log[Last Update Date]&lt;$C$5),ROW(Meeting_Log[Subject])-7),5)),"")</f>
        <v/>
      </c>
      <c r="D14" s="20">
        <f t="array" ref="D14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14" s="20">
        <f t="array" ref="E14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14" s="20">
        <f t="array" ref="F14">IFERROR(INDEX(Meeting_Log[Owner],SMALL(IF((Meeting_Log[Subject]&lt;&gt;"")*(Meeting_Log[Status]&lt;&gt;"Closed")*(Meeting_Log[Status]&lt;&gt;"Cancelled")*(Meeting_Log[Last Update Date]&lt;$C$5),ROW(Meeting_Log[Subject])-7),5)),"")</f>
        <v/>
      </c>
      <c r="G14" s="20">
        <f t="array" ref="G14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15" ht="26" customHeight="1">
      <c r="B15" s="22">
        <f t="array" ref="B15">IFERROR(INDEX(Meeting_Log[Subject],SMALL(IF((Meeting_Log[Subject]&lt;&gt;"")*(Meeting_Log[Status]&lt;&gt;"Closed")*(Meeting_Log[Status]&lt;&gt;"Cancelled")*(Meeting_Log[Last Update Date]&lt;$C$5),ROW(Meeting_Log[Subject])-7),6)),"")</f>
        <v/>
      </c>
      <c r="C15" s="22">
        <f t="array" ref="C15">IFERROR(INDEX(Meeting_Log[Sub-topic],SMALL(IF((Meeting_Log[Subject]&lt;&gt;"")*(Meeting_Log[Status]&lt;&gt;"Closed")*(Meeting_Log[Status]&lt;&gt;"Cancelled")*(Meeting_Log[Last Update Date]&lt;$C$5),ROW(Meeting_Log[Subject])-7),6)),"")</f>
        <v/>
      </c>
      <c r="D15" s="22">
        <f t="array" ref="D15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15" s="22">
        <f t="array" ref="E15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15" s="22">
        <f t="array" ref="F15">IFERROR(INDEX(Meeting_Log[Owner],SMALL(IF((Meeting_Log[Subject]&lt;&gt;"")*(Meeting_Log[Status]&lt;&gt;"Closed")*(Meeting_Log[Status]&lt;&gt;"Cancelled")*(Meeting_Log[Last Update Date]&lt;$C$5),ROW(Meeting_Log[Subject])-7),6)),"")</f>
        <v/>
      </c>
      <c r="G15" s="22">
        <f t="array" ref="G15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16" ht="26" customHeight="1">
      <c r="B16" s="20">
        <f t="array" ref="B16">IFERROR(INDEX(Meeting_Log[Subject],SMALL(IF((Meeting_Log[Subject]&lt;&gt;"")*(Meeting_Log[Status]&lt;&gt;"Closed")*(Meeting_Log[Status]&lt;&gt;"Cancelled")*(Meeting_Log[Last Update Date]&lt;$C$5),ROW(Meeting_Log[Subject])-7),7)),"")</f>
        <v/>
      </c>
      <c r="C16" s="20">
        <f t="array" ref="C16">IFERROR(INDEX(Meeting_Log[Sub-topic],SMALL(IF((Meeting_Log[Subject]&lt;&gt;"")*(Meeting_Log[Status]&lt;&gt;"Closed")*(Meeting_Log[Status]&lt;&gt;"Cancelled")*(Meeting_Log[Last Update Date]&lt;$C$5),ROW(Meeting_Log[Subject])-7),7)),"")</f>
        <v/>
      </c>
      <c r="D16" s="20">
        <f t="array" ref="D16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16" s="20">
        <f t="array" ref="E16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16" s="20">
        <f t="array" ref="F16">IFERROR(INDEX(Meeting_Log[Owner],SMALL(IF((Meeting_Log[Subject]&lt;&gt;"")*(Meeting_Log[Status]&lt;&gt;"Closed")*(Meeting_Log[Status]&lt;&gt;"Cancelled")*(Meeting_Log[Last Update Date]&lt;$C$5),ROW(Meeting_Log[Subject])-7),7)),"")</f>
        <v/>
      </c>
      <c r="G16" s="20">
        <f t="array" ref="G16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17" ht="26" customHeight="1">
      <c r="B17" s="22">
        <f t="array" ref="B17">IFERROR(INDEX(Meeting_Log[Subject],SMALL(IF((Meeting_Log[Subject]&lt;&gt;"")*(Meeting_Log[Status]&lt;&gt;"Closed")*(Meeting_Log[Status]&lt;&gt;"Cancelled")*(Meeting_Log[Last Update Date]&lt;$C$5),ROW(Meeting_Log[Subject])-7),8)),"")</f>
        <v/>
      </c>
      <c r="C17" s="22">
        <f t="array" ref="C17">IFERROR(INDEX(Meeting_Log[Sub-topic],SMALL(IF((Meeting_Log[Subject]&lt;&gt;"")*(Meeting_Log[Status]&lt;&gt;"Closed")*(Meeting_Log[Status]&lt;&gt;"Cancelled")*(Meeting_Log[Last Update Date]&lt;$C$5),ROW(Meeting_Log[Subject])-7),8)),"")</f>
        <v/>
      </c>
      <c r="D17" s="22">
        <f t="array" ref="D17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17" s="22">
        <f t="array" ref="E17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17" s="22">
        <f t="array" ref="F17">IFERROR(INDEX(Meeting_Log[Owner],SMALL(IF((Meeting_Log[Subject]&lt;&gt;"")*(Meeting_Log[Status]&lt;&gt;"Closed")*(Meeting_Log[Status]&lt;&gt;"Cancelled")*(Meeting_Log[Last Update Date]&lt;$C$5),ROW(Meeting_Log[Subject])-7),8)),"")</f>
        <v/>
      </c>
      <c r="G17" s="22">
        <f t="array" ref="G17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19" ht="22" customHeight="1">
      <c r="B19" s="18" t="inlineStr">
        <is>
          <t>2. NEW TOPICS</t>
        </is>
      </c>
      <c r="C19" s="18" t="n"/>
      <c r="D19" s="18" t="n"/>
      <c r="E19" s="18" t="n"/>
      <c r="F19" s="18" t="n"/>
      <c r="G19" s="18" t="n"/>
      <c r="H19" s="18" t="n"/>
    </row>
    <row r="20">
      <c r="B20" s="19" t="inlineStr">
        <is>
          <t>Subject</t>
        </is>
      </c>
      <c r="C20" s="19" t="inlineStr">
        <is>
          <t>Sub-topic</t>
        </is>
      </c>
      <c r="D20" s="19" t="inlineStr">
        <is>
          <t>Discussion / Notes</t>
        </is>
      </c>
      <c r="E20" s="19" t="inlineStr">
        <is>
          <t>Agreed Action</t>
        </is>
      </c>
      <c r="F20" s="19" t="inlineStr">
        <is>
          <t>Owner</t>
        </is>
      </c>
      <c r="G20" s="19" t="inlineStr">
        <is>
          <t>Due Date</t>
        </is>
      </c>
      <c r="H20" s="19" t="inlineStr">
        <is>
          <t>Status</t>
        </is>
      </c>
    </row>
    <row r="21" ht="26" customHeight="1">
      <c r="B21" s="20">
        <f t="array" ref="B21">IFERROR(INDEX(Meeting_Log[Subject],SMALL(IF((Meeting_Log[Subject]&lt;&gt;"")*(Meeting_Log[Added Date]=$C$5),ROW(Meeting_Log[Subject])-7),1)),"")</f>
        <v/>
      </c>
      <c r="C21" s="20">
        <f t="array" ref="C21">IFERROR(INDEX(Meeting_Log[Sub-topic],SMALL(IF((Meeting_Log[Subject]&lt;&gt;"")*(Meeting_Log[Added Date]=$C$5),ROW(Meeting_Log[Subject])-7),1)),"")</f>
        <v/>
      </c>
      <c r="D21" s="20">
        <f t="array" ref="D21">IFERROR(INDEX(Meeting_Log[Discussion / Notes],SMALL(IF((Meeting_Log[Subject]&lt;&gt;"")*(Meeting_Log[Added Date]=$C$5),ROW(Meeting_Log[Subject])-7),1)),"")</f>
        <v/>
      </c>
      <c r="E21" s="20">
        <f t="array" ref="E21">IFERROR(INDEX(Meeting_Log[Agreed Action],SMALL(IF((Meeting_Log[Subject]&lt;&gt;"")*(Meeting_Log[Added Date]=$C$5),ROW(Meeting_Log[Subject])-7),1)),"")</f>
        <v/>
      </c>
      <c r="F21" s="20">
        <f t="array" ref="F21">IFERROR(INDEX(Meeting_Log[Owner],SMALL(IF((Meeting_Log[Subject]&lt;&gt;"")*(Meeting_Log[Added Date]=$C$5),ROW(Meeting_Log[Subject])-7),1)),"")</f>
        <v/>
      </c>
      <c r="G21" s="21">
        <f t="array" ref="G21">IFERROR(INDEX(Meeting_Log[Due Date],SMALL(IF((Meeting_Log[Subject]&lt;&gt;"")*(Meeting_Log[Added Date]=$C$5),ROW(Meeting_Log[Subject])-7),1)),"")</f>
        <v/>
      </c>
      <c r="H21" s="20">
        <f t="array" ref="H21">IFERROR(INDEX(Meeting_Log[Status],SMALL(IF((Meeting_Log[Subject]&lt;&gt;"")*(Meeting_Log[Added Date]=$C$5),ROW(Meeting_Log[Subject])-7),1)),"")</f>
        <v/>
      </c>
    </row>
    <row r="22" ht="26" customHeight="1">
      <c r="B22" s="22">
        <f t="array" ref="B22">IFERROR(INDEX(Meeting_Log[Subject],SMALL(IF((Meeting_Log[Subject]&lt;&gt;"")*(Meeting_Log[Added Date]=$C$5),ROW(Meeting_Log[Subject])-7),2)),"")</f>
        <v/>
      </c>
      <c r="C22" s="22">
        <f t="array" ref="C22">IFERROR(INDEX(Meeting_Log[Sub-topic],SMALL(IF((Meeting_Log[Subject]&lt;&gt;"")*(Meeting_Log[Added Date]=$C$5),ROW(Meeting_Log[Subject])-7),2)),"")</f>
        <v/>
      </c>
      <c r="D22" s="22">
        <f t="array" ref="D22">IFERROR(INDEX(Meeting_Log[Discussion / Notes],SMALL(IF((Meeting_Log[Subject]&lt;&gt;"")*(Meeting_Log[Added Date]=$C$5),ROW(Meeting_Log[Subject])-7),2)),"")</f>
        <v/>
      </c>
      <c r="E22" s="22">
        <f t="array" ref="E22">IFERROR(INDEX(Meeting_Log[Agreed Action],SMALL(IF((Meeting_Log[Subject]&lt;&gt;"")*(Meeting_Log[Added Date]=$C$5),ROW(Meeting_Log[Subject])-7),2)),"")</f>
        <v/>
      </c>
      <c r="F22" s="22">
        <f t="array" ref="F22">IFERROR(INDEX(Meeting_Log[Owner],SMALL(IF((Meeting_Log[Subject]&lt;&gt;"")*(Meeting_Log[Added Date]=$C$5),ROW(Meeting_Log[Subject])-7),2)),"")</f>
        <v/>
      </c>
      <c r="G22" s="23">
        <f t="array" ref="G22">IFERROR(INDEX(Meeting_Log[Due Date],SMALL(IF((Meeting_Log[Subject]&lt;&gt;"")*(Meeting_Log[Added Date]=$C$5),ROW(Meeting_Log[Subject])-7),2)),"")</f>
        <v/>
      </c>
      <c r="H22" s="22">
        <f t="array" ref="H22">IFERROR(INDEX(Meeting_Log[Status],SMALL(IF((Meeting_Log[Subject]&lt;&gt;"")*(Meeting_Log[Added Date]=$C$5),ROW(Meeting_Log[Subject])-7),2)),"")</f>
        <v/>
      </c>
    </row>
    <row r="23" ht="26" customHeight="1">
      <c r="B23" s="20">
        <f t="array" ref="B23">IFERROR(INDEX(Meeting_Log[Subject],SMALL(IF((Meeting_Log[Subject]&lt;&gt;"")*(Meeting_Log[Added Date]=$C$5),ROW(Meeting_Log[Subject])-7),3)),"")</f>
        <v/>
      </c>
      <c r="C23" s="20">
        <f t="array" ref="C23">IFERROR(INDEX(Meeting_Log[Sub-topic],SMALL(IF((Meeting_Log[Subject]&lt;&gt;"")*(Meeting_Log[Added Date]=$C$5),ROW(Meeting_Log[Subject])-7),3)),"")</f>
        <v/>
      </c>
      <c r="D23" s="20">
        <f t="array" ref="D23">IFERROR(INDEX(Meeting_Log[Discussion / Notes],SMALL(IF((Meeting_Log[Subject]&lt;&gt;"")*(Meeting_Log[Added Date]=$C$5),ROW(Meeting_Log[Subject])-7),3)),"")</f>
        <v/>
      </c>
      <c r="E23" s="20">
        <f t="array" ref="E23">IFERROR(INDEX(Meeting_Log[Agreed Action],SMALL(IF((Meeting_Log[Subject]&lt;&gt;"")*(Meeting_Log[Added Date]=$C$5),ROW(Meeting_Log[Subject])-7),3)),"")</f>
        <v/>
      </c>
      <c r="F23" s="20">
        <f t="array" ref="F23">IFERROR(INDEX(Meeting_Log[Owner],SMALL(IF((Meeting_Log[Subject]&lt;&gt;"")*(Meeting_Log[Added Date]=$C$5),ROW(Meeting_Log[Subject])-7),3)),"")</f>
        <v/>
      </c>
      <c r="G23" s="21">
        <f t="array" ref="G23">IFERROR(INDEX(Meeting_Log[Due Date],SMALL(IF((Meeting_Log[Subject]&lt;&gt;"")*(Meeting_Log[Added Date]=$C$5),ROW(Meeting_Log[Subject])-7),3)),"")</f>
        <v/>
      </c>
      <c r="H23" s="20">
        <f t="array" ref="H23">IFERROR(INDEX(Meeting_Log[Status],SMALL(IF((Meeting_Log[Subject]&lt;&gt;"")*(Meeting_Log[Added Date]=$C$5),ROW(Meeting_Log[Subject])-7),3)),"")</f>
        <v/>
      </c>
    </row>
    <row r="24" ht="26" customHeight="1">
      <c r="B24" s="22">
        <f t="array" ref="B24">IFERROR(INDEX(Meeting_Log[Subject],SMALL(IF((Meeting_Log[Subject]&lt;&gt;"")*(Meeting_Log[Added Date]=$C$5),ROW(Meeting_Log[Subject])-7),4)),"")</f>
        <v/>
      </c>
      <c r="C24" s="22">
        <f t="array" ref="C24">IFERROR(INDEX(Meeting_Log[Sub-topic],SMALL(IF((Meeting_Log[Subject]&lt;&gt;"")*(Meeting_Log[Added Date]=$C$5),ROW(Meeting_Log[Subject])-7),4)),"")</f>
        <v/>
      </c>
      <c r="D24" s="22">
        <f t="array" ref="D24">IFERROR(INDEX(Meeting_Log[Discussion / Notes],SMALL(IF((Meeting_Log[Subject]&lt;&gt;"")*(Meeting_Log[Added Date]=$C$5),ROW(Meeting_Log[Subject])-7),4)),"")</f>
        <v/>
      </c>
      <c r="E24" s="22">
        <f t="array" ref="E24">IFERROR(INDEX(Meeting_Log[Agreed Action],SMALL(IF((Meeting_Log[Subject]&lt;&gt;"")*(Meeting_Log[Added Date]=$C$5),ROW(Meeting_Log[Subject])-7),4)),"")</f>
        <v/>
      </c>
      <c r="F24" s="22">
        <f t="array" ref="F24">IFERROR(INDEX(Meeting_Log[Owner],SMALL(IF((Meeting_Log[Subject]&lt;&gt;"")*(Meeting_Log[Added Date]=$C$5),ROW(Meeting_Log[Subject])-7),4)),"")</f>
        <v/>
      </c>
      <c r="G24" s="23">
        <f t="array" ref="G24">IFERROR(INDEX(Meeting_Log[Due Date],SMALL(IF((Meeting_Log[Subject]&lt;&gt;"")*(Meeting_Log[Added Date]=$C$5),ROW(Meeting_Log[Subject])-7),4)),"")</f>
        <v/>
      </c>
      <c r="H24" s="22">
        <f t="array" ref="H24">IFERROR(INDEX(Meeting_Log[Status],SMALL(IF((Meeting_Log[Subject]&lt;&gt;"")*(Meeting_Log[Added Date]=$C$5),ROW(Meeting_Log[Subject])-7),4)),"")</f>
        <v/>
      </c>
    </row>
    <row r="25" ht="26" customHeight="1">
      <c r="B25" s="20">
        <f t="array" ref="B25">IFERROR(INDEX(Meeting_Log[Subject],SMALL(IF((Meeting_Log[Subject]&lt;&gt;"")*(Meeting_Log[Added Date]=$C$5),ROW(Meeting_Log[Subject])-7),5)),"")</f>
        <v/>
      </c>
      <c r="C25" s="20">
        <f t="array" ref="C25">IFERROR(INDEX(Meeting_Log[Sub-topic],SMALL(IF((Meeting_Log[Subject]&lt;&gt;"")*(Meeting_Log[Added Date]=$C$5),ROW(Meeting_Log[Subject])-7),5)),"")</f>
        <v/>
      </c>
      <c r="D25" s="20">
        <f t="array" ref="D25">IFERROR(INDEX(Meeting_Log[Discussion / Notes],SMALL(IF((Meeting_Log[Subject]&lt;&gt;"")*(Meeting_Log[Added Date]=$C$5),ROW(Meeting_Log[Subject])-7),5)),"")</f>
        <v/>
      </c>
      <c r="E25" s="20">
        <f t="array" ref="E25">IFERROR(INDEX(Meeting_Log[Agreed Action],SMALL(IF((Meeting_Log[Subject]&lt;&gt;"")*(Meeting_Log[Added Date]=$C$5),ROW(Meeting_Log[Subject])-7),5)),"")</f>
        <v/>
      </c>
      <c r="F25" s="20">
        <f t="array" ref="F25">IFERROR(INDEX(Meeting_Log[Owner],SMALL(IF((Meeting_Log[Subject]&lt;&gt;"")*(Meeting_Log[Added Date]=$C$5),ROW(Meeting_Log[Subject])-7),5)),"")</f>
        <v/>
      </c>
      <c r="G25" s="21">
        <f t="array" ref="G25">IFERROR(INDEX(Meeting_Log[Due Date],SMALL(IF((Meeting_Log[Subject]&lt;&gt;"")*(Meeting_Log[Added Date]=$C$5),ROW(Meeting_Log[Subject])-7),5)),"")</f>
        <v/>
      </c>
      <c r="H25" s="20">
        <f t="array" ref="H25">IFERROR(INDEX(Meeting_Log[Status],SMALL(IF((Meeting_Log[Subject]&lt;&gt;"")*(Meeting_Log[Added Date]=$C$5),ROW(Meeting_Log[Subject])-7),5)),"")</f>
        <v/>
      </c>
    </row>
    <row r="26" ht="26" customHeight="1">
      <c r="B26" s="22">
        <f t="array" ref="B26">IFERROR(INDEX(Meeting_Log[Subject],SMALL(IF((Meeting_Log[Subject]&lt;&gt;"")*(Meeting_Log[Added Date]=$C$5),ROW(Meeting_Log[Subject])-7),6)),"")</f>
        <v/>
      </c>
      <c r="C26" s="22">
        <f t="array" ref="C26">IFERROR(INDEX(Meeting_Log[Sub-topic],SMALL(IF((Meeting_Log[Subject]&lt;&gt;"")*(Meeting_Log[Added Date]=$C$5),ROW(Meeting_Log[Subject])-7),6)),"")</f>
        <v/>
      </c>
      <c r="D26" s="22">
        <f t="array" ref="D26">IFERROR(INDEX(Meeting_Log[Discussion / Notes],SMALL(IF((Meeting_Log[Subject]&lt;&gt;"")*(Meeting_Log[Added Date]=$C$5),ROW(Meeting_Log[Subject])-7),6)),"")</f>
        <v/>
      </c>
      <c r="E26" s="22">
        <f t="array" ref="E26">IFERROR(INDEX(Meeting_Log[Agreed Action],SMALL(IF((Meeting_Log[Subject]&lt;&gt;"")*(Meeting_Log[Added Date]=$C$5),ROW(Meeting_Log[Subject])-7),6)),"")</f>
        <v/>
      </c>
      <c r="F26" s="22">
        <f t="array" ref="F26">IFERROR(INDEX(Meeting_Log[Owner],SMALL(IF((Meeting_Log[Subject]&lt;&gt;"")*(Meeting_Log[Added Date]=$C$5),ROW(Meeting_Log[Subject])-7),6)),"")</f>
        <v/>
      </c>
      <c r="G26" s="23">
        <f t="array" ref="G26">IFERROR(INDEX(Meeting_Log[Due Date],SMALL(IF((Meeting_Log[Subject]&lt;&gt;"")*(Meeting_Log[Added Date]=$C$5),ROW(Meeting_Log[Subject])-7),6)),"")</f>
        <v/>
      </c>
      <c r="H26" s="22">
        <f t="array" ref="H26">IFERROR(INDEX(Meeting_Log[Status],SMALL(IF((Meeting_Log[Subject]&lt;&gt;"")*(Meeting_Log[Added Date]=$C$5),ROW(Meeting_Log[Subject])-7),6)),"")</f>
        <v/>
      </c>
    </row>
    <row r="28" ht="22" customHeight="1">
      <c r="B28" s="18" t="inlineStr">
        <is>
          <t>3. DISCUSSION LOG FOR THIS MEETING</t>
        </is>
      </c>
      <c r="C28" s="18" t="n"/>
      <c r="D28" s="18" t="n"/>
      <c r="E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Update / Discussion</t>
        </is>
      </c>
      <c r="E29" s="19" t="inlineStr">
        <is>
          <t>Decision</t>
        </is>
      </c>
    </row>
    <row r="30" ht="26" customHeight="1">
      <c r="B30" s="20">
        <f t="array" ref="B30">IFERROR(INDEX(History_Log[Subject],SMALL(IF((History_Log[Subject]&lt;&gt;"")*(History_Log[Meeting Date]=$C$5),ROW(History_Log[Subject])-7),1)),"")</f>
        <v/>
      </c>
      <c r="C30" s="20">
        <f t="array" ref="C30">IFERROR(INDEX(History_Log[Sub-topic],SMALL(IF((History_Log[Subject]&lt;&gt;"")*(History_Log[Meeting Date]=$C$5),ROW(History_Log[Subject])-7),1)),"")</f>
        <v/>
      </c>
      <c r="D30" s="20">
        <f t="array" ref="D30">IFERROR(INDEX(History_Log[Update / Discussion],SMALL(IF((History_Log[Subject]&lt;&gt;"")*(History_Log[Meeting Date]=$C$5),ROW(History_Log[Subject])-7),1)),"")</f>
        <v/>
      </c>
      <c r="E30" s="20">
        <f t="array" ref="E30">IFERROR(INDEX(History_Log[Decision],SMALL(IF((History_Log[Subject]&lt;&gt;"")*(History_Log[Meeting Date]=$C$5),ROW(History_Log[Subject])-7),1)),"")</f>
        <v/>
      </c>
    </row>
    <row r="31" ht="26" customHeight="1">
      <c r="B31" s="22">
        <f t="array" ref="B31">IFERROR(INDEX(History_Log[Subject],SMALL(IF((History_Log[Subject]&lt;&gt;"")*(History_Log[Meeting Date]=$C$5),ROW(History_Log[Subject])-7),2)),"")</f>
        <v/>
      </c>
      <c r="C31" s="22">
        <f t="array" ref="C31">IFERROR(INDEX(History_Log[Sub-topic],SMALL(IF((History_Log[Subject]&lt;&gt;"")*(History_Log[Meeting Date]=$C$5),ROW(History_Log[Subject])-7),2)),"")</f>
        <v/>
      </c>
      <c r="D31" s="22">
        <f t="array" ref="D31">IFERROR(INDEX(History_Log[Update / Discussion],SMALL(IF((History_Log[Subject]&lt;&gt;"")*(History_Log[Meeting Date]=$C$5),ROW(History_Log[Subject])-7),2)),"")</f>
        <v/>
      </c>
      <c r="E31" s="22">
        <f t="array" ref="E31">IFERROR(INDEX(History_Log[Decision],SMALL(IF((History_Log[Subject]&lt;&gt;"")*(History_Log[Meeting Date]=$C$5),ROW(History_Log[Subject])-7),2)),"")</f>
        <v/>
      </c>
    </row>
    <row r="32" ht="26" customHeight="1">
      <c r="B32" s="20">
        <f t="array" ref="B32">IFERROR(INDEX(History_Log[Subject],SMALL(IF((History_Log[Subject]&lt;&gt;"")*(History_Log[Meeting Date]=$C$5),ROW(History_Log[Subject])-7),3)),"")</f>
        <v/>
      </c>
      <c r="C32" s="20">
        <f t="array" ref="C32">IFERROR(INDEX(History_Log[Sub-topic],SMALL(IF((History_Log[Subject]&lt;&gt;"")*(History_Log[Meeting Date]=$C$5),ROW(History_Log[Subject])-7),3)),"")</f>
        <v/>
      </c>
      <c r="D32" s="20">
        <f t="array" ref="D32">IFERROR(INDEX(History_Log[Update / Discussion],SMALL(IF((History_Log[Subject]&lt;&gt;"")*(History_Log[Meeting Date]=$C$5),ROW(History_Log[Subject])-7),3)),"")</f>
        <v/>
      </c>
      <c r="E32" s="20">
        <f t="array" ref="E32">IFERROR(INDEX(History_Log[Decision],SMALL(IF((History_Log[Subject]&lt;&gt;"")*(History_Log[Meeting Date]=$C$5),ROW(History_Log[Subject])-7),3)),"")</f>
        <v/>
      </c>
    </row>
    <row r="33" ht="26" customHeight="1">
      <c r="B33" s="22">
        <f t="array" ref="B33">IFERROR(INDEX(History_Log[Subject],SMALL(IF((History_Log[Subject]&lt;&gt;"")*(History_Log[Meeting Date]=$C$5),ROW(History_Log[Subject])-7),4)),"")</f>
        <v/>
      </c>
      <c r="C33" s="22">
        <f t="array" ref="C33">IFERROR(INDEX(History_Log[Sub-topic],SMALL(IF((History_Log[Subject]&lt;&gt;"")*(History_Log[Meeting Date]=$C$5),ROW(History_Log[Subject])-7),4)),"")</f>
        <v/>
      </c>
      <c r="D33" s="22">
        <f t="array" ref="D33">IFERROR(INDEX(History_Log[Update / Discussion],SMALL(IF((History_Log[Subject]&lt;&gt;"")*(History_Log[Meeting Date]=$C$5),ROW(History_Log[Subject])-7),4)),"")</f>
        <v/>
      </c>
      <c r="E33" s="22">
        <f t="array" ref="E33">IFERROR(INDEX(History_Log[Decision],SMALL(IF((History_Log[Subject]&lt;&gt;"")*(History_Log[Meeting Date]=$C$5),ROW(History_Log[Subject])-7),4)),"")</f>
        <v/>
      </c>
    </row>
    <row r="34" ht="26" customHeight="1">
      <c r="B34" s="20">
        <f t="array" ref="B34">IFERROR(INDEX(History_Log[Subject],SMALL(IF((History_Log[Subject]&lt;&gt;"")*(History_Log[Meeting Date]=$C$5),ROW(History_Log[Subject])-7),5)),"")</f>
        <v/>
      </c>
      <c r="C34" s="20">
        <f t="array" ref="C34">IFERROR(INDEX(History_Log[Sub-topic],SMALL(IF((History_Log[Subject]&lt;&gt;"")*(History_Log[Meeting Date]=$C$5),ROW(History_Log[Subject])-7),5)),"")</f>
        <v/>
      </c>
      <c r="D34" s="20">
        <f t="array" ref="D34">IFERROR(INDEX(History_Log[Update / Discussion],SMALL(IF((History_Log[Subject]&lt;&gt;"")*(History_Log[Meeting Date]=$C$5),ROW(History_Log[Subject])-7),5)),"")</f>
        <v/>
      </c>
      <c r="E34" s="20">
        <f t="array" ref="E34">IFERROR(INDEX(History_Log[Decision],SMALL(IF((History_Log[Subject]&lt;&gt;"")*(History_Log[Meeting Date]=$C$5),ROW(History_Log[Subject])-7),5)),"")</f>
        <v/>
      </c>
    </row>
    <row r="35" ht="26" customHeight="1">
      <c r="B35" s="22">
        <f t="array" ref="B35">IFERROR(INDEX(History_Log[Subject],SMALL(IF((History_Log[Subject]&lt;&gt;"")*(History_Log[Meeting Date]=$C$5),ROW(History_Log[Subject])-7),6)),"")</f>
        <v/>
      </c>
      <c r="C35" s="22">
        <f t="array" ref="C35">IFERROR(INDEX(History_Log[Sub-topic],SMALL(IF((History_Log[Subject]&lt;&gt;"")*(History_Log[Meeting Date]=$C$5),ROW(History_Log[Subject])-7),6)),"")</f>
        <v/>
      </c>
      <c r="D35" s="22">
        <f t="array" ref="D35">IFERROR(INDEX(History_Log[Update / Discussion],SMALL(IF((History_Log[Subject]&lt;&gt;"")*(History_Log[Meeting Date]=$C$5),ROW(History_Log[Subject])-7),6)),"")</f>
        <v/>
      </c>
      <c r="E35" s="22">
        <f t="array" ref="E35">IFERROR(INDEX(History_Log[Decision],SMALL(IF((History_Log[Subject]&lt;&gt;"")*(History_Log[Meeting Date]=$C$5),ROW(History_Log[Subject])-7),6)),"")</f>
        <v/>
      </c>
    </row>
    <row r="36" ht="26" customHeight="1">
      <c r="B36" s="20">
        <f t="array" ref="B36">IFERROR(INDEX(History_Log[Subject],SMALL(IF((History_Log[Subject]&lt;&gt;"")*(History_Log[Meeting Date]=$C$5),ROW(History_Log[Subject])-7),7)),"")</f>
        <v/>
      </c>
      <c r="C36" s="20">
        <f t="array" ref="C36">IFERROR(INDEX(History_Log[Sub-topic],SMALL(IF((History_Log[Subject]&lt;&gt;"")*(History_Log[Meeting Date]=$C$5),ROW(History_Log[Subject])-7),7)),"")</f>
        <v/>
      </c>
      <c r="D36" s="20">
        <f t="array" ref="D36">IFERROR(INDEX(History_Log[Update / Discussion],SMALL(IF((History_Log[Subject]&lt;&gt;"")*(History_Log[Meeting Date]=$C$5),ROW(History_Log[Subject])-7),7)),"")</f>
        <v/>
      </c>
      <c r="E36" s="20">
        <f t="array" ref="E36">IFERROR(INDEX(History_Log[Decision],SMALL(IF((History_Log[Subject]&lt;&gt;"")*(History_Log[Meeting Date]=$C$5),ROW(History_Log[Subject])-7),7)),"")</f>
        <v/>
      </c>
    </row>
    <row r="37" ht="26" customHeight="1">
      <c r="B37" s="22">
        <f t="array" ref="B37">IFERROR(INDEX(History_Log[Subject],SMALL(IF((History_Log[Subject]&lt;&gt;"")*(History_Log[Meeting Date]=$C$5),ROW(History_Log[Subject])-7),8)),"")</f>
        <v/>
      </c>
      <c r="C37" s="22">
        <f t="array" ref="C37">IFERROR(INDEX(History_Log[Sub-topic],SMALL(IF((History_Log[Subject]&lt;&gt;"")*(History_Log[Meeting Date]=$C$5),ROW(History_Log[Subject])-7),8)),"")</f>
        <v/>
      </c>
      <c r="D37" s="22">
        <f t="array" ref="D37">IFERROR(INDEX(History_Log[Update / Discussion],SMALL(IF((History_Log[Subject]&lt;&gt;"")*(History_Log[Meeting Date]=$C$5),ROW(History_Log[Subject])-7),8)),"")</f>
        <v/>
      </c>
      <c r="E37" s="22">
        <f t="array" ref="E37">IFERROR(INDEX(History_Log[Decision],SMALL(IF((History_Log[Subject]&lt;&gt;"")*(History_Log[Meeting Date]=$C$5),ROW(History_Log[Subject])-7),8)),"")</f>
        <v/>
      </c>
    </row>
    <row r="39" ht="22" customHeight="1">
      <c r="B39" s="18" t="inlineStr">
        <is>
          <t>4. OPEN / OVERDUE ACTIONS</t>
        </is>
      </c>
      <c r="C39" s="18" t="n"/>
      <c r="D39" s="18" t="n"/>
      <c r="E39" s="18" t="n"/>
      <c r="F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IFERROR(INDEX(Meeting_Log[Subject],SMALL(IF((Meeting_Log[Subject]&lt;&gt;"")*(Meeting_Log[Status]&lt;&gt;"Closed")*(Meeting_Log[Status]&lt;&gt;"Cancelled")*(Meeting_Log[Due Date]&lt;$C$5),ROW(Meeting_Log[Subject])-7),1)),"")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Action],SMALL(IF((Meeting_Log[Subject]&lt;&gt;"")*(Meeting_Log[Status]&lt;&gt;"Closed")*(Meeting_Log[Status]&lt;&gt;"Cancelled")*(Meeting_Log[Due Date]&lt;$C$5),ROW(Meeting_Log[Subject])-7),1)),"")</f>
        <v/>
      </c>
      <c r="D41" s="20">
        <f t="array" ref="D41">IFERROR(INDEX(Meeting_Log[Owner],SMALL(IF((Meeting_Log[Subject]&lt;&gt;"")*(Meeting_Log[Status]&lt;&gt;"Closed")*(Meeting_Log[Status]&lt;&gt;"Cancelled")*(Meeting_Log[Due Date]&lt;$C$5),ROW(Meeting_Log[Subject])-7),1)),"")</f>
        <v/>
      </c>
      <c r="E41" s="21">
        <f t="array" ref="E41">IFERROR(INDEX(Meeting_Log[Due Date],SMALL(IF((Meeting_Log[Subject]&lt;&gt;"")*(Meeting_Log[Status]&lt;&gt;"Closed")*(Meeting_Log[Status]&lt;&gt;"Cancelled")*(Meeting_Log[Due Date]&lt;$C$5),ROW(Meeting_Log[Subject])-7),1)),"")</f>
        <v/>
      </c>
      <c r="F41" s="20">
        <f t="array" ref="F41">IFERROR(INDEX(Meeting_Log[Status],SMALL(IF((Meeting_Log[Subject]&lt;&gt;"")*(Meeting_Log[Status]&lt;&gt;"Closed")*(Meeting_Log[Status]&lt;&gt;"Cancelled")*(Meeting_Log[Due Date]&lt;$C$5),ROW(Meeting_Log[Subject])-7),1)),"")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IFERROR(INDEX(Meeting_Log[Subject],SMALL(IF((Meeting_Log[Subject]&lt;&gt;"")*(Meeting_Log[Status]&lt;&gt;"Closed")*(Meeting_Log[Status]&lt;&gt;"Cancelled")*(Meeting_Log[Due Date]&lt;$C$5),ROW(Meeting_Log[Subject])-7),2)),"")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Action],SMALL(IF((Meeting_Log[Subject]&lt;&gt;"")*(Meeting_Log[Status]&lt;&gt;"Closed")*(Meeting_Log[Status]&lt;&gt;"Cancelled")*(Meeting_Log[Due Date]&lt;$C$5),ROW(Meeting_Log[Subject])-7),2)),"")</f>
        <v/>
      </c>
      <c r="D42" s="22">
        <f t="array" ref="D42">IFERROR(INDEX(Meeting_Log[Owner],SMALL(IF((Meeting_Log[Subject]&lt;&gt;"")*(Meeting_Log[Status]&lt;&gt;"Closed")*(Meeting_Log[Status]&lt;&gt;"Cancelled")*(Meeting_Log[Due Date]&lt;$C$5),ROW(Meeting_Log[Subject])-7),2)),"")</f>
        <v/>
      </c>
      <c r="E42" s="23">
        <f t="array" ref="E42">IFERROR(INDEX(Meeting_Log[Due Date],SMALL(IF((Meeting_Log[Subject]&lt;&gt;"")*(Meeting_Log[Status]&lt;&gt;"Closed")*(Meeting_Log[Status]&lt;&gt;"Cancelled")*(Meeting_Log[Due Date]&lt;$C$5),ROW(Meeting_Log[Subject])-7),2)),"")</f>
        <v/>
      </c>
      <c r="F42" s="22">
        <f t="array" ref="F42">IFERROR(INDEX(Meeting_Log[Status],SMALL(IF((Meeting_Log[Subject]&lt;&gt;"")*(Meeting_Log[Status]&lt;&gt;"Closed")*(Meeting_Log[Status]&lt;&gt;"Cancelled")*(Meeting_Log[Due Date]&lt;$C$5),ROW(Meeting_Log[Subject])-7),2)),"")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IFERROR(INDEX(Meeting_Log[Subject],SMALL(IF((Meeting_Log[Subject]&lt;&gt;"")*(Meeting_Log[Status]&lt;&gt;"Closed")*(Meeting_Log[Status]&lt;&gt;"Cancelled")*(Meeting_Log[Due Date]&lt;$C$5),ROW(Meeting_Log[Subject])-7),3)),"")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Action],SMALL(IF((Meeting_Log[Subject]&lt;&gt;"")*(Meeting_Log[Status]&lt;&gt;"Closed")*(Meeting_Log[Status]&lt;&gt;"Cancelled")*(Meeting_Log[Due Date]&lt;$C$5),ROW(Meeting_Log[Subject])-7),3)),"")</f>
        <v/>
      </c>
      <c r="D43" s="20">
        <f t="array" ref="D43">IFERROR(INDEX(Meeting_Log[Owner],SMALL(IF((Meeting_Log[Subject]&lt;&gt;"")*(Meeting_Log[Status]&lt;&gt;"Closed")*(Meeting_Log[Status]&lt;&gt;"Cancelled")*(Meeting_Log[Due Date]&lt;$C$5),ROW(Meeting_Log[Subject])-7),3)),"")</f>
        <v/>
      </c>
      <c r="E43" s="21">
        <f t="array" ref="E43">IFERROR(INDEX(Meeting_Log[Due Date],SMALL(IF((Meeting_Log[Subject]&lt;&gt;"")*(Meeting_Log[Status]&lt;&gt;"Closed")*(Meeting_Log[Status]&lt;&gt;"Cancelled")*(Meeting_Log[Due Date]&lt;$C$5),ROW(Meeting_Log[Subject])-7),3)),"")</f>
        <v/>
      </c>
      <c r="F43" s="20">
        <f t="array" ref="F43">IFERROR(INDEX(Meeting_Log[Status],SMALL(IF((Meeting_Log[Subject]&lt;&gt;"")*(Meeting_Log[Status]&lt;&gt;"Closed")*(Meeting_Log[Status]&lt;&gt;"Cancelled")*(Meeting_Log[Due Date]&lt;$C$5),ROW(Meeting_Log[Subject])-7),3)),"")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IFERROR(INDEX(Meeting_Log[Subject],SMALL(IF((Meeting_Log[Subject]&lt;&gt;"")*(Meeting_Log[Status]&lt;&gt;"Closed")*(Meeting_Log[Status]&lt;&gt;"Cancelled")*(Meeting_Log[Due Date]&lt;$C$5),ROW(Meeting_Log[Subject])-7),4)),"")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Action],SMALL(IF((Meeting_Log[Subject]&lt;&gt;"")*(Meeting_Log[Status]&lt;&gt;"Closed")*(Meeting_Log[Status]&lt;&gt;"Cancelled")*(Meeting_Log[Due Date]&lt;$C$5),ROW(Meeting_Log[Subject])-7),4)),"")</f>
        <v/>
      </c>
      <c r="D44" s="22">
        <f t="array" ref="D44">IFERROR(INDEX(Meeting_Log[Owner],SMALL(IF((Meeting_Log[Subject]&lt;&gt;"")*(Meeting_Log[Status]&lt;&gt;"Closed")*(Meeting_Log[Status]&lt;&gt;"Cancelled")*(Meeting_Log[Due Date]&lt;$C$5),ROW(Meeting_Log[Subject])-7),4)),"")</f>
        <v/>
      </c>
      <c r="E44" s="23">
        <f t="array" ref="E44">IFERROR(INDEX(Meeting_Log[Due Date],SMALL(IF((Meeting_Log[Subject]&lt;&gt;"")*(Meeting_Log[Status]&lt;&gt;"Closed")*(Meeting_Log[Status]&lt;&gt;"Cancelled")*(Meeting_Log[Due Date]&lt;$C$5),ROW(Meeting_Log[Subject])-7),4)),"")</f>
        <v/>
      </c>
      <c r="F44" s="22">
        <f t="array" ref="F44">IFERROR(INDEX(Meeting_Log[Status],SMALL(IF((Meeting_Log[Subject]&lt;&gt;"")*(Meeting_Log[Status]&lt;&gt;"Closed")*(Meeting_Log[Status]&lt;&gt;"Cancelled")*(Meeting_Log[Due Date]&lt;$C$5),ROW(Meeting_Log[Subject])-7),4)),"")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IFERROR(INDEX(Meeting_Log[Subject],SMALL(IF((Meeting_Log[Subject]&lt;&gt;"")*(Meeting_Log[Status]&lt;&gt;"Closed")*(Meeting_Log[Status]&lt;&gt;"Cancelled")*(Meeting_Log[Due Date]&lt;$C$5),ROW(Meeting_Log[Subject])-7),5)),"")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Action],SMALL(IF((Meeting_Log[Subject]&lt;&gt;"")*(Meeting_Log[Status]&lt;&gt;"Closed")*(Meeting_Log[Status]&lt;&gt;"Cancelled")*(Meeting_Log[Due Date]&lt;$C$5),ROW(Meeting_Log[Subject])-7),5)),"")</f>
        <v/>
      </c>
      <c r="D45" s="20">
        <f t="array" ref="D45">IFERROR(INDEX(Meeting_Log[Owner],SMALL(IF((Meeting_Log[Subject]&lt;&gt;"")*(Meeting_Log[Status]&lt;&gt;"Closed")*(Meeting_Log[Status]&lt;&gt;"Cancelled")*(Meeting_Log[Due Date]&lt;$C$5),ROW(Meeting_Log[Subject])-7),5)),"")</f>
        <v/>
      </c>
      <c r="E45" s="21">
        <f t="array" ref="E45">IFERROR(INDEX(Meeting_Log[Due Date],SMALL(IF((Meeting_Log[Subject]&lt;&gt;"")*(Meeting_Log[Status]&lt;&gt;"Closed")*(Meeting_Log[Status]&lt;&gt;"Cancelled")*(Meeting_Log[Due Date]&lt;$C$5),ROW(Meeting_Log[Subject])-7),5)),"")</f>
        <v/>
      </c>
      <c r="F45" s="20">
        <f t="array" ref="F45">IFERROR(INDEX(Meeting_Log[Status],SMALL(IF((Meeting_Log[Subject]&lt;&gt;"")*(Meeting_Log[Status]&lt;&gt;"Closed")*(Meeting_Log[Status]&lt;&gt;"Cancelled")*(Meeting_Log[Due Date]&lt;$C$5),ROW(Meeting_Log[Subject])-7),5)),"")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IFERROR(INDEX(Meeting_Log[Subject],SMALL(IF((Meeting_Log[Subject]&lt;&gt;"")*(Meeting_Log[Status]&lt;&gt;"Closed")*(Meeting_Log[Status]&lt;&gt;"Cancelled")*(Meeting_Log[Due Date]&lt;$C$5),ROW(Meeting_Log[Subject])-7),6)),"")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Action],SMALL(IF((Meeting_Log[Subject]&lt;&gt;"")*(Meeting_Log[Status]&lt;&gt;"Closed")*(Meeting_Log[Status]&lt;&gt;"Cancelled")*(Meeting_Log[Due Date]&lt;$C$5),ROW(Meeting_Log[Subject])-7),6)),"")</f>
        <v/>
      </c>
      <c r="D46" s="22">
        <f t="array" ref="D46">IFERROR(INDEX(Meeting_Log[Owner],SMALL(IF((Meeting_Log[Subject]&lt;&gt;"")*(Meeting_Log[Status]&lt;&gt;"Closed")*(Meeting_Log[Status]&lt;&gt;"Cancelled")*(Meeting_Log[Due Date]&lt;$C$5),ROW(Meeting_Log[Subject])-7),6)),"")</f>
        <v/>
      </c>
      <c r="E46" s="23">
        <f t="array" ref="E46">IFERROR(INDEX(Meeting_Log[Due Date],SMALL(IF((Meeting_Log[Subject]&lt;&gt;"")*(Meeting_Log[Status]&lt;&gt;"Closed")*(Meeting_Log[Status]&lt;&gt;"Cancelled")*(Meeting_Log[Due Date]&lt;$C$5),ROW(Meeting_Log[Subject])-7),6)),"")</f>
        <v/>
      </c>
      <c r="F46" s="22">
        <f t="array" ref="F46">IFERROR(INDEX(Meeting_Log[Status],SMALL(IF((Meeting_Log[Subject]&lt;&gt;"")*(Meeting_Log[Status]&lt;&gt;"Closed")*(Meeting_Log[Status]&lt;&gt;"Cancelled")*(Meeting_Log[Due Date]&lt;$C$5),ROW(Meeting_Log[Subject])-7),6)),"")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IFERROR(INDEX(Meeting_Log[Subject],SMALL(IF((Meeting_Log[Subject]&lt;&gt;"")*(Meeting_Log[Status]&lt;&gt;"Closed")*(Meeting_Log[Status]&lt;&gt;"Cancelled")*(Meeting_Log[Due Date]&lt;$C$5),ROW(Meeting_Log[Subject])-7),7)),"")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Action],SMALL(IF((Meeting_Log[Subject]&lt;&gt;"")*(Meeting_Log[Status]&lt;&gt;"Closed")*(Meeting_Log[Status]&lt;&gt;"Cancelled")*(Meeting_Log[Due Date]&lt;$C$5),ROW(Meeting_Log[Subject])-7),7)),"")</f>
        <v/>
      </c>
      <c r="D47" s="20">
        <f t="array" ref="D47">IFERROR(INDEX(Meeting_Log[Owner],SMALL(IF((Meeting_Log[Subject]&lt;&gt;"")*(Meeting_Log[Status]&lt;&gt;"Closed")*(Meeting_Log[Status]&lt;&gt;"Cancelled")*(Meeting_Log[Due Date]&lt;$C$5),ROW(Meeting_Log[Subject])-7),7)),"")</f>
        <v/>
      </c>
      <c r="E47" s="21">
        <f t="array" ref="E47">IFERROR(INDEX(Meeting_Log[Due Date],SMALL(IF((Meeting_Log[Subject]&lt;&gt;"")*(Meeting_Log[Status]&lt;&gt;"Closed")*(Meeting_Log[Status]&lt;&gt;"Cancelled")*(Meeting_Log[Due Date]&lt;$C$5),ROW(Meeting_Log[Subject])-7),7)),"")</f>
        <v/>
      </c>
      <c r="F47" s="20">
        <f t="array" ref="F47">IFERROR(INDEX(Meeting_Log[Status],SMALL(IF((Meeting_Log[Subject]&lt;&gt;"")*(Meeting_Log[Status]&lt;&gt;"Closed")*(Meeting_Log[Status]&lt;&gt;"Cancelled")*(Meeting_Log[Due Date]&lt;$C$5),ROW(Meeting_Log[Subject])-7),7)),"")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IFERROR(INDEX(Meeting_Log[Subject],SMALL(IF((Meeting_Log[Subject]&lt;&gt;"")*(Meeting_Log[Status]&lt;&gt;"Closed")*(Meeting_Log[Status]&lt;&gt;"Cancelled")*(Meeting_Log[Due Date]&lt;$C$5),ROW(Meeting_Log[Subject])-7),8)),"")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Action],SMALL(IF((Meeting_Log[Subject]&lt;&gt;"")*(Meeting_Log[Status]&lt;&gt;"Closed")*(Meeting_Log[Status]&lt;&gt;"Cancelled")*(Meeting_Log[Due Date]&lt;$C$5),ROW(Meeting_Log[Subject])-7),8)),"")</f>
        <v/>
      </c>
      <c r="D48" s="22">
        <f t="array" ref="D48">IFERROR(INDEX(Meeting_Log[Owner],SMALL(IF((Meeting_Log[Subject]&lt;&gt;"")*(Meeting_Log[Status]&lt;&gt;"Closed")*(Meeting_Log[Status]&lt;&gt;"Cancelled")*(Meeting_Log[Due Date]&lt;$C$5),ROW(Meeting_Log[Subject])-7),8)),"")</f>
        <v/>
      </c>
      <c r="E48" s="23">
        <f t="array" ref="E48">IFERROR(INDEX(Meeting_Log[Due Date],SMALL(IF((Meeting_Log[Subject]&lt;&gt;"")*(Meeting_Log[Status]&lt;&gt;"Closed")*(Meeting_Log[Status]&lt;&gt;"Cancelled")*(Meeting_Log[Due Date]&lt;$C$5),ROW(Meeting_Log[Subject])-7),8)),"")</f>
        <v/>
      </c>
      <c r="F48" s="22">
        <f t="array" ref="F48">IFERROR(INDEX(Meeting_Log[Status],SMALL(IF((Meeting_Log[Subject]&lt;&gt;"")*(Meeting_Log[Status]&lt;&gt;"Closed")*(Meeting_Log[Status]&lt;&gt;"Cancelled")*(Meeting_Log[Due Date]&lt;$C$5),ROW(Meeting_Log[Subject])-7),8)),"")</f>
        <v/>
      </c>
    </row>
    <row r="50">
      <c r="B50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">
    <mergeCell ref="C6:H6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F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History</t>
        </is>
      </c>
      <c r="E1" s="2" t="inlineStr">
        <is>
          <t>Meeting Report</t>
        </is>
      </c>
      <c r="F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16" customHeight="1">
      <c r="B3" s="4" t="inlineStr">
        <is>
          <t>Dropdown values used on Meeting Log. Add or remove values here - every dropdown updates automatically. No formulas here need to change.</t>
        </is>
      </c>
    </row>
    <row r="5" ht="22" customHeight="1">
      <c r="B5" s="28" t="inlineStr">
        <is>
          <t>Subject</t>
        </is>
      </c>
      <c r="C5" s="28" t="inlineStr">
        <is>
          <t>Sub-topic</t>
        </is>
      </c>
      <c r="D5" s="28" t="inlineStr">
        <is>
          <t>Status</t>
        </is>
      </c>
      <c r="E5" s="28" t="inlineStr">
        <is>
          <t>Priority</t>
        </is>
      </c>
      <c r="F5" s="28" t="inlineStr">
        <is>
          <t>Meeting Type</t>
        </is>
      </c>
    </row>
    <row r="6">
      <c r="B6" s="29" t="inlineStr">
        <is>
          <t>Commissioning Planning</t>
        </is>
      </c>
      <c r="C6" s="29" t="inlineStr">
        <is>
          <t>Planning</t>
        </is>
      </c>
      <c r="D6" s="29" t="inlineStr">
        <is>
          <t>Open</t>
        </is>
      </c>
      <c r="E6" s="29" t="inlineStr">
        <is>
          <t>Low</t>
        </is>
      </c>
      <c r="F6" s="29" t="inlineStr">
        <is>
          <t>Weekly</t>
        </is>
      </c>
    </row>
    <row r="7">
      <c r="B7" s="30" t="inlineStr">
        <is>
          <t>Site / Field Activities</t>
        </is>
      </c>
      <c r="C7" s="30" t="inlineStr">
        <is>
          <t>Progress</t>
        </is>
      </c>
      <c r="D7" s="30" t="inlineStr">
        <is>
          <t>In Progress</t>
        </is>
      </c>
      <c r="E7" s="30" t="inlineStr">
        <is>
          <t>Medium</t>
        </is>
      </c>
      <c r="F7" s="30" t="inlineStr">
        <is>
          <t>Monthly</t>
        </is>
      </c>
    </row>
    <row r="8">
      <c r="B8" s="29" t="inlineStr">
        <is>
          <t>Documentation</t>
        </is>
      </c>
      <c r="C8" s="29" t="inlineStr">
        <is>
          <t>Preparation</t>
        </is>
      </c>
      <c r="D8" s="29" t="inlineStr">
        <is>
          <t>Closed</t>
        </is>
      </c>
      <c r="E8" s="29" t="inlineStr">
        <is>
          <t>High</t>
        </is>
      </c>
      <c r="F8" s="29" t="inlineStr">
        <is>
          <t>Ad hoc</t>
        </is>
      </c>
    </row>
    <row r="9">
      <c r="B9" s="30" t="inlineStr">
        <is>
          <t>Testing / Results</t>
        </is>
      </c>
      <c r="C9" s="30" t="inlineStr">
        <is>
          <t>Execution</t>
        </is>
      </c>
      <c r="D9" s="30" t="inlineStr">
        <is>
          <t>On Hold</t>
        </is>
      </c>
      <c r="E9" s="30" t="inlineStr">
        <is>
          <t>Critical</t>
        </is>
      </c>
    </row>
    <row r="10">
      <c r="B10" s="29" t="inlineStr">
        <is>
          <t>Interfaces</t>
        </is>
      </c>
      <c r="C10" s="29" t="inlineStr">
        <is>
          <t>Testing</t>
        </is>
      </c>
      <c r="D10" s="29" t="inlineStr">
        <is>
          <t>Cancelled</t>
        </is>
      </c>
    </row>
    <row r="11">
      <c r="B11" s="30" t="inlineStr">
        <is>
          <t>Engineering</t>
        </is>
      </c>
      <c r="C11" s="30" t="inlineStr">
        <is>
          <t>Punch List</t>
        </is>
      </c>
    </row>
    <row r="12">
      <c r="B12" s="29" t="inlineStr">
        <is>
          <t>Quality</t>
        </is>
      </c>
      <c r="C12" s="29" t="inlineStr">
        <is>
          <t>Documentation</t>
        </is>
      </c>
    </row>
    <row r="13">
      <c r="B13" s="30" t="inlineStr">
        <is>
          <t>Safety</t>
        </is>
      </c>
      <c r="C13" s="30" t="inlineStr">
        <is>
          <t>NCR / Quality</t>
        </is>
      </c>
    </row>
    <row r="14">
      <c r="B14" s="29" t="inlineStr">
        <is>
          <t>Resources / Manpower</t>
        </is>
      </c>
      <c r="C14" s="29" t="inlineStr">
        <is>
          <t>Design / Engineering</t>
        </is>
      </c>
    </row>
    <row r="15">
      <c r="B15" s="30" t="inlineStr">
        <is>
          <t>Schedule</t>
        </is>
      </c>
      <c r="C15" s="30" t="inlineStr">
        <is>
          <t>Interface</t>
        </is>
      </c>
    </row>
    <row r="16">
      <c r="B16" s="29" t="inlineStr">
        <is>
          <t>Other</t>
        </is>
      </c>
      <c r="C16" s="29" t="inlineStr">
        <is>
          <t>Resource</t>
        </is>
      </c>
    </row>
    <row r="17">
      <c r="C17" s="30" t="inlineStr">
        <is>
          <t>Schedule</t>
        </is>
      </c>
    </row>
    <row r="18">
      <c r="C18" s="29" t="inlineStr">
        <is>
          <t>Risk / Issue</t>
        </is>
      </c>
    </row>
    <row r="19">
      <c r="C19" s="30" t="inlineStr">
        <is>
          <t>Decision</t>
        </is>
      </c>
    </row>
    <row r="20">
      <c r="C20" s="29" t="inlineStr">
        <is>
          <t>Other</t>
        </is>
      </c>
    </row>
    <row r="22">
      <c r="B2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2026-09-28T10:59:34Z</dcterms:created>
  <dcterms:modified xsi:type="dcterms:W3CDTF">2026-09-28T10:59:34Z</dcterms:modified>
</cp:coreProperties>
</file>