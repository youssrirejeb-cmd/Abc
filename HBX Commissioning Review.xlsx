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eting Log" sheetId="2" state="visible" r:id="rId2"/>
    <sheet name="Meeting Report" sheetId="3" state="visible" r:id="rId3"/>
    <sheet name="Lists &amp; Config" sheetId="4" state="visible" r:id="rId4"/>
  </sheets>
  <definedNames>
    <definedName name="LIST_SUBJECT">'Lists &amp; Config'!$B$6:$B$16</definedName>
    <definedName name="LIST_SUBTOPIC">'Lists &amp; Config'!$C$6:$C$20</definedName>
    <definedName name="LIST_OWNER">'Lists &amp; Config'!$D$6:$D$14</definedName>
    <definedName name="LIST_STATUS">'Lists &amp; Config'!$E$6:$E$10</definedName>
    <definedName name="LIST_PRIORITY">'Lists &amp; Config'!$F$6:$F$9</definedName>
    <definedName name="LIST_MEETING_TYPE">'Lists &amp; Config'!$G$6:$G$8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2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i val="1"/>
      <color rgb="00808080"/>
      <sz val="9"/>
    </font>
    <font>
      <name val="Arial"/>
      <b val="1"/>
      <color rgb="0044546A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1E7B34"/>
      <sz val="20"/>
    </font>
    <font>
      <name val="Arial"/>
      <b val="1"/>
      <color rgb="009C6500"/>
      <sz val="20"/>
    </font>
    <font>
      <name val="Arial"/>
      <b val="1"/>
      <color rgb="005B7FB5"/>
      <sz val="20"/>
    </font>
    <font>
      <name val="Arial"/>
      <b val="1"/>
      <color rgb="001F3864"/>
      <sz val="13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1" fillId="0" borderId="0" pivotButton="0" quotePrefix="0" xfId="0"/>
    <xf numFmtId="165" fontId="9" fillId="6" borderId="1" pivotButton="0" quotePrefix="0" xfId="0"/>
    <xf numFmtId="1" fontId="12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4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1" fontId="17" fillId="0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9" fillId="7" borderId="1" pivotButton="0" quotePrefix="0" xfId="0"/>
    <xf numFmtId="0" fontId="20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165" fontId="6" fillId="8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0" fillId="5" borderId="1" pivotButton="0" quotePrefix="0" xfId="0"/>
    <xf numFmtId="165" fontId="21" fillId="0" borderId="1" pivotButton="0" quotePrefix="0" xfId="0"/>
    <xf numFmtId="0" fontId="21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B00020"/>
      </font>
      <fill>
        <patternFill patternType="solid">
          <fgColor rgb="00FBE4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ttendees_Log" displayName="Attendees_Log" ref="B14:C15" headerRowCount="1">
  <autoFilter ref="B14:C15"/>
  <tableColumns count="2">
    <tableColumn id="2" name="Meeting Date"/>
    <tableColumn id="3" name="Attende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eting_Log" displayName="Meeting_Log" ref="B7:O10" headerRowCount="1">
  <autoFilter ref="B7:O10"/>
  <tableColumns count="14">
    <tableColumn id="2" name="Meeting ID"/>
    <tableColumn id="3" name="Meeting Date"/>
    <tableColumn id="4" name="Meeting Type"/>
    <tableColumn id="5" name="Subject"/>
    <tableColumn id="6" name="Sub-topic"/>
    <tableColumn id="7" name="Owner"/>
    <tableColumn id="8" name="Discussion / Notes"/>
    <tableColumn id="9" name="Agreed Action"/>
    <tableColumn id="10" name="Due Date"/>
    <tableColumn id="11" name="Status"/>
    <tableColumn id="12" name="Priority"/>
    <tableColumn id="13" name="Follow-up / Update"/>
    <tableColumn id="14" name="Topic Key"/>
    <tableColumn id="15" name="Overdue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Relationship Type="http://schemas.openxmlformats.org/officeDocument/2006/relationships/table" Target="/xl/tables/table1.xm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Relationship Type="http://schemas.openxmlformats.org/officeDocument/2006/relationships/table" Target="/xl/tables/table2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4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Meeting Log</t>
        </is>
      </c>
      <c r="D1" s="2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16" customHeight="1">
      <c r="B3" s="4" t="inlineStr">
        <is>
          <t>Open this before a meeting: pick the meeting date below and everything updates automatically from Meeting Log.</t>
        </is>
      </c>
    </row>
    <row r="5">
      <c r="B5" s="5" t="inlineStr">
        <is>
          <t>Current Meeting Date:</t>
        </is>
      </c>
      <c r="C5" s="6" t="n">
        <v>46296</v>
      </c>
    </row>
    <row r="8">
      <c r="B8" s="7">
        <f>SUMPRODUCT((Meeting_Log[Topic Key]&lt;&gt;"")*(Meeting_Log[Meeting Date]&lt;=$C$5)*(Meeting_Log[Meeting Date]=_xlfn.MAXIFS(Meeting_Log[Meeting Date],Meeting_Log[Topic Key],Meeting_Log[Topic Key],Meeting_Log[Meeting Date],"&lt;="&amp;$C$5)))</f>
        <v/>
      </c>
      <c r="C8" s="8" t="n"/>
      <c r="E8" s="7">
        <f>SUMPRODUCT((Meeting_Log[Topic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Date],"&lt;="&amp;$C$5))*(Meeting_Log[Status]&lt;&gt;"Closed")*(Meeting_Log[Status]&lt;&gt;"Cancelled"))</f>
        <v/>
      </c>
      <c r="F8" s="8" t="n"/>
      <c r="H8" s="9">
        <f>SUMPRODUCT((Meeting_Log[Topic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Date],"&lt;="&amp;$C$5))*(Meeting_Log[Status]&lt;&gt;"Closed")*(Meeting_Log[Status]&lt;&gt;"Cancelled")*(Meeting_Log[Overdue?]="Yes"))</f>
        <v/>
      </c>
      <c r="I8" s="8" t="n"/>
      <c r="K8" s="10">
        <f>SUMPRODUCT((Meeting_Log[Topic Key]&lt;&gt;"")*(Meeting_Log[Meeting Date]&lt;=$C$5)*(Meeting_Log[Meeting Date]=_xlfn.MAXIFS(Meeting_Log[Meeting Date],Meeting_Log[Topic Key],Meeting_Log[Topic Key],Meeting_Log[Meeting Date],"&lt;="&amp;$C$5))*(Meeting_Log[Status]="Closed"))</f>
        <v/>
      </c>
      <c r="L8" s="8" t="n"/>
      <c r="N8" s="11">
        <f>SUMPRODUCT((Meeting_Log[Topic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Date],"&lt;"&amp;$C$5))*(Meeting_Log[Status]&lt;&gt;"Closed")*(Meeting_Log[Status]&lt;&gt;"Cancelled"))</f>
        <v/>
      </c>
      <c r="O8" s="8" t="n"/>
      <c r="Q8" s="12">
        <f>SUMPRODUCT((Meeting_Log[Topic Key]&lt;&gt;"")*(Meeting_Log[Meeting Date]=$C$5)*(COUNTIFS(Meeting_Log[Topic Key],Meeting_Log[Topic Key],Meeting_Log[Meeting Date],"&lt;"&amp;$C$5)=0))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Subjects</t>
        </is>
      </c>
      <c r="E11" s="13" t="inlineStr">
        <is>
          <t>Open Actions</t>
        </is>
      </c>
      <c r="H11" s="13" t="inlineStr">
        <is>
          <t>Overdue Actions</t>
        </is>
      </c>
      <c r="K11" s="13" t="inlineStr">
        <is>
          <t>Closed</t>
        </is>
      </c>
      <c r="N11" s="13" t="inlineStr">
        <is>
          <t>Carried Over from Previous Meeting</t>
        </is>
      </c>
      <c r="Q11" s="13" t="inlineStr">
        <is>
          <t>New Topics This Meeting</t>
        </is>
      </c>
    </row>
    <row r="13">
      <c r="B13" s="14" t="inlineStr">
        <is>
          <t>Attendees</t>
        </is>
      </c>
    </row>
    <row r="14" ht="26" customHeight="1">
      <c r="B14" s="15" t="inlineStr">
        <is>
          <t>Meeting Date</t>
        </is>
      </c>
      <c r="C14" s="15" t="inlineStr">
        <is>
          <t>Attendees</t>
        </is>
      </c>
    </row>
    <row r="15" ht="30" customHeight="1">
      <c r="B15" s="16" t="n">
        <v>46296</v>
      </c>
      <c r="C15" s="17" t="inlineStr">
        <is>
          <t>Person A, Person B, Contractor A representative</t>
        </is>
      </c>
    </row>
    <row r="17" ht="22" customHeight="1">
      <c r="B17" s="18" t="inlineStr">
        <is>
          <t>1. FOLLOW-UP FROM PREVIOUS MEETING</t>
        </is>
      </c>
      <c r="C17" s="18" t="n"/>
      <c r="D17" s="18" t="n"/>
      <c r="E17" s="18" t="n"/>
      <c r="F17" s="18" t="n"/>
      <c r="G17" s="18" t="n"/>
      <c r="H17" s="18" t="n"/>
    </row>
    <row r="18">
      <c r="B18" s="19" t="inlineStr">
        <is>
          <t>Subject</t>
        </is>
      </c>
      <c r="C18" s="19" t="inlineStr">
        <is>
          <t>Sub-topic</t>
        </is>
      </c>
      <c r="D18" s="19" t="inlineStr">
        <is>
          <t>Previous Discussion</t>
        </is>
      </c>
      <c r="E18" s="19" t="inlineStr">
        <is>
          <t>Previous Action</t>
        </is>
      </c>
      <c r="F18" s="19" t="inlineStr">
        <is>
          <t>Owner</t>
        </is>
      </c>
      <c r="G18" s="19" t="inlineStr">
        <is>
          <t>Previous Due Date</t>
        </is>
      </c>
      <c r="H18" s="19" t="inlineStr">
        <is>
          <t>Previous Status</t>
        </is>
      </c>
    </row>
    <row r="19" ht="26" customHeight="1">
      <c r="B19" s="20">
        <f t="array" ref="B19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C19" s="20">
        <f t="array" ref="C19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D19" s="20">
        <f t="array" ref="D19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E19" s="20">
        <f t="array" ref="E19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F19" s="20">
        <f t="array" ref="F19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G19" s="21">
        <f t="array" ref="G19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H19" s="20">
        <f t="array" ref="H19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</row>
    <row r="20" ht="26" customHeight="1">
      <c r="B20" s="22">
        <f t="array" ref="B20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C20" s="22">
        <f t="array" ref="C20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D20" s="22">
        <f t="array" ref="D20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E20" s="22">
        <f t="array" ref="E20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F20" s="22">
        <f t="array" ref="F20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G20" s="23">
        <f t="array" ref="G20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H20" s="22">
        <f t="array" ref="H20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</row>
    <row r="21" ht="26" customHeight="1">
      <c r="B21" s="20">
        <f t="array" ref="B21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C21" s="20">
        <f t="array" ref="C21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D21" s="20">
        <f t="array" ref="D21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E21" s="20">
        <f t="array" ref="E21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F21" s="20">
        <f t="array" ref="F21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G21" s="21">
        <f t="array" ref="G21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H21" s="20">
        <f t="array" ref="H21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</row>
    <row r="22" ht="26" customHeight="1">
      <c r="B22" s="22">
        <f t="array" ref="B22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C22" s="22">
        <f t="array" ref="C22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D22" s="22">
        <f t="array" ref="D22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E22" s="22">
        <f t="array" ref="E22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F22" s="22">
        <f t="array" ref="F22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G22" s="23">
        <f t="array" ref="G22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H22" s="22">
        <f t="array" ref="H22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</row>
    <row r="23" ht="26" customHeight="1">
      <c r="B23" s="20">
        <f t="array" ref="B23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C23" s="20">
        <f t="array" ref="C23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D23" s="20">
        <f t="array" ref="D23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E23" s="20">
        <f t="array" ref="E23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F23" s="20">
        <f t="array" ref="F23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G23" s="21">
        <f t="array" ref="G23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H23" s="20">
        <f t="array" ref="H23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</row>
    <row r="24" ht="26" customHeight="1">
      <c r="B24" s="22">
        <f t="array" ref="B24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C24" s="22">
        <f t="array" ref="C24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D24" s="22">
        <f t="array" ref="D24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E24" s="22">
        <f t="array" ref="E24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F24" s="22">
        <f t="array" ref="F24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G24" s="23">
        <f t="array" ref="G24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H24" s="22">
        <f t="array" ref="H24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</row>
    <row r="25" ht="26" customHeight="1">
      <c r="B25" s="20">
        <f t="array" ref="B25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C25" s="20">
        <f t="array" ref="C25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D25" s="20">
        <f t="array" ref="D25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E25" s="20">
        <f t="array" ref="E25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F25" s="20">
        <f t="array" ref="F25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G25" s="21">
        <f t="array" ref="G25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H25" s="20">
        <f t="array" ref="H25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</row>
    <row r="26" ht="26" customHeight="1">
      <c r="B26" s="22">
        <f t="array" ref="B26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C26" s="22">
        <f t="array" ref="C26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D26" s="22">
        <f t="array" ref="D26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E26" s="22">
        <f t="array" ref="E26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F26" s="22">
        <f t="array" ref="F26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G26" s="23">
        <f t="array" ref="G26">IFERROR(INDEX(Meeting_Log[Due Date],SMALL(IF((Meeting_Log[Topic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H26" s="22">
        <f t="array" ref="H26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</row>
    <row r="28" ht="22" customHeight="1">
      <c r="B28" s="18" t="inlineStr">
        <is>
          <t>2. NEW TOPICS</t>
        </is>
      </c>
      <c r="C28" s="18" t="n"/>
      <c r="D28" s="18" t="n"/>
      <c r="E28" s="18" t="n"/>
      <c r="F28" s="18" t="n"/>
      <c r="G28" s="18" t="n"/>
      <c r="H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</t>
        </is>
      </c>
      <c r="E29" s="19" t="inlineStr">
        <is>
          <t>Action</t>
        </is>
      </c>
      <c r="F29" s="19" t="inlineStr">
        <is>
          <t>Owner</t>
        </is>
      </c>
      <c r="G29" s="19" t="inlineStr">
        <is>
          <t>Due Date</t>
        </is>
      </c>
      <c r="H29" s="19" t="inlineStr">
        <is>
          <t>Status</t>
        </is>
      </c>
    </row>
    <row r="30" ht="26" customHeight="1">
      <c r="B30" s="20">
        <f t="array" ref="B30">IFERROR(INDEX(Meeting_Log[Subject],SMALL(IF((Meeting_Log[Topic Key]&lt;&gt;"")*(Meeting_Log[Meeting Date]=$C$5)*(COUNTIFS(Meeting_Log[Topic Key],Meeting_Log[Topic Key],Meeting_Log[Meeting Date],"&lt;"&amp;$C$5)=0),ROW(Meeting_Log[Topic Key])-7),1)),"")</f>
        <v/>
      </c>
      <c r="C30" s="20">
        <f t="array" ref="C30">IFERROR(INDEX(Meeting_Log[Sub-topic],SMALL(IF((Meeting_Log[Topic Key]&lt;&gt;"")*(Meeting_Log[Meeting Date]=$C$5)*(COUNTIFS(Meeting_Log[Topic Key],Meeting_Log[Topic Key],Meeting_Log[Meeting Date],"&lt;"&amp;$C$5)=0),ROW(Meeting_Log[Topic Key])-7),1)),"")</f>
        <v/>
      </c>
      <c r="D30" s="20">
        <f t="array" ref="D30">IFERROR(INDEX(Meeting_Log[Discussion / Notes],SMALL(IF((Meeting_Log[Topic Key]&lt;&gt;"")*(Meeting_Log[Meeting Date]=$C$5)*(COUNTIFS(Meeting_Log[Topic Key],Meeting_Log[Topic Key],Meeting_Log[Meeting Date],"&lt;"&amp;$C$5)=0),ROW(Meeting_Log[Topic Key])-7),1)),"")</f>
        <v/>
      </c>
      <c r="E30" s="20">
        <f t="array" ref="E30">IFERROR(INDEX(Meeting_Log[Agreed Action],SMALL(IF((Meeting_Log[Topic Key]&lt;&gt;"")*(Meeting_Log[Meeting Date]=$C$5)*(COUNTIFS(Meeting_Log[Topic Key],Meeting_Log[Topic Key],Meeting_Log[Meeting Date],"&lt;"&amp;$C$5)=0),ROW(Meeting_Log[Topic Key])-7),1)),"")</f>
        <v/>
      </c>
      <c r="F30" s="20">
        <f t="array" ref="F30">IFERROR(INDEX(Meeting_Log[Owner],SMALL(IF((Meeting_Log[Topic Key]&lt;&gt;"")*(Meeting_Log[Meeting Date]=$C$5)*(COUNTIFS(Meeting_Log[Topic Key],Meeting_Log[Topic Key],Meeting_Log[Meeting Date],"&lt;"&amp;$C$5)=0),ROW(Meeting_Log[Topic Key])-7),1)),"")</f>
        <v/>
      </c>
      <c r="G30" s="21">
        <f t="array" ref="G30">IFERROR(INDEX(Meeting_Log[Due Date],SMALL(IF((Meeting_Log[Topic Key]&lt;&gt;"")*(Meeting_Log[Meeting Date]=$C$5)*(COUNTIFS(Meeting_Log[Topic Key],Meeting_Log[Topic Key],Meeting_Log[Meeting Date],"&lt;"&amp;$C$5)=0),ROW(Meeting_Log[Topic Key])-7),1)),"")</f>
        <v/>
      </c>
      <c r="H30" s="20">
        <f t="array" ref="H30">IFERROR(INDEX(Meeting_Log[Status],SMALL(IF((Meeting_Log[Topic Key]&lt;&gt;"")*(Meeting_Log[Meeting Date]=$C$5)*(COUNTIFS(Meeting_Log[Topic Key],Meeting_Log[Topic Key],Meeting_Log[Meeting Date],"&lt;"&amp;$C$5)=0),ROW(Meeting_Log[Topic Key])-7),1)),"")</f>
        <v/>
      </c>
    </row>
    <row r="31" ht="26" customHeight="1">
      <c r="B31" s="22">
        <f t="array" ref="B31">IFERROR(INDEX(Meeting_Log[Subject],SMALL(IF((Meeting_Log[Topic Key]&lt;&gt;"")*(Meeting_Log[Meeting Date]=$C$5)*(COUNTIFS(Meeting_Log[Topic Key],Meeting_Log[Topic Key],Meeting_Log[Meeting Date],"&lt;"&amp;$C$5)=0),ROW(Meeting_Log[Topic Key])-7),2)),"")</f>
        <v/>
      </c>
      <c r="C31" s="22">
        <f t="array" ref="C31">IFERROR(INDEX(Meeting_Log[Sub-topic],SMALL(IF((Meeting_Log[Topic Key]&lt;&gt;"")*(Meeting_Log[Meeting Date]=$C$5)*(COUNTIFS(Meeting_Log[Topic Key],Meeting_Log[Topic Key],Meeting_Log[Meeting Date],"&lt;"&amp;$C$5)=0),ROW(Meeting_Log[Topic Key])-7),2)),"")</f>
        <v/>
      </c>
      <c r="D31" s="22">
        <f t="array" ref="D31">IFERROR(INDEX(Meeting_Log[Discussion / Notes],SMALL(IF((Meeting_Log[Topic Key]&lt;&gt;"")*(Meeting_Log[Meeting Date]=$C$5)*(COUNTIFS(Meeting_Log[Topic Key],Meeting_Log[Topic Key],Meeting_Log[Meeting Date],"&lt;"&amp;$C$5)=0),ROW(Meeting_Log[Topic Key])-7),2)),"")</f>
        <v/>
      </c>
      <c r="E31" s="22">
        <f t="array" ref="E31">IFERROR(INDEX(Meeting_Log[Agreed Action],SMALL(IF((Meeting_Log[Topic Key]&lt;&gt;"")*(Meeting_Log[Meeting Date]=$C$5)*(COUNTIFS(Meeting_Log[Topic Key],Meeting_Log[Topic Key],Meeting_Log[Meeting Date],"&lt;"&amp;$C$5)=0),ROW(Meeting_Log[Topic Key])-7),2)),"")</f>
        <v/>
      </c>
      <c r="F31" s="22">
        <f t="array" ref="F31">IFERROR(INDEX(Meeting_Log[Owner],SMALL(IF((Meeting_Log[Topic Key]&lt;&gt;"")*(Meeting_Log[Meeting Date]=$C$5)*(COUNTIFS(Meeting_Log[Topic Key],Meeting_Log[Topic Key],Meeting_Log[Meeting Date],"&lt;"&amp;$C$5)=0),ROW(Meeting_Log[Topic Key])-7),2)),"")</f>
        <v/>
      </c>
      <c r="G31" s="23">
        <f t="array" ref="G31">IFERROR(INDEX(Meeting_Log[Due Date],SMALL(IF((Meeting_Log[Topic Key]&lt;&gt;"")*(Meeting_Log[Meeting Date]=$C$5)*(COUNTIFS(Meeting_Log[Topic Key],Meeting_Log[Topic Key],Meeting_Log[Meeting Date],"&lt;"&amp;$C$5)=0),ROW(Meeting_Log[Topic Key])-7),2)),"")</f>
        <v/>
      </c>
      <c r="H31" s="22">
        <f t="array" ref="H31">IFERROR(INDEX(Meeting_Log[Status],SMALL(IF((Meeting_Log[Topic Key]&lt;&gt;"")*(Meeting_Log[Meeting Date]=$C$5)*(COUNTIFS(Meeting_Log[Topic Key],Meeting_Log[Topic Key],Meeting_Log[Meeting Date],"&lt;"&amp;$C$5)=0),ROW(Meeting_Log[Topic Key])-7),2)),"")</f>
        <v/>
      </c>
    </row>
    <row r="32" ht="26" customHeight="1">
      <c r="B32" s="20">
        <f t="array" ref="B32">IFERROR(INDEX(Meeting_Log[Subject],SMALL(IF((Meeting_Log[Topic Key]&lt;&gt;"")*(Meeting_Log[Meeting Date]=$C$5)*(COUNTIFS(Meeting_Log[Topic Key],Meeting_Log[Topic Key],Meeting_Log[Meeting Date],"&lt;"&amp;$C$5)=0),ROW(Meeting_Log[Topic Key])-7),3)),"")</f>
        <v/>
      </c>
      <c r="C32" s="20">
        <f t="array" ref="C32">IFERROR(INDEX(Meeting_Log[Sub-topic],SMALL(IF((Meeting_Log[Topic Key]&lt;&gt;"")*(Meeting_Log[Meeting Date]=$C$5)*(COUNTIFS(Meeting_Log[Topic Key],Meeting_Log[Topic Key],Meeting_Log[Meeting Date],"&lt;"&amp;$C$5)=0),ROW(Meeting_Log[Topic Key])-7),3)),"")</f>
        <v/>
      </c>
      <c r="D32" s="20">
        <f t="array" ref="D32">IFERROR(INDEX(Meeting_Log[Discussion / Notes],SMALL(IF((Meeting_Log[Topic Key]&lt;&gt;"")*(Meeting_Log[Meeting Date]=$C$5)*(COUNTIFS(Meeting_Log[Topic Key],Meeting_Log[Topic Key],Meeting_Log[Meeting Date],"&lt;"&amp;$C$5)=0),ROW(Meeting_Log[Topic Key])-7),3)),"")</f>
        <v/>
      </c>
      <c r="E32" s="20">
        <f t="array" ref="E32">IFERROR(INDEX(Meeting_Log[Agreed Action],SMALL(IF((Meeting_Log[Topic Key]&lt;&gt;"")*(Meeting_Log[Meeting Date]=$C$5)*(COUNTIFS(Meeting_Log[Topic Key],Meeting_Log[Topic Key],Meeting_Log[Meeting Date],"&lt;"&amp;$C$5)=0),ROW(Meeting_Log[Topic Key])-7),3)),"")</f>
        <v/>
      </c>
      <c r="F32" s="20">
        <f t="array" ref="F32">IFERROR(INDEX(Meeting_Log[Owner],SMALL(IF((Meeting_Log[Topic Key]&lt;&gt;"")*(Meeting_Log[Meeting Date]=$C$5)*(COUNTIFS(Meeting_Log[Topic Key],Meeting_Log[Topic Key],Meeting_Log[Meeting Date],"&lt;"&amp;$C$5)=0),ROW(Meeting_Log[Topic Key])-7),3)),"")</f>
        <v/>
      </c>
      <c r="G32" s="21">
        <f t="array" ref="G32">IFERROR(INDEX(Meeting_Log[Due Date],SMALL(IF((Meeting_Log[Topic Key]&lt;&gt;"")*(Meeting_Log[Meeting Date]=$C$5)*(COUNTIFS(Meeting_Log[Topic Key],Meeting_Log[Topic Key],Meeting_Log[Meeting Date],"&lt;"&amp;$C$5)=0),ROW(Meeting_Log[Topic Key])-7),3)),"")</f>
        <v/>
      </c>
      <c r="H32" s="20">
        <f t="array" ref="H32">IFERROR(INDEX(Meeting_Log[Status],SMALL(IF((Meeting_Log[Topic Key]&lt;&gt;"")*(Meeting_Log[Meeting Date]=$C$5)*(COUNTIFS(Meeting_Log[Topic Key],Meeting_Log[Topic Key],Meeting_Log[Meeting Date],"&lt;"&amp;$C$5)=0),ROW(Meeting_Log[Topic Key])-7),3)),"")</f>
        <v/>
      </c>
    </row>
    <row r="33" ht="26" customHeight="1">
      <c r="B33" s="22">
        <f t="array" ref="B33">IFERROR(INDEX(Meeting_Log[Subject],SMALL(IF((Meeting_Log[Topic Key]&lt;&gt;"")*(Meeting_Log[Meeting Date]=$C$5)*(COUNTIFS(Meeting_Log[Topic Key],Meeting_Log[Topic Key],Meeting_Log[Meeting Date],"&lt;"&amp;$C$5)=0),ROW(Meeting_Log[Topic Key])-7),4)),"")</f>
        <v/>
      </c>
      <c r="C33" s="22">
        <f t="array" ref="C33">IFERROR(INDEX(Meeting_Log[Sub-topic],SMALL(IF((Meeting_Log[Topic Key]&lt;&gt;"")*(Meeting_Log[Meeting Date]=$C$5)*(COUNTIFS(Meeting_Log[Topic Key],Meeting_Log[Topic Key],Meeting_Log[Meeting Date],"&lt;"&amp;$C$5)=0),ROW(Meeting_Log[Topic Key])-7),4)),"")</f>
        <v/>
      </c>
      <c r="D33" s="22">
        <f t="array" ref="D33">IFERROR(INDEX(Meeting_Log[Discussion / Notes],SMALL(IF((Meeting_Log[Topic Key]&lt;&gt;"")*(Meeting_Log[Meeting Date]=$C$5)*(COUNTIFS(Meeting_Log[Topic Key],Meeting_Log[Topic Key],Meeting_Log[Meeting Date],"&lt;"&amp;$C$5)=0),ROW(Meeting_Log[Topic Key])-7),4)),"")</f>
        <v/>
      </c>
      <c r="E33" s="22">
        <f t="array" ref="E33">IFERROR(INDEX(Meeting_Log[Agreed Action],SMALL(IF((Meeting_Log[Topic Key]&lt;&gt;"")*(Meeting_Log[Meeting Date]=$C$5)*(COUNTIFS(Meeting_Log[Topic Key],Meeting_Log[Topic Key],Meeting_Log[Meeting Date],"&lt;"&amp;$C$5)=0),ROW(Meeting_Log[Topic Key])-7),4)),"")</f>
        <v/>
      </c>
      <c r="F33" s="22">
        <f t="array" ref="F33">IFERROR(INDEX(Meeting_Log[Owner],SMALL(IF((Meeting_Log[Topic Key]&lt;&gt;"")*(Meeting_Log[Meeting Date]=$C$5)*(COUNTIFS(Meeting_Log[Topic Key],Meeting_Log[Topic Key],Meeting_Log[Meeting Date],"&lt;"&amp;$C$5)=0),ROW(Meeting_Log[Topic Key])-7),4)),"")</f>
        <v/>
      </c>
      <c r="G33" s="23">
        <f t="array" ref="G33">IFERROR(INDEX(Meeting_Log[Due Date],SMALL(IF((Meeting_Log[Topic Key]&lt;&gt;"")*(Meeting_Log[Meeting Date]=$C$5)*(COUNTIFS(Meeting_Log[Topic Key],Meeting_Log[Topic Key],Meeting_Log[Meeting Date],"&lt;"&amp;$C$5)=0),ROW(Meeting_Log[Topic Key])-7),4)),"")</f>
        <v/>
      </c>
      <c r="H33" s="22">
        <f t="array" ref="H33">IFERROR(INDEX(Meeting_Log[Status],SMALL(IF((Meeting_Log[Topic Key]&lt;&gt;"")*(Meeting_Log[Meeting Date]=$C$5)*(COUNTIFS(Meeting_Log[Topic Key],Meeting_Log[Topic Key],Meeting_Log[Meeting Date],"&lt;"&amp;$C$5)=0),ROW(Meeting_Log[Topic Key])-7),4)),"")</f>
        <v/>
      </c>
    </row>
    <row r="34" ht="26" customHeight="1">
      <c r="B34" s="20">
        <f t="array" ref="B34">IFERROR(INDEX(Meeting_Log[Subject],SMALL(IF((Meeting_Log[Topic Key]&lt;&gt;"")*(Meeting_Log[Meeting Date]=$C$5)*(COUNTIFS(Meeting_Log[Topic Key],Meeting_Log[Topic Key],Meeting_Log[Meeting Date],"&lt;"&amp;$C$5)=0),ROW(Meeting_Log[Topic Key])-7),5)),"")</f>
        <v/>
      </c>
      <c r="C34" s="20">
        <f t="array" ref="C34">IFERROR(INDEX(Meeting_Log[Sub-topic],SMALL(IF((Meeting_Log[Topic Key]&lt;&gt;"")*(Meeting_Log[Meeting Date]=$C$5)*(COUNTIFS(Meeting_Log[Topic Key],Meeting_Log[Topic Key],Meeting_Log[Meeting Date],"&lt;"&amp;$C$5)=0),ROW(Meeting_Log[Topic Key])-7),5)),"")</f>
        <v/>
      </c>
      <c r="D34" s="20">
        <f t="array" ref="D34">IFERROR(INDEX(Meeting_Log[Discussion / Notes],SMALL(IF((Meeting_Log[Topic Key]&lt;&gt;"")*(Meeting_Log[Meeting Date]=$C$5)*(COUNTIFS(Meeting_Log[Topic Key],Meeting_Log[Topic Key],Meeting_Log[Meeting Date],"&lt;"&amp;$C$5)=0),ROW(Meeting_Log[Topic Key])-7),5)),"")</f>
        <v/>
      </c>
      <c r="E34" s="20">
        <f t="array" ref="E34">IFERROR(INDEX(Meeting_Log[Agreed Action],SMALL(IF((Meeting_Log[Topic Key]&lt;&gt;"")*(Meeting_Log[Meeting Date]=$C$5)*(COUNTIFS(Meeting_Log[Topic Key],Meeting_Log[Topic Key],Meeting_Log[Meeting Date],"&lt;"&amp;$C$5)=0),ROW(Meeting_Log[Topic Key])-7),5)),"")</f>
        <v/>
      </c>
      <c r="F34" s="20">
        <f t="array" ref="F34">IFERROR(INDEX(Meeting_Log[Owner],SMALL(IF((Meeting_Log[Topic Key]&lt;&gt;"")*(Meeting_Log[Meeting Date]=$C$5)*(COUNTIFS(Meeting_Log[Topic Key],Meeting_Log[Topic Key],Meeting_Log[Meeting Date],"&lt;"&amp;$C$5)=0),ROW(Meeting_Log[Topic Key])-7),5)),"")</f>
        <v/>
      </c>
      <c r="G34" s="21">
        <f t="array" ref="G34">IFERROR(INDEX(Meeting_Log[Due Date],SMALL(IF((Meeting_Log[Topic Key]&lt;&gt;"")*(Meeting_Log[Meeting Date]=$C$5)*(COUNTIFS(Meeting_Log[Topic Key],Meeting_Log[Topic Key],Meeting_Log[Meeting Date],"&lt;"&amp;$C$5)=0),ROW(Meeting_Log[Topic Key])-7),5)),"")</f>
        <v/>
      </c>
      <c r="H34" s="20">
        <f t="array" ref="H34">IFERROR(INDEX(Meeting_Log[Status],SMALL(IF((Meeting_Log[Topic Key]&lt;&gt;"")*(Meeting_Log[Meeting Date]=$C$5)*(COUNTIFS(Meeting_Log[Topic Key],Meeting_Log[Topic Key],Meeting_Log[Meeting Date],"&lt;"&amp;$C$5)=0),ROW(Meeting_Log[Topic Key])-7),5)),"")</f>
        <v/>
      </c>
    </row>
    <row r="35" ht="26" customHeight="1">
      <c r="B35" s="22">
        <f t="array" ref="B35">IFERROR(INDEX(Meeting_Log[Subject],SMALL(IF((Meeting_Log[Topic Key]&lt;&gt;"")*(Meeting_Log[Meeting Date]=$C$5)*(COUNTIFS(Meeting_Log[Topic Key],Meeting_Log[Topic Key],Meeting_Log[Meeting Date],"&lt;"&amp;$C$5)=0),ROW(Meeting_Log[Topic Key])-7),6)),"")</f>
        <v/>
      </c>
      <c r="C35" s="22">
        <f t="array" ref="C35">IFERROR(INDEX(Meeting_Log[Sub-topic],SMALL(IF((Meeting_Log[Topic Key]&lt;&gt;"")*(Meeting_Log[Meeting Date]=$C$5)*(COUNTIFS(Meeting_Log[Topic Key],Meeting_Log[Topic Key],Meeting_Log[Meeting Date],"&lt;"&amp;$C$5)=0),ROW(Meeting_Log[Topic Key])-7),6)),"")</f>
        <v/>
      </c>
      <c r="D35" s="22">
        <f t="array" ref="D35">IFERROR(INDEX(Meeting_Log[Discussion / Notes],SMALL(IF((Meeting_Log[Topic Key]&lt;&gt;"")*(Meeting_Log[Meeting Date]=$C$5)*(COUNTIFS(Meeting_Log[Topic Key],Meeting_Log[Topic Key],Meeting_Log[Meeting Date],"&lt;"&amp;$C$5)=0),ROW(Meeting_Log[Topic Key])-7),6)),"")</f>
        <v/>
      </c>
      <c r="E35" s="22">
        <f t="array" ref="E35">IFERROR(INDEX(Meeting_Log[Agreed Action],SMALL(IF((Meeting_Log[Topic Key]&lt;&gt;"")*(Meeting_Log[Meeting Date]=$C$5)*(COUNTIFS(Meeting_Log[Topic Key],Meeting_Log[Topic Key],Meeting_Log[Meeting Date],"&lt;"&amp;$C$5)=0),ROW(Meeting_Log[Topic Key])-7),6)),"")</f>
        <v/>
      </c>
      <c r="F35" s="22">
        <f t="array" ref="F35">IFERROR(INDEX(Meeting_Log[Owner],SMALL(IF((Meeting_Log[Topic Key]&lt;&gt;"")*(Meeting_Log[Meeting Date]=$C$5)*(COUNTIFS(Meeting_Log[Topic Key],Meeting_Log[Topic Key],Meeting_Log[Meeting Date],"&lt;"&amp;$C$5)=0),ROW(Meeting_Log[Topic Key])-7),6)),"")</f>
        <v/>
      </c>
      <c r="G35" s="23">
        <f t="array" ref="G35">IFERROR(INDEX(Meeting_Log[Due Date],SMALL(IF((Meeting_Log[Topic Key]&lt;&gt;"")*(Meeting_Log[Meeting Date]=$C$5)*(COUNTIFS(Meeting_Log[Topic Key],Meeting_Log[Topic Key],Meeting_Log[Meeting Date],"&lt;"&amp;$C$5)=0),ROW(Meeting_Log[Topic Key])-7),6)),"")</f>
        <v/>
      </c>
      <c r="H35" s="22">
        <f t="array" ref="H35">IFERROR(INDEX(Meeting_Log[Status],SMALL(IF((Meeting_Log[Topic Key]&lt;&gt;"")*(Meeting_Log[Meeting Date]=$C$5)*(COUNTIFS(Meeting_Log[Topic Key],Meeting_Log[Topic Key],Meeting_Log[Meeting Date],"&lt;"&amp;$C$5)=0),ROW(Meeting_Log[Topic Key])-7),6)),"")</f>
        <v/>
      </c>
    </row>
    <row r="37">
      <c r="B37" s="24" t="inlineStr">
        <is>
          <t>Add new topics directly in Meeting Log with today's date - they will appear above automatically.</t>
        </is>
      </c>
    </row>
    <row r="39" ht="22" customHeight="1">
      <c r="B39" s="18" t="inlineStr">
        <is>
          <t>3. ACTIONS TO FOLLOW (all open actions, latest status)</t>
        </is>
      </c>
      <c r="C39" s="18" t="n"/>
      <c r="D39" s="18" t="n"/>
      <c r="E39" s="18" t="n"/>
      <c r="F39" s="18" t="n"/>
      <c r="G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  <c r="G40" s="19" t="inlineStr">
        <is>
          <t>Priority</t>
        </is>
      </c>
    </row>
    <row r="41" ht="26" customHeight="1">
      <c r="B41" s="20">
        <f t="array" ref="B41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C41" s="20">
        <f t="array" ref="C41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D41" s="20">
        <f t="array" ref="D41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E41" s="21">
        <f t="array" ref="E41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F41" s="20">
        <f t="array" ref="F41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  <c r="G41" s="20">
        <f t="array" ref="G41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Key])-7),1)),"")</f>
        <v/>
      </c>
    </row>
    <row r="42" ht="26" customHeight="1">
      <c r="B42" s="22">
        <f t="array" ref="B42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C42" s="22">
        <f t="array" ref="C42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D42" s="22">
        <f t="array" ref="D42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E42" s="23">
        <f t="array" ref="E42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F42" s="22">
        <f t="array" ref="F42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  <c r="G42" s="22">
        <f t="array" ref="G42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Key])-7),2)),"")</f>
        <v/>
      </c>
    </row>
    <row r="43" ht="26" customHeight="1">
      <c r="B43" s="20">
        <f t="array" ref="B43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C43" s="20">
        <f t="array" ref="C43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D43" s="20">
        <f t="array" ref="D43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E43" s="21">
        <f t="array" ref="E43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F43" s="20">
        <f t="array" ref="F43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  <c r="G43" s="20">
        <f t="array" ref="G43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Key])-7),3)),"")</f>
        <v/>
      </c>
    </row>
    <row r="44" ht="26" customHeight="1">
      <c r="B44" s="22">
        <f t="array" ref="B44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C44" s="22">
        <f t="array" ref="C44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D44" s="22">
        <f t="array" ref="D44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E44" s="23">
        <f t="array" ref="E44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F44" s="22">
        <f t="array" ref="F44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  <c r="G44" s="22">
        <f t="array" ref="G44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Key])-7),4)),"")</f>
        <v/>
      </c>
    </row>
    <row r="45" ht="26" customHeight="1">
      <c r="B45" s="20">
        <f t="array" ref="B45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C45" s="20">
        <f t="array" ref="C45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D45" s="20">
        <f t="array" ref="D45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E45" s="21">
        <f t="array" ref="E45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F45" s="20">
        <f t="array" ref="F45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  <c r="G45" s="20">
        <f t="array" ref="G45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Key])-7),5)),"")</f>
        <v/>
      </c>
    </row>
    <row r="46" ht="26" customHeight="1">
      <c r="B46" s="22">
        <f t="array" ref="B46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C46" s="22">
        <f t="array" ref="C46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D46" s="22">
        <f t="array" ref="D46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E46" s="23">
        <f t="array" ref="E46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F46" s="22">
        <f t="array" ref="F46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  <c r="G46" s="22">
        <f t="array" ref="G46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Key])-7),6)),"")</f>
        <v/>
      </c>
    </row>
    <row r="47" ht="26" customHeight="1">
      <c r="B47" s="20">
        <f t="array" ref="B47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C47" s="20">
        <f t="array" ref="C47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D47" s="20">
        <f t="array" ref="D47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E47" s="21">
        <f t="array" ref="E47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F47" s="20">
        <f t="array" ref="F47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  <c r="G47" s="20">
        <f t="array" ref="G47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Key])-7),7)),"")</f>
        <v/>
      </c>
    </row>
    <row r="48" ht="26" customHeight="1">
      <c r="B48" s="22">
        <f t="array" ref="B48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C48" s="22">
        <f t="array" ref="C48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D48" s="22">
        <f t="array" ref="D48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E48" s="23">
        <f t="array" ref="E48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F48" s="22">
        <f t="array" ref="F48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  <c r="G48" s="22">
        <f t="array" ref="G48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Key])-7),8)),"")</f>
        <v/>
      </c>
    </row>
    <row r="49" ht="26" customHeight="1">
      <c r="B49" s="20">
        <f t="array" ref="B49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C49" s="20">
        <f t="array" ref="C49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D49" s="20">
        <f t="array" ref="D49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E49" s="21">
        <f t="array" ref="E49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F49" s="20">
        <f t="array" ref="F49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  <c r="G49" s="20">
        <f t="array" ref="G49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Key])-7),9)),"")</f>
        <v/>
      </c>
    </row>
    <row r="50" ht="26" customHeight="1">
      <c r="B50" s="22">
        <f t="array" ref="B50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C50" s="22">
        <f t="array" ref="C50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D50" s="22">
        <f t="array" ref="D50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E50" s="23">
        <f t="array" ref="E50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F50" s="22">
        <f t="array" ref="F50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  <c r="G50" s="22">
        <f t="array" ref="G50">IFERROR(INDEX(Meeting_Log[Priority],SMALL(IF((Meeting_Log[Topic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Date],"&lt;="&amp;$C$5))*(Meeting_Log[Status]&lt;&gt;"Closed")*(Meeting_Log[Status]&lt;&gt;"Cancelled"),ROW(Meeting_Log[Topic Key])-7),10)),"")</f>
        <v/>
      </c>
    </row>
    <row r="52">
      <c r="B5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2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H8:I10"/>
    <mergeCell ref="Q8:R10"/>
    <mergeCell ref="E8:F10"/>
  </mergeCells>
  <conditionalFormatting sqref="G41:G50">
    <cfRule type="cellIs" priority="1" operator="equal" dxfId="0">
      <formula>"Critical"</formula>
    </cfRule>
  </conditionalFormatting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12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1" customWidth="1" min="2" max="2"/>
    <col width="13" customWidth="1" min="3" max="3"/>
    <col width="12" customWidth="1" min="4" max="4"/>
    <col width="22" customWidth="1" min="5" max="5"/>
    <col width="20" customWidth="1" min="6" max="6"/>
    <col width="16" customWidth="1" min="7" max="7"/>
    <col width="34" customWidth="1" min="8" max="8"/>
    <col width="30" customWidth="1" min="9" max="9"/>
    <col width="12" customWidth="1" min="10" max="10"/>
    <col width="13" customWidth="1" min="11" max="11"/>
    <col width="11" customWidth="1" min="12" max="12"/>
    <col width="26" customWidth="1" min="13" max="13"/>
    <col width="22" customWidth="1" min="14" max="14"/>
    <col width="10" customWidth="1" min="15" max="15"/>
  </cols>
  <sheetData>
    <row r="1" ht="20" customHeight="1">
      <c r="B1" s="2" t="inlineStr">
        <is>
          <t>Overview</t>
        </is>
      </c>
      <c r="C1" s="1" t="inlineStr">
        <is>
          <t>Meeting Log</t>
        </is>
      </c>
      <c r="D1" s="2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16" customHeight="1">
      <c r="B3" s="4" t="inlineStr">
        <is>
          <t>The single database. One row = one subject discussed at one meeting. Continuity across meetings is found automatically via Subject + Sub-topic - just add a new row with the same Subject/Sub-topic to continue a topic.</t>
        </is>
      </c>
    </row>
    <row r="7" ht="30" customHeight="1">
      <c r="B7" s="15" t="inlineStr">
        <is>
          <t>Meeting ID</t>
        </is>
      </c>
      <c r="C7" s="15" t="inlineStr">
        <is>
          <t>Meeting Date</t>
        </is>
      </c>
      <c r="D7" s="15" t="inlineStr">
        <is>
          <t>Meeting Type</t>
        </is>
      </c>
      <c r="E7" s="15" t="inlineStr">
        <is>
          <t>Subject</t>
        </is>
      </c>
      <c r="F7" s="15" t="inlineStr">
        <is>
          <t>Sub-topic</t>
        </is>
      </c>
      <c r="G7" s="15" t="inlineStr">
        <is>
          <t>Owner</t>
        </is>
      </c>
      <c r="H7" s="15" t="inlineStr">
        <is>
          <t>Discussion / Notes</t>
        </is>
      </c>
      <c r="I7" s="15" t="inlineStr">
        <is>
          <t>Agreed Action</t>
        </is>
      </c>
      <c r="J7" s="15" t="inlineStr">
        <is>
          <t>Due Date</t>
        </is>
      </c>
      <c r="K7" s="15" t="inlineStr">
        <is>
          <t>Status</t>
        </is>
      </c>
      <c r="L7" s="15" t="inlineStr">
        <is>
          <t>Priority</t>
        </is>
      </c>
      <c r="M7" s="15" t="inlineStr">
        <is>
          <t>Follow-up / Update</t>
        </is>
      </c>
      <c r="N7" s="15" t="inlineStr">
        <is>
          <t>Topic Key</t>
        </is>
      </c>
      <c r="O7" s="15" t="inlineStr">
        <is>
          <t>Overdue?</t>
        </is>
      </c>
    </row>
    <row r="8" ht="50" customHeight="1">
      <c r="B8" s="20">
        <f>IF($E8="","","M"&amp;TEXT(ROW()-7,"000"))</f>
        <v/>
      </c>
      <c r="C8" s="16" t="n">
        <v>46266</v>
      </c>
      <c r="D8" s="17" t="inlineStr">
        <is>
          <t>Monthly</t>
        </is>
      </c>
      <c r="E8" s="17" t="inlineStr">
        <is>
          <t>Documentation</t>
        </is>
      </c>
      <c r="F8" s="17" t="inlineStr">
        <is>
          <t>Documentation</t>
        </is>
      </c>
      <c r="G8" s="17" t="inlineStr">
        <is>
          <t>Engineering</t>
        </is>
      </c>
      <c r="H8" s="17" t="inlineStr">
        <is>
          <t>Documents missing for the commissioning dossier.</t>
        </is>
      </c>
      <c r="I8" s="17" t="inlineStr">
        <is>
          <t>Engineering to provide the missing documents.</t>
        </is>
      </c>
      <c r="J8" s="16" t="n">
        <v>46280</v>
      </c>
      <c r="K8" s="17" t="inlineStr">
        <is>
          <t>Open</t>
        </is>
      </c>
      <c r="L8" s="17" t="inlineStr">
        <is>
          <t>Medium</t>
        </is>
      </c>
      <c r="M8" s="17" t="inlineStr"/>
      <c r="N8" s="25">
        <f>IF($E8="","",$E8&amp;"|"&amp;$F8)</f>
        <v/>
      </c>
      <c r="O8" s="20">
        <f>IF($E8="","",IF(AND($K8&lt;&gt;"Closed",$K8&lt;&gt;"Cancelled",$J8&lt;&gt;"",$J8&lt;TODAY()),"Yes","No"))</f>
        <v/>
      </c>
    </row>
    <row r="9" ht="50" customHeight="1">
      <c r="B9" s="20">
        <f>IF($E9="","","M"&amp;TEXT(ROW()-7,"000"))</f>
        <v/>
      </c>
      <c r="C9" s="16" t="n">
        <v>46296</v>
      </c>
      <c r="D9" s="17" t="inlineStr">
        <is>
          <t>Monthly</t>
        </is>
      </c>
      <c r="E9" s="17" t="inlineStr">
        <is>
          <t>Documentation</t>
        </is>
      </c>
      <c r="F9" s="17" t="inlineStr">
        <is>
          <t>Documentation</t>
        </is>
      </c>
      <c r="G9" s="17" t="inlineStr">
        <is>
          <t>Engineering</t>
        </is>
      </c>
      <c r="H9" s="17" t="inlineStr">
        <is>
          <t>Engineering confirmed the documents are being finalised.</t>
        </is>
      </c>
      <c r="I9" s="17" t="inlineStr">
        <is>
          <t>Engineering to issue the documents.</t>
        </is>
      </c>
      <c r="J9" s="16" t="n">
        <v>46310</v>
      </c>
      <c r="K9" s="17" t="inlineStr">
        <is>
          <t>In Progress</t>
        </is>
      </c>
      <c r="L9" s="17" t="inlineStr">
        <is>
          <t>Medium</t>
        </is>
      </c>
      <c r="M9" s="17" t="inlineStr">
        <is>
          <t>Continued from the 01-Sep meeting - still outstanding.</t>
        </is>
      </c>
      <c r="N9" s="25">
        <f>IF($E9="","",$E9&amp;"|"&amp;$F9)</f>
        <v/>
      </c>
      <c r="O9" s="20">
        <f>IF($E9="","",IF(AND($K9&lt;&gt;"Closed",$K9&lt;&gt;"Cancelled",$J9&lt;&gt;"",$J9&lt;TODAY()),"Yes","No"))</f>
        <v/>
      </c>
    </row>
    <row r="10" ht="50" customHeight="1">
      <c r="B10" s="20">
        <f>IF($E10="","","M"&amp;TEXT(ROW()-7,"000"))</f>
        <v/>
      </c>
      <c r="C10" s="16" t="n">
        <v>46296</v>
      </c>
      <c r="D10" s="17" t="inlineStr">
        <is>
          <t>Monthly</t>
        </is>
      </c>
      <c r="E10" s="17" t="inlineStr">
        <is>
          <t>Testing / Results</t>
        </is>
      </c>
      <c r="F10" s="17" t="inlineStr">
        <is>
          <t>Testing</t>
        </is>
      </c>
      <c r="G10" s="17" t="inlineStr">
        <is>
          <t>Commissioning</t>
        </is>
      </c>
      <c r="H10" s="17" t="inlineStr">
        <is>
          <t>First functional test results reviewed.</t>
        </is>
      </c>
      <c r="I10" s="17" t="inlineStr">
        <is>
          <t>Commissioning to issue the test report.</t>
        </is>
      </c>
      <c r="J10" s="16" t="n">
        <v>46315</v>
      </c>
      <c r="K10" s="17" t="inlineStr">
        <is>
          <t>Open</t>
        </is>
      </c>
      <c r="L10" s="17" t="inlineStr">
        <is>
          <t>High</t>
        </is>
      </c>
      <c r="M10" s="17" t="inlineStr"/>
      <c r="N10" s="25">
        <f>IF($E10="","",$E10&amp;"|"&amp;$F10)</f>
        <v/>
      </c>
      <c r="O10" s="20">
        <f>IF($E10="","",IF(AND($K10&lt;&gt;"Closed",$K10&lt;&gt;"Cancelled",$J10&lt;&gt;"",$J10&lt;TODAY()),"Yes","No"))</f>
        <v/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conditionalFormatting sqref="B8:O10">
    <cfRule type="expression" priority="1" dxfId="1">
      <formula>AND($K8&lt;&gt;"Closed",$O8="Yes")</formula>
    </cfRule>
    <cfRule type="expression" priority="2" dxfId="2">
      <formula>$K8="Closed"</formula>
    </cfRule>
    <cfRule type="expression" priority="3" dxfId="3">
      <formula>OR($K8="On Hold",$K8="Cancelled")</formula>
    </cfRule>
  </conditionalFormatting>
  <dataValidations count="6">
    <dataValidation sqref="D8:D10" showDropDown="0" showInputMessage="0" showErrorMessage="0" allowBlank="1" type="list">
      <formula1>=LIST_MEETING_TYPE</formula1>
    </dataValidation>
    <dataValidation sqref="E8:E10" showDropDown="0" showInputMessage="0" showErrorMessage="0" allowBlank="1" type="list">
      <formula1>=LIST_SUBJECT</formula1>
    </dataValidation>
    <dataValidation sqref="F8:F10" showDropDown="0" showInputMessage="0" showErrorMessage="0" allowBlank="1" type="list">
      <formula1>=LIST_SUBTOPIC</formula1>
    </dataValidation>
    <dataValidation sqref="G8:G10" showDropDown="0" showInputMessage="0" showErrorMessage="0" allowBlank="1" type="list">
      <formula1>=LIST_OWNER</formula1>
    </dataValidation>
    <dataValidation sqref="K8:K10" showDropDown="0" showInputMessage="0" showErrorMessage="0" allowBlank="1" type="list">
      <formula1>=LIST_STATUS</formula1>
    </dataValidation>
    <dataValidation sqref="L8:L10" showDropDown="0" showInputMessage="0" showErrorMessage="0" allowBlank="1" type="list">
      <formula1>=LIST_PRIORITY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4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6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1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16" customHeight="1">
      <c r="B3" s="4" t="inlineStr">
        <is>
          <t>Mirrors the meeting date selected on Overview - change it there to generate a report for a different meeting. Short enough to copy straight into minutes or an email.</t>
        </is>
      </c>
    </row>
    <row r="5">
      <c r="B5" s="5" t="inlineStr">
        <is>
          <t>Meeting Date:</t>
        </is>
      </c>
      <c r="C5" s="26">
        <f>'Overview'!$C$5</f>
        <v/>
      </c>
      <c r="E5" s="5" t="inlineStr">
        <is>
          <t>Meeting Type:</t>
        </is>
      </c>
      <c r="F5" s="27">
        <f>IFERROR(INDEX(Meeting_Log[Meeting Type],MATCH($C$5,Meeting_Log[Meeting Date],0)),"")</f>
        <v/>
      </c>
    </row>
    <row r="7" ht="22" customHeight="1">
      <c r="B7" s="18" t="inlineStr">
        <is>
          <t>1. FOLLOW-UP FROM PREVIOUS MEETING</t>
        </is>
      </c>
      <c r="C7" s="18" t="n"/>
      <c r="D7" s="18" t="n"/>
      <c r="E7" s="18" t="n"/>
      <c r="F7" s="18" t="n"/>
      <c r="G7" s="18" t="n"/>
    </row>
    <row r="8">
      <c r="B8" s="19" t="inlineStr">
        <is>
          <t>Subject</t>
        </is>
      </c>
      <c r="C8" s="19" t="inlineStr">
        <is>
          <t>Sub-topic</t>
        </is>
      </c>
      <c r="D8" s="19" t="inlineStr">
        <is>
          <t>Previous Discussion</t>
        </is>
      </c>
      <c r="E8" s="19" t="inlineStr">
        <is>
          <t>Previous Action</t>
        </is>
      </c>
      <c r="F8" s="19" t="inlineStr">
        <is>
          <t>Owner</t>
        </is>
      </c>
      <c r="G8" s="19" t="inlineStr">
        <is>
          <t>Previous Status</t>
        </is>
      </c>
    </row>
    <row r="9" ht="26" customHeight="1">
      <c r="B9" s="20">
        <f t="array" ref="B9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C9" s="20">
        <f t="array" ref="C9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D9" s="20">
        <f t="array" ref="D9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E9" s="20">
        <f t="array" ref="E9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F9" s="20">
        <f t="array" ref="F9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  <c r="G9" s="20">
        <f t="array" ref="G9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Key])-7),1)),"")</f>
        <v/>
      </c>
    </row>
    <row r="10" ht="26" customHeight="1">
      <c r="B10" s="22">
        <f t="array" ref="B10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C10" s="22">
        <f t="array" ref="C10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D10" s="22">
        <f t="array" ref="D10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E10" s="22">
        <f t="array" ref="E10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F10" s="22">
        <f t="array" ref="F10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  <c r="G10" s="22">
        <f t="array" ref="G10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Key])-7),2)),"")</f>
        <v/>
      </c>
    </row>
    <row r="11" ht="26" customHeight="1">
      <c r="B11" s="20">
        <f t="array" ref="B11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C11" s="20">
        <f t="array" ref="C11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D11" s="20">
        <f t="array" ref="D11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E11" s="20">
        <f t="array" ref="E11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F11" s="20">
        <f t="array" ref="F11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  <c r="G11" s="20">
        <f t="array" ref="G11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Key])-7),3)),"")</f>
        <v/>
      </c>
    </row>
    <row r="12" ht="26" customHeight="1">
      <c r="B12" s="22">
        <f t="array" ref="B12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C12" s="22">
        <f t="array" ref="C12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D12" s="22">
        <f t="array" ref="D12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E12" s="22">
        <f t="array" ref="E12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F12" s="22">
        <f t="array" ref="F12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  <c r="G12" s="22">
        <f t="array" ref="G12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Key])-7),4)),"")</f>
        <v/>
      </c>
    </row>
    <row r="13" ht="26" customHeight="1">
      <c r="B13" s="20">
        <f t="array" ref="B13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C13" s="20">
        <f t="array" ref="C13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D13" s="20">
        <f t="array" ref="D13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E13" s="20">
        <f t="array" ref="E13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F13" s="20">
        <f t="array" ref="F13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  <c r="G13" s="20">
        <f t="array" ref="G13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Key])-7),5)),"")</f>
        <v/>
      </c>
    </row>
    <row r="14" ht="26" customHeight="1">
      <c r="B14" s="22">
        <f t="array" ref="B14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C14" s="22">
        <f t="array" ref="C14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D14" s="22">
        <f t="array" ref="D14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E14" s="22">
        <f t="array" ref="E14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F14" s="22">
        <f t="array" ref="F14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  <c r="G14" s="22">
        <f t="array" ref="G14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Key])-7),6)),"")</f>
        <v/>
      </c>
    </row>
    <row r="15" ht="26" customHeight="1">
      <c r="B15" s="20">
        <f t="array" ref="B15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C15" s="20">
        <f t="array" ref="C15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D15" s="20">
        <f t="array" ref="D15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E15" s="20">
        <f t="array" ref="E15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F15" s="20">
        <f t="array" ref="F15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  <c r="G15" s="20">
        <f t="array" ref="G15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Key])-7),7)),"")</f>
        <v/>
      </c>
    </row>
    <row r="16" ht="26" customHeight="1">
      <c r="B16" s="22">
        <f t="array" ref="B16">IFERROR(INDEX(Meeting_Log[Subject],SMALL(IF((Meeting_Log[Topic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C16" s="22">
        <f t="array" ref="C16">IFERROR(INDEX(Meeting_Log[Sub-topic],SMALL(IF((Meeting_Log[Topic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D16" s="22">
        <f t="array" ref="D16">IFERROR(INDEX(Meeting_Log[Discussion / Notes],SMALL(IF((Meeting_Log[Topic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E16" s="22">
        <f t="array" ref="E16">IFERROR(INDEX(Meeting_Log[Agreed Action],SMALL(IF((Meeting_Log[Topic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F16" s="22">
        <f t="array" ref="F16">IFERROR(INDEX(Meeting_Log[Owner],SMALL(IF((Meeting_Log[Topic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  <c r="G16" s="22">
        <f t="array" ref="G16">IFERROR(INDEX(Meeting_Log[Status],SMALL(IF((Meeting_Log[Topic Key]&lt;&gt;"")*(Meeting_Log[Meeting Date]&lt;$C$5)*(Meeting_Log[Meeting Date]=_xlfn.MAXIFS(Meeting_Log[Meeting Date],Meeting_Log[Topic Key],Meeting_Log[Topic Key],Meeting_Log[Meeting Date],"&lt;"&amp;$C$5))*(Meeting_Log[Status]&lt;&gt;"Closed")*(Meeting_Log[Status]&lt;&gt;"Cancelled"),ROW(Meeting_Log[Topic Key])-7),8)),"")</f>
        <v/>
      </c>
    </row>
    <row r="18" ht="22" customHeight="1">
      <c r="B18" s="18" t="inlineStr">
        <is>
          <t>2. NEW TOPICS</t>
        </is>
      </c>
      <c r="C18" s="18" t="n"/>
      <c r="D18" s="18" t="n"/>
      <c r="E18" s="18" t="n"/>
      <c r="F18" s="18" t="n"/>
      <c r="G18" s="18" t="n"/>
      <c r="H18" s="18" t="n"/>
    </row>
    <row r="19">
      <c r="B19" s="19" t="inlineStr">
        <is>
          <t>Subject</t>
        </is>
      </c>
      <c r="C19" s="19" t="inlineStr">
        <is>
          <t>Sub-topic</t>
        </is>
      </c>
      <c r="D19" s="19" t="inlineStr">
        <is>
          <t>Discussion / Notes</t>
        </is>
      </c>
      <c r="E19" s="19" t="inlineStr">
        <is>
          <t>Agreed Action</t>
        </is>
      </c>
      <c r="F19" s="19" t="inlineStr">
        <is>
          <t>Owner</t>
        </is>
      </c>
      <c r="G19" s="19" t="inlineStr">
        <is>
          <t>Due Date</t>
        </is>
      </c>
      <c r="H19" s="19" t="inlineStr">
        <is>
          <t>Status</t>
        </is>
      </c>
    </row>
    <row r="20" ht="26" customHeight="1">
      <c r="B20" s="20">
        <f t="array" ref="B20">IFERROR(INDEX(Meeting_Log[Subject],SMALL(IF((Meeting_Log[Topic Key]&lt;&gt;"")*(Meeting_Log[Meeting Date]=$C$5)*(COUNTIFS(Meeting_Log[Topic Key],Meeting_Log[Topic Key],Meeting_Log[Meeting Date],"&lt;"&amp;$C$5)=0),ROW(Meeting_Log[Topic Key])-7),1)),"")</f>
        <v/>
      </c>
      <c r="C20" s="20">
        <f t="array" ref="C20">IFERROR(INDEX(Meeting_Log[Sub-topic],SMALL(IF((Meeting_Log[Topic Key]&lt;&gt;"")*(Meeting_Log[Meeting Date]=$C$5)*(COUNTIFS(Meeting_Log[Topic Key],Meeting_Log[Topic Key],Meeting_Log[Meeting Date],"&lt;"&amp;$C$5)=0),ROW(Meeting_Log[Topic Key])-7),1)),"")</f>
        <v/>
      </c>
      <c r="D20" s="20">
        <f t="array" ref="D20">IFERROR(INDEX(Meeting_Log[Discussion / Notes],SMALL(IF((Meeting_Log[Topic Key]&lt;&gt;"")*(Meeting_Log[Meeting Date]=$C$5)*(COUNTIFS(Meeting_Log[Topic Key],Meeting_Log[Topic Key],Meeting_Log[Meeting Date],"&lt;"&amp;$C$5)=0),ROW(Meeting_Log[Topic Key])-7),1)),"")</f>
        <v/>
      </c>
      <c r="E20" s="20">
        <f t="array" ref="E20">IFERROR(INDEX(Meeting_Log[Agreed Action],SMALL(IF((Meeting_Log[Topic Key]&lt;&gt;"")*(Meeting_Log[Meeting Date]=$C$5)*(COUNTIFS(Meeting_Log[Topic Key],Meeting_Log[Topic Key],Meeting_Log[Meeting Date],"&lt;"&amp;$C$5)=0),ROW(Meeting_Log[Topic Key])-7),1)),"")</f>
        <v/>
      </c>
      <c r="F20" s="20">
        <f t="array" ref="F20">IFERROR(INDEX(Meeting_Log[Owner],SMALL(IF((Meeting_Log[Topic Key]&lt;&gt;"")*(Meeting_Log[Meeting Date]=$C$5)*(COUNTIFS(Meeting_Log[Topic Key],Meeting_Log[Topic Key],Meeting_Log[Meeting Date],"&lt;"&amp;$C$5)=0),ROW(Meeting_Log[Topic Key])-7),1)),"")</f>
        <v/>
      </c>
      <c r="G20" s="21">
        <f t="array" ref="G20">IFERROR(INDEX(Meeting_Log[Due Date],SMALL(IF((Meeting_Log[Topic Key]&lt;&gt;"")*(Meeting_Log[Meeting Date]=$C$5)*(COUNTIFS(Meeting_Log[Topic Key],Meeting_Log[Topic Key],Meeting_Log[Meeting Date],"&lt;"&amp;$C$5)=0),ROW(Meeting_Log[Topic Key])-7),1)),"")</f>
        <v/>
      </c>
      <c r="H20" s="20">
        <f t="array" ref="H20">IFERROR(INDEX(Meeting_Log[Status],SMALL(IF((Meeting_Log[Topic Key]&lt;&gt;"")*(Meeting_Log[Meeting Date]=$C$5)*(COUNTIFS(Meeting_Log[Topic Key],Meeting_Log[Topic Key],Meeting_Log[Meeting Date],"&lt;"&amp;$C$5)=0),ROW(Meeting_Log[Topic Key])-7),1)),"")</f>
        <v/>
      </c>
    </row>
    <row r="21" ht="26" customHeight="1">
      <c r="B21" s="22">
        <f t="array" ref="B21">IFERROR(INDEX(Meeting_Log[Subject],SMALL(IF((Meeting_Log[Topic Key]&lt;&gt;"")*(Meeting_Log[Meeting Date]=$C$5)*(COUNTIFS(Meeting_Log[Topic Key],Meeting_Log[Topic Key],Meeting_Log[Meeting Date],"&lt;"&amp;$C$5)=0),ROW(Meeting_Log[Topic Key])-7),2)),"")</f>
        <v/>
      </c>
      <c r="C21" s="22">
        <f t="array" ref="C21">IFERROR(INDEX(Meeting_Log[Sub-topic],SMALL(IF((Meeting_Log[Topic Key]&lt;&gt;"")*(Meeting_Log[Meeting Date]=$C$5)*(COUNTIFS(Meeting_Log[Topic Key],Meeting_Log[Topic Key],Meeting_Log[Meeting Date],"&lt;"&amp;$C$5)=0),ROW(Meeting_Log[Topic Key])-7),2)),"")</f>
        <v/>
      </c>
      <c r="D21" s="22">
        <f t="array" ref="D21">IFERROR(INDEX(Meeting_Log[Discussion / Notes],SMALL(IF((Meeting_Log[Topic Key]&lt;&gt;"")*(Meeting_Log[Meeting Date]=$C$5)*(COUNTIFS(Meeting_Log[Topic Key],Meeting_Log[Topic Key],Meeting_Log[Meeting Date],"&lt;"&amp;$C$5)=0),ROW(Meeting_Log[Topic Key])-7),2)),"")</f>
        <v/>
      </c>
      <c r="E21" s="22">
        <f t="array" ref="E21">IFERROR(INDEX(Meeting_Log[Agreed Action],SMALL(IF((Meeting_Log[Topic Key]&lt;&gt;"")*(Meeting_Log[Meeting Date]=$C$5)*(COUNTIFS(Meeting_Log[Topic Key],Meeting_Log[Topic Key],Meeting_Log[Meeting Date],"&lt;"&amp;$C$5)=0),ROW(Meeting_Log[Topic Key])-7),2)),"")</f>
        <v/>
      </c>
      <c r="F21" s="22">
        <f t="array" ref="F21">IFERROR(INDEX(Meeting_Log[Owner],SMALL(IF((Meeting_Log[Topic Key]&lt;&gt;"")*(Meeting_Log[Meeting Date]=$C$5)*(COUNTIFS(Meeting_Log[Topic Key],Meeting_Log[Topic Key],Meeting_Log[Meeting Date],"&lt;"&amp;$C$5)=0),ROW(Meeting_Log[Topic Key])-7),2)),"")</f>
        <v/>
      </c>
      <c r="G21" s="23">
        <f t="array" ref="G21">IFERROR(INDEX(Meeting_Log[Due Date],SMALL(IF((Meeting_Log[Topic Key]&lt;&gt;"")*(Meeting_Log[Meeting Date]=$C$5)*(COUNTIFS(Meeting_Log[Topic Key],Meeting_Log[Topic Key],Meeting_Log[Meeting Date],"&lt;"&amp;$C$5)=0),ROW(Meeting_Log[Topic Key])-7),2)),"")</f>
        <v/>
      </c>
      <c r="H21" s="22">
        <f t="array" ref="H21">IFERROR(INDEX(Meeting_Log[Status],SMALL(IF((Meeting_Log[Topic Key]&lt;&gt;"")*(Meeting_Log[Meeting Date]=$C$5)*(COUNTIFS(Meeting_Log[Topic Key],Meeting_Log[Topic Key],Meeting_Log[Meeting Date],"&lt;"&amp;$C$5)=0),ROW(Meeting_Log[Topic Key])-7),2)),"")</f>
        <v/>
      </c>
    </row>
    <row r="22" ht="26" customHeight="1">
      <c r="B22" s="20">
        <f t="array" ref="B22">IFERROR(INDEX(Meeting_Log[Subject],SMALL(IF((Meeting_Log[Topic Key]&lt;&gt;"")*(Meeting_Log[Meeting Date]=$C$5)*(COUNTIFS(Meeting_Log[Topic Key],Meeting_Log[Topic Key],Meeting_Log[Meeting Date],"&lt;"&amp;$C$5)=0),ROW(Meeting_Log[Topic Key])-7),3)),"")</f>
        <v/>
      </c>
      <c r="C22" s="20">
        <f t="array" ref="C22">IFERROR(INDEX(Meeting_Log[Sub-topic],SMALL(IF((Meeting_Log[Topic Key]&lt;&gt;"")*(Meeting_Log[Meeting Date]=$C$5)*(COUNTIFS(Meeting_Log[Topic Key],Meeting_Log[Topic Key],Meeting_Log[Meeting Date],"&lt;"&amp;$C$5)=0),ROW(Meeting_Log[Topic Key])-7),3)),"")</f>
        <v/>
      </c>
      <c r="D22" s="20">
        <f t="array" ref="D22">IFERROR(INDEX(Meeting_Log[Discussion / Notes],SMALL(IF((Meeting_Log[Topic Key]&lt;&gt;"")*(Meeting_Log[Meeting Date]=$C$5)*(COUNTIFS(Meeting_Log[Topic Key],Meeting_Log[Topic Key],Meeting_Log[Meeting Date],"&lt;"&amp;$C$5)=0),ROW(Meeting_Log[Topic Key])-7),3)),"")</f>
        <v/>
      </c>
      <c r="E22" s="20">
        <f t="array" ref="E22">IFERROR(INDEX(Meeting_Log[Agreed Action],SMALL(IF((Meeting_Log[Topic Key]&lt;&gt;"")*(Meeting_Log[Meeting Date]=$C$5)*(COUNTIFS(Meeting_Log[Topic Key],Meeting_Log[Topic Key],Meeting_Log[Meeting Date],"&lt;"&amp;$C$5)=0),ROW(Meeting_Log[Topic Key])-7),3)),"")</f>
        <v/>
      </c>
      <c r="F22" s="20">
        <f t="array" ref="F22">IFERROR(INDEX(Meeting_Log[Owner],SMALL(IF((Meeting_Log[Topic Key]&lt;&gt;"")*(Meeting_Log[Meeting Date]=$C$5)*(COUNTIFS(Meeting_Log[Topic Key],Meeting_Log[Topic Key],Meeting_Log[Meeting Date],"&lt;"&amp;$C$5)=0),ROW(Meeting_Log[Topic Key])-7),3)),"")</f>
        <v/>
      </c>
      <c r="G22" s="21">
        <f t="array" ref="G22">IFERROR(INDEX(Meeting_Log[Due Date],SMALL(IF((Meeting_Log[Topic Key]&lt;&gt;"")*(Meeting_Log[Meeting Date]=$C$5)*(COUNTIFS(Meeting_Log[Topic Key],Meeting_Log[Topic Key],Meeting_Log[Meeting Date],"&lt;"&amp;$C$5)=0),ROW(Meeting_Log[Topic Key])-7),3)),"")</f>
        <v/>
      </c>
      <c r="H22" s="20">
        <f t="array" ref="H22">IFERROR(INDEX(Meeting_Log[Status],SMALL(IF((Meeting_Log[Topic Key]&lt;&gt;"")*(Meeting_Log[Meeting Date]=$C$5)*(COUNTIFS(Meeting_Log[Topic Key],Meeting_Log[Topic Key],Meeting_Log[Meeting Date],"&lt;"&amp;$C$5)=0),ROW(Meeting_Log[Topic Key])-7),3)),"")</f>
        <v/>
      </c>
    </row>
    <row r="23" ht="26" customHeight="1">
      <c r="B23" s="22">
        <f t="array" ref="B23">IFERROR(INDEX(Meeting_Log[Subject],SMALL(IF((Meeting_Log[Topic Key]&lt;&gt;"")*(Meeting_Log[Meeting Date]=$C$5)*(COUNTIFS(Meeting_Log[Topic Key],Meeting_Log[Topic Key],Meeting_Log[Meeting Date],"&lt;"&amp;$C$5)=0),ROW(Meeting_Log[Topic Key])-7),4)),"")</f>
        <v/>
      </c>
      <c r="C23" s="22">
        <f t="array" ref="C23">IFERROR(INDEX(Meeting_Log[Sub-topic],SMALL(IF((Meeting_Log[Topic Key]&lt;&gt;"")*(Meeting_Log[Meeting Date]=$C$5)*(COUNTIFS(Meeting_Log[Topic Key],Meeting_Log[Topic Key],Meeting_Log[Meeting Date],"&lt;"&amp;$C$5)=0),ROW(Meeting_Log[Topic Key])-7),4)),"")</f>
        <v/>
      </c>
      <c r="D23" s="22">
        <f t="array" ref="D23">IFERROR(INDEX(Meeting_Log[Discussion / Notes],SMALL(IF((Meeting_Log[Topic Key]&lt;&gt;"")*(Meeting_Log[Meeting Date]=$C$5)*(COUNTIFS(Meeting_Log[Topic Key],Meeting_Log[Topic Key],Meeting_Log[Meeting Date],"&lt;"&amp;$C$5)=0),ROW(Meeting_Log[Topic Key])-7),4)),"")</f>
        <v/>
      </c>
      <c r="E23" s="22">
        <f t="array" ref="E23">IFERROR(INDEX(Meeting_Log[Agreed Action],SMALL(IF((Meeting_Log[Topic Key]&lt;&gt;"")*(Meeting_Log[Meeting Date]=$C$5)*(COUNTIFS(Meeting_Log[Topic Key],Meeting_Log[Topic Key],Meeting_Log[Meeting Date],"&lt;"&amp;$C$5)=0),ROW(Meeting_Log[Topic Key])-7),4)),"")</f>
        <v/>
      </c>
      <c r="F23" s="22">
        <f t="array" ref="F23">IFERROR(INDEX(Meeting_Log[Owner],SMALL(IF((Meeting_Log[Topic Key]&lt;&gt;"")*(Meeting_Log[Meeting Date]=$C$5)*(COUNTIFS(Meeting_Log[Topic Key],Meeting_Log[Topic Key],Meeting_Log[Meeting Date],"&lt;"&amp;$C$5)=0),ROW(Meeting_Log[Topic Key])-7),4)),"")</f>
        <v/>
      </c>
      <c r="G23" s="23">
        <f t="array" ref="G23">IFERROR(INDEX(Meeting_Log[Due Date],SMALL(IF((Meeting_Log[Topic Key]&lt;&gt;"")*(Meeting_Log[Meeting Date]=$C$5)*(COUNTIFS(Meeting_Log[Topic Key],Meeting_Log[Topic Key],Meeting_Log[Meeting Date],"&lt;"&amp;$C$5)=0),ROW(Meeting_Log[Topic Key])-7),4)),"")</f>
        <v/>
      </c>
      <c r="H23" s="22">
        <f t="array" ref="H23">IFERROR(INDEX(Meeting_Log[Status],SMALL(IF((Meeting_Log[Topic Key]&lt;&gt;"")*(Meeting_Log[Meeting Date]=$C$5)*(COUNTIFS(Meeting_Log[Topic Key],Meeting_Log[Topic Key],Meeting_Log[Meeting Date],"&lt;"&amp;$C$5)=0),ROW(Meeting_Log[Topic Key])-7),4)),"")</f>
        <v/>
      </c>
    </row>
    <row r="24" ht="26" customHeight="1">
      <c r="B24" s="20">
        <f t="array" ref="B24">IFERROR(INDEX(Meeting_Log[Subject],SMALL(IF((Meeting_Log[Topic Key]&lt;&gt;"")*(Meeting_Log[Meeting Date]=$C$5)*(COUNTIFS(Meeting_Log[Topic Key],Meeting_Log[Topic Key],Meeting_Log[Meeting Date],"&lt;"&amp;$C$5)=0),ROW(Meeting_Log[Topic Key])-7),5)),"")</f>
        <v/>
      </c>
      <c r="C24" s="20">
        <f t="array" ref="C24">IFERROR(INDEX(Meeting_Log[Sub-topic],SMALL(IF((Meeting_Log[Topic Key]&lt;&gt;"")*(Meeting_Log[Meeting Date]=$C$5)*(COUNTIFS(Meeting_Log[Topic Key],Meeting_Log[Topic Key],Meeting_Log[Meeting Date],"&lt;"&amp;$C$5)=0),ROW(Meeting_Log[Topic Key])-7),5)),"")</f>
        <v/>
      </c>
      <c r="D24" s="20">
        <f t="array" ref="D24">IFERROR(INDEX(Meeting_Log[Discussion / Notes],SMALL(IF((Meeting_Log[Topic Key]&lt;&gt;"")*(Meeting_Log[Meeting Date]=$C$5)*(COUNTIFS(Meeting_Log[Topic Key],Meeting_Log[Topic Key],Meeting_Log[Meeting Date],"&lt;"&amp;$C$5)=0),ROW(Meeting_Log[Topic Key])-7),5)),"")</f>
        <v/>
      </c>
      <c r="E24" s="20">
        <f t="array" ref="E24">IFERROR(INDEX(Meeting_Log[Agreed Action],SMALL(IF((Meeting_Log[Topic Key]&lt;&gt;"")*(Meeting_Log[Meeting Date]=$C$5)*(COUNTIFS(Meeting_Log[Topic Key],Meeting_Log[Topic Key],Meeting_Log[Meeting Date],"&lt;"&amp;$C$5)=0),ROW(Meeting_Log[Topic Key])-7),5)),"")</f>
        <v/>
      </c>
      <c r="F24" s="20">
        <f t="array" ref="F24">IFERROR(INDEX(Meeting_Log[Owner],SMALL(IF((Meeting_Log[Topic Key]&lt;&gt;"")*(Meeting_Log[Meeting Date]=$C$5)*(COUNTIFS(Meeting_Log[Topic Key],Meeting_Log[Topic Key],Meeting_Log[Meeting Date],"&lt;"&amp;$C$5)=0),ROW(Meeting_Log[Topic Key])-7),5)),"")</f>
        <v/>
      </c>
      <c r="G24" s="21">
        <f t="array" ref="G24">IFERROR(INDEX(Meeting_Log[Due Date],SMALL(IF((Meeting_Log[Topic Key]&lt;&gt;"")*(Meeting_Log[Meeting Date]=$C$5)*(COUNTIFS(Meeting_Log[Topic Key],Meeting_Log[Topic Key],Meeting_Log[Meeting Date],"&lt;"&amp;$C$5)=0),ROW(Meeting_Log[Topic Key])-7),5)),"")</f>
        <v/>
      </c>
      <c r="H24" s="20">
        <f t="array" ref="H24">IFERROR(INDEX(Meeting_Log[Status],SMALL(IF((Meeting_Log[Topic Key]&lt;&gt;"")*(Meeting_Log[Meeting Date]=$C$5)*(COUNTIFS(Meeting_Log[Topic Key],Meeting_Log[Topic Key],Meeting_Log[Meeting Date],"&lt;"&amp;$C$5)=0),ROW(Meeting_Log[Topic Key])-7),5)),"")</f>
        <v/>
      </c>
    </row>
    <row r="25" ht="26" customHeight="1">
      <c r="B25" s="22">
        <f t="array" ref="B25">IFERROR(INDEX(Meeting_Log[Subject],SMALL(IF((Meeting_Log[Topic Key]&lt;&gt;"")*(Meeting_Log[Meeting Date]=$C$5)*(COUNTIFS(Meeting_Log[Topic Key],Meeting_Log[Topic Key],Meeting_Log[Meeting Date],"&lt;"&amp;$C$5)=0),ROW(Meeting_Log[Topic Key])-7),6)),"")</f>
        <v/>
      </c>
      <c r="C25" s="22">
        <f t="array" ref="C25">IFERROR(INDEX(Meeting_Log[Sub-topic],SMALL(IF((Meeting_Log[Topic Key]&lt;&gt;"")*(Meeting_Log[Meeting Date]=$C$5)*(COUNTIFS(Meeting_Log[Topic Key],Meeting_Log[Topic Key],Meeting_Log[Meeting Date],"&lt;"&amp;$C$5)=0),ROW(Meeting_Log[Topic Key])-7),6)),"")</f>
        <v/>
      </c>
      <c r="D25" s="22">
        <f t="array" ref="D25">IFERROR(INDEX(Meeting_Log[Discussion / Notes],SMALL(IF((Meeting_Log[Topic Key]&lt;&gt;"")*(Meeting_Log[Meeting Date]=$C$5)*(COUNTIFS(Meeting_Log[Topic Key],Meeting_Log[Topic Key],Meeting_Log[Meeting Date],"&lt;"&amp;$C$5)=0),ROW(Meeting_Log[Topic Key])-7),6)),"")</f>
        <v/>
      </c>
      <c r="E25" s="22">
        <f t="array" ref="E25">IFERROR(INDEX(Meeting_Log[Agreed Action],SMALL(IF((Meeting_Log[Topic Key]&lt;&gt;"")*(Meeting_Log[Meeting Date]=$C$5)*(COUNTIFS(Meeting_Log[Topic Key],Meeting_Log[Topic Key],Meeting_Log[Meeting Date],"&lt;"&amp;$C$5)=0),ROW(Meeting_Log[Topic Key])-7),6)),"")</f>
        <v/>
      </c>
      <c r="F25" s="22">
        <f t="array" ref="F25">IFERROR(INDEX(Meeting_Log[Owner],SMALL(IF((Meeting_Log[Topic Key]&lt;&gt;"")*(Meeting_Log[Meeting Date]=$C$5)*(COUNTIFS(Meeting_Log[Topic Key],Meeting_Log[Topic Key],Meeting_Log[Meeting Date],"&lt;"&amp;$C$5)=0),ROW(Meeting_Log[Topic Key])-7),6)),"")</f>
        <v/>
      </c>
      <c r="G25" s="23">
        <f t="array" ref="G25">IFERROR(INDEX(Meeting_Log[Due Date],SMALL(IF((Meeting_Log[Topic Key]&lt;&gt;"")*(Meeting_Log[Meeting Date]=$C$5)*(COUNTIFS(Meeting_Log[Topic Key],Meeting_Log[Topic Key],Meeting_Log[Meeting Date],"&lt;"&amp;$C$5)=0),ROW(Meeting_Log[Topic Key])-7),6)),"")</f>
        <v/>
      </c>
      <c r="H25" s="22">
        <f t="array" ref="H25">IFERROR(INDEX(Meeting_Log[Status],SMALL(IF((Meeting_Log[Topic Key]&lt;&gt;"")*(Meeting_Log[Meeting Date]=$C$5)*(COUNTIFS(Meeting_Log[Topic Key],Meeting_Log[Topic Key],Meeting_Log[Meeting Date],"&lt;"&amp;$C$5)=0),ROW(Meeting_Log[Topic Key])-7),6)),"")</f>
        <v/>
      </c>
    </row>
    <row r="27" ht="22" customHeight="1">
      <c r="B27" s="18" t="inlineStr">
        <is>
          <t>3. ACTION SUMMARY</t>
        </is>
      </c>
      <c r="C27" s="18" t="n"/>
      <c r="D27" s="18" t="n"/>
      <c r="E27" s="18" t="n"/>
      <c r="F27" s="18" t="n"/>
    </row>
    <row r="28">
      <c r="B28" s="19" t="inlineStr">
        <is>
          <t>Action</t>
        </is>
      </c>
      <c r="C28" s="19" t="inlineStr">
        <is>
          <t>Owner</t>
        </is>
      </c>
      <c r="D28" s="19" t="inlineStr">
        <is>
          <t>Due Date</t>
        </is>
      </c>
      <c r="E28" s="19" t="inlineStr">
        <is>
          <t>Status</t>
        </is>
      </c>
      <c r="F28" s="19" t="inlineStr">
        <is>
          <t>Priority</t>
        </is>
      </c>
    </row>
    <row r="29" ht="26" customHeight="1">
      <c r="B29" s="20">
        <f t="array" ref="B29">IFERROR(INDEX(Meeting_Log[Agreed Action],SMALL(IF((Meeting_Log[Topic Key]&lt;&gt;"")*(Meeting_Log[Meeting Date]=$C$5),ROW(Meeting_Log[Topic Key])-7),1)),"")</f>
        <v/>
      </c>
      <c r="C29" s="20">
        <f t="array" ref="C29">IFERROR(INDEX(Meeting_Log[Owner],SMALL(IF((Meeting_Log[Topic Key]&lt;&gt;"")*(Meeting_Log[Meeting Date]=$C$5),ROW(Meeting_Log[Topic Key])-7),1)),"")</f>
        <v/>
      </c>
      <c r="D29" s="21">
        <f t="array" ref="D29">IFERROR(INDEX(Meeting_Log[Due Date],SMALL(IF((Meeting_Log[Topic Key]&lt;&gt;"")*(Meeting_Log[Meeting Date]=$C$5),ROW(Meeting_Log[Topic Key])-7),1)),"")</f>
        <v/>
      </c>
      <c r="E29" s="20">
        <f t="array" ref="E29">IFERROR(INDEX(Meeting_Log[Status],SMALL(IF((Meeting_Log[Topic Key]&lt;&gt;"")*(Meeting_Log[Meeting Date]=$C$5),ROW(Meeting_Log[Topic Key])-7),1)),"")</f>
        <v/>
      </c>
      <c r="F29" s="20">
        <f t="array" ref="F29">IFERROR(INDEX(Meeting_Log[Priority],SMALL(IF((Meeting_Log[Topic Key]&lt;&gt;"")*(Meeting_Log[Meeting Date]=$C$5),ROW(Meeting_Log[Topic Key])-7),1)),"")</f>
        <v/>
      </c>
    </row>
    <row r="30" ht="26" customHeight="1">
      <c r="B30" s="22">
        <f t="array" ref="B30">IFERROR(INDEX(Meeting_Log[Agreed Action],SMALL(IF((Meeting_Log[Topic Key]&lt;&gt;"")*(Meeting_Log[Meeting Date]=$C$5),ROW(Meeting_Log[Topic Key])-7),2)),"")</f>
        <v/>
      </c>
      <c r="C30" s="22">
        <f t="array" ref="C30">IFERROR(INDEX(Meeting_Log[Owner],SMALL(IF((Meeting_Log[Topic Key]&lt;&gt;"")*(Meeting_Log[Meeting Date]=$C$5),ROW(Meeting_Log[Topic Key])-7),2)),"")</f>
        <v/>
      </c>
      <c r="D30" s="23">
        <f t="array" ref="D30">IFERROR(INDEX(Meeting_Log[Due Date],SMALL(IF((Meeting_Log[Topic Key]&lt;&gt;"")*(Meeting_Log[Meeting Date]=$C$5),ROW(Meeting_Log[Topic Key])-7),2)),"")</f>
        <v/>
      </c>
      <c r="E30" s="22">
        <f t="array" ref="E30">IFERROR(INDEX(Meeting_Log[Status],SMALL(IF((Meeting_Log[Topic Key]&lt;&gt;"")*(Meeting_Log[Meeting Date]=$C$5),ROW(Meeting_Log[Topic Key])-7),2)),"")</f>
        <v/>
      </c>
      <c r="F30" s="22">
        <f t="array" ref="F30">IFERROR(INDEX(Meeting_Log[Priority],SMALL(IF((Meeting_Log[Topic Key]&lt;&gt;"")*(Meeting_Log[Meeting Date]=$C$5),ROW(Meeting_Log[Topic Key])-7),2)),"")</f>
        <v/>
      </c>
    </row>
    <row r="31" ht="26" customHeight="1">
      <c r="B31" s="20">
        <f t="array" ref="B31">IFERROR(INDEX(Meeting_Log[Agreed Action],SMALL(IF((Meeting_Log[Topic Key]&lt;&gt;"")*(Meeting_Log[Meeting Date]=$C$5),ROW(Meeting_Log[Topic Key])-7),3)),"")</f>
        <v/>
      </c>
      <c r="C31" s="20">
        <f t="array" ref="C31">IFERROR(INDEX(Meeting_Log[Owner],SMALL(IF((Meeting_Log[Topic Key]&lt;&gt;"")*(Meeting_Log[Meeting Date]=$C$5),ROW(Meeting_Log[Topic Key])-7),3)),"")</f>
        <v/>
      </c>
      <c r="D31" s="21">
        <f t="array" ref="D31">IFERROR(INDEX(Meeting_Log[Due Date],SMALL(IF((Meeting_Log[Topic Key]&lt;&gt;"")*(Meeting_Log[Meeting Date]=$C$5),ROW(Meeting_Log[Topic Key])-7),3)),"")</f>
        <v/>
      </c>
      <c r="E31" s="20">
        <f t="array" ref="E31">IFERROR(INDEX(Meeting_Log[Status],SMALL(IF((Meeting_Log[Topic Key]&lt;&gt;"")*(Meeting_Log[Meeting Date]=$C$5),ROW(Meeting_Log[Topic Key])-7),3)),"")</f>
        <v/>
      </c>
      <c r="F31" s="20">
        <f t="array" ref="F31">IFERROR(INDEX(Meeting_Log[Priority],SMALL(IF((Meeting_Log[Topic Key]&lt;&gt;"")*(Meeting_Log[Meeting Date]=$C$5),ROW(Meeting_Log[Topic Key])-7),3)),"")</f>
        <v/>
      </c>
    </row>
    <row r="32" ht="26" customHeight="1">
      <c r="B32" s="22">
        <f t="array" ref="B32">IFERROR(INDEX(Meeting_Log[Agreed Action],SMALL(IF((Meeting_Log[Topic Key]&lt;&gt;"")*(Meeting_Log[Meeting Date]=$C$5),ROW(Meeting_Log[Topic Key])-7),4)),"")</f>
        <v/>
      </c>
      <c r="C32" s="22">
        <f t="array" ref="C32">IFERROR(INDEX(Meeting_Log[Owner],SMALL(IF((Meeting_Log[Topic Key]&lt;&gt;"")*(Meeting_Log[Meeting Date]=$C$5),ROW(Meeting_Log[Topic Key])-7),4)),"")</f>
        <v/>
      </c>
      <c r="D32" s="23">
        <f t="array" ref="D32">IFERROR(INDEX(Meeting_Log[Due Date],SMALL(IF((Meeting_Log[Topic Key]&lt;&gt;"")*(Meeting_Log[Meeting Date]=$C$5),ROW(Meeting_Log[Topic Key])-7),4)),"")</f>
        <v/>
      </c>
      <c r="E32" s="22">
        <f t="array" ref="E32">IFERROR(INDEX(Meeting_Log[Status],SMALL(IF((Meeting_Log[Topic Key]&lt;&gt;"")*(Meeting_Log[Meeting Date]=$C$5),ROW(Meeting_Log[Topic Key])-7),4)),"")</f>
        <v/>
      </c>
      <c r="F32" s="22">
        <f t="array" ref="F32">IFERROR(INDEX(Meeting_Log[Priority],SMALL(IF((Meeting_Log[Topic Key]&lt;&gt;"")*(Meeting_Log[Meeting Date]=$C$5),ROW(Meeting_Log[Topic Key])-7),4)),"")</f>
        <v/>
      </c>
    </row>
    <row r="33" ht="26" customHeight="1">
      <c r="B33" s="20">
        <f t="array" ref="B33">IFERROR(INDEX(Meeting_Log[Agreed Action],SMALL(IF((Meeting_Log[Topic Key]&lt;&gt;"")*(Meeting_Log[Meeting Date]=$C$5),ROW(Meeting_Log[Topic Key])-7),5)),"")</f>
        <v/>
      </c>
      <c r="C33" s="20">
        <f t="array" ref="C33">IFERROR(INDEX(Meeting_Log[Owner],SMALL(IF((Meeting_Log[Topic Key]&lt;&gt;"")*(Meeting_Log[Meeting Date]=$C$5),ROW(Meeting_Log[Topic Key])-7),5)),"")</f>
        <v/>
      </c>
      <c r="D33" s="21">
        <f t="array" ref="D33">IFERROR(INDEX(Meeting_Log[Due Date],SMALL(IF((Meeting_Log[Topic Key]&lt;&gt;"")*(Meeting_Log[Meeting Date]=$C$5),ROW(Meeting_Log[Topic Key])-7),5)),"")</f>
        <v/>
      </c>
      <c r="E33" s="20">
        <f t="array" ref="E33">IFERROR(INDEX(Meeting_Log[Status],SMALL(IF((Meeting_Log[Topic Key]&lt;&gt;"")*(Meeting_Log[Meeting Date]=$C$5),ROW(Meeting_Log[Topic Key])-7),5)),"")</f>
        <v/>
      </c>
      <c r="F33" s="20">
        <f t="array" ref="F33">IFERROR(INDEX(Meeting_Log[Priority],SMALL(IF((Meeting_Log[Topic Key]&lt;&gt;"")*(Meeting_Log[Meeting Date]=$C$5),ROW(Meeting_Log[Topic Key])-7),5)),"")</f>
        <v/>
      </c>
    </row>
    <row r="34" ht="26" customHeight="1">
      <c r="B34" s="22">
        <f t="array" ref="B34">IFERROR(INDEX(Meeting_Log[Agreed Action],SMALL(IF((Meeting_Log[Topic Key]&lt;&gt;"")*(Meeting_Log[Meeting Date]=$C$5),ROW(Meeting_Log[Topic Key])-7),6)),"")</f>
        <v/>
      </c>
      <c r="C34" s="22">
        <f t="array" ref="C34">IFERROR(INDEX(Meeting_Log[Owner],SMALL(IF((Meeting_Log[Topic Key]&lt;&gt;"")*(Meeting_Log[Meeting Date]=$C$5),ROW(Meeting_Log[Topic Key])-7),6)),"")</f>
        <v/>
      </c>
      <c r="D34" s="23">
        <f t="array" ref="D34">IFERROR(INDEX(Meeting_Log[Due Date],SMALL(IF((Meeting_Log[Topic Key]&lt;&gt;"")*(Meeting_Log[Meeting Date]=$C$5),ROW(Meeting_Log[Topic Key])-7),6)),"")</f>
        <v/>
      </c>
      <c r="E34" s="22">
        <f t="array" ref="E34">IFERROR(INDEX(Meeting_Log[Status],SMALL(IF((Meeting_Log[Topic Key]&lt;&gt;"")*(Meeting_Log[Meeting Date]=$C$5),ROW(Meeting_Log[Topic Key])-7),6)),"")</f>
        <v/>
      </c>
      <c r="F34" s="22">
        <f t="array" ref="F34">IFERROR(INDEX(Meeting_Log[Priority],SMALL(IF((Meeting_Log[Topic Key]&lt;&gt;"")*(Meeting_Log[Meeting Date]=$C$5),ROW(Meeting_Log[Topic Key])-7),6)),"")</f>
        <v/>
      </c>
    </row>
    <row r="35" ht="26" customHeight="1">
      <c r="B35" s="20">
        <f t="array" ref="B35">IFERROR(INDEX(Meeting_Log[Agreed Action],SMALL(IF((Meeting_Log[Topic Key]&lt;&gt;"")*(Meeting_Log[Meeting Date]=$C$5),ROW(Meeting_Log[Topic Key])-7),7)),"")</f>
        <v/>
      </c>
      <c r="C35" s="20">
        <f t="array" ref="C35">IFERROR(INDEX(Meeting_Log[Owner],SMALL(IF((Meeting_Log[Topic Key]&lt;&gt;"")*(Meeting_Log[Meeting Date]=$C$5),ROW(Meeting_Log[Topic Key])-7),7)),"")</f>
        <v/>
      </c>
      <c r="D35" s="21">
        <f t="array" ref="D35">IFERROR(INDEX(Meeting_Log[Due Date],SMALL(IF((Meeting_Log[Topic Key]&lt;&gt;"")*(Meeting_Log[Meeting Date]=$C$5),ROW(Meeting_Log[Topic Key])-7),7)),"")</f>
        <v/>
      </c>
      <c r="E35" s="20">
        <f t="array" ref="E35">IFERROR(INDEX(Meeting_Log[Status],SMALL(IF((Meeting_Log[Topic Key]&lt;&gt;"")*(Meeting_Log[Meeting Date]=$C$5),ROW(Meeting_Log[Topic Key])-7),7)),"")</f>
        <v/>
      </c>
      <c r="F35" s="20">
        <f t="array" ref="F35">IFERROR(INDEX(Meeting_Log[Priority],SMALL(IF((Meeting_Log[Topic Key]&lt;&gt;"")*(Meeting_Log[Meeting Date]=$C$5),ROW(Meeting_Log[Topic Key])-7),7)),"")</f>
        <v/>
      </c>
    </row>
    <row r="36" ht="26" customHeight="1">
      <c r="B36" s="22">
        <f t="array" ref="B36">IFERROR(INDEX(Meeting_Log[Agreed Action],SMALL(IF((Meeting_Log[Topic Key]&lt;&gt;"")*(Meeting_Log[Meeting Date]=$C$5),ROW(Meeting_Log[Topic Key])-7),8)),"")</f>
        <v/>
      </c>
      <c r="C36" s="22">
        <f t="array" ref="C36">IFERROR(INDEX(Meeting_Log[Owner],SMALL(IF((Meeting_Log[Topic Key]&lt;&gt;"")*(Meeting_Log[Meeting Date]=$C$5),ROW(Meeting_Log[Topic Key])-7),8)),"")</f>
        <v/>
      </c>
      <c r="D36" s="23">
        <f t="array" ref="D36">IFERROR(INDEX(Meeting_Log[Due Date],SMALL(IF((Meeting_Log[Topic Key]&lt;&gt;"")*(Meeting_Log[Meeting Date]=$C$5),ROW(Meeting_Log[Topic Key])-7),8)),"")</f>
        <v/>
      </c>
      <c r="E36" s="22">
        <f t="array" ref="E36">IFERROR(INDEX(Meeting_Log[Status],SMALL(IF((Meeting_Log[Topic Key]&lt;&gt;"")*(Meeting_Log[Meeting Date]=$C$5),ROW(Meeting_Log[Topic Key])-7),8)),"")</f>
        <v/>
      </c>
      <c r="F36" s="22">
        <f t="array" ref="F36">IFERROR(INDEX(Meeting_Log[Priority],SMALL(IF((Meeting_Log[Topic Key]&lt;&gt;"")*(Meeting_Log[Meeting Date]=$C$5),ROW(Meeting_Log[Topic Key])-7),8)),"")</f>
        <v/>
      </c>
    </row>
    <row r="38" ht="22" customHeight="1">
      <c r="B38" s="18" t="inlineStr">
        <is>
          <t>4. OPEN / OVERDUE ACTIONS</t>
        </is>
      </c>
      <c r="C38" s="18" t="n"/>
      <c r="D38" s="18" t="n"/>
      <c r="E38" s="18" t="n"/>
      <c r="F38" s="18" t="n"/>
    </row>
    <row r="39">
      <c r="B39" s="19" t="inlineStr">
        <is>
          <t>Subject</t>
        </is>
      </c>
      <c r="C39" s="19" t="inlineStr">
        <is>
          <t>Action</t>
        </is>
      </c>
      <c r="D39" s="19" t="inlineStr">
        <is>
          <t>Owner</t>
        </is>
      </c>
      <c r="E39" s="19" t="inlineStr">
        <is>
          <t>Due Date</t>
        </is>
      </c>
      <c r="F39" s="19" t="inlineStr">
        <is>
          <t>Status</t>
        </is>
      </c>
    </row>
    <row r="40" ht="26" customHeight="1">
      <c r="B40" s="20">
        <f t="array" ref="B40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  <c r="C40" s="20">
        <f t="array" ref="C40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  <c r="D40" s="20">
        <f t="array" ref="D40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  <c r="E40" s="21">
        <f t="array" ref="E40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  <c r="F40" s="20">
        <f t="array" ref="F40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Key])-7),1)),"")</f>
        <v/>
      </c>
    </row>
    <row r="41" ht="26" customHeight="1">
      <c r="B41" s="22">
        <f t="array" ref="B41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  <c r="C41" s="22">
        <f t="array" ref="C41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  <c r="D41" s="22">
        <f t="array" ref="D41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  <c r="E41" s="23">
        <f t="array" ref="E41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  <c r="F41" s="22">
        <f t="array" ref="F41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Key])-7),2)),"")</f>
        <v/>
      </c>
    </row>
    <row r="42" ht="26" customHeight="1">
      <c r="B42" s="20">
        <f t="array" ref="B42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  <c r="C42" s="20">
        <f t="array" ref="C42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  <c r="D42" s="20">
        <f t="array" ref="D42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  <c r="E42" s="21">
        <f t="array" ref="E42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  <c r="F42" s="20">
        <f t="array" ref="F42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Key])-7),3)),"")</f>
        <v/>
      </c>
    </row>
    <row r="43" ht="26" customHeight="1">
      <c r="B43" s="22">
        <f t="array" ref="B43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  <c r="C43" s="22">
        <f t="array" ref="C43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  <c r="D43" s="22">
        <f t="array" ref="D43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  <c r="E43" s="23">
        <f t="array" ref="E43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  <c r="F43" s="22">
        <f t="array" ref="F43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Key])-7),4)),"")</f>
        <v/>
      </c>
    </row>
    <row r="44" ht="26" customHeight="1">
      <c r="B44" s="20">
        <f t="array" ref="B44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  <c r="C44" s="20">
        <f t="array" ref="C44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  <c r="D44" s="20">
        <f t="array" ref="D44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  <c r="E44" s="21">
        <f t="array" ref="E44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  <c r="F44" s="20">
        <f t="array" ref="F44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Key])-7),5)),"")</f>
        <v/>
      </c>
    </row>
    <row r="45" ht="26" customHeight="1">
      <c r="B45" s="22">
        <f t="array" ref="B45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  <c r="C45" s="22">
        <f t="array" ref="C45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  <c r="D45" s="22">
        <f t="array" ref="D45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  <c r="E45" s="23">
        <f t="array" ref="E45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  <c r="F45" s="22">
        <f t="array" ref="F45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Key])-7),6)),"")</f>
        <v/>
      </c>
    </row>
    <row r="46" ht="26" customHeight="1">
      <c r="B46" s="20">
        <f t="array" ref="B46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  <c r="C46" s="20">
        <f t="array" ref="C46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  <c r="D46" s="20">
        <f t="array" ref="D46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  <c r="E46" s="21">
        <f t="array" ref="E46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  <c r="F46" s="20">
        <f t="array" ref="F46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Key])-7),7)),"")</f>
        <v/>
      </c>
    </row>
    <row r="47" ht="26" customHeight="1">
      <c r="B47" s="22">
        <f t="array" ref="B47">IFERROR(INDEX(Meeting_Log[Subject],SMALL(IF((Meeting_Log[Topic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  <c r="C47" s="22">
        <f t="array" ref="C47">IFERROR(INDEX(Meeting_Log[Agreed Action],SMALL(IF((Meeting_Log[Topic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  <c r="D47" s="22">
        <f t="array" ref="D47">IFERROR(INDEX(Meeting_Log[Owner],SMALL(IF((Meeting_Log[Topic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  <c r="E47" s="23">
        <f t="array" ref="E47">IFERROR(INDEX(Meeting_Log[Due Date],SMALL(IF((Meeting_Log[Topic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  <c r="F47" s="22">
        <f t="array" ref="F47">IFERROR(INDEX(Meeting_Log[Status],SMALL(IF((Meeting_Log[Topic Key]&lt;&gt;"")*(Meeting_Log[Meeting Date]&lt;=$C$5)*(Meeting_Log[Meeting Date]=_xlfn.MAXIFS(Meeting_Log[Meeting Date],Meeting_Log[Topic Key],Meeting_Log[Topic Key],Meeting_Log[Meeting Date],"&lt;="&amp;$C$5))*(Meeting_Log[Status]&lt;&gt;"Closed")*(Meeting_Log[Status]&lt;&gt;"Cancelled")*(Meeting_Log[Due Date]&lt;$C$5),ROW(Meeting_Log[Topic Key])-7),8)),"")</f>
        <v/>
      </c>
    </row>
    <row r="49">
      <c r="B49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Meeting Report</t>
        </is>
      </c>
      <c r="E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16" customHeight="1">
      <c r="B3" s="4" t="inlineStr">
        <is>
          <t>Dropdown values used on Meeting Log. Add or remove values here - every dropdown updates automatically. No formulas here need to change.</t>
        </is>
      </c>
    </row>
    <row r="5" ht="22" customHeight="1">
      <c r="B5" s="28" t="inlineStr">
        <is>
          <t>Subject</t>
        </is>
      </c>
      <c r="C5" s="28" t="inlineStr">
        <is>
          <t>Sub-topic</t>
        </is>
      </c>
      <c r="D5" s="28" t="inlineStr">
        <is>
          <t>Owner</t>
        </is>
      </c>
      <c r="E5" s="28" t="inlineStr">
        <is>
          <t>Status</t>
        </is>
      </c>
      <c r="F5" s="28" t="inlineStr">
        <is>
          <t>Priority</t>
        </is>
      </c>
      <c r="G5" s="28" t="inlineStr">
        <is>
          <t>Meeting Type</t>
        </is>
      </c>
    </row>
    <row r="6">
      <c r="B6" s="29" t="inlineStr">
        <is>
          <t>Commissioning Planning</t>
        </is>
      </c>
      <c r="C6" s="29" t="inlineStr">
        <is>
          <t>Planning</t>
        </is>
      </c>
      <c r="D6" s="29" t="inlineStr">
        <is>
          <t>Commissioning</t>
        </is>
      </c>
      <c r="E6" s="29" t="inlineStr">
        <is>
          <t>Open</t>
        </is>
      </c>
      <c r="F6" s="29" t="inlineStr">
        <is>
          <t>Low</t>
        </is>
      </c>
      <c r="G6" s="29" t="inlineStr">
        <is>
          <t>Weekly</t>
        </is>
      </c>
    </row>
    <row r="7">
      <c r="B7" s="30" t="inlineStr">
        <is>
          <t>Site / Field Activities</t>
        </is>
      </c>
      <c r="C7" s="30" t="inlineStr">
        <is>
          <t>Progress</t>
        </is>
      </c>
      <c r="D7" s="30" t="inlineStr">
        <is>
          <t>Engineering</t>
        </is>
      </c>
      <c r="E7" s="30" t="inlineStr">
        <is>
          <t>In Progress</t>
        </is>
      </c>
      <c r="F7" s="30" t="inlineStr">
        <is>
          <t>Medium</t>
        </is>
      </c>
      <c r="G7" s="30" t="inlineStr">
        <is>
          <t>Monthly</t>
        </is>
      </c>
    </row>
    <row r="8">
      <c r="B8" s="29" t="inlineStr">
        <is>
          <t>Documentation</t>
        </is>
      </c>
      <c r="C8" s="29" t="inlineStr">
        <is>
          <t>Preparation</t>
        </is>
      </c>
      <c r="D8" s="29" t="inlineStr">
        <is>
          <t>Construction</t>
        </is>
      </c>
      <c r="E8" s="29" t="inlineStr">
        <is>
          <t>Closed</t>
        </is>
      </c>
      <c r="F8" s="29" t="inlineStr">
        <is>
          <t>High</t>
        </is>
      </c>
      <c r="G8" s="29" t="inlineStr">
        <is>
          <t>Ad hoc</t>
        </is>
      </c>
    </row>
    <row r="9">
      <c r="B9" s="30" t="inlineStr">
        <is>
          <t>Testing / Results</t>
        </is>
      </c>
      <c r="C9" s="30" t="inlineStr">
        <is>
          <t>Execution</t>
        </is>
      </c>
      <c r="D9" s="30" t="inlineStr">
        <is>
          <t>Quality</t>
        </is>
      </c>
      <c r="E9" s="30" t="inlineStr">
        <is>
          <t>On Hold</t>
        </is>
      </c>
      <c r="F9" s="30" t="inlineStr">
        <is>
          <t>Critical</t>
        </is>
      </c>
    </row>
    <row r="10">
      <c r="B10" s="29" t="inlineStr">
        <is>
          <t>Interfaces</t>
        </is>
      </c>
      <c r="C10" s="29" t="inlineStr">
        <is>
          <t>Testing</t>
        </is>
      </c>
      <c r="D10" s="29" t="inlineStr">
        <is>
          <t>HSE</t>
        </is>
      </c>
      <c r="E10" s="29" t="inlineStr">
        <is>
          <t>Cancelled</t>
        </is>
      </c>
    </row>
    <row r="11">
      <c r="B11" s="30" t="inlineStr">
        <is>
          <t>Engineering</t>
        </is>
      </c>
      <c r="C11" s="30" t="inlineStr">
        <is>
          <t>Punch List</t>
        </is>
      </c>
      <c r="D11" s="30" t="inlineStr">
        <is>
          <t>Planning</t>
        </is>
      </c>
    </row>
    <row r="12">
      <c r="B12" s="29" t="inlineStr">
        <is>
          <t>Quality</t>
        </is>
      </c>
      <c r="C12" s="29" t="inlineStr">
        <is>
          <t>Documentation</t>
        </is>
      </c>
      <c r="D12" s="29" t="inlineStr">
        <is>
          <t>Document Control</t>
        </is>
      </c>
    </row>
    <row r="13">
      <c r="B13" s="30" t="inlineStr">
        <is>
          <t>Safety</t>
        </is>
      </c>
      <c r="C13" s="30" t="inlineStr">
        <is>
          <t>NCR / Quality</t>
        </is>
      </c>
      <c r="D13" s="30" t="inlineStr">
        <is>
          <t>Project Team</t>
        </is>
      </c>
    </row>
    <row r="14">
      <c r="B14" s="29" t="inlineStr">
        <is>
          <t>Resources / Manpower</t>
        </is>
      </c>
      <c r="C14" s="29" t="inlineStr">
        <is>
          <t>Design / Engineering</t>
        </is>
      </c>
      <c r="D14" s="29" t="inlineStr">
        <is>
          <t>Other</t>
        </is>
      </c>
    </row>
    <row r="15">
      <c r="B15" s="30" t="inlineStr">
        <is>
          <t>Schedule</t>
        </is>
      </c>
      <c r="C15" s="30" t="inlineStr">
        <is>
          <t>Interface</t>
        </is>
      </c>
    </row>
    <row r="16">
      <c r="B16" s="29" t="inlineStr">
        <is>
          <t>Other</t>
        </is>
      </c>
      <c r="C16" s="29" t="inlineStr">
        <is>
          <t>Resource</t>
        </is>
      </c>
    </row>
    <row r="17">
      <c r="C17" s="30" t="inlineStr">
        <is>
          <t>Schedule</t>
        </is>
      </c>
    </row>
    <row r="18">
      <c r="C18" s="29" t="inlineStr">
        <is>
          <t>Risk / Issue</t>
        </is>
      </c>
    </row>
    <row r="19">
      <c r="C19" s="30" t="inlineStr">
        <is>
          <t>Decision</t>
        </is>
      </c>
    </row>
    <row r="20">
      <c r="C20" s="29" t="inlineStr">
        <is>
          <t>Other</t>
        </is>
      </c>
    </row>
    <row r="22">
      <c r="B2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2026-09-28T10:24:52Z</dcterms:created>
  <dcterms:modified xsi:type="dcterms:W3CDTF">2026-09-28T10:24:52Z</dcterms:modified>
</cp:coreProperties>
</file>