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bject Tracker" sheetId="2" state="visible" r:id="rId2"/>
    <sheet name="Current Meeting" sheetId="3" state="visible" r:id="rId3"/>
    <sheet name="History" sheetId="4" state="visible" r:id="rId4"/>
    <sheet name="Meeting Report" sheetId="5" state="visible" r:id="rId5"/>
    <sheet name="Lists &amp; Config" sheetId="6" state="visible" r:id="rId6"/>
  </sheets>
  <definedNames>
    <definedName name="LIST_SUBJECT">'Lists &amp; Config'!$B$6:$B$14</definedName>
    <definedName name="LIST_SUBTOPIC">'Lists &amp; Config'!$C$6:$C$7</definedName>
    <definedName name="LIST_PEOPLE">'Lists &amp; Config'!$D$6:$D$8</definedName>
    <definedName name="LIST_STATUS">'Lists &amp; Config'!$E$6:$E$9</definedName>
    <definedName name="LIST_MEETING_TYPE">'Lists &amp; Config'!$F$6:$F$8</definedName>
    <definedName name="NAME_SUBJECT_KEYS">'Subject Tracker'!$L$8:$L$57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"/>
    <numFmt numFmtId="165" formatCode="yyyy-mm-dd"/>
  </numFmts>
  <fonts count="22">
    <font>
      <name val="Calibri"/>
      <family val="2"/>
      <color theme="1"/>
      <sz val="11"/>
      <scheme val="minor"/>
    </font>
    <font>
      <name val="Arial"/>
      <color rgb="00BFD3F2"/>
      <sz val="9"/>
      <u val="single"/>
    </font>
    <font>
      <name val="Arial"/>
      <b val="1"/>
      <color rgb="00FFFFFF"/>
      <sz val="9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1A1A1A"/>
      <sz val="10"/>
    </font>
    <font>
      <name val="Arial"/>
      <i val="1"/>
      <color rgb="00595959"/>
      <sz val="9"/>
    </font>
    <font>
      <name val="Arial"/>
      <b val="1"/>
      <color rgb="001A1A1A"/>
      <sz val="10"/>
    </font>
    <font>
      <name val="Arial"/>
      <color rgb="001155CC"/>
      <sz val="10"/>
    </font>
    <font>
      <name val="Arial"/>
      <i val="1"/>
      <color rgb="00808080"/>
      <sz val="9"/>
    </font>
    <font>
      <name val="Arial"/>
      <b val="1"/>
      <color rgb="0044546A"/>
      <sz val="10"/>
    </font>
    <font>
      <name val="Arial"/>
      <b val="1"/>
      <color rgb="00FFFFFF"/>
      <sz val="11"/>
    </font>
    <font>
      <name val="Arial"/>
      <b val="1"/>
      <color rgb="0044546A"/>
      <sz val="9"/>
    </font>
    <font>
      <name val="Arial"/>
      <b val="1"/>
      <color rgb="001F3864"/>
      <sz val="11"/>
    </font>
    <font>
      <name val="Arial"/>
      <b val="1"/>
      <color rgb="001F3864"/>
      <sz val="20"/>
    </font>
    <font>
      <name val="Arial"/>
      <b val="1"/>
      <color rgb="00595959"/>
      <sz val="9"/>
    </font>
    <font>
      <name val="Arial"/>
      <b val="1"/>
      <color rgb="005B7FB5"/>
      <sz val="20"/>
    </font>
    <font>
      <name val="Arial"/>
      <b val="1"/>
      <color rgb="00B00020"/>
      <sz val="20"/>
    </font>
    <font>
      <name val="Arial"/>
      <b val="1"/>
      <color rgb="009C6500"/>
      <sz val="20"/>
    </font>
    <font>
      <name val="Arial"/>
      <b val="1"/>
      <color rgb="001E7B34"/>
      <sz val="20"/>
    </font>
    <font>
      <name val="Arial"/>
      <b val="1"/>
      <color rgb="001F3864"/>
      <sz val="13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B6EC4"/>
      </patternFill>
    </fill>
    <fill>
      <patternFill patternType="solid">
        <fgColor rgb="00F2F5FA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44546A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164" fontId="14" fillId="0" borderId="1" pivotButton="0" quotePrefix="0" xfId="0"/>
    <xf numFmtId="1" fontId="15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17" fillId="0" borderId="1" applyAlignment="1" pivotButton="0" quotePrefix="0" xfId="0">
      <alignment horizontal="center" vertical="center"/>
    </xf>
    <xf numFmtId="1" fontId="18" fillId="0" borderId="1" applyAlignment="1" pivotButton="0" quotePrefix="0" xfId="0">
      <alignment horizontal="center" vertical="center"/>
    </xf>
    <xf numFmtId="1" fontId="19" fillId="0" borderId="1" applyAlignment="1" pivotButton="0" quotePrefix="0" xfId="0">
      <alignment horizontal="center" vertical="center"/>
    </xf>
    <xf numFmtId="1" fontId="20" fillId="0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left" vertical="top" wrapText="1"/>
    </xf>
    <xf numFmtId="0" fontId="7" fillId="0" borderId="0" pivotButton="0" quotePrefix="0" xfId="0"/>
    <xf numFmtId="164" fontId="9" fillId="6" borderId="1" pivotButton="0" quotePrefix="0" xfId="0"/>
    <xf numFmtId="0" fontId="9" fillId="6" borderId="1" pivotButton="0" quotePrefix="0" xfId="0"/>
    <xf numFmtId="0" fontId="12" fillId="7" borderId="1" pivotButton="0" quotePrefix="0" xfId="0"/>
    <xf numFmtId="0" fontId="13" fillId="4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left" vertical="top" wrapText="1"/>
    </xf>
    <xf numFmtId="164" fontId="6" fillId="8" borderId="1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164" fontId="9" fillId="0" borderId="1" applyAlignment="1" pivotButton="0" quotePrefix="0" xfId="0">
      <alignment horizontal="left" vertical="top" wrapText="1"/>
    </xf>
    <xf numFmtId="164" fontId="10" fillId="5" borderId="1" applyAlignment="1" pivotButton="0" quotePrefix="0" xfId="0">
      <alignment horizontal="left" vertical="top" wrapText="1"/>
    </xf>
    <xf numFmtId="0" fontId="14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B00020"/>
      </font>
      <fill>
        <patternFill patternType="solid">
          <fgColor rgb="00FBE4E4"/>
        </patternFill>
      </fill>
    </dxf>
    <dxf>
      <font>
        <color rgb="001E7B34"/>
      </font>
      <fill>
        <patternFill patternType="solid">
          <fgColor rgb="00E2F0E4"/>
        </patternFill>
      </fill>
    </dxf>
    <dxf>
      <font>
        <i val="1"/>
        <color rgb="006E6E6E"/>
      </font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Subject_Tracker" displayName="Subject_Tracker" ref="B7:L10" headerRowCount="1">
  <autoFilter ref="B7:L10"/>
  <tableColumns count="11">
    <tableColumn id="2" name="Subject"/>
    <tableColumn id="3" name="Sub-topic"/>
    <tableColumn id="4" name="Responsible"/>
    <tableColumn id="5" name="Current Status"/>
    <tableColumn id="6" name="Current Action"/>
    <tableColumn id="7" name="Due Date"/>
    <tableColumn id="8" name="Last Meeting"/>
    <tableColumn id="9" name="Last Update Date"/>
    <tableColumn id="10" name="Added Date"/>
    <tableColumn id="11" name="Overdue?"/>
    <tableColumn id="12" name="Subject Ke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istory_Log" displayName="History_Log" ref="B7:J13" headerRowCount="1">
  <autoFilter ref="B7:J13"/>
  <tableColumns count="9">
    <tableColumn id="2" name="Subject"/>
    <tableColumn id="3" name="Meeting"/>
    <tableColumn id="4" name="Date"/>
    <tableColumn id="5" name="Discussion / Notes"/>
    <tableColumn id="6" name="Decision / Action"/>
    <tableColumn id="7" name="Owner"/>
    <tableColumn id="8" name="Due Date"/>
    <tableColumn id="9" name="Status"/>
    <tableColumn id="10" name="Added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ubject Tracker'!A1" TargetMode="External" Id="rId2" /><Relationship Type="http://schemas.openxmlformats.org/officeDocument/2006/relationships/hyperlink" Target="#'Current Meeting'!A1" TargetMode="External" Id="rId3" /><Relationship Type="http://schemas.openxmlformats.org/officeDocument/2006/relationships/hyperlink" Target="#'History'!A1" TargetMode="External" Id="rId4" /><Relationship Type="http://schemas.openxmlformats.org/officeDocument/2006/relationships/hyperlink" Target="#'Meeting Report'!A1" TargetMode="External" Id="rId5" /><Relationship Type="http://schemas.openxmlformats.org/officeDocument/2006/relationships/hyperlink" Target="#'Lists &amp; Config'!A1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ubject Tracker'!A1" TargetMode="External" Id="rId2" /><Relationship Type="http://schemas.openxmlformats.org/officeDocument/2006/relationships/hyperlink" Target="#'Current Meeting'!A1" TargetMode="External" Id="rId3" /><Relationship Type="http://schemas.openxmlformats.org/officeDocument/2006/relationships/hyperlink" Target="#'History'!A1" TargetMode="External" Id="rId4" /><Relationship Type="http://schemas.openxmlformats.org/officeDocument/2006/relationships/hyperlink" Target="#'Meeting Report'!A1" TargetMode="External" Id="rId5" /><Relationship Type="http://schemas.openxmlformats.org/officeDocument/2006/relationships/hyperlink" Target="#'Lists &amp; Config'!A1" TargetMode="External" Id="rId6" /><Relationship Type="http://schemas.openxmlformats.org/officeDocument/2006/relationships/table" Target="/xl/tables/table1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ubject Tracker'!A1" TargetMode="External" Id="rId2" /><Relationship Type="http://schemas.openxmlformats.org/officeDocument/2006/relationships/hyperlink" Target="#'Current Meeting'!A1" TargetMode="External" Id="rId3" /><Relationship Type="http://schemas.openxmlformats.org/officeDocument/2006/relationships/hyperlink" Target="#'History'!A1" TargetMode="External" Id="rId4" /><Relationship Type="http://schemas.openxmlformats.org/officeDocument/2006/relationships/hyperlink" Target="#'Meeting Report'!A1" TargetMode="External" Id="rId5" /><Relationship Type="http://schemas.openxmlformats.org/officeDocument/2006/relationships/hyperlink" Target="#'Lists &amp; Config'!A1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ubject Tracker'!A1" TargetMode="External" Id="rId2" /><Relationship Type="http://schemas.openxmlformats.org/officeDocument/2006/relationships/hyperlink" Target="#'Current Meeting'!A1" TargetMode="External" Id="rId3" /><Relationship Type="http://schemas.openxmlformats.org/officeDocument/2006/relationships/hyperlink" Target="#'History'!A1" TargetMode="External" Id="rId4" /><Relationship Type="http://schemas.openxmlformats.org/officeDocument/2006/relationships/hyperlink" Target="#'Meeting Report'!A1" TargetMode="External" Id="rId5" /><Relationship Type="http://schemas.openxmlformats.org/officeDocument/2006/relationships/hyperlink" Target="#'Lists &amp; Config'!A1" TargetMode="External" Id="rId6" /><Relationship Type="http://schemas.openxmlformats.org/officeDocument/2006/relationships/table" Target="/xl/tables/table2.xml" Id="rId7" /></Relationships>
</file>

<file path=xl/worksheets/_rels/sheet5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ubject Tracker'!A1" TargetMode="External" Id="rId2" /><Relationship Type="http://schemas.openxmlformats.org/officeDocument/2006/relationships/hyperlink" Target="#'Current Meeting'!A1" TargetMode="External" Id="rId3" /><Relationship Type="http://schemas.openxmlformats.org/officeDocument/2006/relationships/hyperlink" Target="#'History'!A1" TargetMode="External" Id="rId4" /><Relationship Type="http://schemas.openxmlformats.org/officeDocument/2006/relationships/hyperlink" Target="#'Meeting Report'!A1" TargetMode="External" Id="rId5" /><Relationship Type="http://schemas.openxmlformats.org/officeDocument/2006/relationships/hyperlink" Target="#'Lists &amp; Config'!A1" TargetMode="External" Id="rId6" /></Relationships>
</file>

<file path=xl/worksheets/_rels/sheet6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ubject Tracker'!A1" TargetMode="External" Id="rId2" /><Relationship Type="http://schemas.openxmlformats.org/officeDocument/2006/relationships/hyperlink" Target="#'Current Meeting'!A1" TargetMode="External" Id="rId3" /><Relationship Type="http://schemas.openxmlformats.org/officeDocument/2006/relationships/hyperlink" Target="#'History'!A1" TargetMode="External" Id="rId4" /><Relationship Type="http://schemas.openxmlformats.org/officeDocument/2006/relationships/hyperlink" Target="#'Meeting Report'!A1" TargetMode="External" Id="rId5" /><Relationship Type="http://schemas.openxmlformats.org/officeDocument/2006/relationships/hyperlink" Target="#'Lists &amp; Config'!A1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1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6" customWidth="1" min="2" max="2"/>
    <col width="10" customWidth="1" min="3" max="3"/>
    <col width="13" customWidth="1" min="5" max="5"/>
    <col width="13" customWidth="1" min="6" max="6"/>
    <col width="13" customWidth="1" min="8" max="8"/>
    <col width="13" customWidth="1" min="9" max="9"/>
    <col width="13" customWidth="1" min="11" max="11"/>
    <col width="13" customWidth="1" min="12" max="12"/>
    <col width="13" customWidth="1" min="14" max="14"/>
    <col width="13" customWidth="1" min="15" max="15"/>
    <col width="13" customWidth="1" min="17" max="17"/>
    <col width="13" customWidth="1" min="18" max="18"/>
  </cols>
  <sheetData>
    <row r="1" ht="20" customHeight="1">
      <c r="B1" s="1" t="inlineStr">
        <is>
          <t>Overview</t>
        </is>
      </c>
      <c r="C1" s="2" t="inlineStr">
        <is>
          <t>Subject Tracker</t>
        </is>
      </c>
      <c r="D1" s="2" t="inlineStr">
        <is>
          <t>Current Meeting</t>
        </is>
      </c>
      <c r="E1" s="2" t="inlineStr">
        <is>
          <t>History</t>
        </is>
      </c>
      <c r="F1" s="2" t="inlineStr">
        <is>
          <t>Meeting Report</t>
        </is>
      </c>
      <c r="G1" s="2" t="inlineStr">
        <is>
          <t>Lists &amp; Config</t>
        </is>
      </c>
    </row>
    <row r="2" ht="26" customHeight="1">
      <c r="B2" s="3" t="inlineStr">
        <is>
          <t>HBX Commissioning Review - Overview</t>
        </is>
      </c>
    </row>
    <row r="3" ht="30" customHeight="1">
      <c r="B3" s="4" t="inlineStr">
        <is>
          <t>A quick read of where the project stands, as of the meeting date selected on Current Meeting.</t>
        </is>
      </c>
    </row>
    <row r="5">
      <c r="B5" s="5" t="inlineStr">
        <is>
          <t>Meeting Date:</t>
        </is>
      </c>
      <c r="C5" s="6">
        <f>'Current Meeting'!$C$5</f>
        <v/>
      </c>
    </row>
    <row r="8">
      <c r="B8" s="7">
        <f>SUMPRODUCT((Subject_Tracker[Subject]&lt;&gt;"")*(Subject_Tracker[Current Status]&lt;&gt;"Closed"))</f>
        <v/>
      </c>
      <c r="C8" s="8" t="n"/>
      <c r="E8" s="9">
        <f>SUMPRODUCT((Subject_Tracker[Subject]&lt;&gt;"")*(Subject_Tracker[Added Date]=$C$5))</f>
        <v/>
      </c>
      <c r="F8" s="8" t="n"/>
      <c r="H8" s="7">
        <f>SUMPRODUCT((Subject_Tracker[Subject]&lt;&gt;"")*(Subject_Tracker[Current Status]="Open"))</f>
        <v/>
      </c>
      <c r="I8" s="8" t="n"/>
      <c r="K8" s="10">
        <f>SUMPRODUCT((Subject_Tracker[Subject]&lt;&gt;"")*(Subject_Tracker[Overdue?]="Yes"))</f>
        <v/>
      </c>
      <c r="L8" s="8" t="n"/>
      <c r="N8" s="11">
        <f>SUMPRODUCT((Subject_Tracker[Subject]&lt;&gt;"")*(Subject_Tracker[Current Status]&lt;&gt;"Closed")*(Subject_Tracker[Due Date]&lt;&gt;"")*(Subject_Tracker[Due Date]&gt;=$C$5)*(Subject_Tracker[Due Date]&lt;=$C$5+30))</f>
        <v/>
      </c>
      <c r="O8" s="8" t="n"/>
      <c r="Q8" s="12">
        <f>SUMPRODUCT((Subject_Tracker[Subject]&lt;&gt;"")*(Subject_Tracker[Current Status]="Closed"))</f>
        <v/>
      </c>
      <c r="R8" s="8" t="n"/>
    </row>
    <row r="9">
      <c r="B9" s="8" t="n"/>
      <c r="C9" s="8" t="n"/>
      <c r="E9" s="8" t="n"/>
      <c r="F9" s="8" t="n"/>
      <c r="H9" s="8" t="n"/>
      <c r="I9" s="8" t="n"/>
      <c r="K9" s="8" t="n"/>
      <c r="L9" s="8" t="n"/>
      <c r="N9" s="8" t="n"/>
      <c r="O9" s="8" t="n"/>
      <c r="Q9" s="8" t="n"/>
      <c r="R9" s="8" t="n"/>
    </row>
    <row r="10">
      <c r="B10" s="8" t="n"/>
      <c r="C10" s="8" t="n"/>
      <c r="E10" s="8" t="n"/>
      <c r="F10" s="8" t="n"/>
      <c r="H10" s="8" t="n"/>
      <c r="I10" s="8" t="n"/>
      <c r="K10" s="8" t="n"/>
      <c r="L10" s="8" t="n"/>
      <c r="N10" s="8" t="n"/>
      <c r="O10" s="8" t="n"/>
      <c r="Q10" s="8" t="n"/>
      <c r="R10" s="8" t="n"/>
    </row>
    <row r="11">
      <c r="B11" s="13" t="inlineStr">
        <is>
          <t>Total Active Subjects</t>
        </is>
      </c>
      <c r="E11" s="13" t="inlineStr">
        <is>
          <t>New Subjects This Meeting</t>
        </is>
      </c>
      <c r="H11" s="13" t="inlineStr">
        <is>
          <t>Open Subjects</t>
        </is>
      </c>
      <c r="K11" s="13" t="inlineStr">
        <is>
          <t>Overdue Actions</t>
        </is>
      </c>
      <c r="N11" s="13" t="inlineStr">
        <is>
          <t>Due Within 30 Days</t>
        </is>
      </c>
      <c r="Q11" s="13" t="inlineStr">
        <is>
          <t>Closed Subjects</t>
        </is>
      </c>
    </row>
    <row r="13">
      <c r="B13" s="14" t="inlineStr">
        <is>
          <t>Status Distribution</t>
        </is>
      </c>
    </row>
    <row r="14" ht="22" customHeight="1">
      <c r="B14" s="15" t="inlineStr">
        <is>
          <t>Status</t>
        </is>
      </c>
      <c r="C14" s="15" t="inlineStr">
        <is>
          <t>Count</t>
        </is>
      </c>
    </row>
    <row r="15" ht="20" customHeight="1">
      <c r="B15" s="16" t="inlineStr">
        <is>
          <t>Open</t>
        </is>
      </c>
      <c r="C15" s="17">
        <f>COUNTIFS(Subject_Tracker[Current Status],"Open")</f>
        <v/>
      </c>
    </row>
    <row r="16" ht="20" customHeight="1">
      <c r="B16" s="16" t="inlineStr">
        <is>
          <t>In Progress</t>
        </is>
      </c>
      <c r="C16" s="17">
        <f>COUNTIFS(Subject_Tracker[Current Status],"In Progress")</f>
        <v/>
      </c>
    </row>
    <row r="17" ht="20" customHeight="1">
      <c r="B17" s="16" t="inlineStr">
        <is>
          <t>On Hold</t>
        </is>
      </c>
      <c r="C17" s="17">
        <f>COUNTIFS(Subject_Tracker[Current Status],"On Hold")</f>
        <v/>
      </c>
    </row>
    <row r="18" ht="20" customHeight="1">
      <c r="B18" s="16" t="inlineStr">
        <is>
          <t>Closed</t>
        </is>
      </c>
      <c r="C18" s="17">
        <f>COUNTIFS(Subject_Tracker[Current Status],"Closed")</f>
        <v/>
      </c>
    </row>
  </sheetData>
  <mergeCells count="13">
    <mergeCell ref="H11:I11"/>
    <mergeCell ref="N8:O10"/>
    <mergeCell ref="K11:L11"/>
    <mergeCell ref="B8:C10"/>
    <mergeCell ref="B11:C11"/>
    <mergeCell ref="N11:O11"/>
    <mergeCell ref="Q11:R11"/>
    <mergeCell ref="E11:F11"/>
    <mergeCell ref="K8:L10"/>
    <mergeCell ref="B3:I3"/>
    <mergeCell ref="H8:I10"/>
    <mergeCell ref="Q8:R10"/>
    <mergeCell ref="E8:F10"/>
  </mergeCells>
  <conditionalFormatting sqref="C15:C18">
    <cfRule type="dataBar" priority="1">
      <dataBar>
        <cfvo type="num" val="0"/>
        <cfvo type="max"/>
        <color rgb="00638EC6"/>
      </dataBar>
    </cfRule>
  </conditionalFormatting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12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8" customWidth="1" min="2" max="2"/>
    <col width="20" customWidth="1" min="3" max="3"/>
    <col width="16" customWidth="1" min="4" max="4"/>
    <col width="14" customWidth="1" min="5" max="5"/>
    <col width="34" customWidth="1" min="6" max="6"/>
    <col width="12" customWidth="1" min="7" max="7"/>
    <col width="14" customWidth="1" min="8" max="8"/>
    <col width="14" customWidth="1" min="9" max="9"/>
    <col width="12" customWidth="1" min="10" max="10"/>
    <col width="10" customWidth="1" min="11" max="11"/>
    <col width="30" customWidth="1" min="12" max="12"/>
  </cols>
  <sheetData>
    <row r="1" ht="20" customHeight="1">
      <c r="B1" s="2" t="inlineStr">
        <is>
          <t>Overview</t>
        </is>
      </c>
      <c r="C1" s="1" t="inlineStr">
        <is>
          <t>Subject Tracker</t>
        </is>
      </c>
      <c r="D1" s="2" t="inlineStr">
        <is>
          <t>Current Meeting</t>
        </is>
      </c>
      <c r="E1" s="2" t="inlineStr">
        <is>
          <t>History</t>
        </is>
      </c>
      <c r="F1" s="2" t="inlineStr">
        <is>
          <t>Meeting Report</t>
        </is>
      </c>
      <c r="G1" s="2" t="inlineStr">
        <is>
          <t>Lists &amp; Config</t>
        </is>
      </c>
    </row>
    <row r="2" ht="26" customHeight="1">
      <c r="B2" s="3" t="inlineStr">
        <is>
          <t>Subject Tracker</t>
        </is>
      </c>
    </row>
    <row r="3" ht="30" customHeight="1">
      <c r="B3" s="4" t="inlineStr">
        <is>
          <t>One row per subject, forever. Type Subject + Sub-topic ONCE when a subject is created - every other column updates itself automatically from History, so nothing is ever retyped here. To create a new subject: type its Subject and Sub-topic in a new row below, then log its first entry in History.</t>
        </is>
      </c>
    </row>
    <row r="7" ht="30" customHeight="1">
      <c r="B7" s="18" t="inlineStr">
        <is>
          <t>Subject</t>
        </is>
      </c>
      <c r="C7" s="18" t="inlineStr">
        <is>
          <t>Sub-topic</t>
        </is>
      </c>
      <c r="D7" s="18" t="inlineStr">
        <is>
          <t>Responsible</t>
        </is>
      </c>
      <c r="E7" s="18" t="inlineStr">
        <is>
          <t>Current Status</t>
        </is>
      </c>
      <c r="F7" s="18" t="inlineStr">
        <is>
          <t>Current Action</t>
        </is>
      </c>
      <c r="G7" s="18" t="inlineStr">
        <is>
          <t>Due Date</t>
        </is>
      </c>
      <c r="H7" s="18" t="inlineStr">
        <is>
          <t>Last Meeting</t>
        </is>
      </c>
      <c r="I7" s="18" t="inlineStr">
        <is>
          <t>Last Update Date</t>
        </is>
      </c>
      <c r="J7" s="18" t="inlineStr">
        <is>
          <t>Added Date</t>
        </is>
      </c>
      <c r="K7" s="18" t="inlineStr">
        <is>
          <t>Overdue?</t>
        </is>
      </c>
      <c r="L7" s="18" t="inlineStr">
        <is>
          <t>Subject Key</t>
        </is>
      </c>
    </row>
    <row r="8" ht="50" customHeight="1">
      <c r="B8" s="19" t="inlineStr">
        <is>
          <t>Documentation</t>
        </is>
      </c>
      <c r="C8" s="19" t="inlineStr">
        <is>
          <t>Commissioning Dossier</t>
        </is>
      </c>
      <c r="D8" s="20">
        <f t="array" ref="D8">IF($B8="","",IF($I8="","",IFERROR(INDEX(History_Log[Owner],MATCH(1,(History_Log[Subject]=$L8)*(History_Log[Date]=$I8),0)),"")))</f>
        <v/>
      </c>
      <c r="E8" s="20">
        <f t="array" ref="E8">IF($B8="","",IF($I8="","",IFERROR(INDEX(History_Log[Status],MATCH(1,(History_Log[Subject]=$L8)*(History_Log[Date]=$I8),0)),"")))</f>
        <v/>
      </c>
      <c r="F8" s="20">
        <f t="array" ref="F8">IF($B8="","",IF($I8="","",IFERROR(INDEX(History_Log[Decision / Action],MATCH(1,(History_Log[Subject]=$L8)*(History_Log[Date]=$I8),0)),"")))</f>
        <v/>
      </c>
      <c r="G8" s="21">
        <f t="array" ref="G8">IF($B8="","",IF($I8="","",IFERROR(INDEX(History_Log[Due Date],MATCH(1,(History_Log[Subject]=$L8)*(History_Log[Date]=$I8),0)),"")))</f>
        <v/>
      </c>
      <c r="H8" s="20">
        <f t="array" ref="H8">IF($B8="","",IF($I8="","",IFERROR(INDEX(History_Log[Meeting],MATCH(1,(History_Log[Subject]=$L8)*(History_Log[Date]=$I8),0)),"")))</f>
        <v/>
      </c>
      <c r="I8" s="21">
        <f>IF($B8="","",IFERROR(_xlfn.MAXIFS(History_Log[Date],History_Log[Subject],$L8),""))</f>
        <v/>
      </c>
      <c r="J8" s="21">
        <f>IF($B8="","",IFERROR(_xlfn.MINIFS(History_Log[Date],History_Log[Subject],$L8),""))</f>
        <v/>
      </c>
      <c r="K8" s="20">
        <f>IF($B8="","",IF(OR($E8="Closed",$E8=""),"No",IF(AND($G8&lt;&gt;"",$G8&lt;TODAY()),"Yes","No")))</f>
        <v/>
      </c>
      <c r="L8" s="22">
        <f>IF($B8="","",$B8&amp;" - "&amp;$C8)</f>
        <v/>
      </c>
    </row>
    <row r="9" ht="50" customHeight="1">
      <c r="B9" s="19" t="inlineStr">
        <is>
          <t>Testing</t>
        </is>
      </c>
      <c r="C9" s="19" t="inlineStr">
        <is>
          <t>Test Reports</t>
        </is>
      </c>
      <c r="D9" s="20">
        <f t="array" ref="D9">IF($B9="","",IF($I9="","",IFERROR(INDEX(History_Log[Owner],MATCH(1,(History_Log[Subject]=$L9)*(History_Log[Date]=$I9),0)),"")))</f>
        <v/>
      </c>
      <c r="E9" s="20">
        <f t="array" ref="E9">IF($B9="","",IF($I9="","",IFERROR(INDEX(History_Log[Status],MATCH(1,(History_Log[Subject]=$L9)*(History_Log[Date]=$I9),0)),"")))</f>
        <v/>
      </c>
      <c r="F9" s="20">
        <f t="array" ref="F9">IF($B9="","",IF($I9="","",IFERROR(INDEX(History_Log[Decision / Action],MATCH(1,(History_Log[Subject]=$L9)*(History_Log[Date]=$I9),0)),"")))</f>
        <v/>
      </c>
      <c r="G9" s="21">
        <f t="array" ref="G9">IF($B9="","",IF($I9="","",IFERROR(INDEX(History_Log[Due Date],MATCH(1,(History_Log[Subject]=$L9)*(History_Log[Date]=$I9),0)),"")))</f>
        <v/>
      </c>
      <c r="H9" s="20">
        <f t="array" ref="H9">IF($B9="","",IF($I9="","",IFERROR(INDEX(History_Log[Meeting],MATCH(1,(History_Log[Subject]=$L9)*(History_Log[Date]=$I9),0)),"")))</f>
        <v/>
      </c>
      <c r="I9" s="21">
        <f>IF($B9="","",IFERROR(_xlfn.MAXIFS(History_Log[Date],History_Log[Subject],$L9),""))</f>
        <v/>
      </c>
      <c r="J9" s="21">
        <f>IF($B9="","",IFERROR(_xlfn.MINIFS(History_Log[Date],History_Log[Subject],$L9),""))</f>
        <v/>
      </c>
      <c r="K9" s="20">
        <f>IF($B9="","",IF(OR($E9="Closed",$E9=""),"No",IF(AND($G9&lt;&gt;"",$G9&lt;TODAY()),"Yes","No")))</f>
        <v/>
      </c>
      <c r="L9" s="22">
        <f>IF($B9="","",$B9&amp;" - "&amp;$C9)</f>
        <v/>
      </c>
    </row>
    <row r="10" ht="50" customHeight="1">
      <c r="B10" s="19" t="inlineStr">
        <is>
          <t>Safety</t>
        </is>
      </c>
      <c r="C10" s="19" t="inlineStr">
        <is>
          <t>SSOW Approval</t>
        </is>
      </c>
      <c r="D10" s="20">
        <f t="array" ref="D10">IF($B10="","",IF($I10="","",IFERROR(INDEX(History_Log[Owner],MATCH(1,(History_Log[Subject]=$L10)*(History_Log[Date]=$I10),0)),"")))</f>
        <v/>
      </c>
      <c r="E10" s="20">
        <f t="array" ref="E10">IF($B10="","",IF($I10="","",IFERROR(INDEX(History_Log[Status],MATCH(1,(History_Log[Subject]=$L10)*(History_Log[Date]=$I10),0)),"")))</f>
        <v/>
      </c>
      <c r="F10" s="20">
        <f t="array" ref="F10">IF($B10="","",IF($I10="","",IFERROR(INDEX(History_Log[Decision / Action],MATCH(1,(History_Log[Subject]=$L10)*(History_Log[Date]=$I10),0)),"")))</f>
        <v/>
      </c>
      <c r="G10" s="21">
        <f t="array" ref="G10">IF($B10="","",IF($I10="","",IFERROR(INDEX(History_Log[Due Date],MATCH(1,(History_Log[Subject]=$L10)*(History_Log[Date]=$I10),0)),"")))</f>
        <v/>
      </c>
      <c r="H10" s="20">
        <f t="array" ref="H10">IF($B10="","",IF($I10="","",IFERROR(INDEX(History_Log[Meeting],MATCH(1,(History_Log[Subject]=$L10)*(History_Log[Date]=$I10),0)),"")))</f>
        <v/>
      </c>
      <c r="I10" s="21">
        <f>IF($B10="","",IFERROR(_xlfn.MAXIFS(History_Log[Date],History_Log[Subject],$L10),""))</f>
        <v/>
      </c>
      <c r="J10" s="21">
        <f>IF($B10="","",IFERROR(_xlfn.MINIFS(History_Log[Date],History_Log[Subject],$L10),""))</f>
        <v/>
      </c>
      <c r="K10" s="20">
        <f>IF($B10="","",IF(OR($E10="Closed",$E10=""),"No",IF(AND($G10&lt;&gt;"",$G10&lt;TODAY()),"Yes","No")))</f>
        <v/>
      </c>
      <c r="L10" s="22">
        <f>IF($B10="","",$B10&amp;" - "&amp;$C10)</f>
        <v/>
      </c>
    </row>
    <row r="12">
      <c r="B12" s="23" t="inlineStr">
        <is>
          <t>Legend: Blue = fill in yourself | Black = automatic, do not overtype | Grey = automation helper, leave untouched | New row: type directly below the table and Excel extends it automatically</t>
        </is>
      </c>
    </row>
  </sheetData>
  <mergeCells count="1">
    <mergeCell ref="B3:I3"/>
  </mergeCells>
  <conditionalFormatting sqref="B8:L10">
    <cfRule type="expression" priority="1" dxfId="0">
      <formula>AND($E8&lt;&gt;"Closed",$K8="Yes")</formula>
    </cfRule>
    <cfRule type="expression" priority="2" dxfId="1">
      <formula>$E8="Closed"</formula>
    </cfRule>
    <cfRule type="expression" priority="3" dxfId="2">
      <formula>$E8="On Hold"</formula>
    </cfRule>
  </conditionalFormatting>
  <dataValidations count="2">
    <dataValidation sqref="B8:B10" showDropDown="0" showInputMessage="0" showErrorMessage="0" allowBlank="1" type="list">
      <formula1>=LIST_SUBJECT</formula1>
    </dataValidation>
    <dataValidation sqref="C8:C10" showDropDown="0" showInputMessage="0" showErrorMessage="0" allowBlank="1" type="list">
      <formula1>=LIST_SUBTOPIC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2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0" customWidth="1" min="3" max="3"/>
    <col width="16" customWidth="1" min="4" max="4"/>
    <col width="34" customWidth="1" min="5" max="5"/>
    <col width="12" customWidth="1" min="6" max="6"/>
    <col width="13" customWidth="1" min="7" max="7"/>
  </cols>
  <sheetData>
    <row r="1" ht="20" customHeight="1">
      <c r="B1" s="2" t="inlineStr">
        <is>
          <t>Overview</t>
        </is>
      </c>
      <c r="C1" s="2" t="inlineStr">
        <is>
          <t>Subject Tracker</t>
        </is>
      </c>
      <c r="D1" s="1" t="inlineStr">
        <is>
          <t>Current Meeting</t>
        </is>
      </c>
      <c r="E1" s="2" t="inlineStr">
        <is>
          <t>History</t>
        </is>
      </c>
      <c r="F1" s="2" t="inlineStr">
        <is>
          <t>Meeting Report</t>
        </is>
      </c>
      <c r="G1" s="2" t="inlineStr">
        <is>
          <t>Lists &amp; Config</t>
        </is>
      </c>
    </row>
    <row r="2" ht="26" customHeight="1">
      <c r="B2" s="3" t="inlineStr">
        <is>
          <t>Current Meeting</t>
        </is>
      </c>
    </row>
    <row r="3" ht="30" customHeight="1">
      <c r="B3" s="4" t="inlineStr">
        <is>
          <t>Pick today's meeting date (and type) below. The list shows every subject still open that hasn't been touched for this meeting yet - work through it, then log each update directly in History. New subject today? Add it to Subject Tracker first, then log its first entry here in History.</t>
        </is>
      </c>
    </row>
    <row r="5">
      <c r="B5" s="5" t="inlineStr">
        <is>
          <t>Meeting Date:</t>
        </is>
      </c>
      <c r="C5" s="24" t="n">
        <v>46293</v>
      </c>
      <c r="E5" s="5" t="inlineStr">
        <is>
          <t>Meeting Type:</t>
        </is>
      </c>
      <c r="F5" s="25" t="inlineStr">
        <is>
          <t>Monthly</t>
        </is>
      </c>
    </row>
    <row r="8" ht="22" customHeight="1">
      <c r="B8" s="26" t="inlineStr">
        <is>
          <t>FOLLOW-UP - SUBJECTS TO DISCUSS TODAY (open, not yet touched this meeting)</t>
        </is>
      </c>
      <c r="C8" s="26" t="n"/>
      <c r="D8" s="26" t="n"/>
      <c r="E8" s="26" t="n"/>
      <c r="F8" s="26" t="n"/>
      <c r="G8" s="26" t="n"/>
    </row>
    <row r="9">
      <c r="B9" s="27" t="inlineStr">
        <is>
          <t>Subject</t>
        </is>
      </c>
      <c r="C9" s="27" t="inlineStr">
        <is>
          <t>Sub-topic</t>
        </is>
      </c>
      <c r="D9" s="27" t="inlineStr">
        <is>
          <t>Responsible</t>
        </is>
      </c>
      <c r="E9" s="27" t="inlineStr">
        <is>
          <t>Current Action</t>
        </is>
      </c>
      <c r="F9" s="27" t="inlineStr">
        <is>
          <t>Due Date</t>
        </is>
      </c>
      <c r="G9" s="27" t="inlineStr">
        <is>
          <t>Status</t>
        </is>
      </c>
    </row>
    <row r="10" ht="26" customHeight="1">
      <c r="B10" s="20">
        <f t="array" ref="B10">IFERROR(INDEX(Subject_Tracker[Subject],SMALL(IF((Subject_Tracker[Subject]&lt;&gt;"")*(Subject_Tracker[Current Status]&lt;&gt;"Closed")*(Subject_Tracker[Last Update Date]&lt;$C$5),ROW(Subject_Tracker[Subject])-7),1)),"")</f>
        <v/>
      </c>
      <c r="C10" s="20">
        <f t="array" ref="C10">IFERROR(INDEX(Subject_Tracker[Sub-topic],SMALL(IF((Subject_Tracker[Subject]&lt;&gt;"")*(Subject_Tracker[Current Status]&lt;&gt;"Closed")*(Subject_Tracker[Last Update Date]&lt;$C$5),ROW(Subject_Tracker[Subject])-7),1)),"")</f>
        <v/>
      </c>
      <c r="D10" s="20">
        <f t="array" ref="D10">IFERROR(INDEX(Subject_Tracker[Responsible],SMALL(IF((Subject_Tracker[Subject]&lt;&gt;"")*(Subject_Tracker[Current Status]&lt;&gt;"Closed")*(Subject_Tracker[Last Update Date]&lt;$C$5),ROW(Subject_Tracker[Subject])-7),1)),"")</f>
        <v/>
      </c>
      <c r="E10" s="20">
        <f t="array" ref="E10">IFERROR(INDEX(Subject_Tracker[Current Action],SMALL(IF((Subject_Tracker[Subject]&lt;&gt;"")*(Subject_Tracker[Current Status]&lt;&gt;"Closed")*(Subject_Tracker[Last Update Date]&lt;$C$5),ROW(Subject_Tracker[Subject])-7),1)),"")</f>
        <v/>
      </c>
      <c r="F10" s="21">
        <f t="array" ref="F10">IFERROR(INDEX(Subject_Tracker[Due Date],SMALL(IF((Subject_Tracker[Subject]&lt;&gt;"")*(Subject_Tracker[Current Status]&lt;&gt;"Closed")*(Subject_Tracker[Last Update Date]&lt;$C$5),ROW(Subject_Tracker[Subject])-7),1)),"")</f>
        <v/>
      </c>
      <c r="G10" s="20">
        <f t="array" ref="G10">IFERROR(INDEX(Subject_Tracker[Current Status],SMALL(IF((Subject_Tracker[Subject]&lt;&gt;"")*(Subject_Tracker[Current Status]&lt;&gt;"Closed")*(Subject_Tracker[Last Update Date]&lt;$C$5),ROW(Subject_Tracker[Subject])-7),1)),"")</f>
        <v/>
      </c>
    </row>
    <row r="11" ht="26" customHeight="1">
      <c r="B11" s="28">
        <f t="array" ref="B11">IFERROR(INDEX(Subject_Tracker[Subject],SMALL(IF((Subject_Tracker[Subject]&lt;&gt;"")*(Subject_Tracker[Current Status]&lt;&gt;"Closed")*(Subject_Tracker[Last Update Date]&lt;$C$5),ROW(Subject_Tracker[Subject])-7),2)),"")</f>
        <v/>
      </c>
      <c r="C11" s="28">
        <f t="array" ref="C11">IFERROR(INDEX(Subject_Tracker[Sub-topic],SMALL(IF((Subject_Tracker[Subject]&lt;&gt;"")*(Subject_Tracker[Current Status]&lt;&gt;"Closed")*(Subject_Tracker[Last Update Date]&lt;$C$5),ROW(Subject_Tracker[Subject])-7),2)),"")</f>
        <v/>
      </c>
      <c r="D11" s="28">
        <f t="array" ref="D11">IFERROR(INDEX(Subject_Tracker[Responsible],SMALL(IF((Subject_Tracker[Subject]&lt;&gt;"")*(Subject_Tracker[Current Status]&lt;&gt;"Closed")*(Subject_Tracker[Last Update Date]&lt;$C$5),ROW(Subject_Tracker[Subject])-7),2)),"")</f>
        <v/>
      </c>
      <c r="E11" s="28">
        <f t="array" ref="E11">IFERROR(INDEX(Subject_Tracker[Current Action],SMALL(IF((Subject_Tracker[Subject]&lt;&gt;"")*(Subject_Tracker[Current Status]&lt;&gt;"Closed")*(Subject_Tracker[Last Update Date]&lt;$C$5),ROW(Subject_Tracker[Subject])-7),2)),"")</f>
        <v/>
      </c>
      <c r="F11" s="29">
        <f t="array" ref="F11">IFERROR(INDEX(Subject_Tracker[Due Date],SMALL(IF((Subject_Tracker[Subject]&lt;&gt;"")*(Subject_Tracker[Current Status]&lt;&gt;"Closed")*(Subject_Tracker[Last Update Date]&lt;$C$5),ROW(Subject_Tracker[Subject])-7),2)),"")</f>
        <v/>
      </c>
      <c r="G11" s="28">
        <f t="array" ref="G11">IFERROR(INDEX(Subject_Tracker[Current Status],SMALL(IF((Subject_Tracker[Subject]&lt;&gt;"")*(Subject_Tracker[Current Status]&lt;&gt;"Closed")*(Subject_Tracker[Last Update Date]&lt;$C$5),ROW(Subject_Tracker[Subject])-7),2)),"")</f>
        <v/>
      </c>
    </row>
    <row r="12" ht="26" customHeight="1">
      <c r="B12" s="20">
        <f t="array" ref="B12">IFERROR(INDEX(Subject_Tracker[Subject],SMALL(IF((Subject_Tracker[Subject]&lt;&gt;"")*(Subject_Tracker[Current Status]&lt;&gt;"Closed")*(Subject_Tracker[Last Update Date]&lt;$C$5),ROW(Subject_Tracker[Subject])-7),3)),"")</f>
        <v/>
      </c>
      <c r="C12" s="20">
        <f t="array" ref="C12">IFERROR(INDEX(Subject_Tracker[Sub-topic],SMALL(IF((Subject_Tracker[Subject]&lt;&gt;"")*(Subject_Tracker[Current Status]&lt;&gt;"Closed")*(Subject_Tracker[Last Update Date]&lt;$C$5),ROW(Subject_Tracker[Subject])-7),3)),"")</f>
        <v/>
      </c>
      <c r="D12" s="20">
        <f t="array" ref="D12">IFERROR(INDEX(Subject_Tracker[Responsible],SMALL(IF((Subject_Tracker[Subject]&lt;&gt;"")*(Subject_Tracker[Current Status]&lt;&gt;"Closed")*(Subject_Tracker[Last Update Date]&lt;$C$5),ROW(Subject_Tracker[Subject])-7),3)),"")</f>
        <v/>
      </c>
      <c r="E12" s="20">
        <f t="array" ref="E12">IFERROR(INDEX(Subject_Tracker[Current Action],SMALL(IF((Subject_Tracker[Subject]&lt;&gt;"")*(Subject_Tracker[Current Status]&lt;&gt;"Closed")*(Subject_Tracker[Last Update Date]&lt;$C$5),ROW(Subject_Tracker[Subject])-7),3)),"")</f>
        <v/>
      </c>
      <c r="F12" s="21">
        <f t="array" ref="F12">IFERROR(INDEX(Subject_Tracker[Due Date],SMALL(IF((Subject_Tracker[Subject]&lt;&gt;"")*(Subject_Tracker[Current Status]&lt;&gt;"Closed")*(Subject_Tracker[Last Update Date]&lt;$C$5),ROW(Subject_Tracker[Subject])-7),3)),"")</f>
        <v/>
      </c>
      <c r="G12" s="20">
        <f t="array" ref="G12">IFERROR(INDEX(Subject_Tracker[Current Status],SMALL(IF((Subject_Tracker[Subject]&lt;&gt;"")*(Subject_Tracker[Current Status]&lt;&gt;"Closed")*(Subject_Tracker[Last Update Date]&lt;$C$5),ROW(Subject_Tracker[Subject])-7),3)),"")</f>
        <v/>
      </c>
    </row>
    <row r="13" ht="26" customHeight="1">
      <c r="B13" s="28">
        <f t="array" ref="B13">IFERROR(INDEX(Subject_Tracker[Subject],SMALL(IF((Subject_Tracker[Subject]&lt;&gt;"")*(Subject_Tracker[Current Status]&lt;&gt;"Closed")*(Subject_Tracker[Last Update Date]&lt;$C$5),ROW(Subject_Tracker[Subject])-7),4)),"")</f>
        <v/>
      </c>
      <c r="C13" s="28">
        <f t="array" ref="C13">IFERROR(INDEX(Subject_Tracker[Sub-topic],SMALL(IF((Subject_Tracker[Subject]&lt;&gt;"")*(Subject_Tracker[Current Status]&lt;&gt;"Closed")*(Subject_Tracker[Last Update Date]&lt;$C$5),ROW(Subject_Tracker[Subject])-7),4)),"")</f>
        <v/>
      </c>
      <c r="D13" s="28">
        <f t="array" ref="D13">IFERROR(INDEX(Subject_Tracker[Responsible],SMALL(IF((Subject_Tracker[Subject]&lt;&gt;"")*(Subject_Tracker[Current Status]&lt;&gt;"Closed")*(Subject_Tracker[Last Update Date]&lt;$C$5),ROW(Subject_Tracker[Subject])-7),4)),"")</f>
        <v/>
      </c>
      <c r="E13" s="28">
        <f t="array" ref="E13">IFERROR(INDEX(Subject_Tracker[Current Action],SMALL(IF((Subject_Tracker[Subject]&lt;&gt;"")*(Subject_Tracker[Current Status]&lt;&gt;"Closed")*(Subject_Tracker[Last Update Date]&lt;$C$5),ROW(Subject_Tracker[Subject])-7),4)),"")</f>
        <v/>
      </c>
      <c r="F13" s="29">
        <f t="array" ref="F13">IFERROR(INDEX(Subject_Tracker[Due Date],SMALL(IF((Subject_Tracker[Subject]&lt;&gt;"")*(Subject_Tracker[Current Status]&lt;&gt;"Closed")*(Subject_Tracker[Last Update Date]&lt;$C$5),ROW(Subject_Tracker[Subject])-7),4)),"")</f>
        <v/>
      </c>
      <c r="G13" s="28">
        <f t="array" ref="G13">IFERROR(INDEX(Subject_Tracker[Current Status],SMALL(IF((Subject_Tracker[Subject]&lt;&gt;"")*(Subject_Tracker[Current Status]&lt;&gt;"Closed")*(Subject_Tracker[Last Update Date]&lt;$C$5),ROW(Subject_Tracker[Subject])-7),4)),"")</f>
        <v/>
      </c>
    </row>
    <row r="14" ht="26" customHeight="1">
      <c r="B14" s="20">
        <f t="array" ref="B14">IFERROR(INDEX(Subject_Tracker[Subject],SMALL(IF((Subject_Tracker[Subject]&lt;&gt;"")*(Subject_Tracker[Current Status]&lt;&gt;"Closed")*(Subject_Tracker[Last Update Date]&lt;$C$5),ROW(Subject_Tracker[Subject])-7),5)),"")</f>
        <v/>
      </c>
      <c r="C14" s="20">
        <f t="array" ref="C14">IFERROR(INDEX(Subject_Tracker[Sub-topic],SMALL(IF((Subject_Tracker[Subject]&lt;&gt;"")*(Subject_Tracker[Current Status]&lt;&gt;"Closed")*(Subject_Tracker[Last Update Date]&lt;$C$5),ROW(Subject_Tracker[Subject])-7),5)),"")</f>
        <v/>
      </c>
      <c r="D14" s="20">
        <f t="array" ref="D14">IFERROR(INDEX(Subject_Tracker[Responsible],SMALL(IF((Subject_Tracker[Subject]&lt;&gt;"")*(Subject_Tracker[Current Status]&lt;&gt;"Closed")*(Subject_Tracker[Last Update Date]&lt;$C$5),ROW(Subject_Tracker[Subject])-7),5)),"")</f>
        <v/>
      </c>
      <c r="E14" s="20">
        <f t="array" ref="E14">IFERROR(INDEX(Subject_Tracker[Current Action],SMALL(IF((Subject_Tracker[Subject]&lt;&gt;"")*(Subject_Tracker[Current Status]&lt;&gt;"Closed")*(Subject_Tracker[Last Update Date]&lt;$C$5),ROW(Subject_Tracker[Subject])-7),5)),"")</f>
        <v/>
      </c>
      <c r="F14" s="21">
        <f t="array" ref="F14">IFERROR(INDEX(Subject_Tracker[Due Date],SMALL(IF((Subject_Tracker[Subject]&lt;&gt;"")*(Subject_Tracker[Current Status]&lt;&gt;"Closed")*(Subject_Tracker[Last Update Date]&lt;$C$5),ROW(Subject_Tracker[Subject])-7),5)),"")</f>
        <v/>
      </c>
      <c r="G14" s="20">
        <f t="array" ref="G14">IFERROR(INDEX(Subject_Tracker[Current Status],SMALL(IF((Subject_Tracker[Subject]&lt;&gt;"")*(Subject_Tracker[Current Status]&lt;&gt;"Closed")*(Subject_Tracker[Last Update Date]&lt;$C$5),ROW(Subject_Tracker[Subject])-7),5)),"")</f>
        <v/>
      </c>
    </row>
    <row r="15" ht="26" customHeight="1">
      <c r="B15" s="28">
        <f t="array" ref="B15">IFERROR(INDEX(Subject_Tracker[Subject],SMALL(IF((Subject_Tracker[Subject]&lt;&gt;"")*(Subject_Tracker[Current Status]&lt;&gt;"Closed")*(Subject_Tracker[Last Update Date]&lt;$C$5),ROW(Subject_Tracker[Subject])-7),6)),"")</f>
        <v/>
      </c>
      <c r="C15" s="28">
        <f t="array" ref="C15">IFERROR(INDEX(Subject_Tracker[Sub-topic],SMALL(IF((Subject_Tracker[Subject]&lt;&gt;"")*(Subject_Tracker[Current Status]&lt;&gt;"Closed")*(Subject_Tracker[Last Update Date]&lt;$C$5),ROW(Subject_Tracker[Subject])-7),6)),"")</f>
        <v/>
      </c>
      <c r="D15" s="28">
        <f t="array" ref="D15">IFERROR(INDEX(Subject_Tracker[Responsible],SMALL(IF((Subject_Tracker[Subject]&lt;&gt;"")*(Subject_Tracker[Current Status]&lt;&gt;"Closed")*(Subject_Tracker[Last Update Date]&lt;$C$5),ROW(Subject_Tracker[Subject])-7),6)),"")</f>
        <v/>
      </c>
      <c r="E15" s="28">
        <f t="array" ref="E15">IFERROR(INDEX(Subject_Tracker[Current Action],SMALL(IF((Subject_Tracker[Subject]&lt;&gt;"")*(Subject_Tracker[Current Status]&lt;&gt;"Closed")*(Subject_Tracker[Last Update Date]&lt;$C$5),ROW(Subject_Tracker[Subject])-7),6)),"")</f>
        <v/>
      </c>
      <c r="F15" s="29">
        <f t="array" ref="F15">IFERROR(INDEX(Subject_Tracker[Due Date],SMALL(IF((Subject_Tracker[Subject]&lt;&gt;"")*(Subject_Tracker[Current Status]&lt;&gt;"Closed")*(Subject_Tracker[Last Update Date]&lt;$C$5),ROW(Subject_Tracker[Subject])-7),6)),"")</f>
        <v/>
      </c>
      <c r="G15" s="28">
        <f t="array" ref="G15">IFERROR(INDEX(Subject_Tracker[Current Status],SMALL(IF((Subject_Tracker[Subject]&lt;&gt;"")*(Subject_Tracker[Current Status]&lt;&gt;"Closed")*(Subject_Tracker[Last Update Date]&lt;$C$5),ROW(Subject_Tracker[Subject])-7),6)),"")</f>
        <v/>
      </c>
    </row>
    <row r="16" ht="26" customHeight="1">
      <c r="B16" s="20">
        <f t="array" ref="B16">IFERROR(INDEX(Subject_Tracker[Subject],SMALL(IF((Subject_Tracker[Subject]&lt;&gt;"")*(Subject_Tracker[Current Status]&lt;&gt;"Closed")*(Subject_Tracker[Last Update Date]&lt;$C$5),ROW(Subject_Tracker[Subject])-7),7)),"")</f>
        <v/>
      </c>
      <c r="C16" s="20">
        <f t="array" ref="C16">IFERROR(INDEX(Subject_Tracker[Sub-topic],SMALL(IF((Subject_Tracker[Subject]&lt;&gt;"")*(Subject_Tracker[Current Status]&lt;&gt;"Closed")*(Subject_Tracker[Last Update Date]&lt;$C$5),ROW(Subject_Tracker[Subject])-7),7)),"")</f>
        <v/>
      </c>
      <c r="D16" s="20">
        <f t="array" ref="D16">IFERROR(INDEX(Subject_Tracker[Responsible],SMALL(IF((Subject_Tracker[Subject]&lt;&gt;"")*(Subject_Tracker[Current Status]&lt;&gt;"Closed")*(Subject_Tracker[Last Update Date]&lt;$C$5),ROW(Subject_Tracker[Subject])-7),7)),"")</f>
        <v/>
      </c>
      <c r="E16" s="20">
        <f t="array" ref="E16">IFERROR(INDEX(Subject_Tracker[Current Action],SMALL(IF((Subject_Tracker[Subject]&lt;&gt;"")*(Subject_Tracker[Current Status]&lt;&gt;"Closed")*(Subject_Tracker[Last Update Date]&lt;$C$5),ROW(Subject_Tracker[Subject])-7),7)),"")</f>
        <v/>
      </c>
      <c r="F16" s="21">
        <f t="array" ref="F16">IFERROR(INDEX(Subject_Tracker[Due Date],SMALL(IF((Subject_Tracker[Subject]&lt;&gt;"")*(Subject_Tracker[Current Status]&lt;&gt;"Closed")*(Subject_Tracker[Last Update Date]&lt;$C$5),ROW(Subject_Tracker[Subject])-7),7)),"")</f>
        <v/>
      </c>
      <c r="G16" s="20">
        <f t="array" ref="G16">IFERROR(INDEX(Subject_Tracker[Current Status],SMALL(IF((Subject_Tracker[Subject]&lt;&gt;"")*(Subject_Tracker[Current Status]&lt;&gt;"Closed")*(Subject_Tracker[Last Update Date]&lt;$C$5),ROW(Subject_Tracker[Subject])-7),7)),"")</f>
        <v/>
      </c>
    </row>
    <row r="17" ht="26" customHeight="1">
      <c r="B17" s="28">
        <f t="array" ref="B17">IFERROR(INDEX(Subject_Tracker[Subject],SMALL(IF((Subject_Tracker[Subject]&lt;&gt;"")*(Subject_Tracker[Current Status]&lt;&gt;"Closed")*(Subject_Tracker[Last Update Date]&lt;$C$5),ROW(Subject_Tracker[Subject])-7),8)),"")</f>
        <v/>
      </c>
      <c r="C17" s="28">
        <f t="array" ref="C17">IFERROR(INDEX(Subject_Tracker[Sub-topic],SMALL(IF((Subject_Tracker[Subject]&lt;&gt;"")*(Subject_Tracker[Current Status]&lt;&gt;"Closed")*(Subject_Tracker[Last Update Date]&lt;$C$5),ROW(Subject_Tracker[Subject])-7),8)),"")</f>
        <v/>
      </c>
      <c r="D17" s="28">
        <f t="array" ref="D17">IFERROR(INDEX(Subject_Tracker[Responsible],SMALL(IF((Subject_Tracker[Subject]&lt;&gt;"")*(Subject_Tracker[Current Status]&lt;&gt;"Closed")*(Subject_Tracker[Last Update Date]&lt;$C$5),ROW(Subject_Tracker[Subject])-7),8)),"")</f>
        <v/>
      </c>
      <c r="E17" s="28">
        <f t="array" ref="E17">IFERROR(INDEX(Subject_Tracker[Current Action],SMALL(IF((Subject_Tracker[Subject]&lt;&gt;"")*(Subject_Tracker[Current Status]&lt;&gt;"Closed")*(Subject_Tracker[Last Update Date]&lt;$C$5),ROW(Subject_Tracker[Subject])-7),8)),"")</f>
        <v/>
      </c>
      <c r="F17" s="29">
        <f t="array" ref="F17">IFERROR(INDEX(Subject_Tracker[Due Date],SMALL(IF((Subject_Tracker[Subject]&lt;&gt;"")*(Subject_Tracker[Current Status]&lt;&gt;"Closed")*(Subject_Tracker[Last Update Date]&lt;$C$5),ROW(Subject_Tracker[Subject])-7),8)),"")</f>
        <v/>
      </c>
      <c r="G17" s="28">
        <f t="array" ref="G17">IFERROR(INDEX(Subject_Tracker[Current Status],SMALL(IF((Subject_Tracker[Subject]&lt;&gt;"")*(Subject_Tracker[Current Status]&lt;&gt;"Closed")*(Subject_Tracker[Last Update Date]&lt;$C$5),ROW(Subject_Tracker[Subject])-7),8)),"")</f>
        <v/>
      </c>
    </row>
    <row r="18" ht="26" customHeight="1">
      <c r="B18" s="20">
        <f t="array" ref="B18">IFERROR(INDEX(Subject_Tracker[Subject],SMALL(IF((Subject_Tracker[Subject]&lt;&gt;"")*(Subject_Tracker[Current Status]&lt;&gt;"Closed")*(Subject_Tracker[Last Update Date]&lt;$C$5),ROW(Subject_Tracker[Subject])-7),9)),"")</f>
        <v/>
      </c>
      <c r="C18" s="20">
        <f t="array" ref="C18">IFERROR(INDEX(Subject_Tracker[Sub-topic],SMALL(IF((Subject_Tracker[Subject]&lt;&gt;"")*(Subject_Tracker[Current Status]&lt;&gt;"Closed")*(Subject_Tracker[Last Update Date]&lt;$C$5),ROW(Subject_Tracker[Subject])-7),9)),"")</f>
        <v/>
      </c>
      <c r="D18" s="20">
        <f t="array" ref="D18">IFERROR(INDEX(Subject_Tracker[Responsible],SMALL(IF((Subject_Tracker[Subject]&lt;&gt;"")*(Subject_Tracker[Current Status]&lt;&gt;"Closed")*(Subject_Tracker[Last Update Date]&lt;$C$5),ROW(Subject_Tracker[Subject])-7),9)),"")</f>
        <v/>
      </c>
      <c r="E18" s="20">
        <f t="array" ref="E18">IFERROR(INDEX(Subject_Tracker[Current Action],SMALL(IF((Subject_Tracker[Subject]&lt;&gt;"")*(Subject_Tracker[Current Status]&lt;&gt;"Closed")*(Subject_Tracker[Last Update Date]&lt;$C$5),ROW(Subject_Tracker[Subject])-7),9)),"")</f>
        <v/>
      </c>
      <c r="F18" s="21">
        <f t="array" ref="F18">IFERROR(INDEX(Subject_Tracker[Due Date],SMALL(IF((Subject_Tracker[Subject]&lt;&gt;"")*(Subject_Tracker[Current Status]&lt;&gt;"Closed")*(Subject_Tracker[Last Update Date]&lt;$C$5),ROW(Subject_Tracker[Subject])-7),9)),"")</f>
        <v/>
      </c>
      <c r="G18" s="20">
        <f t="array" ref="G18">IFERROR(INDEX(Subject_Tracker[Current Status],SMALL(IF((Subject_Tracker[Subject]&lt;&gt;"")*(Subject_Tracker[Current Status]&lt;&gt;"Closed")*(Subject_Tracker[Last Update Date]&lt;$C$5),ROW(Subject_Tracker[Subject])-7),9)),"")</f>
        <v/>
      </c>
    </row>
    <row r="19" ht="26" customHeight="1">
      <c r="B19" s="28">
        <f t="array" ref="B19">IFERROR(INDEX(Subject_Tracker[Subject],SMALL(IF((Subject_Tracker[Subject]&lt;&gt;"")*(Subject_Tracker[Current Status]&lt;&gt;"Closed")*(Subject_Tracker[Last Update Date]&lt;$C$5),ROW(Subject_Tracker[Subject])-7),10)),"")</f>
        <v/>
      </c>
      <c r="C19" s="28">
        <f t="array" ref="C19">IFERROR(INDEX(Subject_Tracker[Sub-topic],SMALL(IF((Subject_Tracker[Subject]&lt;&gt;"")*(Subject_Tracker[Current Status]&lt;&gt;"Closed")*(Subject_Tracker[Last Update Date]&lt;$C$5),ROW(Subject_Tracker[Subject])-7),10)),"")</f>
        <v/>
      </c>
      <c r="D19" s="28">
        <f t="array" ref="D19">IFERROR(INDEX(Subject_Tracker[Responsible],SMALL(IF((Subject_Tracker[Subject]&lt;&gt;"")*(Subject_Tracker[Current Status]&lt;&gt;"Closed")*(Subject_Tracker[Last Update Date]&lt;$C$5),ROW(Subject_Tracker[Subject])-7),10)),"")</f>
        <v/>
      </c>
      <c r="E19" s="28">
        <f t="array" ref="E19">IFERROR(INDEX(Subject_Tracker[Current Action],SMALL(IF((Subject_Tracker[Subject]&lt;&gt;"")*(Subject_Tracker[Current Status]&lt;&gt;"Closed")*(Subject_Tracker[Last Update Date]&lt;$C$5),ROW(Subject_Tracker[Subject])-7),10)),"")</f>
        <v/>
      </c>
      <c r="F19" s="29">
        <f t="array" ref="F19">IFERROR(INDEX(Subject_Tracker[Due Date],SMALL(IF((Subject_Tracker[Subject]&lt;&gt;"")*(Subject_Tracker[Current Status]&lt;&gt;"Closed")*(Subject_Tracker[Last Update Date]&lt;$C$5),ROW(Subject_Tracker[Subject])-7),10)),"")</f>
        <v/>
      </c>
      <c r="G19" s="28">
        <f t="array" ref="G19">IFERROR(INDEX(Subject_Tracker[Current Status],SMALL(IF((Subject_Tracker[Subject]&lt;&gt;"")*(Subject_Tracker[Current Status]&lt;&gt;"Closed")*(Subject_Tracker[Last Update Date]&lt;$C$5),ROW(Subject_Tracker[Subject])-7),10)),"")</f>
        <v/>
      </c>
    </row>
    <row r="20" ht="26" customHeight="1">
      <c r="B20" s="20">
        <f t="array" ref="B20">IFERROR(INDEX(Subject_Tracker[Subject],SMALL(IF((Subject_Tracker[Subject]&lt;&gt;"")*(Subject_Tracker[Current Status]&lt;&gt;"Closed")*(Subject_Tracker[Last Update Date]&lt;$C$5),ROW(Subject_Tracker[Subject])-7),11)),"")</f>
        <v/>
      </c>
      <c r="C20" s="20">
        <f t="array" ref="C20">IFERROR(INDEX(Subject_Tracker[Sub-topic],SMALL(IF((Subject_Tracker[Subject]&lt;&gt;"")*(Subject_Tracker[Current Status]&lt;&gt;"Closed")*(Subject_Tracker[Last Update Date]&lt;$C$5),ROW(Subject_Tracker[Subject])-7),11)),"")</f>
        <v/>
      </c>
      <c r="D20" s="20">
        <f t="array" ref="D20">IFERROR(INDEX(Subject_Tracker[Responsible],SMALL(IF((Subject_Tracker[Subject]&lt;&gt;"")*(Subject_Tracker[Current Status]&lt;&gt;"Closed")*(Subject_Tracker[Last Update Date]&lt;$C$5),ROW(Subject_Tracker[Subject])-7),11)),"")</f>
        <v/>
      </c>
      <c r="E20" s="20">
        <f t="array" ref="E20">IFERROR(INDEX(Subject_Tracker[Current Action],SMALL(IF((Subject_Tracker[Subject]&lt;&gt;"")*(Subject_Tracker[Current Status]&lt;&gt;"Closed")*(Subject_Tracker[Last Update Date]&lt;$C$5),ROW(Subject_Tracker[Subject])-7),11)),"")</f>
        <v/>
      </c>
      <c r="F20" s="21">
        <f t="array" ref="F20">IFERROR(INDEX(Subject_Tracker[Due Date],SMALL(IF((Subject_Tracker[Subject]&lt;&gt;"")*(Subject_Tracker[Current Status]&lt;&gt;"Closed")*(Subject_Tracker[Last Update Date]&lt;$C$5),ROW(Subject_Tracker[Subject])-7),11)),"")</f>
        <v/>
      </c>
      <c r="G20" s="20">
        <f t="array" ref="G20">IFERROR(INDEX(Subject_Tracker[Current Status],SMALL(IF((Subject_Tracker[Subject]&lt;&gt;"")*(Subject_Tracker[Current Status]&lt;&gt;"Closed")*(Subject_Tracker[Last Update Date]&lt;$C$5),ROW(Subject_Tracker[Subject])-7),11)),"")</f>
        <v/>
      </c>
    </row>
    <row r="21" ht="26" customHeight="1">
      <c r="B21" s="28">
        <f t="array" ref="B21">IFERROR(INDEX(Subject_Tracker[Subject],SMALL(IF((Subject_Tracker[Subject]&lt;&gt;"")*(Subject_Tracker[Current Status]&lt;&gt;"Closed")*(Subject_Tracker[Last Update Date]&lt;$C$5),ROW(Subject_Tracker[Subject])-7),12)),"")</f>
        <v/>
      </c>
      <c r="C21" s="28">
        <f t="array" ref="C21">IFERROR(INDEX(Subject_Tracker[Sub-topic],SMALL(IF((Subject_Tracker[Subject]&lt;&gt;"")*(Subject_Tracker[Current Status]&lt;&gt;"Closed")*(Subject_Tracker[Last Update Date]&lt;$C$5),ROW(Subject_Tracker[Subject])-7),12)),"")</f>
        <v/>
      </c>
      <c r="D21" s="28">
        <f t="array" ref="D21">IFERROR(INDEX(Subject_Tracker[Responsible],SMALL(IF((Subject_Tracker[Subject]&lt;&gt;"")*(Subject_Tracker[Current Status]&lt;&gt;"Closed")*(Subject_Tracker[Last Update Date]&lt;$C$5),ROW(Subject_Tracker[Subject])-7),12)),"")</f>
        <v/>
      </c>
      <c r="E21" s="28">
        <f t="array" ref="E21">IFERROR(INDEX(Subject_Tracker[Current Action],SMALL(IF((Subject_Tracker[Subject]&lt;&gt;"")*(Subject_Tracker[Current Status]&lt;&gt;"Closed")*(Subject_Tracker[Last Update Date]&lt;$C$5),ROW(Subject_Tracker[Subject])-7),12)),"")</f>
        <v/>
      </c>
      <c r="F21" s="29">
        <f t="array" ref="F21">IFERROR(INDEX(Subject_Tracker[Due Date],SMALL(IF((Subject_Tracker[Subject]&lt;&gt;"")*(Subject_Tracker[Current Status]&lt;&gt;"Closed")*(Subject_Tracker[Last Update Date]&lt;$C$5),ROW(Subject_Tracker[Subject])-7),12)),"")</f>
        <v/>
      </c>
      <c r="G21" s="28">
        <f t="array" ref="G21">IFERROR(INDEX(Subject_Tracker[Current Status],SMALL(IF((Subject_Tracker[Subject]&lt;&gt;"")*(Subject_Tracker[Current Status]&lt;&gt;"Closed")*(Subject_Tracker[Last Update Date]&lt;$C$5),ROW(Subject_Tracker[Subject])-7),12)),"")</f>
        <v/>
      </c>
    </row>
    <row r="23" ht="40" customHeight="1">
      <c r="B23" s="30" t="inlineStr">
        <is>
          <t>To log an update: open History and add a new row - pick the Subject from the dropdown, then fill in today's Discussion, Decision/Action, Owner, Due Date and Status. Subject Tracker (and this list) update themselves automatically. To start a brand new subject: add a row in Subject Tracker with its Subject and Sub-topic first, then log its first entry in History the same way.</t>
        </is>
      </c>
    </row>
  </sheetData>
  <mergeCells count="2">
    <mergeCell ref="B3:I3"/>
    <mergeCell ref="B23:G23"/>
  </mergeCells>
  <dataValidations count="1">
    <dataValidation sqref="F5" showDropDown="0" showInputMessage="0" showErrorMessage="0" allowBlank="1" type="list">
      <formula1>=LIST_MEETING_TYPE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J1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36" customWidth="1" min="5" max="5"/>
    <col width="32" customWidth="1" min="6" max="6"/>
    <col width="16" customWidth="1" min="7" max="7"/>
    <col width="12" customWidth="1" min="8" max="8"/>
    <col width="13" customWidth="1" min="9" max="9"/>
    <col width="12" customWidth="1" min="10" max="10"/>
  </cols>
  <sheetData>
    <row r="1" ht="20" customHeight="1">
      <c r="B1" s="2" t="inlineStr">
        <is>
          <t>Overview</t>
        </is>
      </c>
      <c r="C1" s="2" t="inlineStr">
        <is>
          <t>Subject Tracker</t>
        </is>
      </c>
      <c r="D1" s="2" t="inlineStr">
        <is>
          <t>Current Meeting</t>
        </is>
      </c>
      <c r="E1" s="1" t="inlineStr">
        <is>
          <t>History</t>
        </is>
      </c>
      <c r="F1" s="2" t="inlineStr">
        <is>
          <t>Meeting Report</t>
        </is>
      </c>
      <c r="G1" s="2" t="inlineStr">
        <is>
          <t>Lists &amp; Config</t>
        </is>
      </c>
    </row>
    <row r="2" ht="26" customHeight="1">
      <c r="B2" s="3" t="inlineStr">
        <is>
          <t>History</t>
        </is>
      </c>
    </row>
    <row r="3" ht="30" customHeight="1">
      <c r="B3" s="4" t="inlineStr">
        <is>
          <t>Every meeting update for every subject, permanently - one new row each time a subject is discussed, never overwritten. Pick the Subject from the dropdown (create it in Subject Tracker first if it's brand new), fill in today's Discussion/Decision/Owner/Due Date/Status. Use the column filter on "Subject" to see one subject's full story on its own.</t>
        </is>
      </c>
    </row>
    <row r="7" ht="30" customHeight="1">
      <c r="B7" s="18" t="inlineStr">
        <is>
          <t>Subject</t>
        </is>
      </c>
      <c r="C7" s="18" t="inlineStr">
        <is>
          <t>Meeting</t>
        </is>
      </c>
      <c r="D7" s="18" t="inlineStr">
        <is>
          <t>Date</t>
        </is>
      </c>
      <c r="E7" s="18" t="inlineStr">
        <is>
          <t>Discussion / Notes</t>
        </is>
      </c>
      <c r="F7" s="18" t="inlineStr">
        <is>
          <t>Decision / Action</t>
        </is>
      </c>
      <c r="G7" s="18" t="inlineStr">
        <is>
          <t>Owner</t>
        </is>
      </c>
      <c r="H7" s="18" t="inlineStr">
        <is>
          <t>Due Date</t>
        </is>
      </c>
      <c r="I7" s="18" t="inlineStr">
        <is>
          <t>Status</t>
        </is>
      </c>
      <c r="J7" s="18" t="inlineStr">
        <is>
          <t>Added Date</t>
        </is>
      </c>
    </row>
    <row r="8" ht="50" customHeight="1">
      <c r="B8" s="19" t="inlineStr">
        <is>
          <t>Documentation - Commissioning Dossier</t>
        </is>
      </c>
      <c r="C8" s="19" t="inlineStr">
        <is>
          <t>Review #01</t>
        </is>
      </c>
      <c r="D8" s="31" t="n">
        <v>46178</v>
      </c>
      <c r="E8" s="19" t="inlineStr">
        <is>
          <t>Documents missing.</t>
        </is>
      </c>
      <c r="F8" s="19" t="inlineStr">
        <is>
          <t>Engineering to provide the missing documents.</t>
        </is>
      </c>
      <c r="G8" s="19" t="inlineStr">
        <is>
          <t>John Smith</t>
        </is>
      </c>
      <c r="H8" s="31" t="n">
        <v>46193</v>
      </c>
      <c r="I8" s="19" t="inlineStr">
        <is>
          <t>Open</t>
        </is>
      </c>
      <c r="J8" s="32">
        <f>IF($B8="","",IFERROR(_xlfn.MINIFS($D$8:$D$500,$B$8:$B$500,$B8),""))</f>
        <v/>
      </c>
    </row>
    <row r="9" ht="50" customHeight="1">
      <c r="B9" s="19" t="inlineStr">
        <is>
          <t>Documentation - Commissioning Dossier</t>
        </is>
      </c>
      <c r="C9" s="19" t="inlineStr">
        <is>
          <t>Review #02</t>
        </is>
      </c>
      <c r="D9" s="31" t="n">
        <v>46193</v>
      </c>
      <c r="E9" s="19" t="inlineStr">
        <is>
          <t>Some documents received.</t>
        </is>
      </c>
      <c r="F9" s="19" t="inlineStr">
        <is>
          <t>Remaining documents to be provided.</t>
        </is>
      </c>
      <c r="G9" s="19" t="inlineStr">
        <is>
          <t>John Smith</t>
        </is>
      </c>
      <c r="H9" s="31" t="n">
        <v>46208</v>
      </c>
      <c r="I9" s="19" t="inlineStr">
        <is>
          <t>Open</t>
        </is>
      </c>
      <c r="J9" s="32">
        <f>IF($B9="","",IFERROR(_xlfn.MINIFS($D$8:$D$500,$B$8:$B$500,$B9),""))</f>
        <v/>
      </c>
    </row>
    <row r="10" ht="50" customHeight="1">
      <c r="B10" s="19" t="inlineStr">
        <is>
          <t>Documentation - Commissioning Dossier</t>
        </is>
      </c>
      <c r="C10" s="19" t="inlineStr">
        <is>
          <t>Review #03</t>
        </is>
      </c>
      <c r="D10" s="31" t="n">
        <v>46208</v>
      </c>
      <c r="E10" s="19" t="inlineStr">
        <is>
          <t>Documents received.</t>
        </is>
      </c>
      <c r="F10" s="19" t="inlineStr">
        <is>
          <t>Complete final review.</t>
        </is>
      </c>
      <c r="G10" s="19" t="inlineStr">
        <is>
          <t>Sarah Williams</t>
        </is>
      </c>
      <c r="H10" s="31" t="n"/>
      <c r="I10" s="19" t="inlineStr">
        <is>
          <t>In Progress</t>
        </is>
      </c>
      <c r="J10" s="32">
        <f>IF($B10="","",IFERROR(_xlfn.MINIFS($D$8:$D$500,$B$8:$B$500,$B10),""))</f>
        <v/>
      </c>
    </row>
    <row r="11" ht="50" customHeight="1">
      <c r="B11" s="19" t="inlineStr">
        <is>
          <t>Documentation - Commissioning Dossier</t>
        </is>
      </c>
      <c r="C11" s="19" t="inlineStr">
        <is>
          <t>Review #04</t>
        </is>
      </c>
      <c r="D11" s="31" t="n">
        <v>46236</v>
      </c>
      <c r="E11" s="19" t="inlineStr">
        <is>
          <t>All documents accepted.</t>
        </is>
      </c>
      <c r="F11" s="19" t="inlineStr"/>
      <c r="G11" s="19" t="inlineStr"/>
      <c r="H11" s="31" t="n"/>
      <c r="I11" s="19" t="inlineStr">
        <is>
          <t>Closed</t>
        </is>
      </c>
      <c r="J11" s="32">
        <f>IF($B11="","",IFERROR(_xlfn.MINIFS($D$8:$D$500,$B$8:$B$500,$B11),""))</f>
        <v/>
      </c>
    </row>
    <row r="12" ht="50" customHeight="1">
      <c r="B12" s="19" t="inlineStr">
        <is>
          <t>Testing - Test Reports</t>
        </is>
      </c>
      <c r="C12" s="19" t="inlineStr">
        <is>
          <t>Review #01</t>
        </is>
      </c>
      <c r="D12" s="31" t="n">
        <v>46249</v>
      </c>
      <c r="E12" s="19" t="inlineStr">
        <is>
          <t>First functional test results reviewed.</t>
        </is>
      </c>
      <c r="F12" s="19" t="inlineStr">
        <is>
          <t>Issue the test report.</t>
        </is>
      </c>
      <c r="G12" s="19" t="inlineStr">
        <is>
          <t>Sarah Williams</t>
        </is>
      </c>
      <c r="H12" s="31" t="n">
        <v>46315</v>
      </c>
      <c r="I12" s="19" t="inlineStr">
        <is>
          <t>Open</t>
        </is>
      </c>
      <c r="J12" s="32">
        <f>IF($B12="","",IFERROR(_xlfn.MINIFS($D$8:$D$500,$B$8:$B$500,$B12),""))</f>
        <v/>
      </c>
    </row>
    <row r="13" ht="50" customHeight="1">
      <c r="B13" s="19" t="inlineStr">
        <is>
          <t>Safety - SSOW Approval</t>
        </is>
      </c>
      <c r="C13" s="19" t="inlineStr">
        <is>
          <t>Review #01</t>
        </is>
      </c>
      <c r="D13" s="31" t="n">
        <v>46249</v>
      </c>
      <c r="E13" s="19" t="inlineStr">
        <is>
          <t>SSOW draft submitted for review.</t>
        </is>
      </c>
      <c r="F13" s="19" t="inlineStr">
        <is>
          <t>Review and approve the SSOW.</t>
        </is>
      </c>
      <c r="G13" s="19" t="inlineStr">
        <is>
          <t>Robert Taylor</t>
        </is>
      </c>
      <c r="H13" s="31" t="n">
        <v>46285</v>
      </c>
      <c r="I13" s="19" t="inlineStr">
        <is>
          <t>Open</t>
        </is>
      </c>
      <c r="J13" s="32">
        <f>IF($B13="","",IFERROR(_xlfn.MINIFS($D$8:$D$500,$B$8:$B$500,$B13),""))</f>
        <v/>
      </c>
    </row>
    <row r="15">
      <c r="B15" s="23" t="inlineStr">
        <is>
          <t>Legend: Blue = fill in yourself | Black = automatic, do not overtype | Grey = automation helper, leave untouched | New row: type directly below the table and Excel extends it automatically</t>
        </is>
      </c>
    </row>
  </sheetData>
  <mergeCells count="1">
    <mergeCell ref="B3:I3"/>
  </mergeCells>
  <conditionalFormatting sqref="B8:J13">
    <cfRule type="expression" priority="1" dxfId="1">
      <formula>$I8="Closed"</formula>
    </cfRule>
    <cfRule type="expression" priority="2" dxfId="2">
      <formula>$I8="On Hold"</formula>
    </cfRule>
  </conditionalFormatting>
  <dataValidations count="3">
    <dataValidation sqref="B8:B13" showDropDown="0" showInputMessage="0" showErrorMessage="0" allowBlank="1" type="list">
      <formula1>=NAME_SUBJECT_KEYS</formula1>
    </dataValidation>
    <dataValidation sqref="G8:G13" showDropDown="0" showInputMessage="0" showErrorMessage="0" allowBlank="1" type="list">
      <formula1>=LIST_PEOPLE</formula1>
    </dataValidation>
    <dataValidation sqref="I8:I13" showDropDown="0" showInputMessage="0" showErrorMessage="0" allowBlank="1" type="list">
      <formula1>=LIST_STATUS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I5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0" customWidth="1" min="3" max="3"/>
    <col width="32" customWidth="1" min="4" max="4"/>
    <col width="16" customWidth="1" min="5" max="5"/>
    <col width="12" customWidth="1" min="6" max="6"/>
    <col width="13" customWidth="1" min="7" max="7"/>
  </cols>
  <sheetData>
    <row r="1" ht="20" customHeight="1">
      <c r="B1" s="2" t="inlineStr">
        <is>
          <t>Overview</t>
        </is>
      </c>
      <c r="C1" s="2" t="inlineStr">
        <is>
          <t>Subject Tracker</t>
        </is>
      </c>
      <c r="D1" s="2" t="inlineStr">
        <is>
          <t>Current Meeting</t>
        </is>
      </c>
      <c r="E1" s="2" t="inlineStr">
        <is>
          <t>History</t>
        </is>
      </c>
      <c r="F1" s="1" t="inlineStr">
        <is>
          <t>Meeting Report</t>
        </is>
      </c>
      <c r="G1" s="2" t="inlineStr">
        <is>
          <t>Lists &amp; Config</t>
        </is>
      </c>
    </row>
    <row r="2" ht="26" customHeight="1">
      <c r="B2" s="3" t="inlineStr">
        <is>
          <t>Meeting Report</t>
        </is>
      </c>
    </row>
    <row r="3" ht="30" customHeight="1">
      <c r="B3" s="4" t="inlineStr">
        <is>
          <t>Mirrors the meeting date and type selected on Current Meeting - change it there to generate a report for a different meeting. Built entirely from Subject Tracker and History - nothing here is retyped.</t>
        </is>
      </c>
    </row>
    <row r="5">
      <c r="B5" s="5" t="inlineStr">
        <is>
          <t>Meeting Date:</t>
        </is>
      </c>
      <c r="C5" s="6">
        <f>'Current Meeting'!$C$5</f>
        <v/>
      </c>
      <c r="E5" s="5" t="inlineStr">
        <is>
          <t>Meeting Type:</t>
        </is>
      </c>
      <c r="F5" s="33">
        <f>'Current Meeting'!$F$5</f>
        <v/>
      </c>
    </row>
    <row r="8" ht="22" customHeight="1">
      <c r="B8" s="26" t="inlineStr">
        <is>
          <t>1. FOLLOW-UP FROM PREVIOUS MEETING</t>
        </is>
      </c>
      <c r="C8" s="26" t="n"/>
      <c r="D8" s="26" t="n"/>
      <c r="E8" s="26" t="n"/>
      <c r="F8" s="26" t="n"/>
    </row>
    <row r="9">
      <c r="B9" s="27" t="inlineStr">
        <is>
          <t>Subject</t>
        </is>
      </c>
      <c r="C9" s="27" t="inlineStr">
        <is>
          <t>Discussion</t>
        </is>
      </c>
      <c r="D9" s="27" t="inlineStr">
        <is>
          <t>Decision / Action</t>
        </is>
      </c>
      <c r="E9" s="27" t="inlineStr">
        <is>
          <t>Owner</t>
        </is>
      </c>
      <c r="F9" s="27" t="inlineStr">
        <is>
          <t>Status</t>
        </is>
      </c>
    </row>
    <row r="10" ht="26" customHeight="1">
      <c r="B10" s="20">
        <f t="array" ref="B10">IFERROR(INDEX(History_Log[Subject],SMALL(IF((History_Log[Subject]&lt;&gt;"")*(History_Log[Date]=$C$5)*(History_Log[Added Date]&lt;&gt;$C$5),ROW(History_Log[Subject])-7),1)),"")</f>
        <v/>
      </c>
      <c r="C10" s="20">
        <f t="array" ref="C10">IFERROR(INDEX(History_Log[Discussion / Notes],SMALL(IF((History_Log[Subject]&lt;&gt;"")*(History_Log[Date]=$C$5)*(History_Log[Added Date]&lt;&gt;$C$5),ROW(History_Log[Subject])-7),1)),"")</f>
        <v/>
      </c>
      <c r="D10" s="20">
        <f t="array" ref="D10">IFERROR(INDEX(History_Log[Decision / Action],SMALL(IF((History_Log[Subject]&lt;&gt;"")*(History_Log[Date]=$C$5)*(History_Log[Added Date]&lt;&gt;$C$5),ROW(History_Log[Subject])-7),1)),"")</f>
        <v/>
      </c>
      <c r="E10" s="20">
        <f t="array" ref="E10">IFERROR(INDEX(History_Log[Owner],SMALL(IF((History_Log[Subject]&lt;&gt;"")*(History_Log[Date]=$C$5)*(History_Log[Added Date]&lt;&gt;$C$5),ROW(History_Log[Subject])-7),1)),"")</f>
        <v/>
      </c>
      <c r="F10" s="20">
        <f t="array" ref="F10">IFERROR(INDEX(History_Log[Status],SMALL(IF((History_Log[Subject]&lt;&gt;"")*(History_Log[Date]=$C$5)*(History_Log[Added Date]&lt;&gt;$C$5),ROW(History_Log[Subject])-7),1)),"")</f>
        <v/>
      </c>
    </row>
    <row r="11" ht="26" customHeight="1">
      <c r="B11" s="28">
        <f t="array" ref="B11">IFERROR(INDEX(History_Log[Subject],SMALL(IF((History_Log[Subject]&lt;&gt;"")*(History_Log[Date]=$C$5)*(History_Log[Added Date]&lt;&gt;$C$5),ROW(History_Log[Subject])-7),2)),"")</f>
        <v/>
      </c>
      <c r="C11" s="28">
        <f t="array" ref="C11">IFERROR(INDEX(History_Log[Discussion / Notes],SMALL(IF((History_Log[Subject]&lt;&gt;"")*(History_Log[Date]=$C$5)*(History_Log[Added Date]&lt;&gt;$C$5),ROW(History_Log[Subject])-7),2)),"")</f>
        <v/>
      </c>
      <c r="D11" s="28">
        <f t="array" ref="D11">IFERROR(INDEX(History_Log[Decision / Action],SMALL(IF((History_Log[Subject]&lt;&gt;"")*(History_Log[Date]=$C$5)*(History_Log[Added Date]&lt;&gt;$C$5),ROW(History_Log[Subject])-7),2)),"")</f>
        <v/>
      </c>
      <c r="E11" s="28">
        <f t="array" ref="E11">IFERROR(INDEX(History_Log[Owner],SMALL(IF((History_Log[Subject]&lt;&gt;"")*(History_Log[Date]=$C$5)*(History_Log[Added Date]&lt;&gt;$C$5),ROW(History_Log[Subject])-7),2)),"")</f>
        <v/>
      </c>
      <c r="F11" s="28">
        <f t="array" ref="F11">IFERROR(INDEX(History_Log[Status],SMALL(IF((History_Log[Subject]&lt;&gt;"")*(History_Log[Date]=$C$5)*(History_Log[Added Date]&lt;&gt;$C$5),ROW(History_Log[Subject])-7),2)),"")</f>
        <v/>
      </c>
    </row>
    <row r="12" ht="26" customHeight="1">
      <c r="B12" s="20">
        <f t="array" ref="B12">IFERROR(INDEX(History_Log[Subject],SMALL(IF((History_Log[Subject]&lt;&gt;"")*(History_Log[Date]=$C$5)*(History_Log[Added Date]&lt;&gt;$C$5),ROW(History_Log[Subject])-7),3)),"")</f>
        <v/>
      </c>
      <c r="C12" s="20">
        <f t="array" ref="C12">IFERROR(INDEX(History_Log[Discussion / Notes],SMALL(IF((History_Log[Subject]&lt;&gt;"")*(History_Log[Date]=$C$5)*(History_Log[Added Date]&lt;&gt;$C$5),ROW(History_Log[Subject])-7),3)),"")</f>
        <v/>
      </c>
      <c r="D12" s="20">
        <f t="array" ref="D12">IFERROR(INDEX(History_Log[Decision / Action],SMALL(IF((History_Log[Subject]&lt;&gt;"")*(History_Log[Date]=$C$5)*(History_Log[Added Date]&lt;&gt;$C$5),ROW(History_Log[Subject])-7),3)),"")</f>
        <v/>
      </c>
      <c r="E12" s="20">
        <f t="array" ref="E12">IFERROR(INDEX(History_Log[Owner],SMALL(IF((History_Log[Subject]&lt;&gt;"")*(History_Log[Date]=$C$5)*(History_Log[Added Date]&lt;&gt;$C$5),ROW(History_Log[Subject])-7),3)),"")</f>
        <v/>
      </c>
      <c r="F12" s="20">
        <f t="array" ref="F12">IFERROR(INDEX(History_Log[Status],SMALL(IF((History_Log[Subject]&lt;&gt;"")*(History_Log[Date]=$C$5)*(History_Log[Added Date]&lt;&gt;$C$5),ROW(History_Log[Subject])-7),3)),"")</f>
        <v/>
      </c>
    </row>
    <row r="13" ht="26" customHeight="1">
      <c r="B13" s="28">
        <f t="array" ref="B13">IFERROR(INDEX(History_Log[Subject],SMALL(IF((History_Log[Subject]&lt;&gt;"")*(History_Log[Date]=$C$5)*(History_Log[Added Date]&lt;&gt;$C$5),ROW(History_Log[Subject])-7),4)),"")</f>
        <v/>
      </c>
      <c r="C13" s="28">
        <f t="array" ref="C13">IFERROR(INDEX(History_Log[Discussion / Notes],SMALL(IF((History_Log[Subject]&lt;&gt;"")*(History_Log[Date]=$C$5)*(History_Log[Added Date]&lt;&gt;$C$5),ROW(History_Log[Subject])-7),4)),"")</f>
        <v/>
      </c>
      <c r="D13" s="28">
        <f t="array" ref="D13">IFERROR(INDEX(History_Log[Decision / Action],SMALL(IF((History_Log[Subject]&lt;&gt;"")*(History_Log[Date]=$C$5)*(History_Log[Added Date]&lt;&gt;$C$5),ROW(History_Log[Subject])-7),4)),"")</f>
        <v/>
      </c>
      <c r="E13" s="28">
        <f t="array" ref="E13">IFERROR(INDEX(History_Log[Owner],SMALL(IF((History_Log[Subject]&lt;&gt;"")*(History_Log[Date]=$C$5)*(History_Log[Added Date]&lt;&gt;$C$5),ROW(History_Log[Subject])-7),4)),"")</f>
        <v/>
      </c>
      <c r="F13" s="28">
        <f t="array" ref="F13">IFERROR(INDEX(History_Log[Status],SMALL(IF((History_Log[Subject]&lt;&gt;"")*(History_Log[Date]=$C$5)*(History_Log[Added Date]&lt;&gt;$C$5),ROW(History_Log[Subject])-7),4)),"")</f>
        <v/>
      </c>
    </row>
    <row r="14" ht="26" customHeight="1">
      <c r="B14" s="20">
        <f t="array" ref="B14">IFERROR(INDEX(History_Log[Subject],SMALL(IF((History_Log[Subject]&lt;&gt;"")*(History_Log[Date]=$C$5)*(History_Log[Added Date]&lt;&gt;$C$5),ROW(History_Log[Subject])-7),5)),"")</f>
        <v/>
      </c>
      <c r="C14" s="20">
        <f t="array" ref="C14">IFERROR(INDEX(History_Log[Discussion / Notes],SMALL(IF((History_Log[Subject]&lt;&gt;"")*(History_Log[Date]=$C$5)*(History_Log[Added Date]&lt;&gt;$C$5),ROW(History_Log[Subject])-7),5)),"")</f>
        <v/>
      </c>
      <c r="D14" s="20">
        <f t="array" ref="D14">IFERROR(INDEX(History_Log[Decision / Action],SMALL(IF((History_Log[Subject]&lt;&gt;"")*(History_Log[Date]=$C$5)*(History_Log[Added Date]&lt;&gt;$C$5),ROW(History_Log[Subject])-7),5)),"")</f>
        <v/>
      </c>
      <c r="E14" s="20">
        <f t="array" ref="E14">IFERROR(INDEX(History_Log[Owner],SMALL(IF((History_Log[Subject]&lt;&gt;"")*(History_Log[Date]=$C$5)*(History_Log[Added Date]&lt;&gt;$C$5),ROW(History_Log[Subject])-7),5)),"")</f>
        <v/>
      </c>
      <c r="F14" s="20">
        <f t="array" ref="F14">IFERROR(INDEX(History_Log[Status],SMALL(IF((History_Log[Subject]&lt;&gt;"")*(History_Log[Date]=$C$5)*(History_Log[Added Date]&lt;&gt;$C$5),ROW(History_Log[Subject])-7),5)),"")</f>
        <v/>
      </c>
    </row>
    <row r="15" ht="26" customHeight="1">
      <c r="B15" s="28">
        <f t="array" ref="B15">IFERROR(INDEX(History_Log[Subject],SMALL(IF((History_Log[Subject]&lt;&gt;"")*(History_Log[Date]=$C$5)*(History_Log[Added Date]&lt;&gt;$C$5),ROW(History_Log[Subject])-7),6)),"")</f>
        <v/>
      </c>
      <c r="C15" s="28">
        <f t="array" ref="C15">IFERROR(INDEX(History_Log[Discussion / Notes],SMALL(IF((History_Log[Subject]&lt;&gt;"")*(History_Log[Date]=$C$5)*(History_Log[Added Date]&lt;&gt;$C$5),ROW(History_Log[Subject])-7),6)),"")</f>
        <v/>
      </c>
      <c r="D15" s="28">
        <f t="array" ref="D15">IFERROR(INDEX(History_Log[Decision / Action],SMALL(IF((History_Log[Subject]&lt;&gt;"")*(History_Log[Date]=$C$5)*(History_Log[Added Date]&lt;&gt;$C$5),ROW(History_Log[Subject])-7),6)),"")</f>
        <v/>
      </c>
      <c r="E15" s="28">
        <f t="array" ref="E15">IFERROR(INDEX(History_Log[Owner],SMALL(IF((History_Log[Subject]&lt;&gt;"")*(History_Log[Date]=$C$5)*(History_Log[Added Date]&lt;&gt;$C$5),ROW(History_Log[Subject])-7),6)),"")</f>
        <v/>
      </c>
      <c r="F15" s="28">
        <f t="array" ref="F15">IFERROR(INDEX(History_Log[Status],SMALL(IF((History_Log[Subject]&lt;&gt;"")*(History_Log[Date]=$C$5)*(History_Log[Added Date]&lt;&gt;$C$5),ROW(History_Log[Subject])-7),6)),"")</f>
        <v/>
      </c>
    </row>
    <row r="16" ht="26" customHeight="1">
      <c r="B16" s="20">
        <f t="array" ref="B16">IFERROR(INDEX(History_Log[Subject],SMALL(IF((History_Log[Subject]&lt;&gt;"")*(History_Log[Date]=$C$5)*(History_Log[Added Date]&lt;&gt;$C$5),ROW(History_Log[Subject])-7),7)),"")</f>
        <v/>
      </c>
      <c r="C16" s="20">
        <f t="array" ref="C16">IFERROR(INDEX(History_Log[Discussion / Notes],SMALL(IF((History_Log[Subject]&lt;&gt;"")*(History_Log[Date]=$C$5)*(History_Log[Added Date]&lt;&gt;$C$5),ROW(History_Log[Subject])-7),7)),"")</f>
        <v/>
      </c>
      <c r="D16" s="20">
        <f t="array" ref="D16">IFERROR(INDEX(History_Log[Decision / Action],SMALL(IF((History_Log[Subject]&lt;&gt;"")*(History_Log[Date]=$C$5)*(History_Log[Added Date]&lt;&gt;$C$5),ROW(History_Log[Subject])-7),7)),"")</f>
        <v/>
      </c>
      <c r="E16" s="20">
        <f t="array" ref="E16">IFERROR(INDEX(History_Log[Owner],SMALL(IF((History_Log[Subject]&lt;&gt;"")*(History_Log[Date]=$C$5)*(History_Log[Added Date]&lt;&gt;$C$5),ROW(History_Log[Subject])-7),7)),"")</f>
        <v/>
      </c>
      <c r="F16" s="20">
        <f t="array" ref="F16">IFERROR(INDEX(History_Log[Status],SMALL(IF((History_Log[Subject]&lt;&gt;"")*(History_Log[Date]=$C$5)*(History_Log[Added Date]&lt;&gt;$C$5),ROW(History_Log[Subject])-7),7)),"")</f>
        <v/>
      </c>
    </row>
    <row r="17" ht="26" customHeight="1">
      <c r="B17" s="28">
        <f t="array" ref="B17">IFERROR(INDEX(History_Log[Subject],SMALL(IF((History_Log[Subject]&lt;&gt;"")*(History_Log[Date]=$C$5)*(History_Log[Added Date]&lt;&gt;$C$5),ROW(History_Log[Subject])-7),8)),"")</f>
        <v/>
      </c>
      <c r="C17" s="28">
        <f t="array" ref="C17">IFERROR(INDEX(History_Log[Discussion / Notes],SMALL(IF((History_Log[Subject]&lt;&gt;"")*(History_Log[Date]=$C$5)*(History_Log[Added Date]&lt;&gt;$C$5),ROW(History_Log[Subject])-7),8)),"")</f>
        <v/>
      </c>
      <c r="D17" s="28">
        <f t="array" ref="D17">IFERROR(INDEX(History_Log[Decision / Action],SMALL(IF((History_Log[Subject]&lt;&gt;"")*(History_Log[Date]=$C$5)*(History_Log[Added Date]&lt;&gt;$C$5),ROW(History_Log[Subject])-7),8)),"")</f>
        <v/>
      </c>
      <c r="E17" s="28">
        <f t="array" ref="E17">IFERROR(INDEX(History_Log[Owner],SMALL(IF((History_Log[Subject]&lt;&gt;"")*(History_Log[Date]=$C$5)*(History_Log[Added Date]&lt;&gt;$C$5),ROW(History_Log[Subject])-7),8)),"")</f>
        <v/>
      </c>
      <c r="F17" s="28">
        <f t="array" ref="F17">IFERROR(INDEX(History_Log[Status],SMALL(IF((History_Log[Subject]&lt;&gt;"")*(History_Log[Date]=$C$5)*(History_Log[Added Date]&lt;&gt;$C$5),ROW(History_Log[Subject])-7),8)),"")</f>
        <v/>
      </c>
    </row>
    <row r="19" ht="22" customHeight="1">
      <c r="B19" s="26" t="inlineStr">
        <is>
          <t>2. NEW TOPICS</t>
        </is>
      </c>
      <c r="C19" s="26" t="n"/>
      <c r="D19" s="26" t="n"/>
      <c r="E19" s="26" t="n"/>
      <c r="F19" s="26" t="n"/>
      <c r="G19" s="26" t="n"/>
    </row>
    <row r="20">
      <c r="B20" s="27" t="inlineStr">
        <is>
          <t>Subject</t>
        </is>
      </c>
      <c r="C20" s="27" t="inlineStr">
        <is>
          <t>Discussion</t>
        </is>
      </c>
      <c r="D20" s="27" t="inlineStr">
        <is>
          <t>Decision / Action</t>
        </is>
      </c>
      <c r="E20" s="27" t="inlineStr">
        <is>
          <t>Owner</t>
        </is>
      </c>
      <c r="F20" s="27" t="inlineStr">
        <is>
          <t>Due Date</t>
        </is>
      </c>
      <c r="G20" s="27" t="inlineStr">
        <is>
          <t>Status</t>
        </is>
      </c>
    </row>
    <row r="21" ht="26" customHeight="1">
      <c r="B21" s="20">
        <f t="array" ref="B21">IFERROR(INDEX(History_Log[Subject],SMALL(IF((History_Log[Subject]&lt;&gt;"")*(History_Log[Date]=$C$5)*(History_Log[Added Date]=$C$5),ROW(History_Log[Subject])-7),1)),"")</f>
        <v/>
      </c>
      <c r="C21" s="20">
        <f t="array" ref="C21">IFERROR(INDEX(History_Log[Discussion / Notes],SMALL(IF((History_Log[Subject]&lt;&gt;"")*(History_Log[Date]=$C$5)*(History_Log[Added Date]=$C$5),ROW(History_Log[Subject])-7),1)),"")</f>
        <v/>
      </c>
      <c r="D21" s="20">
        <f t="array" ref="D21">IFERROR(INDEX(History_Log[Decision / Action],SMALL(IF((History_Log[Subject]&lt;&gt;"")*(History_Log[Date]=$C$5)*(History_Log[Added Date]=$C$5),ROW(History_Log[Subject])-7),1)),"")</f>
        <v/>
      </c>
      <c r="E21" s="20">
        <f t="array" ref="E21">IFERROR(INDEX(History_Log[Owner],SMALL(IF((History_Log[Subject]&lt;&gt;"")*(History_Log[Date]=$C$5)*(History_Log[Added Date]=$C$5),ROW(History_Log[Subject])-7),1)),"")</f>
        <v/>
      </c>
      <c r="F21" s="21">
        <f t="array" ref="F21">IFERROR(INDEX(History_Log[Due Date],SMALL(IF((History_Log[Subject]&lt;&gt;"")*(History_Log[Date]=$C$5)*(History_Log[Added Date]=$C$5),ROW(History_Log[Subject])-7),1)),"")</f>
        <v/>
      </c>
      <c r="G21" s="20">
        <f t="array" ref="G21">IFERROR(INDEX(History_Log[Status],SMALL(IF((History_Log[Subject]&lt;&gt;"")*(History_Log[Date]=$C$5)*(History_Log[Added Date]=$C$5),ROW(History_Log[Subject])-7),1)),"")</f>
        <v/>
      </c>
    </row>
    <row r="22" ht="26" customHeight="1">
      <c r="B22" s="28">
        <f t="array" ref="B22">IFERROR(INDEX(History_Log[Subject],SMALL(IF((History_Log[Subject]&lt;&gt;"")*(History_Log[Date]=$C$5)*(History_Log[Added Date]=$C$5),ROW(History_Log[Subject])-7),2)),"")</f>
        <v/>
      </c>
      <c r="C22" s="28">
        <f t="array" ref="C22">IFERROR(INDEX(History_Log[Discussion / Notes],SMALL(IF((History_Log[Subject]&lt;&gt;"")*(History_Log[Date]=$C$5)*(History_Log[Added Date]=$C$5),ROW(History_Log[Subject])-7),2)),"")</f>
        <v/>
      </c>
      <c r="D22" s="28">
        <f t="array" ref="D22">IFERROR(INDEX(History_Log[Decision / Action],SMALL(IF((History_Log[Subject]&lt;&gt;"")*(History_Log[Date]=$C$5)*(History_Log[Added Date]=$C$5),ROW(History_Log[Subject])-7),2)),"")</f>
        <v/>
      </c>
      <c r="E22" s="28">
        <f t="array" ref="E22">IFERROR(INDEX(History_Log[Owner],SMALL(IF((History_Log[Subject]&lt;&gt;"")*(History_Log[Date]=$C$5)*(History_Log[Added Date]=$C$5),ROW(History_Log[Subject])-7),2)),"")</f>
        <v/>
      </c>
      <c r="F22" s="29">
        <f t="array" ref="F22">IFERROR(INDEX(History_Log[Due Date],SMALL(IF((History_Log[Subject]&lt;&gt;"")*(History_Log[Date]=$C$5)*(History_Log[Added Date]=$C$5),ROW(History_Log[Subject])-7),2)),"")</f>
        <v/>
      </c>
      <c r="G22" s="28">
        <f t="array" ref="G22">IFERROR(INDEX(History_Log[Status],SMALL(IF((History_Log[Subject]&lt;&gt;"")*(History_Log[Date]=$C$5)*(History_Log[Added Date]=$C$5),ROW(History_Log[Subject])-7),2)),"")</f>
        <v/>
      </c>
    </row>
    <row r="23" ht="26" customHeight="1">
      <c r="B23" s="20">
        <f t="array" ref="B23">IFERROR(INDEX(History_Log[Subject],SMALL(IF((History_Log[Subject]&lt;&gt;"")*(History_Log[Date]=$C$5)*(History_Log[Added Date]=$C$5),ROW(History_Log[Subject])-7),3)),"")</f>
        <v/>
      </c>
      <c r="C23" s="20">
        <f t="array" ref="C23">IFERROR(INDEX(History_Log[Discussion / Notes],SMALL(IF((History_Log[Subject]&lt;&gt;"")*(History_Log[Date]=$C$5)*(History_Log[Added Date]=$C$5),ROW(History_Log[Subject])-7),3)),"")</f>
        <v/>
      </c>
      <c r="D23" s="20">
        <f t="array" ref="D23">IFERROR(INDEX(History_Log[Decision / Action],SMALL(IF((History_Log[Subject]&lt;&gt;"")*(History_Log[Date]=$C$5)*(History_Log[Added Date]=$C$5),ROW(History_Log[Subject])-7),3)),"")</f>
        <v/>
      </c>
      <c r="E23" s="20">
        <f t="array" ref="E23">IFERROR(INDEX(History_Log[Owner],SMALL(IF((History_Log[Subject]&lt;&gt;"")*(History_Log[Date]=$C$5)*(History_Log[Added Date]=$C$5),ROW(History_Log[Subject])-7),3)),"")</f>
        <v/>
      </c>
      <c r="F23" s="21">
        <f t="array" ref="F23">IFERROR(INDEX(History_Log[Due Date],SMALL(IF((History_Log[Subject]&lt;&gt;"")*(History_Log[Date]=$C$5)*(History_Log[Added Date]=$C$5),ROW(History_Log[Subject])-7),3)),"")</f>
        <v/>
      </c>
      <c r="G23" s="20">
        <f t="array" ref="G23">IFERROR(INDEX(History_Log[Status],SMALL(IF((History_Log[Subject]&lt;&gt;"")*(History_Log[Date]=$C$5)*(History_Log[Added Date]=$C$5),ROW(History_Log[Subject])-7),3)),"")</f>
        <v/>
      </c>
    </row>
    <row r="24" ht="26" customHeight="1">
      <c r="B24" s="28">
        <f t="array" ref="B24">IFERROR(INDEX(History_Log[Subject],SMALL(IF((History_Log[Subject]&lt;&gt;"")*(History_Log[Date]=$C$5)*(History_Log[Added Date]=$C$5),ROW(History_Log[Subject])-7),4)),"")</f>
        <v/>
      </c>
      <c r="C24" s="28">
        <f t="array" ref="C24">IFERROR(INDEX(History_Log[Discussion / Notes],SMALL(IF((History_Log[Subject]&lt;&gt;"")*(History_Log[Date]=$C$5)*(History_Log[Added Date]=$C$5),ROW(History_Log[Subject])-7),4)),"")</f>
        <v/>
      </c>
      <c r="D24" s="28">
        <f t="array" ref="D24">IFERROR(INDEX(History_Log[Decision / Action],SMALL(IF((History_Log[Subject]&lt;&gt;"")*(History_Log[Date]=$C$5)*(History_Log[Added Date]=$C$5),ROW(History_Log[Subject])-7),4)),"")</f>
        <v/>
      </c>
      <c r="E24" s="28">
        <f t="array" ref="E24">IFERROR(INDEX(History_Log[Owner],SMALL(IF((History_Log[Subject]&lt;&gt;"")*(History_Log[Date]=$C$5)*(History_Log[Added Date]=$C$5),ROW(History_Log[Subject])-7),4)),"")</f>
        <v/>
      </c>
      <c r="F24" s="29">
        <f t="array" ref="F24">IFERROR(INDEX(History_Log[Due Date],SMALL(IF((History_Log[Subject]&lt;&gt;"")*(History_Log[Date]=$C$5)*(History_Log[Added Date]=$C$5),ROW(History_Log[Subject])-7),4)),"")</f>
        <v/>
      </c>
      <c r="G24" s="28">
        <f t="array" ref="G24">IFERROR(INDEX(History_Log[Status],SMALL(IF((History_Log[Subject]&lt;&gt;"")*(History_Log[Date]=$C$5)*(History_Log[Added Date]=$C$5),ROW(History_Log[Subject])-7),4)),"")</f>
        <v/>
      </c>
    </row>
    <row r="25" ht="26" customHeight="1">
      <c r="B25" s="20">
        <f t="array" ref="B25">IFERROR(INDEX(History_Log[Subject],SMALL(IF((History_Log[Subject]&lt;&gt;"")*(History_Log[Date]=$C$5)*(History_Log[Added Date]=$C$5),ROW(History_Log[Subject])-7),5)),"")</f>
        <v/>
      </c>
      <c r="C25" s="20">
        <f t="array" ref="C25">IFERROR(INDEX(History_Log[Discussion / Notes],SMALL(IF((History_Log[Subject]&lt;&gt;"")*(History_Log[Date]=$C$5)*(History_Log[Added Date]=$C$5),ROW(History_Log[Subject])-7),5)),"")</f>
        <v/>
      </c>
      <c r="D25" s="20">
        <f t="array" ref="D25">IFERROR(INDEX(History_Log[Decision / Action],SMALL(IF((History_Log[Subject]&lt;&gt;"")*(History_Log[Date]=$C$5)*(History_Log[Added Date]=$C$5),ROW(History_Log[Subject])-7),5)),"")</f>
        <v/>
      </c>
      <c r="E25" s="20">
        <f t="array" ref="E25">IFERROR(INDEX(History_Log[Owner],SMALL(IF((History_Log[Subject]&lt;&gt;"")*(History_Log[Date]=$C$5)*(History_Log[Added Date]=$C$5),ROW(History_Log[Subject])-7),5)),"")</f>
        <v/>
      </c>
      <c r="F25" s="21">
        <f t="array" ref="F25">IFERROR(INDEX(History_Log[Due Date],SMALL(IF((History_Log[Subject]&lt;&gt;"")*(History_Log[Date]=$C$5)*(History_Log[Added Date]=$C$5),ROW(History_Log[Subject])-7),5)),"")</f>
        <v/>
      </c>
      <c r="G25" s="20">
        <f t="array" ref="G25">IFERROR(INDEX(History_Log[Status],SMALL(IF((History_Log[Subject]&lt;&gt;"")*(History_Log[Date]=$C$5)*(History_Log[Added Date]=$C$5),ROW(History_Log[Subject])-7),5)),"")</f>
        <v/>
      </c>
    </row>
    <row r="26" ht="26" customHeight="1">
      <c r="B26" s="28">
        <f t="array" ref="B26">IFERROR(INDEX(History_Log[Subject],SMALL(IF((History_Log[Subject]&lt;&gt;"")*(History_Log[Date]=$C$5)*(History_Log[Added Date]=$C$5),ROW(History_Log[Subject])-7),6)),"")</f>
        <v/>
      </c>
      <c r="C26" s="28">
        <f t="array" ref="C26">IFERROR(INDEX(History_Log[Discussion / Notes],SMALL(IF((History_Log[Subject]&lt;&gt;"")*(History_Log[Date]=$C$5)*(History_Log[Added Date]=$C$5),ROW(History_Log[Subject])-7),6)),"")</f>
        <v/>
      </c>
      <c r="D26" s="28">
        <f t="array" ref="D26">IFERROR(INDEX(History_Log[Decision / Action],SMALL(IF((History_Log[Subject]&lt;&gt;"")*(History_Log[Date]=$C$5)*(History_Log[Added Date]=$C$5),ROW(History_Log[Subject])-7),6)),"")</f>
        <v/>
      </c>
      <c r="E26" s="28">
        <f t="array" ref="E26">IFERROR(INDEX(History_Log[Owner],SMALL(IF((History_Log[Subject]&lt;&gt;"")*(History_Log[Date]=$C$5)*(History_Log[Added Date]=$C$5),ROW(History_Log[Subject])-7),6)),"")</f>
        <v/>
      </c>
      <c r="F26" s="29">
        <f t="array" ref="F26">IFERROR(INDEX(History_Log[Due Date],SMALL(IF((History_Log[Subject]&lt;&gt;"")*(History_Log[Date]=$C$5)*(History_Log[Added Date]=$C$5),ROW(History_Log[Subject])-7),6)),"")</f>
        <v/>
      </c>
      <c r="G26" s="28">
        <f t="array" ref="G26">IFERROR(INDEX(History_Log[Status],SMALL(IF((History_Log[Subject]&lt;&gt;"")*(History_Log[Date]=$C$5)*(History_Log[Added Date]=$C$5),ROW(History_Log[Subject])-7),6)),"")</f>
        <v/>
      </c>
    </row>
    <row r="28" ht="22" customHeight="1">
      <c r="B28" s="26" t="inlineStr">
        <is>
          <t>3. DECISIONS / ACTIONS (this meeting)</t>
        </is>
      </c>
      <c r="C28" s="26" t="n"/>
      <c r="D28" s="26" t="n"/>
      <c r="E28" s="26" t="n"/>
      <c r="F28" s="26" t="n"/>
    </row>
    <row r="29">
      <c r="B29" s="27" t="inlineStr">
        <is>
          <t>Subject</t>
        </is>
      </c>
      <c r="C29" s="27" t="inlineStr">
        <is>
          <t>Decision / Action</t>
        </is>
      </c>
      <c r="D29" s="27" t="inlineStr">
        <is>
          <t>Owner</t>
        </is>
      </c>
      <c r="E29" s="27" t="inlineStr">
        <is>
          <t>Due Date</t>
        </is>
      </c>
      <c r="F29" s="27" t="inlineStr">
        <is>
          <t>Status</t>
        </is>
      </c>
    </row>
    <row r="30" ht="26" customHeight="1">
      <c r="B30" s="20">
        <f t="array" ref="B30">IFERROR(INDEX(History_Log[Subject],SMALL(IF((History_Log[Subject]&lt;&gt;"")*(History_Log[Date]=$C$5),ROW(History_Log[Subject])-7),1)),"")</f>
        <v/>
      </c>
      <c r="C30" s="20">
        <f t="array" ref="C30">IFERROR(INDEX(History_Log[Decision / Action],SMALL(IF((History_Log[Subject]&lt;&gt;"")*(History_Log[Date]=$C$5),ROW(History_Log[Subject])-7),1)),"")</f>
        <v/>
      </c>
      <c r="D30" s="20">
        <f t="array" ref="D30">IFERROR(INDEX(History_Log[Owner],SMALL(IF((History_Log[Subject]&lt;&gt;"")*(History_Log[Date]=$C$5),ROW(History_Log[Subject])-7),1)),"")</f>
        <v/>
      </c>
      <c r="E30" s="21">
        <f t="array" ref="E30">IFERROR(INDEX(History_Log[Due Date],SMALL(IF((History_Log[Subject]&lt;&gt;"")*(History_Log[Date]=$C$5),ROW(History_Log[Subject])-7),1)),"")</f>
        <v/>
      </c>
      <c r="F30" s="20">
        <f t="array" ref="F30">IFERROR(INDEX(History_Log[Status],SMALL(IF((History_Log[Subject]&lt;&gt;"")*(History_Log[Date]=$C$5),ROW(History_Log[Subject])-7),1)),"")</f>
        <v/>
      </c>
    </row>
    <row r="31" ht="26" customHeight="1">
      <c r="B31" s="28">
        <f t="array" ref="B31">IFERROR(INDEX(History_Log[Subject],SMALL(IF((History_Log[Subject]&lt;&gt;"")*(History_Log[Date]=$C$5),ROW(History_Log[Subject])-7),2)),"")</f>
        <v/>
      </c>
      <c r="C31" s="28">
        <f t="array" ref="C31">IFERROR(INDEX(History_Log[Decision / Action],SMALL(IF((History_Log[Subject]&lt;&gt;"")*(History_Log[Date]=$C$5),ROW(History_Log[Subject])-7),2)),"")</f>
        <v/>
      </c>
      <c r="D31" s="28">
        <f t="array" ref="D31">IFERROR(INDEX(History_Log[Owner],SMALL(IF((History_Log[Subject]&lt;&gt;"")*(History_Log[Date]=$C$5),ROW(History_Log[Subject])-7),2)),"")</f>
        <v/>
      </c>
      <c r="E31" s="29">
        <f t="array" ref="E31">IFERROR(INDEX(History_Log[Due Date],SMALL(IF((History_Log[Subject]&lt;&gt;"")*(History_Log[Date]=$C$5),ROW(History_Log[Subject])-7),2)),"")</f>
        <v/>
      </c>
      <c r="F31" s="28">
        <f t="array" ref="F31">IFERROR(INDEX(History_Log[Status],SMALL(IF((History_Log[Subject]&lt;&gt;"")*(History_Log[Date]=$C$5),ROW(History_Log[Subject])-7),2)),"")</f>
        <v/>
      </c>
    </row>
    <row r="32" ht="26" customHeight="1">
      <c r="B32" s="20">
        <f t="array" ref="B32">IFERROR(INDEX(History_Log[Subject],SMALL(IF((History_Log[Subject]&lt;&gt;"")*(History_Log[Date]=$C$5),ROW(History_Log[Subject])-7),3)),"")</f>
        <v/>
      </c>
      <c r="C32" s="20">
        <f t="array" ref="C32">IFERROR(INDEX(History_Log[Decision / Action],SMALL(IF((History_Log[Subject]&lt;&gt;"")*(History_Log[Date]=$C$5),ROW(History_Log[Subject])-7),3)),"")</f>
        <v/>
      </c>
      <c r="D32" s="20">
        <f t="array" ref="D32">IFERROR(INDEX(History_Log[Owner],SMALL(IF((History_Log[Subject]&lt;&gt;"")*(History_Log[Date]=$C$5),ROW(History_Log[Subject])-7),3)),"")</f>
        <v/>
      </c>
      <c r="E32" s="21">
        <f t="array" ref="E32">IFERROR(INDEX(History_Log[Due Date],SMALL(IF((History_Log[Subject]&lt;&gt;"")*(History_Log[Date]=$C$5),ROW(History_Log[Subject])-7),3)),"")</f>
        <v/>
      </c>
      <c r="F32" s="20">
        <f t="array" ref="F32">IFERROR(INDEX(History_Log[Status],SMALL(IF((History_Log[Subject]&lt;&gt;"")*(History_Log[Date]=$C$5),ROW(History_Log[Subject])-7),3)),"")</f>
        <v/>
      </c>
    </row>
    <row r="33" ht="26" customHeight="1">
      <c r="B33" s="28">
        <f t="array" ref="B33">IFERROR(INDEX(History_Log[Subject],SMALL(IF((History_Log[Subject]&lt;&gt;"")*(History_Log[Date]=$C$5),ROW(History_Log[Subject])-7),4)),"")</f>
        <v/>
      </c>
      <c r="C33" s="28">
        <f t="array" ref="C33">IFERROR(INDEX(History_Log[Decision / Action],SMALL(IF((History_Log[Subject]&lt;&gt;"")*(History_Log[Date]=$C$5),ROW(History_Log[Subject])-7),4)),"")</f>
        <v/>
      </c>
      <c r="D33" s="28">
        <f t="array" ref="D33">IFERROR(INDEX(History_Log[Owner],SMALL(IF((History_Log[Subject]&lt;&gt;"")*(History_Log[Date]=$C$5),ROW(History_Log[Subject])-7),4)),"")</f>
        <v/>
      </c>
      <c r="E33" s="29">
        <f t="array" ref="E33">IFERROR(INDEX(History_Log[Due Date],SMALL(IF((History_Log[Subject]&lt;&gt;"")*(History_Log[Date]=$C$5),ROW(History_Log[Subject])-7),4)),"")</f>
        <v/>
      </c>
      <c r="F33" s="28">
        <f t="array" ref="F33">IFERROR(INDEX(History_Log[Status],SMALL(IF((History_Log[Subject]&lt;&gt;"")*(History_Log[Date]=$C$5),ROW(History_Log[Subject])-7),4)),"")</f>
        <v/>
      </c>
    </row>
    <row r="34" ht="26" customHeight="1">
      <c r="B34" s="20">
        <f t="array" ref="B34">IFERROR(INDEX(History_Log[Subject],SMALL(IF((History_Log[Subject]&lt;&gt;"")*(History_Log[Date]=$C$5),ROW(History_Log[Subject])-7),5)),"")</f>
        <v/>
      </c>
      <c r="C34" s="20">
        <f t="array" ref="C34">IFERROR(INDEX(History_Log[Decision / Action],SMALL(IF((History_Log[Subject]&lt;&gt;"")*(History_Log[Date]=$C$5),ROW(History_Log[Subject])-7),5)),"")</f>
        <v/>
      </c>
      <c r="D34" s="20">
        <f t="array" ref="D34">IFERROR(INDEX(History_Log[Owner],SMALL(IF((History_Log[Subject]&lt;&gt;"")*(History_Log[Date]=$C$5),ROW(History_Log[Subject])-7),5)),"")</f>
        <v/>
      </c>
      <c r="E34" s="21">
        <f t="array" ref="E34">IFERROR(INDEX(History_Log[Due Date],SMALL(IF((History_Log[Subject]&lt;&gt;"")*(History_Log[Date]=$C$5),ROW(History_Log[Subject])-7),5)),"")</f>
        <v/>
      </c>
      <c r="F34" s="20">
        <f t="array" ref="F34">IFERROR(INDEX(History_Log[Status],SMALL(IF((History_Log[Subject]&lt;&gt;"")*(History_Log[Date]=$C$5),ROW(History_Log[Subject])-7),5)),"")</f>
        <v/>
      </c>
    </row>
    <row r="35" ht="26" customHeight="1">
      <c r="B35" s="28">
        <f t="array" ref="B35">IFERROR(INDEX(History_Log[Subject],SMALL(IF((History_Log[Subject]&lt;&gt;"")*(History_Log[Date]=$C$5),ROW(History_Log[Subject])-7),6)),"")</f>
        <v/>
      </c>
      <c r="C35" s="28">
        <f t="array" ref="C35">IFERROR(INDEX(History_Log[Decision / Action],SMALL(IF((History_Log[Subject]&lt;&gt;"")*(History_Log[Date]=$C$5),ROW(History_Log[Subject])-7),6)),"")</f>
        <v/>
      </c>
      <c r="D35" s="28">
        <f t="array" ref="D35">IFERROR(INDEX(History_Log[Owner],SMALL(IF((History_Log[Subject]&lt;&gt;"")*(History_Log[Date]=$C$5),ROW(History_Log[Subject])-7),6)),"")</f>
        <v/>
      </c>
      <c r="E35" s="29">
        <f t="array" ref="E35">IFERROR(INDEX(History_Log[Due Date],SMALL(IF((History_Log[Subject]&lt;&gt;"")*(History_Log[Date]=$C$5),ROW(History_Log[Subject])-7),6)),"")</f>
        <v/>
      </c>
      <c r="F35" s="28">
        <f t="array" ref="F35">IFERROR(INDEX(History_Log[Status],SMALL(IF((History_Log[Subject]&lt;&gt;"")*(History_Log[Date]=$C$5),ROW(History_Log[Subject])-7),6)),"")</f>
        <v/>
      </c>
    </row>
    <row r="36" ht="26" customHeight="1">
      <c r="B36" s="20">
        <f t="array" ref="B36">IFERROR(INDEX(History_Log[Subject],SMALL(IF((History_Log[Subject]&lt;&gt;"")*(History_Log[Date]=$C$5),ROW(History_Log[Subject])-7),7)),"")</f>
        <v/>
      </c>
      <c r="C36" s="20">
        <f t="array" ref="C36">IFERROR(INDEX(History_Log[Decision / Action],SMALL(IF((History_Log[Subject]&lt;&gt;"")*(History_Log[Date]=$C$5),ROW(History_Log[Subject])-7),7)),"")</f>
        <v/>
      </c>
      <c r="D36" s="20">
        <f t="array" ref="D36">IFERROR(INDEX(History_Log[Owner],SMALL(IF((History_Log[Subject]&lt;&gt;"")*(History_Log[Date]=$C$5),ROW(History_Log[Subject])-7),7)),"")</f>
        <v/>
      </c>
      <c r="E36" s="21">
        <f t="array" ref="E36">IFERROR(INDEX(History_Log[Due Date],SMALL(IF((History_Log[Subject]&lt;&gt;"")*(History_Log[Date]=$C$5),ROW(History_Log[Subject])-7),7)),"")</f>
        <v/>
      </c>
      <c r="F36" s="20">
        <f t="array" ref="F36">IFERROR(INDEX(History_Log[Status],SMALL(IF((History_Log[Subject]&lt;&gt;"")*(History_Log[Date]=$C$5),ROW(History_Log[Subject])-7),7)),"")</f>
        <v/>
      </c>
    </row>
    <row r="37" ht="26" customHeight="1">
      <c r="B37" s="28">
        <f t="array" ref="B37">IFERROR(INDEX(History_Log[Subject],SMALL(IF((History_Log[Subject]&lt;&gt;"")*(History_Log[Date]=$C$5),ROW(History_Log[Subject])-7),8)),"")</f>
        <v/>
      </c>
      <c r="C37" s="28">
        <f t="array" ref="C37">IFERROR(INDEX(History_Log[Decision / Action],SMALL(IF((History_Log[Subject]&lt;&gt;"")*(History_Log[Date]=$C$5),ROW(History_Log[Subject])-7),8)),"")</f>
        <v/>
      </c>
      <c r="D37" s="28">
        <f t="array" ref="D37">IFERROR(INDEX(History_Log[Owner],SMALL(IF((History_Log[Subject]&lt;&gt;"")*(History_Log[Date]=$C$5),ROW(History_Log[Subject])-7),8)),"")</f>
        <v/>
      </c>
      <c r="E37" s="29">
        <f t="array" ref="E37">IFERROR(INDEX(History_Log[Due Date],SMALL(IF((History_Log[Subject]&lt;&gt;"")*(History_Log[Date]=$C$5),ROW(History_Log[Subject])-7),8)),"")</f>
        <v/>
      </c>
      <c r="F37" s="28">
        <f t="array" ref="F37">IFERROR(INDEX(History_Log[Status],SMALL(IF((History_Log[Subject]&lt;&gt;"")*(History_Log[Date]=$C$5),ROW(History_Log[Subject])-7),8)),"")</f>
        <v/>
      </c>
    </row>
    <row r="38" ht="26" customHeight="1">
      <c r="B38" s="20">
        <f t="array" ref="B38">IFERROR(INDEX(History_Log[Subject],SMALL(IF((History_Log[Subject]&lt;&gt;"")*(History_Log[Date]=$C$5),ROW(History_Log[Subject])-7),9)),"")</f>
        <v/>
      </c>
      <c r="C38" s="20">
        <f t="array" ref="C38">IFERROR(INDEX(History_Log[Decision / Action],SMALL(IF((History_Log[Subject]&lt;&gt;"")*(History_Log[Date]=$C$5),ROW(History_Log[Subject])-7),9)),"")</f>
        <v/>
      </c>
      <c r="D38" s="20">
        <f t="array" ref="D38">IFERROR(INDEX(History_Log[Owner],SMALL(IF((History_Log[Subject]&lt;&gt;"")*(History_Log[Date]=$C$5),ROW(History_Log[Subject])-7),9)),"")</f>
        <v/>
      </c>
      <c r="E38" s="21">
        <f t="array" ref="E38">IFERROR(INDEX(History_Log[Due Date],SMALL(IF((History_Log[Subject]&lt;&gt;"")*(History_Log[Date]=$C$5),ROW(History_Log[Subject])-7),9)),"")</f>
        <v/>
      </c>
      <c r="F38" s="20">
        <f t="array" ref="F38">IFERROR(INDEX(History_Log[Status],SMALL(IF((History_Log[Subject]&lt;&gt;"")*(History_Log[Date]=$C$5),ROW(History_Log[Subject])-7),9)),"")</f>
        <v/>
      </c>
    </row>
    <row r="39" ht="26" customHeight="1">
      <c r="B39" s="28">
        <f t="array" ref="B39">IFERROR(INDEX(History_Log[Subject],SMALL(IF((History_Log[Subject]&lt;&gt;"")*(History_Log[Date]=$C$5),ROW(History_Log[Subject])-7),10)),"")</f>
        <v/>
      </c>
      <c r="C39" s="28">
        <f t="array" ref="C39">IFERROR(INDEX(History_Log[Decision / Action],SMALL(IF((History_Log[Subject]&lt;&gt;"")*(History_Log[Date]=$C$5),ROW(History_Log[Subject])-7),10)),"")</f>
        <v/>
      </c>
      <c r="D39" s="28">
        <f t="array" ref="D39">IFERROR(INDEX(History_Log[Owner],SMALL(IF((History_Log[Subject]&lt;&gt;"")*(History_Log[Date]=$C$5),ROW(History_Log[Subject])-7),10)),"")</f>
        <v/>
      </c>
      <c r="E39" s="29">
        <f t="array" ref="E39">IFERROR(INDEX(History_Log[Due Date],SMALL(IF((History_Log[Subject]&lt;&gt;"")*(History_Log[Date]=$C$5),ROW(History_Log[Subject])-7),10)),"")</f>
        <v/>
      </c>
      <c r="F39" s="28">
        <f t="array" ref="F39">IFERROR(INDEX(History_Log[Status],SMALL(IF((History_Log[Subject]&lt;&gt;"")*(History_Log[Date]=$C$5),ROW(History_Log[Subject])-7),10)),"")</f>
        <v/>
      </c>
    </row>
    <row r="41" ht="22" customHeight="1">
      <c r="B41" s="26" t="inlineStr">
        <is>
          <t>4. OPEN ACTIONS (current status, all subjects)</t>
        </is>
      </c>
      <c r="C41" s="26" t="n"/>
      <c r="D41" s="26" t="n"/>
      <c r="E41" s="26" t="n"/>
      <c r="F41" s="26" t="n"/>
      <c r="G41" s="26" t="n"/>
    </row>
    <row r="42">
      <c r="B42" s="27" t="inlineStr">
        <is>
          <t>Subject</t>
        </is>
      </c>
      <c r="C42" s="27" t="inlineStr">
        <is>
          <t>Sub-topic</t>
        </is>
      </c>
      <c r="D42" s="27" t="inlineStr">
        <is>
          <t>Current Action</t>
        </is>
      </c>
      <c r="E42" s="27" t="inlineStr">
        <is>
          <t>Responsible</t>
        </is>
      </c>
      <c r="F42" s="27" t="inlineStr">
        <is>
          <t>Due Date</t>
        </is>
      </c>
      <c r="G42" s="27" t="inlineStr">
        <is>
          <t>Status</t>
        </is>
      </c>
    </row>
    <row r="43" ht="26" customHeight="1">
      <c r="B43" s="20">
        <f t="array" ref="B43">IFERROR(INDEX(Subject_Tracker[Subject],SMALL(IF((Subject_Tracker[Subject]&lt;&gt;"")*(Subject_Tracker[Current Status]&lt;&gt;"Closed"),ROW(Subject_Tracker[Subject])-7),1)),"")</f>
        <v/>
      </c>
      <c r="C43" s="20">
        <f t="array" ref="C43">IFERROR(INDEX(Subject_Tracker[Sub-topic],SMALL(IF((Subject_Tracker[Subject]&lt;&gt;"")*(Subject_Tracker[Current Status]&lt;&gt;"Closed"),ROW(Subject_Tracker[Subject])-7),1)),"")</f>
        <v/>
      </c>
      <c r="D43" s="20">
        <f t="array" ref="D43">IFERROR(INDEX(Subject_Tracker[Current Action],SMALL(IF((Subject_Tracker[Subject]&lt;&gt;"")*(Subject_Tracker[Current Status]&lt;&gt;"Closed"),ROW(Subject_Tracker[Subject])-7),1)),"")</f>
        <v/>
      </c>
      <c r="E43" s="20">
        <f t="array" ref="E43">IFERROR(INDEX(Subject_Tracker[Responsible],SMALL(IF((Subject_Tracker[Subject]&lt;&gt;"")*(Subject_Tracker[Current Status]&lt;&gt;"Closed"),ROW(Subject_Tracker[Subject])-7),1)),"")</f>
        <v/>
      </c>
      <c r="F43" s="21">
        <f t="array" ref="F43">IFERROR(INDEX(Subject_Tracker[Due Date],SMALL(IF((Subject_Tracker[Subject]&lt;&gt;"")*(Subject_Tracker[Current Status]&lt;&gt;"Closed"),ROW(Subject_Tracker[Subject])-7),1)),"")</f>
        <v/>
      </c>
      <c r="G43" s="20">
        <f t="array" ref="G43">IFERROR(INDEX(Subject_Tracker[Current Status],SMALL(IF((Subject_Tracker[Subject]&lt;&gt;"")*(Subject_Tracker[Current Status]&lt;&gt;"Closed"),ROW(Subject_Tracker[Subject])-7),1)),"")</f>
        <v/>
      </c>
    </row>
    <row r="44" ht="26" customHeight="1">
      <c r="B44" s="28">
        <f t="array" ref="B44">IFERROR(INDEX(Subject_Tracker[Subject],SMALL(IF((Subject_Tracker[Subject]&lt;&gt;"")*(Subject_Tracker[Current Status]&lt;&gt;"Closed"),ROW(Subject_Tracker[Subject])-7),2)),"")</f>
        <v/>
      </c>
      <c r="C44" s="28">
        <f t="array" ref="C44">IFERROR(INDEX(Subject_Tracker[Sub-topic],SMALL(IF((Subject_Tracker[Subject]&lt;&gt;"")*(Subject_Tracker[Current Status]&lt;&gt;"Closed"),ROW(Subject_Tracker[Subject])-7),2)),"")</f>
        <v/>
      </c>
      <c r="D44" s="28">
        <f t="array" ref="D44">IFERROR(INDEX(Subject_Tracker[Current Action],SMALL(IF((Subject_Tracker[Subject]&lt;&gt;"")*(Subject_Tracker[Current Status]&lt;&gt;"Closed"),ROW(Subject_Tracker[Subject])-7),2)),"")</f>
        <v/>
      </c>
      <c r="E44" s="28">
        <f t="array" ref="E44">IFERROR(INDEX(Subject_Tracker[Responsible],SMALL(IF((Subject_Tracker[Subject]&lt;&gt;"")*(Subject_Tracker[Current Status]&lt;&gt;"Closed"),ROW(Subject_Tracker[Subject])-7),2)),"")</f>
        <v/>
      </c>
      <c r="F44" s="29">
        <f t="array" ref="F44">IFERROR(INDEX(Subject_Tracker[Due Date],SMALL(IF((Subject_Tracker[Subject]&lt;&gt;"")*(Subject_Tracker[Current Status]&lt;&gt;"Closed"),ROW(Subject_Tracker[Subject])-7),2)),"")</f>
        <v/>
      </c>
      <c r="G44" s="28">
        <f t="array" ref="G44">IFERROR(INDEX(Subject_Tracker[Current Status],SMALL(IF((Subject_Tracker[Subject]&lt;&gt;"")*(Subject_Tracker[Current Status]&lt;&gt;"Closed"),ROW(Subject_Tracker[Subject])-7),2)),"")</f>
        <v/>
      </c>
    </row>
    <row r="45" ht="26" customHeight="1">
      <c r="B45" s="20">
        <f t="array" ref="B45">IFERROR(INDEX(Subject_Tracker[Subject],SMALL(IF((Subject_Tracker[Subject]&lt;&gt;"")*(Subject_Tracker[Current Status]&lt;&gt;"Closed"),ROW(Subject_Tracker[Subject])-7),3)),"")</f>
        <v/>
      </c>
      <c r="C45" s="20">
        <f t="array" ref="C45">IFERROR(INDEX(Subject_Tracker[Sub-topic],SMALL(IF((Subject_Tracker[Subject]&lt;&gt;"")*(Subject_Tracker[Current Status]&lt;&gt;"Closed"),ROW(Subject_Tracker[Subject])-7),3)),"")</f>
        <v/>
      </c>
      <c r="D45" s="20">
        <f t="array" ref="D45">IFERROR(INDEX(Subject_Tracker[Current Action],SMALL(IF((Subject_Tracker[Subject]&lt;&gt;"")*(Subject_Tracker[Current Status]&lt;&gt;"Closed"),ROW(Subject_Tracker[Subject])-7),3)),"")</f>
        <v/>
      </c>
      <c r="E45" s="20">
        <f t="array" ref="E45">IFERROR(INDEX(Subject_Tracker[Responsible],SMALL(IF((Subject_Tracker[Subject]&lt;&gt;"")*(Subject_Tracker[Current Status]&lt;&gt;"Closed"),ROW(Subject_Tracker[Subject])-7),3)),"")</f>
        <v/>
      </c>
      <c r="F45" s="21">
        <f t="array" ref="F45">IFERROR(INDEX(Subject_Tracker[Due Date],SMALL(IF((Subject_Tracker[Subject]&lt;&gt;"")*(Subject_Tracker[Current Status]&lt;&gt;"Closed"),ROW(Subject_Tracker[Subject])-7),3)),"")</f>
        <v/>
      </c>
      <c r="G45" s="20">
        <f t="array" ref="G45">IFERROR(INDEX(Subject_Tracker[Current Status],SMALL(IF((Subject_Tracker[Subject]&lt;&gt;"")*(Subject_Tracker[Current Status]&lt;&gt;"Closed"),ROW(Subject_Tracker[Subject])-7),3)),"")</f>
        <v/>
      </c>
    </row>
    <row r="46" ht="26" customHeight="1">
      <c r="B46" s="28">
        <f t="array" ref="B46">IFERROR(INDEX(Subject_Tracker[Subject],SMALL(IF((Subject_Tracker[Subject]&lt;&gt;"")*(Subject_Tracker[Current Status]&lt;&gt;"Closed"),ROW(Subject_Tracker[Subject])-7),4)),"")</f>
        <v/>
      </c>
      <c r="C46" s="28">
        <f t="array" ref="C46">IFERROR(INDEX(Subject_Tracker[Sub-topic],SMALL(IF((Subject_Tracker[Subject]&lt;&gt;"")*(Subject_Tracker[Current Status]&lt;&gt;"Closed"),ROW(Subject_Tracker[Subject])-7),4)),"")</f>
        <v/>
      </c>
      <c r="D46" s="28">
        <f t="array" ref="D46">IFERROR(INDEX(Subject_Tracker[Current Action],SMALL(IF((Subject_Tracker[Subject]&lt;&gt;"")*(Subject_Tracker[Current Status]&lt;&gt;"Closed"),ROW(Subject_Tracker[Subject])-7),4)),"")</f>
        <v/>
      </c>
      <c r="E46" s="28">
        <f t="array" ref="E46">IFERROR(INDEX(Subject_Tracker[Responsible],SMALL(IF((Subject_Tracker[Subject]&lt;&gt;"")*(Subject_Tracker[Current Status]&lt;&gt;"Closed"),ROW(Subject_Tracker[Subject])-7),4)),"")</f>
        <v/>
      </c>
      <c r="F46" s="29">
        <f t="array" ref="F46">IFERROR(INDEX(Subject_Tracker[Due Date],SMALL(IF((Subject_Tracker[Subject]&lt;&gt;"")*(Subject_Tracker[Current Status]&lt;&gt;"Closed"),ROW(Subject_Tracker[Subject])-7),4)),"")</f>
        <v/>
      </c>
      <c r="G46" s="28">
        <f t="array" ref="G46">IFERROR(INDEX(Subject_Tracker[Current Status],SMALL(IF((Subject_Tracker[Subject]&lt;&gt;"")*(Subject_Tracker[Current Status]&lt;&gt;"Closed"),ROW(Subject_Tracker[Subject])-7),4)),"")</f>
        <v/>
      </c>
    </row>
    <row r="47" ht="26" customHeight="1">
      <c r="B47" s="20">
        <f t="array" ref="B47">IFERROR(INDEX(Subject_Tracker[Subject],SMALL(IF((Subject_Tracker[Subject]&lt;&gt;"")*(Subject_Tracker[Current Status]&lt;&gt;"Closed"),ROW(Subject_Tracker[Subject])-7),5)),"")</f>
        <v/>
      </c>
      <c r="C47" s="20">
        <f t="array" ref="C47">IFERROR(INDEX(Subject_Tracker[Sub-topic],SMALL(IF((Subject_Tracker[Subject]&lt;&gt;"")*(Subject_Tracker[Current Status]&lt;&gt;"Closed"),ROW(Subject_Tracker[Subject])-7),5)),"")</f>
        <v/>
      </c>
      <c r="D47" s="20">
        <f t="array" ref="D47">IFERROR(INDEX(Subject_Tracker[Current Action],SMALL(IF((Subject_Tracker[Subject]&lt;&gt;"")*(Subject_Tracker[Current Status]&lt;&gt;"Closed"),ROW(Subject_Tracker[Subject])-7),5)),"")</f>
        <v/>
      </c>
      <c r="E47" s="20">
        <f t="array" ref="E47">IFERROR(INDEX(Subject_Tracker[Responsible],SMALL(IF((Subject_Tracker[Subject]&lt;&gt;"")*(Subject_Tracker[Current Status]&lt;&gt;"Closed"),ROW(Subject_Tracker[Subject])-7),5)),"")</f>
        <v/>
      </c>
      <c r="F47" s="21">
        <f t="array" ref="F47">IFERROR(INDEX(Subject_Tracker[Due Date],SMALL(IF((Subject_Tracker[Subject]&lt;&gt;"")*(Subject_Tracker[Current Status]&lt;&gt;"Closed"),ROW(Subject_Tracker[Subject])-7),5)),"")</f>
        <v/>
      </c>
      <c r="G47" s="20">
        <f t="array" ref="G47">IFERROR(INDEX(Subject_Tracker[Current Status],SMALL(IF((Subject_Tracker[Subject]&lt;&gt;"")*(Subject_Tracker[Current Status]&lt;&gt;"Closed"),ROW(Subject_Tracker[Subject])-7),5)),"")</f>
        <v/>
      </c>
    </row>
    <row r="48" ht="26" customHeight="1">
      <c r="B48" s="28">
        <f t="array" ref="B48">IFERROR(INDEX(Subject_Tracker[Subject],SMALL(IF((Subject_Tracker[Subject]&lt;&gt;"")*(Subject_Tracker[Current Status]&lt;&gt;"Closed"),ROW(Subject_Tracker[Subject])-7),6)),"")</f>
        <v/>
      </c>
      <c r="C48" s="28">
        <f t="array" ref="C48">IFERROR(INDEX(Subject_Tracker[Sub-topic],SMALL(IF((Subject_Tracker[Subject]&lt;&gt;"")*(Subject_Tracker[Current Status]&lt;&gt;"Closed"),ROW(Subject_Tracker[Subject])-7),6)),"")</f>
        <v/>
      </c>
      <c r="D48" s="28">
        <f t="array" ref="D48">IFERROR(INDEX(Subject_Tracker[Current Action],SMALL(IF((Subject_Tracker[Subject]&lt;&gt;"")*(Subject_Tracker[Current Status]&lt;&gt;"Closed"),ROW(Subject_Tracker[Subject])-7),6)),"")</f>
        <v/>
      </c>
      <c r="E48" s="28">
        <f t="array" ref="E48">IFERROR(INDEX(Subject_Tracker[Responsible],SMALL(IF((Subject_Tracker[Subject]&lt;&gt;"")*(Subject_Tracker[Current Status]&lt;&gt;"Closed"),ROW(Subject_Tracker[Subject])-7),6)),"")</f>
        <v/>
      </c>
      <c r="F48" s="29">
        <f t="array" ref="F48">IFERROR(INDEX(Subject_Tracker[Due Date],SMALL(IF((Subject_Tracker[Subject]&lt;&gt;"")*(Subject_Tracker[Current Status]&lt;&gt;"Closed"),ROW(Subject_Tracker[Subject])-7),6)),"")</f>
        <v/>
      </c>
      <c r="G48" s="28">
        <f t="array" ref="G48">IFERROR(INDEX(Subject_Tracker[Current Status],SMALL(IF((Subject_Tracker[Subject]&lt;&gt;"")*(Subject_Tracker[Current Status]&lt;&gt;"Closed"),ROW(Subject_Tracker[Subject])-7),6)),"")</f>
        <v/>
      </c>
    </row>
    <row r="49" ht="26" customHeight="1">
      <c r="B49" s="20">
        <f t="array" ref="B49">IFERROR(INDEX(Subject_Tracker[Subject],SMALL(IF((Subject_Tracker[Subject]&lt;&gt;"")*(Subject_Tracker[Current Status]&lt;&gt;"Closed"),ROW(Subject_Tracker[Subject])-7),7)),"")</f>
        <v/>
      </c>
      <c r="C49" s="20">
        <f t="array" ref="C49">IFERROR(INDEX(Subject_Tracker[Sub-topic],SMALL(IF((Subject_Tracker[Subject]&lt;&gt;"")*(Subject_Tracker[Current Status]&lt;&gt;"Closed"),ROW(Subject_Tracker[Subject])-7),7)),"")</f>
        <v/>
      </c>
      <c r="D49" s="20">
        <f t="array" ref="D49">IFERROR(INDEX(Subject_Tracker[Current Action],SMALL(IF((Subject_Tracker[Subject]&lt;&gt;"")*(Subject_Tracker[Current Status]&lt;&gt;"Closed"),ROW(Subject_Tracker[Subject])-7),7)),"")</f>
        <v/>
      </c>
      <c r="E49" s="20">
        <f t="array" ref="E49">IFERROR(INDEX(Subject_Tracker[Responsible],SMALL(IF((Subject_Tracker[Subject]&lt;&gt;"")*(Subject_Tracker[Current Status]&lt;&gt;"Closed"),ROW(Subject_Tracker[Subject])-7),7)),"")</f>
        <v/>
      </c>
      <c r="F49" s="21">
        <f t="array" ref="F49">IFERROR(INDEX(Subject_Tracker[Due Date],SMALL(IF((Subject_Tracker[Subject]&lt;&gt;"")*(Subject_Tracker[Current Status]&lt;&gt;"Closed"),ROW(Subject_Tracker[Subject])-7),7)),"")</f>
        <v/>
      </c>
      <c r="G49" s="20">
        <f t="array" ref="G49">IFERROR(INDEX(Subject_Tracker[Current Status],SMALL(IF((Subject_Tracker[Subject]&lt;&gt;"")*(Subject_Tracker[Current Status]&lt;&gt;"Closed"),ROW(Subject_Tracker[Subject])-7),7)),"")</f>
        <v/>
      </c>
    </row>
    <row r="50" ht="26" customHeight="1">
      <c r="B50" s="28">
        <f t="array" ref="B50">IFERROR(INDEX(Subject_Tracker[Subject],SMALL(IF((Subject_Tracker[Subject]&lt;&gt;"")*(Subject_Tracker[Current Status]&lt;&gt;"Closed"),ROW(Subject_Tracker[Subject])-7),8)),"")</f>
        <v/>
      </c>
      <c r="C50" s="28">
        <f t="array" ref="C50">IFERROR(INDEX(Subject_Tracker[Sub-topic],SMALL(IF((Subject_Tracker[Subject]&lt;&gt;"")*(Subject_Tracker[Current Status]&lt;&gt;"Closed"),ROW(Subject_Tracker[Subject])-7),8)),"")</f>
        <v/>
      </c>
      <c r="D50" s="28">
        <f t="array" ref="D50">IFERROR(INDEX(Subject_Tracker[Current Action],SMALL(IF((Subject_Tracker[Subject]&lt;&gt;"")*(Subject_Tracker[Current Status]&lt;&gt;"Closed"),ROW(Subject_Tracker[Subject])-7),8)),"")</f>
        <v/>
      </c>
      <c r="E50" s="28">
        <f t="array" ref="E50">IFERROR(INDEX(Subject_Tracker[Responsible],SMALL(IF((Subject_Tracker[Subject]&lt;&gt;"")*(Subject_Tracker[Current Status]&lt;&gt;"Closed"),ROW(Subject_Tracker[Subject])-7),8)),"")</f>
        <v/>
      </c>
      <c r="F50" s="29">
        <f t="array" ref="F50">IFERROR(INDEX(Subject_Tracker[Due Date],SMALL(IF((Subject_Tracker[Subject]&lt;&gt;"")*(Subject_Tracker[Current Status]&lt;&gt;"Closed"),ROW(Subject_Tracker[Subject])-7),8)),"")</f>
        <v/>
      </c>
      <c r="G50" s="28">
        <f t="array" ref="G50">IFERROR(INDEX(Subject_Tracker[Current Status],SMALL(IF((Subject_Tracker[Subject]&lt;&gt;"")*(Subject_Tracker[Current Status]&lt;&gt;"Closed"),ROW(Subject_Tracker[Subject])-7),8)),"")</f>
        <v/>
      </c>
    </row>
    <row r="51" ht="26" customHeight="1">
      <c r="B51" s="20">
        <f t="array" ref="B51">IFERROR(INDEX(Subject_Tracker[Subject],SMALL(IF((Subject_Tracker[Subject]&lt;&gt;"")*(Subject_Tracker[Current Status]&lt;&gt;"Closed"),ROW(Subject_Tracker[Subject])-7),9)),"")</f>
        <v/>
      </c>
      <c r="C51" s="20">
        <f t="array" ref="C51">IFERROR(INDEX(Subject_Tracker[Sub-topic],SMALL(IF((Subject_Tracker[Subject]&lt;&gt;"")*(Subject_Tracker[Current Status]&lt;&gt;"Closed"),ROW(Subject_Tracker[Subject])-7),9)),"")</f>
        <v/>
      </c>
      <c r="D51" s="20">
        <f t="array" ref="D51">IFERROR(INDEX(Subject_Tracker[Current Action],SMALL(IF((Subject_Tracker[Subject]&lt;&gt;"")*(Subject_Tracker[Current Status]&lt;&gt;"Closed"),ROW(Subject_Tracker[Subject])-7),9)),"")</f>
        <v/>
      </c>
      <c r="E51" s="20">
        <f t="array" ref="E51">IFERROR(INDEX(Subject_Tracker[Responsible],SMALL(IF((Subject_Tracker[Subject]&lt;&gt;"")*(Subject_Tracker[Current Status]&lt;&gt;"Closed"),ROW(Subject_Tracker[Subject])-7),9)),"")</f>
        <v/>
      </c>
      <c r="F51" s="21">
        <f t="array" ref="F51">IFERROR(INDEX(Subject_Tracker[Due Date],SMALL(IF((Subject_Tracker[Subject]&lt;&gt;"")*(Subject_Tracker[Current Status]&lt;&gt;"Closed"),ROW(Subject_Tracker[Subject])-7),9)),"")</f>
        <v/>
      </c>
      <c r="G51" s="20">
        <f t="array" ref="G51">IFERROR(INDEX(Subject_Tracker[Current Status],SMALL(IF((Subject_Tracker[Subject]&lt;&gt;"")*(Subject_Tracker[Current Status]&lt;&gt;"Closed"),ROW(Subject_Tracker[Subject])-7),9)),"")</f>
        <v/>
      </c>
    </row>
    <row r="52" ht="26" customHeight="1">
      <c r="B52" s="28">
        <f t="array" ref="B52">IFERROR(INDEX(Subject_Tracker[Subject],SMALL(IF((Subject_Tracker[Subject]&lt;&gt;"")*(Subject_Tracker[Current Status]&lt;&gt;"Closed"),ROW(Subject_Tracker[Subject])-7),10)),"")</f>
        <v/>
      </c>
      <c r="C52" s="28">
        <f t="array" ref="C52">IFERROR(INDEX(Subject_Tracker[Sub-topic],SMALL(IF((Subject_Tracker[Subject]&lt;&gt;"")*(Subject_Tracker[Current Status]&lt;&gt;"Closed"),ROW(Subject_Tracker[Subject])-7),10)),"")</f>
        <v/>
      </c>
      <c r="D52" s="28">
        <f t="array" ref="D52">IFERROR(INDEX(Subject_Tracker[Current Action],SMALL(IF((Subject_Tracker[Subject]&lt;&gt;"")*(Subject_Tracker[Current Status]&lt;&gt;"Closed"),ROW(Subject_Tracker[Subject])-7),10)),"")</f>
        <v/>
      </c>
      <c r="E52" s="28">
        <f t="array" ref="E52">IFERROR(INDEX(Subject_Tracker[Responsible],SMALL(IF((Subject_Tracker[Subject]&lt;&gt;"")*(Subject_Tracker[Current Status]&lt;&gt;"Closed"),ROW(Subject_Tracker[Subject])-7),10)),"")</f>
        <v/>
      </c>
      <c r="F52" s="29">
        <f t="array" ref="F52">IFERROR(INDEX(Subject_Tracker[Due Date],SMALL(IF((Subject_Tracker[Subject]&lt;&gt;"")*(Subject_Tracker[Current Status]&lt;&gt;"Closed"),ROW(Subject_Tracker[Subject])-7),10)),"")</f>
        <v/>
      </c>
      <c r="G52" s="28">
        <f t="array" ref="G52">IFERROR(INDEX(Subject_Tracker[Current Status],SMALL(IF((Subject_Tracker[Subject]&lt;&gt;"")*(Subject_Tracker[Current Status]&lt;&gt;"Closed"),ROW(Subject_Tracker[Subject])-7),10)),"")</f>
        <v/>
      </c>
    </row>
    <row r="54">
      <c r="B54" s="23" t="inlineStr">
        <is>
          <t>Legend: Blue = fill in yourself | Black = automatic, do not overtype | Grey = automation helper, leave untouched | New row: type directly below the table and Excel extends it automatically</t>
        </is>
      </c>
    </row>
  </sheetData>
  <mergeCells count="1">
    <mergeCell ref="B3:I3"/>
  </mergeCell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I1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B1" s="2" t="inlineStr">
        <is>
          <t>Overview</t>
        </is>
      </c>
      <c r="C1" s="2" t="inlineStr">
        <is>
          <t>Subject Tracker</t>
        </is>
      </c>
      <c r="D1" s="2" t="inlineStr">
        <is>
          <t>Current Meeting</t>
        </is>
      </c>
      <c r="E1" s="2" t="inlineStr">
        <is>
          <t>History</t>
        </is>
      </c>
      <c r="F1" s="2" t="inlineStr">
        <is>
          <t>Meeting Report</t>
        </is>
      </c>
      <c r="G1" s="1" t="inlineStr">
        <is>
          <t>Lists &amp; Config</t>
        </is>
      </c>
    </row>
    <row r="2" ht="26" customHeight="1">
      <c r="B2" s="3" t="inlineStr">
        <is>
          <t>Lists &amp; Config</t>
        </is>
      </c>
    </row>
    <row r="3" ht="30" customHeight="1">
      <c r="B3" s="4" t="inlineStr">
        <is>
          <t>Dropdown values used across the workbook. Add or remove values here - every dropdown updates automatically. No formulas elsewhere need to change.</t>
        </is>
      </c>
    </row>
    <row r="5" ht="22" customHeight="1">
      <c r="B5" s="34" t="inlineStr">
        <is>
          <t>Subject</t>
        </is>
      </c>
      <c r="C5" s="34" t="inlineStr">
        <is>
          <t>Sub-topic</t>
        </is>
      </c>
      <c r="D5" s="34" t="inlineStr">
        <is>
          <t>People</t>
        </is>
      </c>
      <c r="E5" s="34" t="inlineStr">
        <is>
          <t>Status</t>
        </is>
      </c>
      <c r="F5" s="34" t="inlineStr">
        <is>
          <t>Meeting Type</t>
        </is>
      </c>
    </row>
    <row r="6">
      <c r="B6" s="16" t="inlineStr">
        <is>
          <t>Documentation</t>
        </is>
      </c>
      <c r="C6" s="16" t="inlineStr">
        <is>
          <t>General</t>
        </is>
      </c>
      <c r="D6" s="16" t="inlineStr">
        <is>
          <t>John Smith</t>
        </is>
      </c>
      <c r="E6" s="16" t="inlineStr">
        <is>
          <t>Open</t>
        </is>
      </c>
      <c r="F6" s="16" t="inlineStr">
        <is>
          <t>Weekly</t>
        </is>
      </c>
    </row>
    <row r="7">
      <c r="B7" s="35" t="inlineStr">
        <is>
          <t>Testing</t>
        </is>
      </c>
      <c r="C7" s="35" t="inlineStr">
        <is>
          <t>Other</t>
        </is>
      </c>
      <c r="D7" s="35" t="inlineStr">
        <is>
          <t>Sarah Williams</t>
        </is>
      </c>
      <c r="E7" s="35" t="inlineStr">
        <is>
          <t>In Progress</t>
        </is>
      </c>
      <c r="F7" s="35" t="inlineStr">
        <is>
          <t>Monthly</t>
        </is>
      </c>
    </row>
    <row r="8">
      <c r="B8" s="16" t="inlineStr">
        <is>
          <t>Safety</t>
        </is>
      </c>
      <c r="D8" s="16" t="inlineStr">
        <is>
          <t>Robert Taylor</t>
        </is>
      </c>
      <c r="E8" s="16" t="inlineStr">
        <is>
          <t>On Hold</t>
        </is>
      </c>
      <c r="F8" s="16" t="inlineStr">
        <is>
          <t>Ad hoc</t>
        </is>
      </c>
    </row>
    <row r="9">
      <c r="B9" s="35" t="inlineStr">
        <is>
          <t>Commissioning Planning</t>
        </is>
      </c>
      <c r="E9" s="35" t="inlineStr">
        <is>
          <t>Closed</t>
        </is>
      </c>
    </row>
    <row r="10">
      <c r="B10" s="16" t="inlineStr">
        <is>
          <t>Engineering</t>
        </is>
      </c>
    </row>
    <row r="11">
      <c r="B11" s="35" t="inlineStr">
        <is>
          <t>Quality</t>
        </is>
      </c>
    </row>
    <row r="12">
      <c r="B12" s="16" t="inlineStr">
        <is>
          <t>Interfaces</t>
        </is>
      </c>
    </row>
    <row r="13">
      <c r="B13" s="35" t="inlineStr">
        <is>
          <t>Schedule</t>
        </is>
      </c>
    </row>
    <row r="14">
      <c r="B14" s="16" t="inlineStr">
        <is>
          <t>Other</t>
        </is>
      </c>
    </row>
    <row r="16">
      <c r="B16" s="23" t="inlineStr">
        <is>
          <t>Legend: Blue = fill in yourself | Black = automatic, do not overtype | Grey = automation helper, leave untouched | New row: type directly below the table and Excel extends it automatically</t>
        </is>
      </c>
    </row>
    <row r="17">
      <c r="B17" s="23" t="inlineStr">
        <is>
          <t>Add more People/Subjects any time - just type a new value in the next blank cell in that column.</t>
        </is>
      </c>
    </row>
  </sheetData>
  <mergeCells count="1">
    <mergeCell ref="B3:I3"/>
  </mergeCell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2026-09-28T13:29:47Z</dcterms:created>
  <dcterms:modified xsi:type="dcterms:W3CDTF">2026-09-28T13:29:47Z</dcterms:modified>
</cp:coreProperties>
</file>