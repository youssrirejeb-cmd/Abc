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_rels/drawing5.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trol Panel" sheetId="2" state="visible" r:id="rId4"/>
    <sheet name="Scope Tracker" sheetId="3" state="visible" r:id="rId5"/>
    <sheet name="Equipment Tracker" sheetId="4" state="visible" r:id="rId6"/>
    <sheet name="Document Tracker" sheetId="5" state="visible" r:id="rId7"/>
    <sheet name="Action Tracker" sheetId="6" state="visible" r:id="rId8"/>
    <sheet name="Dashboard" sheetId="7" state="visible" r:id="rId9"/>
    <sheet name="Configuration" sheetId="8" state="hidden" r:id="rId10"/>
  </sheets>
  <definedNames>
    <definedName function="false" hidden="true" localSheetId="5" name="_xlnm._FilterDatabase" vbProcedure="false">'Action Tracker'!$A$3:$O$103</definedName>
    <definedName function="false" hidden="true" localSheetId="4" name="_xlnm._FilterDatabase" vbProcedure="false">'Document Tracker'!$A$3:$Q$153</definedName>
    <definedName function="false" hidden="true" localSheetId="3" name="_xlnm._FilterDatabase" vbProcedure="false">'Equipment Tracker'!$A$3:$M$103</definedName>
    <definedName function="false" hidden="true" localSheetId="2" name="_xlnm._FilterDatabase" vbProcedure="false">'Scope Tracker'!$A$3:$R$103</definedName>
    <definedName function="false" hidden="false" name="Act_Blocker" vbProcedure="false">'Action Tracker'!$M$4:$M$103</definedName>
    <definedName function="false" hidden="false" name="Act_DaysToDue" vbProcedure="false">'Action Tracker'!$Q$4:$Q$103</definedName>
    <definedName function="false" hidden="false" name="Act_Desc" vbProcedure="false">'Action Tracker'!$B$4:$B$103</definedName>
    <definedName function="false" hidden="false" name="Act_ID" vbProcedure="false">'Action Tracker'!$A$4:$A$103</definedName>
    <definedName function="false" hidden="false" name="Act_Overdue" vbProcedure="false">'Action Tracker'!$R$4:$R$103</definedName>
    <definedName function="false" hidden="false" name="Act_Owner" vbProcedure="false">'Action Tracker'!$G$4:$G$103</definedName>
    <definedName function="false" hidden="false" name="Act_RankKey" vbProcedure="false">'Action Tracker'!$S$4:$S$103</definedName>
    <definedName function="false" hidden="false" name="Act_Scope" vbProcedure="false">'Action Tracker'!$D$4:$D$103</definedName>
    <definedName function="false" hidden="false" name="Act_Status" vbProcedure="false">'Action Tracker'!$N$4:$N$103</definedName>
    <definedName function="false" hidden="false" name="Cfg_ActionCategory" vbProcedure="false">Configuration!$M$5:$M$12</definedName>
    <definedName function="false" hidden="false" name="Cfg_ActionStatus" vbProcedure="false">Configuration!$G$5:$G$8</definedName>
    <definedName function="false" hidden="false" name="Cfg_ActWindow" vbProcedure="false">Configuration!$O$36</definedName>
    <definedName function="false" hidden="false" name="Cfg_ContractStatus" vbProcedure="false">Configuration!$A$5:$A$11</definedName>
    <definedName function="false" hidden="false" name="Cfg_Criticality" vbProcedure="false">Configuration!$H$5:$H$8</definedName>
    <definedName function="false" hidden="false" name="Cfg_DocType" vbProcedure="false">Configuration!$K$5:$K$24</definedName>
    <definedName function="false" hidden="false" name="Cfg_DocWindow" vbProcedure="false">Configuration!$O$35</definedName>
    <definedName function="false" hidden="false" name="Cfg_Gate" vbProcedure="false">Configuration!$E$5:$E$11</definedName>
    <definedName function="false" hidden="false" name="Cfg_LeadDays" vbProcedure="false">'Control Panel'!$D$32:$D$51</definedName>
    <definedName function="false" hidden="false" name="Cfg_LeadType" vbProcedure="false">'Control Panel'!$B$32:$B$51</definedName>
    <definedName function="false" hidden="false" name="Cfg_MilestoneStatus" vbProcedure="false">Configuration!$J$5:$J$9</definedName>
    <definedName function="false" hidden="false" name="Cfg_MsLeadDays" vbProcedure="false">'Control Panel'!$D$55:$D$63</definedName>
    <definedName function="false" hidden="false" name="Cfg_MsList" vbProcedure="false">'Control Panel'!$B$55:$B$63</definedName>
    <definedName function="false" hidden="false" name="Cfg_MsWindow" vbProcedure="false">Configuration!$O$38</definedName>
    <definedName function="false" hidden="false" name="Cfg_OwnerBlockers" vbProcedure="false">Configuration!$T$203:$T$218</definedName>
    <definedName function="false" hidden="false" name="Cfg_OwnerList" vbProcedure="false">Configuration!$R$203:$R$218</definedName>
    <definedName function="false" hidden="false" name="Cfg_Personnel" vbProcedure="false">Configuration!$L$5:$L$20</definedName>
    <definedName function="false" hidden="false" name="Cfg_Phase" vbProcedure="false">Configuration!$C$5:$C$15</definedName>
    <definedName function="false" hidden="false" name="Cfg_PhaseList" vbProcedure="false">Configuration!$A$30:$A$40</definedName>
    <definedName function="false" hidden="false" name="Cfg_PhasePct" vbProcedure="false">Configuration!$B$30:$B$40</definedName>
    <definedName function="false" hidden="false" name="Cfg_Priority" vbProcedure="false">Configuration!$F$5:$F$8</definedName>
    <definedName function="false" hidden="false" name="Cfg_RagAmber" vbProcedure="false">Configuration!$O$34</definedName>
    <definedName function="false" hidden="false" name="Cfg_RagGreen" vbProcedure="false">Configuration!$O$33</definedName>
    <definedName function="false" hidden="false" name="Cfg_ReviewDays" vbProcedure="false">Configuration!$I$32</definedName>
    <definedName function="false" hidden="false" name="Cfg_ScopeReady" vbProcedure="false">Configuration!$O$37</definedName>
    <definedName function="false" hidden="false" name="Cfg_ScopeStatus" vbProcedure="false">Configuration!$B$5:$B$11</definedName>
    <definedName function="false" hidden="false" name="Cfg_ThrAttention" vbProcedure="false">Configuration!$O$32</definedName>
    <definedName function="false" hidden="false" name="Cfg_ThrExcellent" vbProcedure="false">Configuration!$O$30</definedName>
    <definedName function="false" hidden="false" name="Cfg_ThrGood" vbProcedure="false">Configuration!$O$31</definedName>
    <definedName function="false" hidden="false" name="Cfg_WDoc" vbProcedure="false">Configuration!$I$31</definedName>
    <definedName function="false" hidden="false" name="Cfg_WfApproved" vbProcedure="false">Configuration!$F$30:$F$41</definedName>
    <definedName function="false" hidden="false" name="Cfg_WfList" vbProcedure="false">Configuration!$D$30:$D$41</definedName>
    <definedName function="false" hidden="false" name="Cfg_WfPct" vbProcedure="false">Configuration!$E$30:$E$41</definedName>
    <definedName function="false" hidden="false" name="Cfg_WorkflowStatus" vbProcedure="false">Configuration!$D$5:$D$16</definedName>
    <definedName function="false" hidden="false" name="Cfg_WPhase" vbProcedure="false">Configuration!$I$30</definedName>
    <definedName function="false" hidden="false" name="Cfg_YesNo" vbProcedure="false">Configuration!$I$5:$I$6</definedName>
    <definedName function="false" hidden="false" name="Ctrl_PlannedStart" vbProcedure="false">'Control Panel'!$C$14</definedName>
    <definedName function="false" hidden="false" name="Doc_Approved" vbProcedure="false">'Document Tracker'!$S$4:$S$153</definedName>
    <definedName function="false" hidden="false" name="Doc_Equipment" vbProcedure="false">'Document Tracker'!$C$4:$C$153</definedName>
    <definedName function="false" hidden="false" name="Doc_Flag" vbProcedure="false">'Document Tracker'!$V$4:$V$153</definedName>
    <definedName function="false" hidden="false" name="Doc_Gate" vbProcedure="false">'Document Tracker'!$J$4:$J$153</definedName>
    <definedName function="false" hidden="false" name="Doc_Number" vbProcedure="false">'Document Tracker'!$D$4:$D$153</definedName>
    <definedName function="false" hidden="false" name="Doc_NumberList" vbProcedure="false">'Document Tracker'!$D$4:$D$153</definedName>
    <definedName function="false" hidden="false" name="Doc_Owner" vbProcedure="false">'Document Tracker'!$G$4:$G$153</definedName>
    <definedName function="false" hidden="false" name="Doc_Progress" vbProcedure="false">'Document Tracker'!$T$4:$T$153</definedName>
    <definedName function="false" hidden="false" name="Doc_RankKey" vbProcedure="false">'Document Tracker'!$W$4:$W$153</definedName>
    <definedName function="false" hidden="false" name="Doc_Scope" vbProcedure="false">'Document Tracker'!$B$4:$B$153</definedName>
    <definedName function="false" hidden="false" name="Doc_Type" vbProcedure="false">'Document Tracker'!$A$4:$A$153</definedName>
    <definedName function="false" hidden="false" name="Doc_Workflow" vbProcedure="false">'Document Tracker'!$I$4:$I$153</definedName>
    <definedName function="false" hidden="false" name="Eq_Name" vbProcedure="false">'Equipment Tracker'!$A$4:$A$103</definedName>
    <definedName function="false" hidden="false" name="Eq_NameList" vbProcedure="false">'Equipment Tracker'!$A$4:$A$103</definedName>
    <definedName function="false" hidden="false" name="Eq_Phase" vbProcedure="false">'Equipment Tracker'!$D$4:$D$103</definedName>
    <definedName function="false" hidden="false" name="Eq_PhasePct" vbProcedure="false">'Equipment Tracker'!$O$4:$O$103</definedName>
    <definedName function="false" hidden="false" name="Eq_Readiness" vbProcedure="false">'Equipment Tracker'!$K$4:$K$103</definedName>
    <definedName function="false" hidden="false" name="Eq_Scope" vbProcedure="false">'Equipment Tracker'!$B$4:$B$103</definedName>
    <definedName function="false" hidden="false" name="Eq_Status" vbProcedure="false">'Equipment Tracker'!$L$4:$L$103</definedName>
    <definedName function="false" hidden="false" name="Ms_Days" vbProcedure="false">Dashboard!$I$27:$I$56</definedName>
    <definedName function="false" hidden="false" name="Ms_Name" vbProcedure="false">Dashboard!$B$27:$B$56</definedName>
    <definedName function="false" hidden="false" name="Ms_Status" vbProcedure="false">Dashboard!$G$27:$G$56</definedName>
    <definedName function="false" hidden="false" name="Sc_ID" vbProcedure="false">'Scope Tracker'!$A$4:$A$103</definedName>
    <definedName function="false" hidden="false" name="Sc_IDList" vbProcedure="false">'Scope Tracker'!$A$4:$A$103</definedName>
    <definedName function="false" hidden="false" name="Sc_Readiness" vbProcedure="false">'Scope Tracker'!$J$4:$J$103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2" authorId="0">
      <text>
        <r>
          <rPr>
            <sz val="10"/>
            <rFont val="Arial"/>
            <family val="2"/>
          </rPr>
          <t xml:space="preserve">Forecast Commissioning Start minus Planned Commissioning Start. Positive = late against baseline.</t>
        </r>
      </text>
    </comment>
    <comment ref="G5" authorId="0">
      <text>
        <r>
          <rPr>
            <sz val="10"/>
            <rFont val="Arial"/>
            <family val="2"/>
          </rPr>
          <t xml:space="preserve">Average blended readiness across every equipment item (phase progress + approved documents).</t>
        </r>
      </text>
    </comment>
    <comment ref="G9" authorId="0">
      <text>
        <r>
          <rPr>
            <sz val="10"/>
            <rFont val="Arial"/>
            <family val="2"/>
          </rPr>
          <t xml:space="preserve">Actions past their Due Date with no Completion Date and status not Closed.</t>
        </r>
      </text>
    </comment>
    <comment ref="G10" authorId="0">
      <text>
        <r>
          <rPr>
            <sz val="10"/>
            <rFont val="Arial"/>
            <family val="2"/>
          </rPr>
          <t xml:space="preserve">Assumption: the spec does not define 'missing'. Counted here as deliverables that exist as a row but whose Workflow Status is still 'Not Started'.</t>
        </r>
      </text>
    </comment>
    <comment ref="G11" authorId="0">
      <text>
        <r>
          <rPr>
            <sz val="10"/>
            <rFont val="Arial"/>
            <family val="2"/>
          </rPr>
          <t xml:space="preserve">Assumption: the spec has no separate Risk sheet. Counted here as open actions flagged as a Commissioning Blocker.</t>
        </r>
      </text>
    </comment>
    <comment ref="G12" authorId="0">
      <text>
        <r>
          <rPr>
            <sz val="10"/>
            <rFont val="Arial"/>
            <family val="2"/>
          </rPr>
          <t xml:space="preserve">Milestones whose forecast (or planned) date falls within the window set on the Configuration sheet, and which are not yet Achieved.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Blended readiness: (phase weight x phase progress) + (document weight x share of linked documents approved). Weights are on the Configuration sheet. Equipment with no linked documents falls back to phase progress alone.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O3" authorId="0">
      <text>
        <r>
          <rPr>
            <sz val="10"/>
            <rFont val="Arial"/>
            <family val="2"/>
          </rPr>
          <t xml:space="preserve">Days late against the Target Approval Date. Once an Actual Approval Date is entered it freezes at how late the approval actually was.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J25" authorId="0">
      <text>
        <r>
          <rPr>
            <sz val="10"/>
            <rFont val="Arial"/>
            <family val="2"/>
          </rPr>
          <t xml:space="preserve">The workbook holds no history of its own. Record one snapshot per month: type the date and paste the Contract Readiness value from the Control Panel as a number. The Readiness Trend chart plots this table.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57" authorId="0">
      <text>
        <r>
          <rPr>
            <sz val="10"/>
            <rFont val="Arial"/>
            <family val="2"/>
          </rPr>
          <t xml:space="preserve">Approved ATS-required deliverables as a share of all ATS-required deliverables in the tracker.</t>
        </r>
      </text>
    </comment>
    <comment ref="A58" authorId="0">
      <text>
        <r>
          <rPr>
            <sz val="10"/>
            <rFont val="Arial"/>
            <family val="2"/>
          </rPr>
          <t xml:space="preserve">Ready only when every one of the 10 required types is fully satisfied. At Risk when 80%+ of the required deliverables are approved but at least one type still has an outstanding document.</t>
        </r>
      </text>
    </comment>
    <comment ref="D45" authorId="0">
      <text>
        <r>
          <rPr>
            <sz val="10"/>
            <rFont val="Arial"/>
            <family val="2"/>
          </rPr>
          <t xml:space="preserve">A required type counts as met only when at least one document of that type exists AND none of that type is still outstanding. Counting merely 'one approved somewhere' would turn the gate green while other scopes still had the deliverable open.</t>
        </r>
      </text>
    </comment>
  </commentList>
</comments>
</file>

<file path=xl/sharedStrings.xml><?xml version="1.0" encoding="utf-8"?>
<sst xmlns="http://schemas.openxmlformats.org/spreadsheetml/2006/main" count="617" uniqueCount="395">
  <si>
    <t xml:space="preserve">DMIC COMMISSIONING CONTRACT MANAGEMENT WORKBOOK</t>
  </si>
  <si>
    <t xml:space="preserve">Built to the specification 'DMIC Commissioning Contract Management Workbook v3'. BLANK TEMPLATE — row 4 of each tracker holds an example; overwrite it with your first real record.</t>
  </si>
  <si>
    <t xml:space="preserve">START HERE</t>
  </si>
  <si>
    <t xml:space="preserve">1. Set the driver date</t>
  </si>
  <si>
    <t xml:space="preserve">Control Panel → 'Planned Commissioning Start' (amber cell). Every target date in the workbook is generated from it.</t>
  </si>
  <si>
    <t xml:space="preserve">2. Tune the lead times</t>
  </si>
  <si>
    <t xml:space="preserve">Control Panel → 'Lead Time Configuration'. Edit the blue Lead Days column; all target dates update.</t>
  </si>
  <si>
    <t xml:space="preserve">3. Enter your scopes</t>
  </si>
  <si>
    <t xml:space="preserve">Scope Tracker → one row per commissioning scope. The Scope ID is the key everything else links to.</t>
  </si>
  <si>
    <t xml:space="preserve">4. Enter your equipment</t>
  </si>
  <si>
    <t xml:space="preserve">Equipment Tracker → one row per item, each with a Parent Scope and a Commissioning Phase.</t>
  </si>
  <si>
    <t xml:space="preserve">5. Enter your deliverables</t>
  </si>
  <si>
    <t xml:space="preserve">Document Tracker → one row per deliverable. Pick a Document Type and the target dates appear.</t>
  </si>
  <si>
    <t xml:space="preserve">6. Work the actions</t>
  </si>
  <si>
    <t xml:space="preserve">Action Tracker → rows colour themselves by priority and lateness.</t>
  </si>
  <si>
    <t xml:space="preserve">7. Read the Dashboard</t>
  </si>
  <si>
    <t xml:space="preserve">Dashboard → Contract Health Index, the nine executive questions, milestones and nine charts.</t>
  </si>
  <si>
    <t xml:space="preserve">CELL COLOUR LEGEND</t>
  </si>
  <si>
    <t xml:space="preserve">Amber cell</t>
  </si>
  <si>
    <t xml:space="preserve">The single key driver — Planned Commissioning Start.</t>
  </si>
  <si>
    <t xml:space="preserve">Blue text, white cell</t>
  </si>
  <si>
    <t xml:space="preserve">Your input. Type here.</t>
  </si>
  <si>
    <t xml:space="preserve">Grey cell</t>
  </si>
  <si>
    <t xml:space="preserve">Calculated. Do not type over it — you would break the roll-up.</t>
  </si>
  <si>
    <t xml:space="preserve">DOCUMENT COLOUR CODING (spec)</t>
  </si>
  <si>
    <t xml:space="preserve">Grey</t>
  </si>
  <si>
    <t xml:space="preserve">Not Started</t>
  </si>
  <si>
    <t xml:space="preserve">Blue</t>
  </si>
  <si>
    <t xml:space="preserve">Draft</t>
  </si>
  <si>
    <t xml:space="preserve">Yellow</t>
  </si>
  <si>
    <t xml:space="preserve">Internal Review / Submitted / Under Review / Resubmitted</t>
  </si>
  <si>
    <t xml:space="preserve">Orange</t>
  </si>
  <si>
    <t xml:space="preserve">Comments Received</t>
  </si>
  <si>
    <t xml:space="preserve">Red</t>
  </si>
  <si>
    <t xml:space="preserve">Rework (rejected) — and any overdue row</t>
  </si>
  <si>
    <t xml:space="preserve">Green</t>
  </si>
  <si>
    <t xml:space="preserve">Approved / Released / Implemented</t>
  </si>
  <si>
    <t xml:space="preserve">Dark Green</t>
  </si>
  <si>
    <t xml:space="preserve">Closed</t>
  </si>
  <si>
    <t xml:space="preserve">ACTION COLOUR RULES (spec)</t>
  </si>
  <si>
    <t xml:space="preserve">Dark Red</t>
  </si>
  <si>
    <t xml:space="preserve">Critical and overdue</t>
  </si>
  <si>
    <t xml:space="preserve">Overdue</t>
  </si>
  <si>
    <t xml:space="preserve">Amber</t>
  </si>
  <si>
    <t xml:space="preserve">Due within 14 days</t>
  </si>
  <si>
    <t xml:space="preserve">In Progress</t>
  </si>
  <si>
    <t xml:space="preserve">Waiting</t>
  </si>
  <si>
    <t xml:space="preserve">HOW READINESS IS CALCULATED</t>
  </si>
  <si>
    <t xml:space="preserve">Equipment Readiness</t>
  </si>
  <si>
    <t xml:space="preserve">50% x phase progress + 50% x share of that item's linked documents approved. Equipment with no linked documents uses phase progress alone. Weights: Configuration sheet.</t>
  </si>
  <si>
    <t xml:space="preserve">Scope Readiness</t>
  </si>
  <si>
    <t xml:space="preserve">Average equipment readiness across the scope's equipment.</t>
  </si>
  <si>
    <t xml:space="preserve">Contract Readiness</t>
  </si>
  <si>
    <t xml:space="preserve">Average equipment readiness across all equipment.</t>
  </si>
  <si>
    <t xml:space="preserve">Contract Health Index</t>
  </si>
  <si>
    <t xml:space="preserve">40% Documents + 20% Readiness + 15% Actions + 10% Milestones + 10% Equipment Progress + 5% Handovers. Weights: Configuration sheet.</t>
  </si>
  <si>
    <t xml:space="preserve">ATS Readiness</t>
  </si>
  <si>
    <t xml:space="preserve">Share of the 10 spec-mandated deliverables that are fully satisfied — the type exists in the tracker AND none of that type is still outstanding. 100% = Ready, 80%+ = At Risk, below = Not Ready.</t>
  </si>
  <si>
    <t xml:space="preserve">ASSUMPTIONS WE HAD TO MAKE</t>
  </si>
  <si>
    <t xml:space="preserve">Phase progress ramp</t>
  </si>
  <si>
    <t xml:space="preserve">The spec names 11 commissioning phases but gives no % for each. Seeded 0% → 100%; retune on the Configuration sheet.</t>
  </si>
  <si>
    <t xml:space="preserve">Months → days</t>
  </si>
  <si>
    <t xml:space="preserve">Converted at 30 days per month (T-3 Months = 90), which reproduces the spec's own worked example exactly.</t>
  </si>
  <si>
    <t xml:space="preserve">Post-commissioning lead times</t>
  </si>
  <si>
    <t xml:space="preserve">'During Commissioning', 'Before FTC/TFM/TFTO' and 'Before Final Takeover' have no stated duration. Seeded as T+30 to T+120 days.</t>
  </si>
  <si>
    <t xml:space="preserve">'Missing Documents'</t>
  </si>
  <si>
    <t xml:space="preserve">Counted as deliverables that exist as a row but are still 'Not Started'. The workbook cannot count a row you never created.</t>
  </si>
  <si>
    <t xml:space="preserve">'Open Risks'</t>
  </si>
  <si>
    <t xml:space="preserve">The spec defines no Risk sheet. Counted as open actions flagged as a Commissioning Blocker.</t>
  </si>
  <si>
    <t xml:space="preserve">Authority To Start Evidence</t>
  </si>
  <si>
    <t xml:space="preserve">Added as a 20th document type. The spec lists 19 mandatory types but the ATS gate and the Control Panel lead-time list both require it.</t>
  </si>
  <si>
    <t xml:space="preserve">Readiness Trend</t>
  </si>
  <si>
    <t xml:space="preserve">Excel keeps no history. Record a monthly snapshot in the Readiness Trend log on the Dashboard; the trend chart plots it.</t>
  </si>
  <si>
    <t xml:space="preserve">CAPACITY &amp; EXTENDING</t>
  </si>
  <si>
    <t xml:space="preserve">Row capacity</t>
  </si>
  <si>
    <t xml:space="preserve">Scope 100 rows · Equipment 100 · Documents 150 · Actions 100 · Milestones 30.</t>
  </si>
  <si>
    <t xml:space="preserve">To add more rows</t>
  </si>
  <si>
    <t xml:space="preserve">Select the last data row, copy it, and paste into the rows below. Then widen the named ranges (Formulas → Name Manager) so the roll-ups see the new rows.</t>
  </si>
  <si>
    <t xml:space="preserve">Hidden columns</t>
  </si>
  <si>
    <t xml:space="preserve">Each tracker has hidden helper columns to the right of the visible ones. They feed the dashboard and charts. Leave them alone.</t>
  </si>
  <si>
    <t xml:space="preserve">Hidden sheet</t>
  </si>
  <si>
    <t xml:space="preserve">'Configuration' holds the dropdown lists, progress maps, weights and chart data. Right-click any tab → Unhide to reach it.</t>
  </si>
  <si>
    <t xml:space="preserve">Generated</t>
  </si>
  <si>
    <t xml:space="preserve">20-Aug-2026 from DMIC_COMMISSIONING_CONTRACT_MANAGEMENT_WORKBOOK_v3.docx</t>
  </si>
  <si>
    <t xml:space="preserve">DMIC COMMISSIONING CONTRACT — CONTROL PANEL</t>
  </si>
  <si>
    <t xml:space="preserve">Master page. Blue cells are for you to type in; grey cells calculate themselves. The amber cell (Planned Commissioning Start) drives every target date in the workbook.</t>
  </si>
  <si>
    <t xml:space="preserve">CONTRACT INFORMATION</t>
  </si>
  <si>
    <t xml:space="preserve">CONTRACT READINESS SUMMARY</t>
  </si>
  <si>
    <t xml:space="preserve">Contract Name</t>
  </si>
  <si>
    <t xml:space="preserve">Overall Contract Readiness %</t>
  </si>
  <si>
    <t xml:space="preserve">Contract Manager</t>
  </si>
  <si>
    <t xml:space="preserve">Number of Scopes</t>
  </si>
  <si>
    <t xml:space="preserve">Project Manager</t>
  </si>
  <si>
    <t xml:space="preserve">Number of Equipment Items</t>
  </si>
  <si>
    <t xml:space="preserve">Commissioning Manager</t>
  </si>
  <si>
    <t xml:space="preserve">Open Actions</t>
  </si>
  <si>
    <t xml:space="preserve">Lead Commissioning Engineer</t>
  </si>
  <si>
    <t xml:space="preserve">Overdue Actions</t>
  </si>
  <si>
    <t xml:space="preserve">Quality Lead</t>
  </si>
  <si>
    <t xml:space="preserve">Missing Documents</t>
  </si>
  <si>
    <t xml:space="preserve">Contract Status</t>
  </si>
  <si>
    <t xml:space="preserve">Open Risks</t>
  </si>
  <si>
    <t xml:space="preserve">Upcoming Milestones</t>
  </si>
  <si>
    <t xml:space="preserve">COMMISSIONING DATES</t>
  </si>
  <si>
    <t xml:space="preserve">Planned Commissioning Start</t>
  </si>
  <si>
    <t xml:space="preserve">◀ drives all target dates</t>
  </si>
  <si>
    <t xml:space="preserve">RAG STATUS</t>
  </si>
  <si>
    <t xml:space="preserve">Planned Commissioning Finish</t>
  </si>
  <si>
    <t xml:space="preserve">Forecast Commissioning Start</t>
  </si>
  <si>
    <t xml:space="preserve">Health Category</t>
  </si>
  <si>
    <t xml:space="preserve">Forecast Commissioning Finish</t>
  </si>
  <si>
    <t xml:space="preserve">RAG</t>
  </si>
  <si>
    <t xml:space="preserve">Actual Commissioning Start</t>
  </si>
  <si>
    <t xml:space="preserve">Actual Commissioning Finish</t>
  </si>
  <si>
    <t xml:space="preserve">AUTHORITY TO START (ATS) READINESS GATE</t>
  </si>
  <si>
    <t xml:space="preserve">ATS Readiness Score</t>
  </si>
  <si>
    <t xml:space="preserve">SCHEDULE PERFORMANCE</t>
  </si>
  <si>
    <t xml:space="preserve">ATS Status</t>
  </si>
  <si>
    <t xml:space="preserve">Delay vs Baseline (days)</t>
  </si>
  <si>
    <t xml:space="preserve">Required Types Met</t>
  </si>
  <si>
    <t xml:space="preserve">Days To Commissioning Start</t>
  </si>
  <si>
    <t xml:space="preserve">'Ready' requires all 10 minimum deliverable types fully approved.</t>
  </si>
  <si>
    <t xml:space="preserve">LEGEND</t>
  </si>
  <si>
    <t xml:space="preserve">Blue text on white</t>
  </si>
  <si>
    <t xml:space="preserve">Type here. These are your inputs.</t>
  </si>
  <si>
    <t xml:space="preserve">Calculated automatically — do not type over it.</t>
  </si>
  <si>
    <t xml:space="preserve">LEAD TIME CONFIGURATION — DOCUMENTS</t>
  </si>
  <si>
    <t xml:space="preserve">Target dates are generated as: Planned Commissioning Start − Lead Days. Edit the blue Lead Days column and every target date in the Document Tracker updates. A negative Lead Day value places the target AFTER commissioning start.</t>
  </si>
  <si>
    <t xml:space="preserve">Document Type</t>
  </si>
  <si>
    <t xml:space="preserve">Spec Lead Time</t>
  </si>
  <si>
    <t xml:space="preserve">Lead Days (T minus)</t>
  </si>
  <si>
    <t xml:space="preserve">Target Submission</t>
  </si>
  <si>
    <t xml:space="preserve">Target Approval</t>
  </si>
  <si>
    <t xml:space="preserve">Basis of Commissioning</t>
  </si>
  <si>
    <t xml:space="preserve">T-12 Months</t>
  </si>
  <si>
    <t xml:space="preserve">Surveillance Strategy</t>
  </si>
  <si>
    <t xml:space="preserve">Surveillance Programme</t>
  </si>
  <si>
    <t xml:space="preserve">T-9 Months</t>
  </si>
  <si>
    <t xml:space="preserve">Competency Evidence</t>
  </si>
  <si>
    <t xml:space="preserve">Safe System Of Work</t>
  </si>
  <si>
    <t xml:space="preserve">T-6 Months</t>
  </si>
  <si>
    <t xml:space="preserve">Risk Assessment And Method Statement</t>
  </si>
  <si>
    <t xml:space="preserve">System Commissioning Programme</t>
  </si>
  <si>
    <t xml:space="preserve">Commissioning Procedure</t>
  </si>
  <si>
    <t xml:space="preserve">T-3 Months</t>
  </si>
  <si>
    <t xml:space="preserve">Inspection and Test Plan</t>
  </si>
  <si>
    <t xml:space="preserve">Initial End Of Erection Status Report</t>
  </si>
  <si>
    <t xml:space="preserve">Planned End Of Erection Status Report</t>
  </si>
  <si>
    <t xml:space="preserve">T-1 Month</t>
  </si>
  <si>
    <t xml:space="preserve">T-2 Weeks</t>
  </si>
  <si>
    <t xml:space="preserve">Commissioning Results Sheet</t>
  </si>
  <si>
    <t xml:space="preserve">During Commissioning</t>
  </si>
  <si>
    <t xml:space="preserve">Commissioning Phase Report</t>
  </si>
  <si>
    <t xml:space="preserve">Commissioning Completion</t>
  </si>
  <si>
    <t xml:space="preserve">Handover Certificate</t>
  </si>
  <si>
    <t xml:space="preserve">Before FTC</t>
  </si>
  <si>
    <t xml:space="preserve">Functional Takeover Package</t>
  </si>
  <si>
    <t xml:space="preserve">Care And Maintenance Plan</t>
  </si>
  <si>
    <t xml:space="preserve">Before TFM (assumed)</t>
  </si>
  <si>
    <t xml:space="preserve">Maintenance Transfer Package</t>
  </si>
  <si>
    <t xml:space="preserve">Before TFM</t>
  </si>
  <si>
    <t xml:space="preserve">Temporary Operations Transfer Package</t>
  </si>
  <si>
    <t xml:space="preserve">Before TFTO</t>
  </si>
  <si>
    <t xml:space="preserve">Final End Of Erection Status Report</t>
  </si>
  <si>
    <t xml:space="preserve">Before Final Takeover</t>
  </si>
  <si>
    <t xml:space="preserve">Months are converted at 30 days each: T-12 Months = 360, T-9 = 270, T-6 = 180, T-3 = 90, T-1 Month = 30, T-2 Weeks = 14. This reproduces the worked example in the specification exactly (Planned Start 01-Jan-2028, Commissioning Procedure lead 90 days → Target Approval 03-Oct-2027). The spec's post-commissioning deliverables (During Commissioning, Before FTC/TFM/TFTO, Before Final Takeover) have no stated duration and are seeded as T+30 to T+120; adjust to your programme. Source: DMIC Commissioning Contract Management Workbook v3, 'Default Lead Times' table and 'Automatic Document Deadline Calculation' example.</t>
  </si>
  <si>
    <t xml:space="preserve">LEAD TIME CONFIGURATION — MILESTONES</t>
  </si>
  <si>
    <t xml:space="preserve">Milestone</t>
  </si>
  <si>
    <t xml:space="preserve">Spec Reference</t>
  </si>
  <si>
    <t xml:space="preserve">Target Date</t>
  </si>
  <si>
    <t xml:space="preserve">Kick Off Meeting</t>
  </si>
  <si>
    <t xml:space="preserve">Milestone Tracker</t>
  </si>
  <si>
    <t xml:space="preserve">Commissioning Readiness Review</t>
  </si>
  <si>
    <t xml:space="preserve">Authority To Start</t>
  </si>
  <si>
    <t xml:space="preserve">Commissioning Start</t>
  </si>
  <si>
    <t xml:space="preserve">Functional Takeover</t>
  </si>
  <si>
    <t xml:space="preserve">Beneficial Use</t>
  </si>
  <si>
    <t xml:space="preserve">Maintenance Transfer</t>
  </si>
  <si>
    <t xml:space="preserve">Temporary Operations Transfer</t>
  </si>
  <si>
    <t xml:space="preserve">Final Takeover</t>
  </si>
  <si>
    <t xml:space="preserve">Assumption: only Kick Off (T-12M), Authority To Start (T-2W) and Commissioning Start (T) are given in the spec. The remaining milestone offsets are seeded estimates — adjust them.</t>
  </si>
  <si>
    <t xml:space="preserve">SCOPE TRACKER</t>
  </si>
  <si>
    <t xml:space="preserve">One row per Commissioning Scope. White columns are inputs; grey columns roll up automatically from the Equipment, Document and Action trackers.</t>
  </si>
  <si>
    <t xml:space="preserve">Scope ID</t>
  </si>
  <si>
    <t xml:space="preserve">Scope Name</t>
  </si>
  <si>
    <t xml:space="preserve">Scope Owner</t>
  </si>
  <si>
    <t xml:space="preserve">Planned Start</t>
  </si>
  <si>
    <t xml:space="preserve">Planned Finish</t>
  </si>
  <si>
    <t xml:space="preserve">Forecast Start</t>
  </si>
  <si>
    <t xml:space="preserve">Forecast Finish</t>
  </si>
  <si>
    <t xml:space="preserve">Actual Start</t>
  </si>
  <si>
    <t xml:space="preserve">Actual Finish</t>
  </si>
  <si>
    <t xml:space="preserve">Readiness %</t>
  </si>
  <si>
    <t xml:space="preserve">Status</t>
  </si>
  <si>
    <t xml:space="preserve">Number of Equipment</t>
  </si>
  <si>
    <t xml:space="preserve">Equipment Complete</t>
  </si>
  <si>
    <t xml:space="preserve">Equipment In Progress</t>
  </si>
  <si>
    <t xml:space="preserve">Equipment Not Started</t>
  </si>
  <si>
    <t xml:space="preserve">Outstanding Documents</t>
  </si>
  <si>
    <t xml:space="preserve">Comments</t>
  </si>
  <si>
    <t xml:space="preserve">SC-01</t>
  </si>
  <si>
    <t xml:space="preserve">Traction Power &amp; 33kV Distribution</t>
  </si>
  <si>
    <t xml:space="preserve">A. Mercer</t>
  </si>
  <si>
    <t xml:space="preserve">◀ EXAMPLE ROW — overwrite with your own data</t>
  </si>
  <si>
    <t xml:space="preserve">EQUIPMENT TRACKER</t>
  </si>
  <si>
    <t xml:space="preserve">One row per Equipment Item. Each item progresses independently; Scope and Contract readiness roll up from here.</t>
  </si>
  <si>
    <t xml:space="preserve">Equipment Name</t>
  </si>
  <si>
    <t xml:space="preserve">Parent Scope</t>
  </si>
  <si>
    <t xml:space="preserve">Responsible Engineer</t>
  </si>
  <si>
    <t xml:space="preserve">Commissioning Phase</t>
  </si>
  <si>
    <t xml:space="preserve">Linked Docs</t>
  </si>
  <si>
    <t xml:space="preserve">Phase %</t>
  </si>
  <si>
    <t xml:space="preserve">Doc %</t>
  </si>
  <si>
    <t xml:space="preserve">TR-TSS-02 Traction Substation Alpha</t>
  </si>
  <si>
    <t xml:space="preserve">D. Petrov</t>
  </si>
  <si>
    <t xml:space="preserve">Testing In Progress</t>
  </si>
  <si>
    <t xml:space="preserve">DOCUMENT TRACKER</t>
  </si>
  <si>
    <t xml:space="preserve">Primary operational sheet — one row per commissioning deliverable. Target dates are generated from the Planned Commissioning Start Date and the lead times on the Control Panel.</t>
  </si>
  <si>
    <t xml:space="preserve">Scope</t>
  </si>
  <si>
    <t xml:space="preserve">Equipment (optional)</t>
  </si>
  <si>
    <t xml:space="preserve">Document Number</t>
  </si>
  <si>
    <t xml:space="preserve">Document Title</t>
  </si>
  <si>
    <t xml:space="preserve">Revision</t>
  </si>
  <si>
    <t xml:space="preserve">Owner</t>
  </si>
  <si>
    <t xml:space="preserve">Reviewer</t>
  </si>
  <si>
    <t xml:space="preserve">Workflow Status</t>
  </si>
  <si>
    <t xml:space="preserve">Readiness Gate</t>
  </si>
  <si>
    <t xml:space="preserve">Target Submission Date</t>
  </si>
  <si>
    <t xml:space="preserve">Target Approval Date</t>
  </si>
  <si>
    <t xml:space="preserve">Actual Submission Date</t>
  </si>
  <si>
    <t xml:space="preserve">Actual Approval Date</t>
  </si>
  <si>
    <t xml:space="preserve">Days Late</t>
  </si>
  <si>
    <t xml:space="preserve">Criticality</t>
  </si>
  <si>
    <t xml:space="preserve">Approved</t>
  </si>
  <si>
    <t xml:space="preserve">Progress %</t>
  </si>
  <si>
    <t xml:space="preserve">Days Remaining</t>
  </si>
  <si>
    <t xml:space="preserve">Flag</t>
  </si>
  <si>
    <t xml:space="preserve">Rank Key</t>
  </si>
  <si>
    <t xml:space="preserve">DMIC-SC-01-SCP-001</t>
  </si>
  <si>
    <t xml:space="preserve">Traction Power — System Commissioning Programme</t>
  </si>
  <si>
    <t xml:space="preserve">B</t>
  </si>
  <si>
    <t xml:space="preserve">M. Haddad</t>
  </si>
  <si>
    <t xml:space="preserve">Under Review</t>
  </si>
  <si>
    <t xml:space="preserve">Readiness</t>
  </si>
  <si>
    <t xml:space="preserve">Critical</t>
  </si>
  <si>
    <t xml:space="preserve">ACTION TRACKER</t>
  </si>
  <si>
    <t xml:space="preserve">One row per Action. Rows colour themselves by priority and lateness — see the Read Me sheet for the colour key.</t>
  </si>
  <si>
    <t xml:space="preserve">Action ID</t>
  </si>
  <si>
    <t xml:space="preserve">Action Description</t>
  </si>
  <si>
    <t xml:space="preserve">Category</t>
  </si>
  <si>
    <t xml:space="preserve">Linked Scope</t>
  </si>
  <si>
    <t xml:space="preserve">Linked Equipment</t>
  </si>
  <si>
    <t xml:space="preserve">Linked Document</t>
  </si>
  <si>
    <t xml:space="preserve">Support Owner</t>
  </si>
  <si>
    <t xml:space="preserve">Date Raised</t>
  </si>
  <si>
    <t xml:space="preserve">Due Date</t>
  </si>
  <si>
    <t xml:space="preserve">Completion Date</t>
  </si>
  <si>
    <t xml:space="preserve">Priority</t>
  </si>
  <si>
    <t xml:space="preserve">Commissioning Blocker</t>
  </si>
  <si>
    <t xml:space="preserve">Days To Due</t>
  </si>
  <si>
    <t xml:space="preserve">ACT-001</t>
  </si>
  <si>
    <t xml:space="preserve">Close out RAMS comments raised by the Client safety review</t>
  </si>
  <si>
    <t xml:space="preserve">Safety</t>
  </si>
  <si>
    <t xml:space="preserve">High</t>
  </si>
  <si>
    <t xml:space="preserve">Yes</t>
  </si>
  <si>
    <t xml:space="preserve">Open</t>
  </si>
  <si>
    <t xml:space="preserve">EXECUTIVE DASHBOARD &amp; MILESTONES</t>
  </si>
  <si>
    <t xml:space="preserve">Everything on this sheet is calculated. Nothing here needs typing except the Milestone Tracker and the Readiness Trend log.</t>
  </si>
  <si>
    <t xml:space="preserve">CONTRACT HEALTH INDEX</t>
  </si>
  <si>
    <t xml:space="preserve">Component</t>
  </si>
  <si>
    <t xml:space="preserve">Score</t>
  </si>
  <si>
    <t xml:space="preserve">Weight</t>
  </si>
  <si>
    <t xml:space="preserve">Weighted</t>
  </si>
  <si>
    <t xml:space="preserve">RAG Status</t>
  </si>
  <si>
    <t xml:space="preserve">Documents</t>
  </si>
  <si>
    <t xml:space="preserve">Actions</t>
  </si>
  <si>
    <t xml:space="preserve">Milestones</t>
  </si>
  <si>
    <t xml:space="preserve">Equipment Progress</t>
  </si>
  <si>
    <t xml:space="preserve">Handovers</t>
  </si>
  <si>
    <t xml:space="preserve">THE DASHBOARD ANSWERS</t>
  </si>
  <si>
    <t xml:space="preserve">What is late?</t>
  </si>
  <si>
    <t xml:space="preserve">What is missing?</t>
  </si>
  <si>
    <t xml:space="preserve">What is blocking commissioning?</t>
  </si>
  <si>
    <t xml:space="preserve">Who owns the blocker?</t>
  </si>
  <si>
    <t xml:space="preserve">Which scopes are not ready?</t>
  </si>
  <si>
    <t xml:space="preserve">Which equipment items are behind schedule?</t>
  </si>
  <si>
    <t xml:space="preserve">Which documents are not approved?</t>
  </si>
  <si>
    <t xml:space="preserve">Which milestones are at risk?</t>
  </si>
  <si>
    <t xml:space="preserve">Which actions are due this week?</t>
  </si>
  <si>
    <t xml:space="preserve">MILESTONE TRACKER</t>
  </si>
  <si>
    <t xml:space="preserve">READINESS TREND LOG</t>
  </si>
  <si>
    <t xml:space="preserve">Planned Date</t>
  </si>
  <si>
    <t xml:space="preserve">Forecast Date</t>
  </si>
  <si>
    <t xml:space="preserve">Actual Date</t>
  </si>
  <si>
    <t xml:space="preserve">Days</t>
  </si>
  <si>
    <t xml:space="preserve">Snapshot Date</t>
  </si>
  <si>
    <t xml:space="preserve">Contract Readiness %</t>
  </si>
  <si>
    <t xml:space="preserve">REQUIRED CHARTS</t>
  </si>
  <si>
    <t xml:space="preserve">CONFIGURATION — WORKBOOK LOGIC</t>
  </si>
  <si>
    <t xml:space="preserve">Administrative sheet. Dropdown lists, progress maps, Health Index weights and RAG thresholds live here. Lead times are edited on the Control Panel. Do not delete rows or columns — every other sheet references these ranges by name.</t>
  </si>
  <si>
    <t xml:space="preserve">Scope Status</t>
  </si>
  <si>
    <t xml:space="preserve">Action Status</t>
  </si>
  <si>
    <t xml:space="preserve">Yes / No</t>
  </si>
  <si>
    <t xml:space="preserve">Milestone Status</t>
  </si>
  <si>
    <t xml:space="preserve">Personnel</t>
  </si>
  <si>
    <t xml:space="preserve">Action Category</t>
  </si>
  <si>
    <t xml:space="preserve">Milestone Name</t>
  </si>
  <si>
    <t xml:space="preserve">Pre-Commissioning</t>
  </si>
  <si>
    <t xml:space="preserve">Preparation</t>
  </si>
  <si>
    <t xml:space="preserve">Document</t>
  </si>
  <si>
    <t xml:space="preserve">Commissioning Preparation</t>
  </si>
  <si>
    <t xml:space="preserve">No</t>
  </si>
  <si>
    <t xml:space="preserve">S. Okonkwo</t>
  </si>
  <si>
    <t xml:space="preserve">Technical</t>
  </si>
  <si>
    <t xml:space="preserve">Review</t>
  </si>
  <si>
    <t xml:space="preserve">Documentation Review</t>
  </si>
  <si>
    <t xml:space="preserve">Internal Review</t>
  </si>
  <si>
    <t xml:space="preserve">Medium</t>
  </si>
  <si>
    <t xml:space="preserve">At Risk</t>
  </si>
  <si>
    <t xml:space="preserve">L. Fontaine</t>
  </si>
  <si>
    <t xml:space="preserve">Quality</t>
  </si>
  <si>
    <t xml:space="preserve">Commissioning</t>
  </si>
  <si>
    <t xml:space="preserve">Ready</t>
  </si>
  <si>
    <t xml:space="preserve">Testing Preparation</t>
  </si>
  <si>
    <t xml:space="preserve">Submitted</t>
  </si>
  <si>
    <t xml:space="preserve">Low</t>
  </si>
  <si>
    <t xml:space="preserve">Delayed</t>
  </si>
  <si>
    <t xml:space="preserve">Handover</t>
  </si>
  <si>
    <t xml:space="preserve">Results</t>
  </si>
  <si>
    <t xml:space="preserve">Achieved</t>
  </si>
  <si>
    <t xml:space="preserve">Commercial</t>
  </si>
  <si>
    <t xml:space="preserve">Complete</t>
  </si>
  <si>
    <t xml:space="preserve">Results Review</t>
  </si>
  <si>
    <t xml:space="preserve">J. Whitfield</t>
  </si>
  <si>
    <t xml:space="preserve">Resource</t>
  </si>
  <si>
    <t xml:space="preserve">On Hold</t>
  </si>
  <si>
    <t xml:space="preserve">Ready For Handover</t>
  </si>
  <si>
    <t xml:space="preserve">Rework</t>
  </si>
  <si>
    <t xml:space="preserve">K. Rasmussen</t>
  </si>
  <si>
    <t xml:space="preserve">Interface</t>
  </si>
  <si>
    <t xml:space="preserve">Resubmitted</t>
  </si>
  <si>
    <t xml:space="preserve">P. Nakamura</t>
  </si>
  <si>
    <t xml:space="preserve">Client</t>
  </si>
  <si>
    <t xml:space="preserve">Further Testing</t>
  </si>
  <si>
    <t xml:space="preserve">R. Bellamy</t>
  </si>
  <si>
    <t xml:space="preserve">Final Handover</t>
  </si>
  <si>
    <t xml:space="preserve">Released</t>
  </si>
  <si>
    <t xml:space="preserve">T. Oyelaran</t>
  </si>
  <si>
    <t xml:space="preserve">Implemented</t>
  </si>
  <si>
    <t xml:space="preserve">N. Bergstrom</t>
  </si>
  <si>
    <t xml:space="preserve">C. Vasquez</t>
  </si>
  <si>
    <t xml:space="preserve">H. Lindqvist</t>
  </si>
  <si>
    <t xml:space="preserve">F. Moreau</t>
  </si>
  <si>
    <t xml:space="preserve">G. Ashworth</t>
  </si>
  <si>
    <t xml:space="preserve">E. Devereux</t>
  </si>
  <si>
    <t xml:space="preserve">PHASE PROGRESS MAP</t>
  </si>
  <si>
    <t xml:space="preserve">WORKFLOW STATUS MAP</t>
  </si>
  <si>
    <t xml:space="preserve">READINESS &amp; TIMING PARAMETERS</t>
  </si>
  <si>
    <t xml:space="preserve">CONTRACT HEALTH INDEX WEIGHTS</t>
  </si>
  <si>
    <t xml:space="preserve">THRESHOLDS</t>
  </si>
  <si>
    <t xml:space="preserve">Counts As Approved</t>
  </si>
  <si>
    <t xml:space="preserve">Parameter</t>
  </si>
  <si>
    <t xml:space="preserve">Value</t>
  </si>
  <si>
    <t xml:space="preserve">Threshold</t>
  </si>
  <si>
    <t xml:space="preserve">Equipment readiness — phase weight</t>
  </si>
  <si>
    <t xml:space="preserve">Health — Excellent (min)</t>
  </si>
  <si>
    <t xml:space="preserve">Equipment readiness — document weight</t>
  </si>
  <si>
    <t xml:space="preserve">Health — Good (min)</t>
  </si>
  <si>
    <t xml:space="preserve">Review days (submission → approval)</t>
  </si>
  <si>
    <t xml:space="preserve">Health — Attention Required (min)</t>
  </si>
  <si>
    <t xml:space="preserve">RAG — Green (min)</t>
  </si>
  <si>
    <t xml:space="preserve">Equipment with no linked documents falls back to 100% phase weight.</t>
  </si>
  <si>
    <t xml:space="preserve">RAG — Amber (min)</t>
  </si>
  <si>
    <t xml:space="preserve">Document due-soon window (days)</t>
  </si>
  <si>
    <t xml:space="preserve">TOTAL</t>
  </si>
  <si>
    <t xml:space="preserve">Action due-soon window (days)</t>
  </si>
  <si>
    <t xml:space="preserve">Scope 'Ready' threshold</t>
  </si>
  <si>
    <t xml:space="preserve">Upcoming milestone window (days)</t>
  </si>
  <si>
    <t xml:space="preserve">Assumption: the % ramp across the 11 spec phases is not defined in the source document. Edit the blue cells to retune.</t>
  </si>
  <si>
    <t xml:space="preserve">ATS READINESS GATE — MINIMUM REQUIRED APPROVED DELIVERABLES</t>
  </si>
  <si>
    <t xml:space="preserve">Required Document Type</t>
  </si>
  <si>
    <t xml:space="preserve">Outstanding</t>
  </si>
  <si>
    <t xml:space="preserve">Met (1/0)</t>
  </si>
  <si>
    <t xml:space="preserve">Types Met</t>
  </si>
  <si>
    <t xml:space="preserve">CHART DATA — generated automatically, do not edit</t>
  </si>
  <si>
    <t xml:space="preserve">Equipment Status</t>
  </si>
  <si>
    <t xml:space="preserve">Count</t>
  </si>
  <si>
    <t xml:space="preserve">Document Status</t>
  </si>
  <si>
    <t xml:space="preserve">key</t>
  </si>
  <si>
    <t xml:space="preserve">Action</t>
  </si>
  <si>
    <t xml:space="preserve">Days Overdue</t>
  </si>
  <si>
    <t xml:space="preserve">Open Items</t>
  </si>
  <si>
    <t xml:space="preserve">Open Blockers</t>
  </si>
  <si>
    <t xml:space="preserve">Days From Today</t>
  </si>
  <si>
    <t xml:space="preserve">Behind Schedule</t>
  </si>
</sst>
</file>

<file path=xl/styles.xml><?xml version="1.0" encoding="utf-8"?>
<styleSheet xmlns="http://schemas.openxmlformats.org/spreadsheetml/2006/main">
  <numFmts count="7">
    <numFmt numFmtId="164" formatCode="General"/>
    <numFmt numFmtId="165" formatCode="0.0%"/>
    <numFmt numFmtId="166" formatCode="#,##0"/>
    <numFmt numFmtId="167" formatCode="dd\-mmm\-yyyy"/>
    <numFmt numFmtId="168" formatCode="#,##0;[RED]\-#,##0;\-"/>
    <numFmt numFmtId="169" formatCode="0%"/>
    <numFmt numFmtId="170"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color rgb="FF000000"/>
      <name val="Arial"/>
      <family val="0"/>
      <charset val="1"/>
    </font>
    <font>
      <sz val="9"/>
      <name val="Arial"/>
      <family val="0"/>
      <charset val="1"/>
    </font>
    <font>
      <i val="true"/>
      <sz val="8"/>
      <color rgb="FF808080"/>
      <name val="Arial"/>
      <family val="0"/>
      <charset val="1"/>
    </font>
    <font>
      <sz val="10"/>
      <color rgb="FF0000FF"/>
      <name val="Arial"/>
      <family val="0"/>
      <charset val="1"/>
    </font>
    <font>
      <sz val="10"/>
      <color rgb="FF000000"/>
      <name val="Arial"/>
      <family val="0"/>
      <charset val="1"/>
    </font>
    <font>
      <b val="true"/>
      <sz val="12"/>
      <name val="Arial"/>
      <family val="0"/>
      <charset val="1"/>
    </font>
    <font>
      <b val="true"/>
      <sz val="9"/>
      <color rgb="FFFFFFFF"/>
      <name val="Arial"/>
      <family val="0"/>
      <charset val="1"/>
    </font>
    <font>
      <sz val="10"/>
      <name val="Arial"/>
      <family val="2"/>
    </font>
    <font>
      <sz val="9"/>
      <color rgb="FF404040"/>
      <name val="Arial"/>
      <family val="0"/>
      <charset val="1"/>
    </font>
    <font>
      <b val="true"/>
      <sz val="36"/>
      <color rgb="FF1F3864"/>
      <name val="Arial"/>
      <family val="0"/>
      <charset val="1"/>
    </font>
    <font>
      <b val="true"/>
      <sz val="18"/>
      <color rgb="FF000000"/>
      <name val="Calibri"/>
      <family val="2"/>
    </font>
    <font>
      <sz val="10"/>
      <color rgb="FF000000"/>
      <name val="Calibri"/>
      <family val="2"/>
    </font>
  </fonts>
  <fills count="17">
    <fill>
      <patternFill patternType="none"/>
    </fill>
    <fill>
      <patternFill patternType="gray125"/>
    </fill>
    <fill>
      <patternFill patternType="solid">
        <fgColor rgb="FF2F5597"/>
        <bgColor rgb="FF4672A8"/>
      </patternFill>
    </fill>
    <fill>
      <patternFill patternType="solid">
        <fgColor rgb="FFFFF2CC"/>
        <bgColor rgb="FFFFF9E6"/>
      </patternFill>
    </fill>
    <fill>
      <patternFill patternType="solid">
        <fgColor rgb="FFFFFFFF"/>
        <bgColor rgb="FFFFF9E6"/>
      </patternFill>
    </fill>
    <fill>
      <patternFill patternType="solid">
        <fgColor rgb="FFF2F2F2"/>
        <bgColor rgb="FFFFF9E6"/>
      </patternFill>
    </fill>
    <fill>
      <patternFill patternType="solid">
        <fgColor rgb="FFD9D9D9"/>
        <bgColor rgb="FFD9E2F3"/>
      </patternFill>
    </fill>
    <fill>
      <patternFill patternType="solid">
        <fgColor rgb="FFBDD7EE"/>
        <bgColor rgb="FFD9D9D9"/>
      </patternFill>
    </fill>
    <fill>
      <patternFill patternType="solid">
        <fgColor rgb="FFFFE699"/>
        <bgColor rgb="FFFFF2CC"/>
      </patternFill>
    </fill>
    <fill>
      <patternFill patternType="solid">
        <fgColor rgb="FFF8CBAD"/>
        <bgColor rgb="FFFFC7CE"/>
      </patternFill>
    </fill>
    <fill>
      <patternFill patternType="solid">
        <fgColor rgb="FFFFC7CE"/>
        <bgColor rgb="FFF8CBAD"/>
      </patternFill>
    </fill>
    <fill>
      <patternFill patternType="solid">
        <fgColor rgb="FFC6EFCE"/>
        <bgColor rgb="FFD9E2F3"/>
      </patternFill>
    </fill>
    <fill>
      <patternFill patternType="solid">
        <fgColor rgb="FFA9D08E"/>
        <bgColor rgb="FFB8CD97"/>
      </patternFill>
    </fill>
    <fill>
      <patternFill patternType="solid">
        <fgColor rgb="FFC00000"/>
        <bgColor rgb="FF800000"/>
      </patternFill>
    </fill>
    <fill>
      <patternFill patternType="solid">
        <fgColor rgb="FF1F3864"/>
        <bgColor rgb="FF404040"/>
      </patternFill>
    </fill>
    <fill>
      <patternFill patternType="solid">
        <fgColor rgb="FFFFF9E6"/>
        <bgColor rgb="FFFFFFFF"/>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5" fontId="11" fillId="5" borderId="1" xfId="0" applyFont="true" applyBorder="true" applyAlignment="true" applyProtection="false">
      <alignment horizontal="left" vertical="center" textRotation="0" wrapText="false" indent="0" shrinkToFit="false"/>
      <protection locked="true" hidden="false"/>
    </xf>
    <xf numFmtId="166" fontId="11" fillId="5" borderId="1" xfId="0" applyFont="true" applyBorder="true" applyAlignment="true" applyProtection="false">
      <alignment horizontal="left" vertical="center" textRotation="0" wrapText="false" indent="0" shrinkToFit="false"/>
      <protection locked="true" hidden="false"/>
    </xf>
    <xf numFmtId="167" fontId="10" fillId="3" borderId="1" xfId="0" applyFont="true" applyBorder="true" applyAlignment="true" applyProtection="false">
      <alignment horizontal="left" vertical="center" textRotation="0" wrapText="false" indent="0" shrinkToFit="false"/>
      <protection locked="true" hidden="false"/>
    </xf>
    <xf numFmtId="167" fontId="10"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8" fontId="11" fillId="5"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left" vertical="center" textRotation="0" wrapText="false" indent="0" shrinkToFit="false"/>
      <protection locked="true" hidden="false"/>
    </xf>
    <xf numFmtId="167" fontId="11" fillId="5" borderId="1" xfId="0" applyFont="true" applyBorder="true" applyAlignment="true" applyProtection="false">
      <alignment horizontal="left" vertical="center" textRotation="0" wrapText="false" indent="0" shrinkToFit="false"/>
      <protection locked="true" hidden="false"/>
    </xf>
    <xf numFmtId="164" fontId="8" fillId="15" borderId="1" xfId="0" applyFont="true" applyBorder="true" applyAlignment="true" applyProtection="false">
      <alignment horizontal="left" vertical="center" textRotation="0" wrapText="false" indent="0" shrinkToFit="false"/>
      <protection locked="true" hidden="false"/>
    </xf>
    <xf numFmtId="167" fontId="8" fillId="15"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xf numFmtId="165" fontId="15" fillId="5" borderId="1" xfId="0" applyFont="true" applyBorder="true" applyAlignment="true" applyProtection="false">
      <alignment horizontal="left" vertical="center" textRotation="0" wrapText="false" indent="0" shrinkToFit="false"/>
      <protection locked="true" hidden="false"/>
    </xf>
    <xf numFmtId="166" fontId="15" fillId="5"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7" fontId="15" fillId="5" borderId="1" xfId="0" applyFont="true" applyBorder="true" applyAlignment="true" applyProtection="false">
      <alignment horizontal="left" vertical="center" textRotation="0" wrapText="false" indent="0" shrinkToFit="false"/>
      <protection locked="true" hidden="false"/>
    </xf>
    <xf numFmtId="168" fontId="15" fillId="5" borderId="1" xfId="0" applyFont="true" applyBorder="true" applyAlignment="true" applyProtection="false">
      <alignment horizontal="left" vertical="center" textRotation="0" wrapText="false" indent="0" shrinkToFit="false"/>
      <protection locked="true" hidden="false"/>
    </xf>
    <xf numFmtId="165" fontId="16" fillId="16"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1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14"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FF9E6"/>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404040"/>
          <bgColor rgb="FF000000"/>
        </patternFill>
      </fill>
    </dxf>
    <dxf>
      <fill>
        <patternFill>
          <bgColor rgb="FFFFC7CE"/>
        </patternFill>
      </fill>
    </dxf>
    <dxf>
      <fill>
        <patternFill patternType="solid">
          <fgColor rgb="FFFFE699"/>
          <bgColor rgb="FF000000"/>
        </patternFill>
      </fill>
    </dxf>
    <dxf>
      <fill>
        <patternFill>
          <bgColor rgb="FFD9D9D9"/>
        </patternFill>
      </fill>
    </dxf>
    <dxf>
      <fill>
        <patternFill>
          <bgColor rgb="FFBDD7EE"/>
        </patternFill>
      </fill>
    </dxf>
    <dxf>
      <fill>
        <patternFill>
          <bgColor rgb="FFFFE699"/>
        </patternFill>
      </fill>
    </dxf>
    <dxf>
      <fill>
        <patternFill>
          <bgColor rgb="FFF8CBAD"/>
        </patternFill>
      </fill>
    </dxf>
    <dxf>
      <fill>
        <patternFill>
          <bgColor rgb="FFC6EFCE"/>
        </patternFill>
      </fill>
    </dxf>
    <dxf>
      <fill>
        <patternFill>
          <bgColor rgb="FFA9D08E"/>
        </patternFill>
      </fill>
    </dxf>
    <dxf>
      <font>
        <name val="Arial"/>
        <charset val="1"/>
        <family val="0"/>
        <b val="1"/>
        <color rgb="FFFFFFFF"/>
        <sz val="9"/>
      </font>
      <fill>
        <patternFill>
          <bgColor rgb="FFC00000"/>
        </patternFill>
      </fill>
    </dxf>
  </dxfs>
  <colors>
    <indexedColors>
      <rgbColor rgb="FF000000"/>
      <rgbColor rgb="FFFFFFFF"/>
      <rgbColor rgb="FFC00000"/>
      <rgbColor rgb="FF00FF00"/>
      <rgbColor rgb="FF0000FF"/>
      <rgbColor rgb="FFFFF2CC"/>
      <rgbColor rgb="FFFF00FF"/>
      <rgbColor rgb="FF00FFFF"/>
      <rgbColor rgb="FF800000"/>
      <rgbColor rgb="FF008000"/>
      <rgbColor rgb="FF000080"/>
      <rgbColor rgb="FF8AA64F"/>
      <rgbColor rgb="FF8064A2"/>
      <rgbColor rgb="FF4F81BD"/>
      <rgbColor rgb="FFBFBFBF"/>
      <rgbColor rgb="FF808080"/>
      <rgbColor rgb="FF93A9CE"/>
      <rgbColor rgb="FFAB4744"/>
      <rgbColor rgb="FFFFF9E6"/>
      <rgbColor rgb="FFF2F2F2"/>
      <rgbColor rgb="FF660066"/>
      <rgbColor rgb="FFDC853E"/>
      <rgbColor rgb="FF4672A8"/>
      <rgbColor rgb="FFBDD7EE"/>
      <rgbColor rgb="FF000080"/>
      <rgbColor rgb="FFFF00FF"/>
      <rgbColor rgb="FFD9D9D9"/>
      <rgbColor rgb="FF00FFFF"/>
      <rgbColor rgb="FF800080"/>
      <rgbColor rgb="FF800000"/>
      <rgbColor rgb="FF7F7F7F"/>
      <rgbColor rgb="FF0000FF"/>
      <rgbColor rgb="FFFFC7CE"/>
      <rgbColor rgb="FFD9E2F3"/>
      <rgbColor rgb="FFC6EFCE"/>
      <rgbColor rgb="FFFFE699"/>
      <rgbColor rgb="FF92C3D5"/>
      <rgbColor rgb="FFF8B590"/>
      <rgbColor rgb="FFA99BBD"/>
      <rgbColor rgb="FFF8CBAD"/>
      <rgbColor rgb="FF4A7EBB"/>
      <rgbColor rgb="FFA9D08E"/>
      <rgbColor rgb="FF9BBB59"/>
      <rgbColor rgb="FFB8CD97"/>
      <rgbColor rgb="FFBF8F00"/>
      <rgbColor rgb="FFD09493"/>
      <rgbColor rgb="FF725990"/>
      <rgbColor rgb="FF878787"/>
      <rgbColor rgb="FF1F3864"/>
      <rgbColor rgb="FF4299B0"/>
      <rgbColor rgb="FF003300"/>
      <rgbColor rgb="FF375623"/>
      <rgbColor rgb="FF595959"/>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Readiness by Scope</a:t>
            </a:r>
          </a:p>
        </c:rich>
      </c:tx>
      <c:overlay val="0"/>
      <c:spPr>
        <a:noFill/>
        <a:ln w="0">
          <a:noFill/>
        </a:ln>
      </c:spPr>
    </c:title>
    <c:autoTitleDeleted val="0"/>
    <c:plotArea>
      <c:barChart>
        <c:barDir val="col"/>
        <c:grouping val="clustered"/>
        <c:varyColors val="0"/>
        <c:ser>
          <c:idx val="0"/>
          <c:order val="0"/>
          <c:tx>
            <c:strRef>
              <c:f>Configuration!B202</c:f>
              <c:strCache>
                <c:ptCount val="1"/>
                <c:pt idx="0">
                  <c:v>Readiness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Configuration!$A$203:$A$222</c:f>
              <c:strCache>
                <c:ptCount val="20"/>
                <c:pt idx="0">
                  <c:v>Traction Power &amp; 33kV Distribution</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strCache>
            </c:strRef>
          </c:cat>
          <c:val>
            <c:numRef>
              <c:f>Configuration!$B$203:$B$222</c:f>
              <c:numCache>
                <c:formatCode>0.0%</c:formatCode>
                <c:ptCount val="20"/>
                <c:pt idx="0">
                  <c:v>0.225</c:v>
                </c:pt>
              </c:numCache>
            </c:numRef>
          </c:val>
        </c:ser>
        <c:gapWidth val="150"/>
        <c:overlap val="0"/>
        <c:axId val="18705161"/>
        <c:axId val="65424672"/>
      </c:barChart>
      <c:catAx>
        <c:axId val="187051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424672"/>
        <c:crosses val="autoZero"/>
        <c:auto val="1"/>
        <c:lblAlgn val="ctr"/>
        <c:lblOffset val="100"/>
        <c:noMultiLvlLbl val="0"/>
      </c:catAx>
      <c:valAx>
        <c:axId val="654246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7051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Equipment Status Distribution</a:t>
            </a:r>
          </a:p>
        </c:rich>
      </c:tx>
      <c:overlay val="0"/>
      <c:spPr>
        <a:noFill/>
        <a:ln w="0">
          <a:noFill/>
        </a:ln>
      </c:spPr>
    </c:title>
    <c:autoTitleDeleted val="0"/>
    <c:plotArea>
      <c:doughnutChart>
        <c:varyColors val="1"/>
        <c:ser>
          <c:idx val="0"/>
          <c:order val="0"/>
          <c:tx>
            <c:strRef>
              <c:f>Configuration!E202</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Configuration!$D$203:$D$206</c:f>
              <c:strCache>
                <c:ptCount val="4"/>
                <c:pt idx="0">
                  <c:v>Not Started</c:v>
                </c:pt>
                <c:pt idx="1">
                  <c:v>In Progress</c:v>
                </c:pt>
                <c:pt idx="2">
                  <c:v>Behind Schedule</c:v>
                </c:pt>
                <c:pt idx="3">
                  <c:v>Complete</c:v>
                </c:pt>
              </c:strCache>
            </c:strRef>
          </c:cat>
          <c:val>
            <c:numRef>
              <c:f>Configuration!$E$203:$E$206</c:f>
              <c:numCache>
                <c:formatCode>General</c:formatCode>
                <c:ptCount val="4"/>
                <c:pt idx="0">
                  <c:v>0</c:v>
                </c:pt>
                <c:pt idx="1">
                  <c:v>1</c:v>
                </c:pt>
                <c:pt idx="2">
                  <c:v>0</c:v>
                </c:pt>
                <c:pt idx="3">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Document Status Distribution</a:t>
            </a:r>
          </a:p>
        </c:rich>
      </c:tx>
      <c:overlay val="0"/>
      <c:spPr>
        <a:noFill/>
        <a:ln w="0">
          <a:noFill/>
        </a:ln>
      </c:spPr>
    </c:title>
    <c:autoTitleDeleted val="0"/>
    <c:plotArea>
      <c:doughnutChart>
        <c:varyColors val="1"/>
        <c:ser>
          <c:idx val="0"/>
          <c:order val="0"/>
          <c:tx>
            <c:strRef>
              <c:f>Configuration!H202</c:f>
              <c:strCache>
                <c:ptCount val="1"/>
                <c:pt idx="0">
                  <c:v>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Pt>
            <c:idx val="9"/>
            <c:spPr>
              <a:solidFill>
                <a:srgbClr val="a99bbd"/>
              </a:solidFill>
              <a:ln w="0">
                <a:noFill/>
              </a:ln>
            </c:spPr>
          </c:dPt>
          <c:dPt>
            <c:idx val="10"/>
            <c:spPr>
              <a:solidFill>
                <a:srgbClr val="92c3d5"/>
              </a:solidFill>
              <a:ln w="0">
                <a:noFill/>
              </a:ln>
            </c:spPr>
          </c:dPt>
          <c:dPt>
            <c:idx val="11"/>
            <c:spPr>
              <a:solidFill>
                <a:srgbClr val="f8b590"/>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8"/>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9"/>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Configuration!$G$203:$G$214</c:f>
              <c:strCache>
                <c:ptCount val="12"/>
                <c:pt idx="0">
                  <c:v>Not Started</c:v>
                </c:pt>
                <c:pt idx="1">
                  <c:v>Draft</c:v>
                </c:pt>
                <c:pt idx="2">
                  <c:v>Internal Review</c:v>
                </c:pt>
                <c:pt idx="3">
                  <c:v>Submitted</c:v>
                </c:pt>
                <c:pt idx="4">
                  <c:v>Under Review</c:v>
                </c:pt>
                <c:pt idx="5">
                  <c:v>Comments Received</c:v>
                </c:pt>
                <c:pt idx="6">
                  <c:v>Rework</c:v>
                </c:pt>
                <c:pt idx="7">
                  <c:v>Resubmitted</c:v>
                </c:pt>
                <c:pt idx="8">
                  <c:v>Approved</c:v>
                </c:pt>
                <c:pt idx="9">
                  <c:v>Released</c:v>
                </c:pt>
                <c:pt idx="10">
                  <c:v>Implemented</c:v>
                </c:pt>
                <c:pt idx="11">
                  <c:v>Closed</c:v>
                </c:pt>
              </c:strCache>
            </c:strRef>
          </c:cat>
          <c:val>
            <c:numRef>
              <c:f>Configuration!$H$203:$H$214</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Workload by Owner (open documents + open actions)</a:t>
            </a:r>
          </a:p>
        </c:rich>
      </c:tx>
      <c:overlay val="0"/>
      <c:spPr>
        <a:noFill/>
        <a:ln w="0">
          <a:noFill/>
        </a:ln>
      </c:spPr>
    </c:title>
    <c:autoTitleDeleted val="0"/>
    <c:plotArea>
      <c:barChart>
        <c:barDir val="col"/>
        <c:grouping val="clustered"/>
        <c:varyColors val="0"/>
        <c:ser>
          <c:idx val="0"/>
          <c:order val="0"/>
          <c:tx>
            <c:strRef>
              <c:f>Configuration!S202</c:f>
              <c:strCache>
                <c:ptCount val="1"/>
                <c:pt idx="0">
                  <c:v>Open Items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Configuration!$R$203:$R$218</c:f>
              <c:strCache>
                <c:ptCount val="16"/>
                <c:pt idx="0">
                  <c:v>A. Mercer</c:v>
                </c:pt>
                <c:pt idx="1">
                  <c:v>S. Okonkwo</c:v>
                </c:pt>
                <c:pt idx="2">
                  <c:v>L. Fontaine</c:v>
                </c:pt>
                <c:pt idx="3">
                  <c:v>D. Petrov</c:v>
                </c:pt>
                <c:pt idx="4">
                  <c:v>M. Haddad</c:v>
                </c:pt>
                <c:pt idx="5">
                  <c:v>J. Whitfield</c:v>
                </c:pt>
                <c:pt idx="6">
                  <c:v>K. Rasmussen</c:v>
                </c:pt>
                <c:pt idx="7">
                  <c:v>P. Nakamura</c:v>
                </c:pt>
                <c:pt idx="8">
                  <c:v>R. Bellamy</c:v>
                </c:pt>
                <c:pt idx="9">
                  <c:v>T. Oyelaran</c:v>
                </c:pt>
                <c:pt idx="10">
                  <c:v>N. Bergstrom</c:v>
                </c:pt>
                <c:pt idx="11">
                  <c:v>C. Vasquez</c:v>
                </c:pt>
                <c:pt idx="12">
                  <c:v>H. Lindqvist</c:v>
                </c:pt>
                <c:pt idx="13">
                  <c:v>F. Moreau</c:v>
                </c:pt>
                <c:pt idx="14">
                  <c:v>G. Ashworth</c:v>
                </c:pt>
                <c:pt idx="15">
                  <c:v>E. Devereux</c:v>
                </c:pt>
              </c:strCache>
            </c:strRef>
          </c:cat>
          <c:val>
            <c:numRef>
              <c:f>Configuration!$S$203:$S$218</c:f>
              <c:numCache>
                <c:formatCode>General</c:formatCode>
                <c:ptCount val="16"/>
                <c:pt idx="0">
                  <c:v>1</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numCache>
            </c:numRef>
          </c:val>
        </c:ser>
        <c:gapWidth val="150"/>
        <c:overlap val="0"/>
        <c:axId val="10195495"/>
        <c:axId val="35303348"/>
      </c:barChart>
      <c:catAx>
        <c:axId val="101954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303348"/>
        <c:crosses val="autoZero"/>
        <c:auto val="1"/>
        <c:lblAlgn val="ctr"/>
        <c:lblOffset val="100"/>
        <c:noMultiLvlLbl val="0"/>
      </c:catAx>
      <c:valAx>
        <c:axId val="3530334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954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Overdue Documents (days late)</a:t>
            </a:r>
          </a:p>
        </c:rich>
      </c:tx>
      <c:overlay val="0"/>
      <c:spPr>
        <a:noFill/>
        <a:ln w="0">
          <a:noFill/>
        </a:ln>
      </c:spPr>
    </c:title>
    <c:autoTitleDeleted val="0"/>
    <c:plotArea>
      <c:barChart>
        <c:barDir val="bar"/>
        <c:grouping val="clustered"/>
        <c:varyColors val="0"/>
        <c:ser>
          <c:idx val="0"/>
          <c:order val="0"/>
          <c:tx>
            <c:strRef>
              <c:f>Configuration!K202</c:f>
              <c:strCache>
                <c:ptCount val="1"/>
                <c:pt idx="0">
                  <c:v>Days Late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Configuration!$J$203:$J$212</c:f>
              <c:strCache>
                <c:ptCount val="10"/>
                <c:pt idx="0">
                  <c:v/>
                </c:pt>
                <c:pt idx="1">
                  <c:v/>
                </c:pt>
                <c:pt idx="2">
                  <c:v/>
                </c:pt>
                <c:pt idx="3">
                  <c:v/>
                </c:pt>
                <c:pt idx="4">
                  <c:v/>
                </c:pt>
                <c:pt idx="5">
                  <c:v/>
                </c:pt>
                <c:pt idx="6">
                  <c:v/>
                </c:pt>
                <c:pt idx="7">
                  <c:v/>
                </c:pt>
                <c:pt idx="8">
                  <c:v/>
                </c:pt>
                <c:pt idx="9">
                  <c:v/>
                </c:pt>
              </c:strCache>
            </c:strRef>
          </c:cat>
          <c:val>
            <c:numRef>
              <c:f>Configuration!$K$203:$K$212</c:f>
              <c:numCache>
                <c:formatCode>General</c:formatCode>
                <c:ptCount val="10"/>
              </c:numCache>
            </c:numRef>
          </c:val>
        </c:ser>
        <c:gapWidth val="150"/>
        <c:overlap val="0"/>
        <c:axId val="89467488"/>
        <c:axId val="45169455"/>
      </c:barChart>
      <c:catAx>
        <c:axId val="894674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169455"/>
        <c:crosses val="autoZero"/>
        <c:auto val="1"/>
        <c:lblAlgn val="ctr"/>
        <c:lblOffset val="100"/>
        <c:noMultiLvlLbl val="0"/>
      </c:catAx>
      <c:valAx>
        <c:axId val="4516945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674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Overdue Actions (days overdue)</a:t>
            </a:r>
          </a:p>
        </c:rich>
      </c:tx>
      <c:overlay val="0"/>
      <c:spPr>
        <a:noFill/>
        <a:ln w="0">
          <a:noFill/>
        </a:ln>
      </c:spPr>
    </c:title>
    <c:autoTitleDeleted val="0"/>
    <c:plotArea>
      <c:barChart>
        <c:barDir val="bar"/>
        <c:grouping val="clustered"/>
        <c:varyColors val="0"/>
        <c:ser>
          <c:idx val="0"/>
          <c:order val="0"/>
          <c:tx>
            <c:strRef>
              <c:f>Configuration!O202</c:f>
              <c:strCache>
                <c:ptCount val="1"/>
                <c:pt idx="0">
                  <c:v>Days Overdue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Configuration!$N$203:$N$212</c:f>
              <c:strCache>
                <c:ptCount val="10"/>
                <c:pt idx="0">
                  <c:v/>
                </c:pt>
                <c:pt idx="1">
                  <c:v/>
                </c:pt>
                <c:pt idx="2">
                  <c:v/>
                </c:pt>
                <c:pt idx="3">
                  <c:v/>
                </c:pt>
                <c:pt idx="4">
                  <c:v/>
                </c:pt>
                <c:pt idx="5">
                  <c:v/>
                </c:pt>
                <c:pt idx="6">
                  <c:v/>
                </c:pt>
                <c:pt idx="7">
                  <c:v/>
                </c:pt>
                <c:pt idx="8">
                  <c:v/>
                </c:pt>
                <c:pt idx="9">
                  <c:v/>
                </c:pt>
              </c:strCache>
            </c:strRef>
          </c:cat>
          <c:val>
            <c:numRef>
              <c:f>Configuration!$O$203:$O$212</c:f>
              <c:numCache>
                <c:formatCode>General</c:formatCode>
                <c:ptCount val="10"/>
              </c:numCache>
            </c:numRef>
          </c:val>
        </c:ser>
        <c:gapWidth val="150"/>
        <c:overlap val="0"/>
        <c:axId val="91812727"/>
        <c:axId val="68454152"/>
      </c:barChart>
      <c:catAx>
        <c:axId val="918127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454152"/>
        <c:crosses val="autoZero"/>
        <c:auto val="1"/>
        <c:lblAlgn val="ctr"/>
        <c:lblOffset val="100"/>
        <c:noMultiLvlLbl val="0"/>
      </c:catAx>
      <c:valAx>
        <c:axId val="6845415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81272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Milestone Timeline (days from today)</a:t>
            </a:r>
          </a:p>
        </c:rich>
      </c:tx>
      <c:overlay val="0"/>
      <c:spPr>
        <a:noFill/>
        <a:ln w="0">
          <a:noFill/>
        </a:ln>
      </c:spPr>
    </c:title>
    <c:autoTitleDeleted val="0"/>
    <c:plotArea>
      <c:barChart>
        <c:barDir val="bar"/>
        <c:grouping val="clustered"/>
        <c:varyColors val="0"/>
        <c:ser>
          <c:idx val="0"/>
          <c:order val="0"/>
          <c:tx>
            <c:strRef>
              <c:f>Configuration!W202</c:f>
              <c:strCache>
                <c:ptCount val="1"/>
                <c:pt idx="0">
                  <c:v>Days From Today</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Configuration!$V$203:$V$211</c:f>
              <c:strCache>
                <c:ptCount val="9"/>
                <c:pt idx="0">
                  <c:v>Kick Off Meeting</c:v>
                </c:pt>
                <c:pt idx="1">
                  <c:v>Commissioning Readiness Review</c:v>
                </c:pt>
                <c:pt idx="2">
                  <c:v>Authority To Start</c:v>
                </c:pt>
                <c:pt idx="3">
                  <c:v>Commissioning Start</c:v>
                </c:pt>
                <c:pt idx="4">
                  <c:v>Functional Takeover</c:v>
                </c:pt>
                <c:pt idx="5">
                  <c:v>Beneficial Use</c:v>
                </c:pt>
                <c:pt idx="6">
                  <c:v>Maintenance Transfer</c:v>
                </c:pt>
                <c:pt idx="7">
                  <c:v>Temporary Operations Transfer</c:v>
                </c:pt>
                <c:pt idx="8">
                  <c:v>Final Takeover</c:v>
                </c:pt>
              </c:strCache>
            </c:strRef>
          </c:cat>
          <c:val>
            <c:numRef>
              <c:f>Configuration!$W$203:$W$211</c:f>
              <c:numCache>
                <c:formatCode>#,##0;[RED]\-#,##0;\-</c:formatCode>
                <c:ptCount val="9"/>
                <c:pt idx="0">
                  <c:v>-75</c:v>
                </c:pt>
                <c:pt idx="1">
                  <c:v>225</c:v>
                </c:pt>
                <c:pt idx="2">
                  <c:v>271</c:v>
                </c:pt>
                <c:pt idx="3">
                  <c:v>285</c:v>
                </c:pt>
                <c:pt idx="4">
                  <c:v>360</c:v>
                </c:pt>
                <c:pt idx="5">
                  <c:v>370</c:v>
                </c:pt>
                <c:pt idx="6">
                  <c:v>385</c:v>
                </c:pt>
                <c:pt idx="7">
                  <c:v>400</c:v>
                </c:pt>
                <c:pt idx="8">
                  <c:v>415</c:v>
                </c:pt>
              </c:numCache>
            </c:numRef>
          </c:val>
        </c:ser>
        <c:gapWidth val="150"/>
        <c:overlap val="0"/>
        <c:axId val="92490854"/>
        <c:axId val="7778186"/>
      </c:barChart>
      <c:catAx>
        <c:axId val="924908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8186"/>
        <c:crosses val="autoZero"/>
        <c:auto val="1"/>
        <c:lblAlgn val="ctr"/>
        <c:lblOffset val="100"/>
        <c:noMultiLvlLbl val="0"/>
      </c:catAx>
      <c:valAx>
        <c:axId val="7778186"/>
        <c:scaling>
          <c:orientation val="minMax"/>
        </c:scaling>
        <c:delete val="0"/>
        <c:axPos val="l"/>
        <c:majorGridlines>
          <c:spPr>
            <a:ln w="9360">
              <a:solidFill>
                <a:srgbClr val="878787"/>
              </a:solidFill>
              <a:round/>
            </a:ln>
          </c:spPr>
        </c:majorGridlines>
        <c:numFmt formatCode="#,##0;[RED]\-#,##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908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Readiness Trend</a:t>
            </a:r>
          </a:p>
        </c:rich>
      </c:tx>
      <c:overlay val="0"/>
      <c:spPr>
        <a:noFill/>
        <a:ln w="0">
          <a:noFill/>
        </a:ln>
      </c:spPr>
    </c:title>
    <c:autoTitleDeleted val="0"/>
    <c:plotArea>
      <c:lineChart>
        <c:grouping val="standard"/>
        <c:varyColors val="0"/>
        <c:ser>
          <c:idx val="0"/>
          <c:order val="0"/>
          <c:tx>
            <c:strRef>
              <c:f>Dashboard!K26</c:f>
              <c:strCache>
                <c:ptCount val="1"/>
                <c:pt idx="0">
                  <c:v>Contract Readiness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Dashboard!$J$27:$J$38</c:f>
              <c:strCache>
                <c:ptCount val="12"/>
                <c:pt idx="0">
                  <c:v/>
                </c:pt>
                <c:pt idx="1">
                  <c:v/>
                </c:pt>
                <c:pt idx="2">
                  <c:v/>
                </c:pt>
                <c:pt idx="3">
                  <c:v/>
                </c:pt>
                <c:pt idx="4">
                  <c:v/>
                </c:pt>
                <c:pt idx="5">
                  <c:v/>
                </c:pt>
                <c:pt idx="6">
                  <c:v/>
                </c:pt>
                <c:pt idx="7">
                  <c:v/>
                </c:pt>
                <c:pt idx="8">
                  <c:v/>
                </c:pt>
                <c:pt idx="9">
                  <c:v/>
                </c:pt>
                <c:pt idx="10">
                  <c:v/>
                </c:pt>
                <c:pt idx="11">
                  <c:v/>
                </c:pt>
              </c:strCache>
            </c:strRef>
          </c:cat>
          <c:val>
            <c:numRef>
              <c:f>Dashboard!$K$27:$K$38</c:f>
              <c:numCache>
                <c:formatCode>General</c:formatCode>
                <c:ptCount val="12"/>
              </c:numCache>
            </c:numRef>
          </c:val>
          <c:smooth val="1"/>
        </c:ser>
        <c:hiLowLines>
          <c:spPr>
            <a:ln w="0">
              <a:noFill/>
            </a:ln>
          </c:spPr>
        </c:hiLowLines>
        <c:marker val="0"/>
        <c:axId val="82231923"/>
        <c:axId val="97900279"/>
      </c:lineChart>
      <c:catAx>
        <c:axId val="822319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900279"/>
        <c:crosses val="autoZero"/>
        <c:auto val="1"/>
        <c:lblAlgn val="ctr"/>
        <c:lblOffset val="100"/>
        <c:noMultiLvlLbl val="0"/>
      </c:catAx>
      <c:valAx>
        <c:axId val="9790027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2319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5.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58</xdr:row>
      <xdr:rowOff>199080</xdr:rowOff>
    </xdr:from>
    <xdr:to>
      <xdr:col>2</xdr:col>
      <xdr:colOff>1481400</xdr:colOff>
      <xdr:row>72</xdr:row>
      <xdr:rowOff>85320</xdr:rowOff>
    </xdr:to>
    <xdr:graphicFrame>
      <xdr:nvGraphicFramePr>
        <xdr:cNvPr id="0" name="Chart 1"/>
        <xdr:cNvGraphicFramePr/>
      </xdr:nvGraphicFramePr>
      <xdr:xfrm>
        <a:off x="177840" y="11773080"/>
        <a:ext cx="485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58</xdr:row>
      <xdr:rowOff>199080</xdr:rowOff>
    </xdr:from>
    <xdr:to>
      <xdr:col>14</xdr:col>
      <xdr:colOff>592560</xdr:colOff>
      <xdr:row>72</xdr:row>
      <xdr:rowOff>85320</xdr:rowOff>
    </xdr:to>
    <xdr:graphicFrame>
      <xdr:nvGraphicFramePr>
        <xdr:cNvPr id="1" name="Chart 2"/>
        <xdr:cNvGraphicFramePr/>
      </xdr:nvGraphicFramePr>
      <xdr:xfrm>
        <a:off x="15024240" y="11773080"/>
        <a:ext cx="485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74</xdr:row>
      <xdr:rowOff>160560</xdr:rowOff>
    </xdr:from>
    <xdr:to>
      <xdr:col>2</xdr:col>
      <xdr:colOff>1481400</xdr:colOff>
      <xdr:row>88</xdr:row>
      <xdr:rowOff>85320</xdr:rowOff>
    </xdr:to>
    <xdr:graphicFrame>
      <xdr:nvGraphicFramePr>
        <xdr:cNvPr id="2" name="Chart 3"/>
        <xdr:cNvGraphicFramePr/>
      </xdr:nvGraphicFramePr>
      <xdr:xfrm>
        <a:off x="177840" y="14820840"/>
        <a:ext cx="485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74</xdr:row>
      <xdr:rowOff>160560</xdr:rowOff>
    </xdr:from>
    <xdr:to>
      <xdr:col>14</xdr:col>
      <xdr:colOff>592560</xdr:colOff>
      <xdr:row>88</xdr:row>
      <xdr:rowOff>85320</xdr:rowOff>
    </xdr:to>
    <xdr:graphicFrame>
      <xdr:nvGraphicFramePr>
        <xdr:cNvPr id="3" name="Chart 4"/>
        <xdr:cNvGraphicFramePr/>
      </xdr:nvGraphicFramePr>
      <xdr:xfrm>
        <a:off x="15024240" y="14820840"/>
        <a:ext cx="4859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90</xdr:row>
      <xdr:rowOff>160560</xdr:rowOff>
    </xdr:from>
    <xdr:to>
      <xdr:col>2</xdr:col>
      <xdr:colOff>1481400</xdr:colOff>
      <xdr:row>104</xdr:row>
      <xdr:rowOff>85320</xdr:rowOff>
    </xdr:to>
    <xdr:graphicFrame>
      <xdr:nvGraphicFramePr>
        <xdr:cNvPr id="4" name="Chart 5"/>
        <xdr:cNvGraphicFramePr/>
      </xdr:nvGraphicFramePr>
      <xdr:xfrm>
        <a:off x="177840" y="17868960"/>
        <a:ext cx="4859640" cy="259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90</xdr:row>
      <xdr:rowOff>160560</xdr:rowOff>
    </xdr:from>
    <xdr:to>
      <xdr:col>14</xdr:col>
      <xdr:colOff>592560</xdr:colOff>
      <xdr:row>104</xdr:row>
      <xdr:rowOff>85320</xdr:rowOff>
    </xdr:to>
    <xdr:graphicFrame>
      <xdr:nvGraphicFramePr>
        <xdr:cNvPr id="5" name="Chart 6"/>
        <xdr:cNvGraphicFramePr/>
      </xdr:nvGraphicFramePr>
      <xdr:xfrm>
        <a:off x="15024240" y="17868960"/>
        <a:ext cx="4859640" cy="259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106</xdr:row>
      <xdr:rowOff>160920</xdr:rowOff>
    </xdr:from>
    <xdr:to>
      <xdr:col>2</xdr:col>
      <xdr:colOff>1481400</xdr:colOff>
      <xdr:row>120</xdr:row>
      <xdr:rowOff>85320</xdr:rowOff>
    </xdr:to>
    <xdr:graphicFrame>
      <xdr:nvGraphicFramePr>
        <xdr:cNvPr id="6" name="Chart 7"/>
        <xdr:cNvGraphicFramePr/>
      </xdr:nvGraphicFramePr>
      <xdr:xfrm>
        <a:off x="177840" y="20917080"/>
        <a:ext cx="4859640" cy="259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106</xdr:row>
      <xdr:rowOff>160920</xdr:rowOff>
    </xdr:from>
    <xdr:to>
      <xdr:col>14</xdr:col>
      <xdr:colOff>592560</xdr:colOff>
      <xdr:row>120</xdr:row>
      <xdr:rowOff>85320</xdr:rowOff>
    </xdr:to>
    <xdr:graphicFrame>
      <xdr:nvGraphicFramePr>
        <xdr:cNvPr id="7" name="Chart 8"/>
        <xdr:cNvGraphicFramePr/>
      </xdr:nvGraphicFramePr>
      <xdr:xfrm>
        <a:off x="15024240" y="20917080"/>
        <a:ext cx="4859640" cy="259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96"/>
  </cols>
  <sheetData>
    <row r="1" customFormat="false" ht="17.35" hidden="false" customHeight="false" outlineLevel="0" collapsed="false">
      <c r="B1" s="1" t="s">
        <v>0</v>
      </c>
    </row>
    <row r="2" customFormat="false" ht="15" hidden="false" customHeight="false" outlineLevel="0" collapsed="false">
      <c r="B2" s="2" t="s">
        <v>1</v>
      </c>
    </row>
    <row r="4" customFormat="false" ht="18" hidden="false" customHeight="true" outlineLevel="0" collapsed="false">
      <c r="B4" s="3" t="s">
        <v>2</v>
      </c>
      <c r="C4" s="3"/>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30" hidden="false" customHeight="true" outlineLevel="0" collapsed="false">
      <c r="B10" s="4" t="s">
        <v>13</v>
      </c>
      <c r="C10" s="5" t="s">
        <v>14</v>
      </c>
    </row>
    <row r="11" customFormat="false" ht="30" hidden="false" customHeight="true" outlineLevel="0" collapsed="false">
      <c r="B11" s="4" t="s">
        <v>15</v>
      </c>
      <c r="C11" s="5" t="s">
        <v>16</v>
      </c>
    </row>
    <row r="12" customFormat="false" ht="18" hidden="false" customHeight="true" outlineLevel="0" collapsed="false">
      <c r="B12" s="3" t="s">
        <v>17</v>
      </c>
      <c r="C12" s="3"/>
    </row>
    <row r="13" customFormat="false" ht="30" hidden="false" customHeight="true" outlineLevel="0" collapsed="false">
      <c r="B13" s="6" t="s">
        <v>18</v>
      </c>
      <c r="C13" s="5" t="s">
        <v>19</v>
      </c>
    </row>
    <row r="14" customFormat="false" ht="30" hidden="false" customHeight="true" outlineLevel="0" collapsed="false">
      <c r="B14" s="7" t="s">
        <v>20</v>
      </c>
      <c r="C14" s="5" t="s">
        <v>21</v>
      </c>
    </row>
    <row r="15" customFormat="false" ht="30" hidden="false" customHeight="true" outlineLevel="0" collapsed="false">
      <c r="B15" s="8" t="s">
        <v>22</v>
      </c>
      <c r="C15" s="5" t="s">
        <v>23</v>
      </c>
    </row>
    <row r="16" customFormat="false" ht="18" hidden="false" customHeight="true" outlineLevel="0" collapsed="false">
      <c r="B16" s="3" t="s">
        <v>24</v>
      </c>
      <c r="C16" s="3"/>
    </row>
    <row r="17" customFormat="false" ht="30" hidden="false" customHeight="true" outlineLevel="0" collapsed="false">
      <c r="B17" s="9" t="s">
        <v>25</v>
      </c>
      <c r="C17" s="5" t="s">
        <v>26</v>
      </c>
    </row>
    <row r="18" customFormat="false" ht="30" hidden="false" customHeight="true" outlineLevel="0" collapsed="false">
      <c r="B18" s="10" t="s">
        <v>27</v>
      </c>
      <c r="C18" s="5" t="s">
        <v>28</v>
      </c>
    </row>
    <row r="19" customFormat="false" ht="30" hidden="false" customHeight="true" outlineLevel="0" collapsed="false">
      <c r="B19" s="11" t="s">
        <v>29</v>
      </c>
      <c r="C19" s="5" t="s">
        <v>30</v>
      </c>
    </row>
    <row r="20" customFormat="false" ht="30" hidden="false" customHeight="true" outlineLevel="0" collapsed="false">
      <c r="B20" s="12" t="s">
        <v>31</v>
      </c>
      <c r="C20" s="5" t="s">
        <v>32</v>
      </c>
    </row>
    <row r="21" customFormat="false" ht="30" hidden="false" customHeight="true" outlineLevel="0" collapsed="false">
      <c r="B21" s="13" t="s">
        <v>33</v>
      </c>
      <c r="C21" s="5" t="s">
        <v>34</v>
      </c>
    </row>
    <row r="22" customFormat="false" ht="30" hidden="false" customHeight="true" outlineLevel="0" collapsed="false">
      <c r="B22" s="14" t="s">
        <v>35</v>
      </c>
      <c r="C22" s="5" t="s">
        <v>36</v>
      </c>
    </row>
    <row r="23" customFormat="false" ht="30" hidden="false" customHeight="true" outlineLevel="0" collapsed="false">
      <c r="B23" s="15" t="s">
        <v>37</v>
      </c>
      <c r="C23" s="5" t="s">
        <v>38</v>
      </c>
    </row>
    <row r="24" customFormat="false" ht="18" hidden="false" customHeight="true" outlineLevel="0" collapsed="false">
      <c r="B24" s="3" t="s">
        <v>39</v>
      </c>
      <c r="C24" s="3"/>
    </row>
    <row r="25" customFormat="false" ht="30" hidden="false" customHeight="true" outlineLevel="0" collapsed="false">
      <c r="B25" s="16" t="s">
        <v>40</v>
      </c>
      <c r="C25" s="5" t="s">
        <v>41</v>
      </c>
    </row>
    <row r="26" customFormat="false" ht="30" hidden="false" customHeight="true" outlineLevel="0" collapsed="false">
      <c r="B26" s="13" t="s">
        <v>33</v>
      </c>
      <c r="C26" s="5" t="s">
        <v>42</v>
      </c>
    </row>
    <row r="27" customFormat="false" ht="30" hidden="false" customHeight="true" outlineLevel="0" collapsed="false">
      <c r="B27" s="11" t="s">
        <v>43</v>
      </c>
      <c r="C27" s="5" t="s">
        <v>44</v>
      </c>
    </row>
    <row r="28" customFormat="false" ht="30" hidden="false" customHeight="true" outlineLevel="0" collapsed="false">
      <c r="B28" s="10" t="s">
        <v>27</v>
      </c>
      <c r="C28" s="5" t="s">
        <v>45</v>
      </c>
    </row>
    <row r="29" customFormat="false" ht="30" hidden="false" customHeight="true" outlineLevel="0" collapsed="false">
      <c r="B29" s="14" t="s">
        <v>35</v>
      </c>
      <c r="C29" s="5" t="s">
        <v>38</v>
      </c>
    </row>
    <row r="30" customFormat="false" ht="30" hidden="false" customHeight="true" outlineLevel="0" collapsed="false">
      <c r="B30" s="9" t="s">
        <v>25</v>
      </c>
      <c r="C30" s="5" t="s">
        <v>46</v>
      </c>
    </row>
    <row r="31" customFormat="false" ht="18" hidden="false" customHeight="true" outlineLevel="0" collapsed="false">
      <c r="B31" s="3" t="s">
        <v>47</v>
      </c>
      <c r="C31" s="3"/>
    </row>
    <row r="32" customFormat="false" ht="30" hidden="false" customHeight="true" outlineLevel="0" collapsed="false">
      <c r="B32" s="4" t="s">
        <v>48</v>
      </c>
      <c r="C32" s="5" t="s">
        <v>49</v>
      </c>
    </row>
    <row r="33" customFormat="false" ht="30" hidden="false" customHeight="true" outlineLevel="0" collapsed="false">
      <c r="B33" s="4" t="s">
        <v>50</v>
      </c>
      <c r="C33" s="5" t="s">
        <v>51</v>
      </c>
    </row>
    <row r="34" customFormat="false" ht="30" hidden="false" customHeight="true" outlineLevel="0" collapsed="false">
      <c r="B34" s="4" t="s">
        <v>52</v>
      </c>
      <c r="C34" s="5" t="s">
        <v>53</v>
      </c>
    </row>
    <row r="35" customFormat="false" ht="30" hidden="false" customHeight="true" outlineLevel="0" collapsed="false">
      <c r="B35" s="4" t="s">
        <v>54</v>
      </c>
      <c r="C35" s="5" t="s">
        <v>55</v>
      </c>
    </row>
    <row r="36" customFormat="false" ht="30" hidden="false" customHeight="true" outlineLevel="0" collapsed="false">
      <c r="B36" s="4" t="s">
        <v>56</v>
      </c>
      <c r="C36" s="5" t="s">
        <v>57</v>
      </c>
    </row>
    <row r="37" customFormat="false" ht="18" hidden="false" customHeight="true" outlineLevel="0" collapsed="false">
      <c r="B37" s="3" t="s">
        <v>58</v>
      </c>
      <c r="C37" s="3"/>
    </row>
    <row r="38" customFormat="false" ht="30" hidden="false" customHeight="true" outlineLevel="0" collapsed="false">
      <c r="B38" s="4" t="s">
        <v>59</v>
      </c>
      <c r="C38" s="5" t="s">
        <v>60</v>
      </c>
    </row>
    <row r="39" customFormat="false" ht="30" hidden="false" customHeight="true" outlineLevel="0" collapsed="false">
      <c r="B39" s="4" t="s">
        <v>61</v>
      </c>
      <c r="C39" s="5" t="s">
        <v>62</v>
      </c>
    </row>
    <row r="40" customFormat="false" ht="30" hidden="false" customHeight="true" outlineLevel="0" collapsed="false">
      <c r="B40" s="4" t="s">
        <v>63</v>
      </c>
      <c r="C40" s="5" t="s">
        <v>64</v>
      </c>
    </row>
    <row r="41" customFormat="false" ht="30" hidden="false" customHeight="true" outlineLevel="0" collapsed="false">
      <c r="B41" s="4" t="s">
        <v>65</v>
      </c>
      <c r="C41" s="5" t="s">
        <v>66</v>
      </c>
    </row>
    <row r="42" customFormat="false" ht="30" hidden="false" customHeight="true" outlineLevel="0" collapsed="false">
      <c r="B42" s="4" t="s">
        <v>67</v>
      </c>
      <c r="C42" s="5" t="s">
        <v>68</v>
      </c>
    </row>
    <row r="43" customFormat="false" ht="30" hidden="false" customHeight="true" outlineLevel="0" collapsed="false">
      <c r="B43" s="4" t="s">
        <v>69</v>
      </c>
      <c r="C43" s="5" t="s">
        <v>70</v>
      </c>
    </row>
    <row r="44" customFormat="false" ht="30" hidden="false" customHeight="true" outlineLevel="0" collapsed="false">
      <c r="B44" s="4" t="s">
        <v>71</v>
      </c>
      <c r="C44" s="5" t="s">
        <v>72</v>
      </c>
    </row>
    <row r="45" customFormat="false" ht="18" hidden="false" customHeight="true" outlineLevel="0" collapsed="false">
      <c r="B45" s="3" t="s">
        <v>73</v>
      </c>
      <c r="C45" s="3"/>
    </row>
    <row r="46" customFormat="false" ht="30" hidden="false" customHeight="true" outlineLevel="0" collapsed="false">
      <c r="B46" s="4" t="s">
        <v>74</v>
      </c>
      <c r="C46" s="5" t="s">
        <v>75</v>
      </c>
    </row>
    <row r="47" customFormat="false" ht="30" hidden="false" customHeight="true" outlineLevel="0" collapsed="false">
      <c r="B47" s="4" t="s">
        <v>76</v>
      </c>
      <c r="C47" s="5" t="s">
        <v>77</v>
      </c>
    </row>
    <row r="48" customFormat="false" ht="30" hidden="false" customHeight="true" outlineLevel="0" collapsed="false">
      <c r="B48" s="4" t="s">
        <v>78</v>
      </c>
      <c r="C48" s="5" t="s">
        <v>79</v>
      </c>
    </row>
    <row r="49" customFormat="false" ht="30" hidden="false" customHeight="true" outlineLevel="0" collapsed="false">
      <c r="B49" s="4" t="s">
        <v>80</v>
      </c>
      <c r="C49" s="5" t="s">
        <v>81</v>
      </c>
    </row>
    <row r="51" customFormat="false" ht="15" hidden="false" customHeight="false" outlineLevel="0" collapsed="false">
      <c r="B51" s="17" t="s">
        <v>82</v>
      </c>
      <c r="C51" s="17" t="s">
        <v>83</v>
      </c>
    </row>
  </sheetData>
  <mergeCells count="7">
    <mergeCell ref="B4:C4"/>
    <mergeCell ref="B12:C12"/>
    <mergeCell ref="B16:C16"/>
    <mergeCell ref="B24:C24"/>
    <mergeCell ref="B31:C31"/>
    <mergeCell ref="B37:C37"/>
    <mergeCell ref="B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22"/>
    <col collapsed="false" customWidth="true" hidden="false" outlineLevel="0" max="4" min="4" style="0" width="20"/>
    <col collapsed="false" customWidth="true" hidden="false" outlineLevel="0" max="5" min="5" style="0" width="17"/>
    <col collapsed="false" customWidth="true" hidden="false" outlineLevel="0" max="6" min="6" style="0" width="34"/>
    <col collapsed="false" customWidth="true" hidden="false" outlineLevel="0" max="7" min="7" style="0" width="20"/>
    <col collapsed="false" customWidth="true" hidden="false" outlineLevel="0" max="8" min="8" style="0" width="18"/>
    <col collapsed="false" customWidth="true" hidden="false" outlineLevel="0" max="9" min="9" style="0" width="3"/>
  </cols>
  <sheetData>
    <row r="1" customFormat="false" ht="17.35" hidden="false" customHeight="false" outlineLevel="0" collapsed="false">
      <c r="B1" s="1" t="s">
        <v>84</v>
      </c>
    </row>
    <row r="2" customFormat="false" ht="15" hidden="false" customHeight="false" outlineLevel="0" collapsed="false">
      <c r="B2" s="2" t="s">
        <v>85</v>
      </c>
    </row>
    <row r="4" customFormat="false" ht="18" hidden="false" customHeight="true" outlineLevel="0" collapsed="false">
      <c r="B4" s="3" t="s">
        <v>86</v>
      </c>
      <c r="C4" s="3"/>
      <c r="D4" s="3"/>
      <c r="F4" s="3" t="s">
        <v>87</v>
      </c>
      <c r="G4" s="3"/>
      <c r="H4" s="3"/>
    </row>
    <row r="5" customFormat="false" ht="15" hidden="false" customHeight="false" outlineLevel="0" collapsed="false">
      <c r="B5" s="18" t="s">
        <v>88</v>
      </c>
      <c r="C5" s="19"/>
      <c r="D5" s="19"/>
      <c r="F5" s="18" t="s">
        <v>89</v>
      </c>
      <c r="G5" s="20" t="n">
        <f aca="false">IFERROR(AVERAGE(Eq_Readiness),0)</f>
        <v>0.225</v>
      </c>
    </row>
    <row r="6" customFormat="false" ht="15" hidden="false" customHeight="false" outlineLevel="0" collapsed="false">
      <c r="B6" s="18" t="s">
        <v>90</v>
      </c>
      <c r="C6" s="19"/>
      <c r="F6" s="18" t="s">
        <v>91</v>
      </c>
      <c r="G6" s="21" t="n">
        <f aca="false">COUNTA(Sc_ID)</f>
        <v>1</v>
      </c>
    </row>
    <row r="7" customFormat="false" ht="15" hidden="false" customHeight="false" outlineLevel="0" collapsed="false">
      <c r="B7" s="18" t="s">
        <v>92</v>
      </c>
      <c r="C7" s="19"/>
      <c r="F7" s="18" t="s">
        <v>93</v>
      </c>
      <c r="G7" s="21" t="n">
        <f aca="false">COUNTA(Eq_Name)</f>
        <v>1</v>
      </c>
    </row>
    <row r="8" customFormat="false" ht="15" hidden="false" customHeight="false" outlineLevel="0" collapsed="false">
      <c r="B8" s="18" t="s">
        <v>94</v>
      </c>
      <c r="C8" s="19"/>
      <c r="F8" s="18" t="s">
        <v>95</v>
      </c>
      <c r="G8" s="21" t="n">
        <f aca="false">COUNTA(Act_ID)-COUNTIF(Act_Status,"Closed")</f>
        <v>1</v>
      </c>
    </row>
    <row r="9" customFormat="false" ht="15" hidden="false" customHeight="false" outlineLevel="0" collapsed="false">
      <c r="B9" s="18" t="s">
        <v>96</v>
      </c>
      <c r="C9" s="19"/>
      <c r="F9" s="18" t="s">
        <v>97</v>
      </c>
      <c r="G9" s="21" t="n">
        <f aca="false">SUM(Act_Overdue)</f>
        <v>0</v>
      </c>
    </row>
    <row r="10" customFormat="false" ht="15" hidden="false" customHeight="false" outlineLevel="0" collapsed="false">
      <c r="B10" s="18" t="s">
        <v>98</v>
      </c>
      <c r="C10" s="19"/>
      <c r="F10" s="18" t="s">
        <v>99</v>
      </c>
      <c r="G10" s="21" t="n">
        <f aca="false">COUNTIF(Doc_Workflow,"Not Started")</f>
        <v>0</v>
      </c>
    </row>
    <row r="11" customFormat="false" ht="15" hidden="false" customHeight="false" outlineLevel="0" collapsed="false">
      <c r="B11" s="18" t="s">
        <v>100</v>
      </c>
      <c r="C11" s="19"/>
      <c r="F11" s="18" t="s">
        <v>101</v>
      </c>
      <c r="G11" s="21" t="n">
        <f aca="false">COUNTIFS(Act_Blocker,"Yes",Act_Status,"&lt;&gt;Closed")</f>
        <v>1</v>
      </c>
    </row>
    <row r="12" customFormat="false" ht="15" hidden="false" customHeight="false" outlineLevel="0" collapsed="false">
      <c r="F12" s="18" t="s">
        <v>102</v>
      </c>
      <c r="G12" s="21" t="n">
        <f aca="false">COUNTIFS(Ms_Days,"&gt;=0",Ms_Days,"&lt;="&amp;Cfg_MsWindow)</f>
        <v>0</v>
      </c>
    </row>
    <row r="13" customFormat="false" ht="18" hidden="false" customHeight="true" outlineLevel="0" collapsed="false">
      <c r="B13" s="3" t="s">
        <v>103</v>
      </c>
      <c r="C13" s="3"/>
      <c r="D13" s="3"/>
    </row>
    <row r="14" customFormat="false" ht="18" hidden="false" customHeight="true" outlineLevel="0" collapsed="false">
      <c r="B14" s="18" t="s">
        <v>104</v>
      </c>
      <c r="C14" s="22" t="n">
        <v>46539</v>
      </c>
      <c r="D14" s="17" t="s">
        <v>105</v>
      </c>
      <c r="F14" s="3" t="s">
        <v>106</v>
      </c>
      <c r="G14" s="3"/>
      <c r="H14" s="3"/>
    </row>
    <row r="15" customFormat="false" ht="15" hidden="false" customHeight="false" outlineLevel="0" collapsed="false">
      <c r="B15" s="18" t="s">
        <v>107</v>
      </c>
      <c r="C15" s="23"/>
      <c r="F15" s="18" t="s">
        <v>54</v>
      </c>
      <c r="G15" s="20" t="n">
        <f aca="false">Dashboard!$L$12</f>
        <v>0.56</v>
      </c>
    </row>
    <row r="16" customFormat="false" ht="15" hidden="false" customHeight="false" outlineLevel="0" collapsed="false">
      <c r="B16" s="18" t="s">
        <v>108</v>
      </c>
      <c r="C16" s="23"/>
      <c r="F16" s="18" t="s">
        <v>109</v>
      </c>
      <c r="G16" s="24" t="str">
        <f aca="false">IF($G$15&gt;=Cfg_ThrExcellent,"Excellent",IF($G$15&gt;=Cfg_ThrGood,"Good",IF($G$15&gt;=Cfg_ThrAttention,"Attention Required","Critical")))</f>
        <v>Attention Required</v>
      </c>
    </row>
    <row r="17" customFormat="false" ht="15" hidden="false" customHeight="false" outlineLevel="0" collapsed="false">
      <c r="B17" s="18" t="s">
        <v>110</v>
      </c>
      <c r="C17" s="23"/>
      <c r="F17" s="18" t="s">
        <v>111</v>
      </c>
      <c r="G17" s="25" t="str">
        <f aca="false">IF($G$15&gt;=Cfg_RagGreen,"GREEN",IF($G$15&gt;=Cfg_RagAmber,"AMBER","RED"))</f>
        <v>AMBER</v>
      </c>
    </row>
    <row r="18" customFormat="false" ht="15" hidden="false" customHeight="false" outlineLevel="0" collapsed="false">
      <c r="B18" s="18" t="s">
        <v>112</v>
      </c>
      <c r="C18" s="23"/>
    </row>
    <row r="19" customFormat="false" ht="18" hidden="false" customHeight="true" outlineLevel="0" collapsed="false">
      <c r="B19" s="18" t="s">
        <v>113</v>
      </c>
      <c r="C19" s="23"/>
      <c r="F19" s="3" t="s">
        <v>114</v>
      </c>
      <c r="G19" s="3"/>
      <c r="H19" s="3"/>
    </row>
    <row r="20" customFormat="false" ht="15" hidden="false" customHeight="false" outlineLevel="0" collapsed="false">
      <c r="F20" s="18" t="s">
        <v>115</v>
      </c>
      <c r="G20" s="20" t="n">
        <f aca="false">Configuration!$B$57</f>
        <v>0</v>
      </c>
    </row>
    <row r="21" customFormat="false" ht="18" hidden="false" customHeight="true" outlineLevel="0" collapsed="false">
      <c r="B21" s="3" t="s">
        <v>116</v>
      </c>
      <c r="C21" s="3"/>
      <c r="D21" s="3"/>
      <c r="F21" s="18" t="s">
        <v>117</v>
      </c>
      <c r="G21" s="25" t="str">
        <f aca="false">Configuration!$B$58</f>
        <v>Not Ready</v>
      </c>
    </row>
    <row r="22" customFormat="false" ht="15" hidden="false" customHeight="false" outlineLevel="0" collapsed="false">
      <c r="B22" s="18" t="s">
        <v>118</v>
      </c>
      <c r="C22" s="26" t="str">
        <f aca="false">IF(OR($C$14="",$C$16=""),"",$C$16-$C$14)</f>
        <v/>
      </c>
      <c r="F22" s="18" t="s">
        <v>119</v>
      </c>
      <c r="G22" s="24" t="str">
        <f aca="false">Configuration!$B$60</f>
        <v>0 of 10</v>
      </c>
    </row>
    <row r="23" customFormat="false" ht="15" hidden="false" customHeight="false" outlineLevel="0" collapsed="false">
      <c r="B23" s="18" t="s">
        <v>120</v>
      </c>
      <c r="C23" s="26" t="n">
        <f aca="true">IF($C$14="","",$C$14-TODAY())</f>
        <v>285</v>
      </c>
      <c r="F23" s="17" t="s">
        <v>121</v>
      </c>
    </row>
    <row r="24" customFormat="false" ht="18" hidden="false" customHeight="true" outlineLevel="0" collapsed="false">
      <c r="B24" s="3" t="s">
        <v>122</v>
      </c>
      <c r="C24" s="3"/>
      <c r="D24" s="3"/>
      <c r="E24" s="3"/>
      <c r="F24" s="3"/>
      <c r="G24" s="3"/>
      <c r="H24" s="3"/>
    </row>
    <row r="25" customFormat="false" ht="15" hidden="false" customHeight="false" outlineLevel="0" collapsed="false">
      <c r="B25" s="27" t="s">
        <v>18</v>
      </c>
      <c r="C25" s="28" t="s">
        <v>19</v>
      </c>
      <c r="D25" s="28"/>
      <c r="E25" s="28"/>
      <c r="F25" s="28"/>
      <c r="G25" s="28"/>
      <c r="H25" s="28"/>
    </row>
    <row r="26" customFormat="false" ht="15" hidden="false" customHeight="false" outlineLevel="0" collapsed="false">
      <c r="B26" s="29" t="s">
        <v>123</v>
      </c>
      <c r="C26" s="28" t="s">
        <v>124</v>
      </c>
      <c r="D26" s="28"/>
      <c r="E26" s="28"/>
      <c r="F26" s="28"/>
      <c r="G26" s="28"/>
      <c r="H26" s="28"/>
    </row>
    <row r="27" customFormat="false" ht="15" hidden="false" customHeight="false" outlineLevel="0" collapsed="false">
      <c r="B27" s="30" t="s">
        <v>22</v>
      </c>
      <c r="C27" s="28" t="s">
        <v>125</v>
      </c>
      <c r="D27" s="28"/>
      <c r="E27" s="28"/>
      <c r="F27" s="28"/>
      <c r="G27" s="28"/>
      <c r="H27" s="28"/>
    </row>
    <row r="29" customFormat="false" ht="18" hidden="false" customHeight="true" outlineLevel="0" collapsed="false">
      <c r="B29" s="3" t="s">
        <v>126</v>
      </c>
      <c r="C29" s="3"/>
      <c r="D29" s="3"/>
      <c r="E29" s="3"/>
      <c r="F29" s="3"/>
    </row>
    <row r="30" customFormat="false" ht="15" hidden="false" customHeight="false" outlineLevel="0" collapsed="false">
      <c r="B30" s="2" t="s">
        <v>127</v>
      </c>
    </row>
    <row r="31" customFormat="false" ht="30" hidden="false" customHeight="true" outlineLevel="0" collapsed="false">
      <c r="B31" s="31" t="s">
        <v>128</v>
      </c>
      <c r="C31" s="31" t="s">
        <v>129</v>
      </c>
      <c r="D31" s="31" t="s">
        <v>130</v>
      </c>
      <c r="E31" s="31" t="s">
        <v>131</v>
      </c>
      <c r="F31" s="31" t="s">
        <v>132</v>
      </c>
    </row>
    <row r="32" customFormat="false" ht="15" hidden="false" customHeight="false" outlineLevel="0" collapsed="false">
      <c r="B32" s="32" t="s">
        <v>133</v>
      </c>
      <c r="C32" s="33" t="s">
        <v>134</v>
      </c>
      <c r="D32" s="34" t="n">
        <v>360</v>
      </c>
      <c r="E32" s="35" t="n">
        <f aca="false">IF($F32="","",$F32-Cfg_ReviewDays)</f>
        <v>46158</v>
      </c>
      <c r="F32" s="35" t="n">
        <f aca="false">IF(OR($C$14="",$D32=""),"",$C$14-$D32)</f>
        <v>46179</v>
      </c>
    </row>
    <row r="33" customFormat="false" ht="15" hidden="false" customHeight="false" outlineLevel="0" collapsed="false">
      <c r="B33" s="32" t="s">
        <v>135</v>
      </c>
      <c r="C33" s="33" t="s">
        <v>134</v>
      </c>
      <c r="D33" s="34" t="n">
        <v>360</v>
      </c>
      <c r="E33" s="35" t="n">
        <f aca="false">IF($F33="","",$F33-Cfg_ReviewDays)</f>
        <v>46158</v>
      </c>
      <c r="F33" s="35" t="n">
        <f aca="false">IF(OR($C$14="",$D33=""),"",$C$14-$D33)</f>
        <v>46179</v>
      </c>
    </row>
    <row r="34" customFormat="false" ht="15" hidden="false" customHeight="false" outlineLevel="0" collapsed="false">
      <c r="B34" s="32" t="s">
        <v>136</v>
      </c>
      <c r="C34" s="33" t="s">
        <v>137</v>
      </c>
      <c r="D34" s="34" t="n">
        <v>270</v>
      </c>
      <c r="E34" s="35" t="n">
        <f aca="false">IF($F34="","",$F34-Cfg_ReviewDays)</f>
        <v>46248</v>
      </c>
      <c r="F34" s="35" t="n">
        <f aca="false">IF(OR($C$14="",$D34=""),"",$C$14-$D34)</f>
        <v>46269</v>
      </c>
    </row>
    <row r="35" customFormat="false" ht="15" hidden="false" customHeight="false" outlineLevel="0" collapsed="false">
      <c r="B35" s="32" t="s">
        <v>138</v>
      </c>
      <c r="C35" s="33" t="s">
        <v>137</v>
      </c>
      <c r="D35" s="34" t="n">
        <v>270</v>
      </c>
      <c r="E35" s="35" t="n">
        <f aca="false">IF($F35="","",$F35-Cfg_ReviewDays)</f>
        <v>46248</v>
      </c>
      <c r="F35" s="35" t="n">
        <f aca="false">IF(OR($C$14="",$D35=""),"",$C$14-$D35)</f>
        <v>46269</v>
      </c>
    </row>
    <row r="36" customFormat="false" ht="15" hidden="false" customHeight="false" outlineLevel="0" collapsed="false">
      <c r="B36" s="32" t="s">
        <v>139</v>
      </c>
      <c r="C36" s="33" t="s">
        <v>140</v>
      </c>
      <c r="D36" s="34" t="n">
        <v>180</v>
      </c>
      <c r="E36" s="35" t="n">
        <f aca="false">IF($F36="","",$F36-Cfg_ReviewDays)</f>
        <v>46338</v>
      </c>
      <c r="F36" s="35" t="n">
        <f aca="false">IF(OR($C$14="",$D36=""),"",$C$14-$D36)</f>
        <v>46359</v>
      </c>
    </row>
    <row r="37" customFormat="false" ht="15" hidden="false" customHeight="false" outlineLevel="0" collapsed="false">
      <c r="B37" s="32" t="s">
        <v>141</v>
      </c>
      <c r="C37" s="33" t="s">
        <v>140</v>
      </c>
      <c r="D37" s="34" t="n">
        <v>180</v>
      </c>
      <c r="E37" s="35" t="n">
        <f aca="false">IF($F37="","",$F37-Cfg_ReviewDays)</f>
        <v>46338</v>
      </c>
      <c r="F37" s="35" t="n">
        <f aca="false">IF(OR($C$14="",$D37=""),"",$C$14-$D37)</f>
        <v>46359</v>
      </c>
    </row>
    <row r="38" customFormat="false" ht="15" hidden="false" customHeight="false" outlineLevel="0" collapsed="false">
      <c r="B38" s="32" t="s">
        <v>142</v>
      </c>
      <c r="C38" s="33" t="s">
        <v>140</v>
      </c>
      <c r="D38" s="34" t="n">
        <v>180</v>
      </c>
      <c r="E38" s="35" t="n">
        <f aca="false">IF($F38="","",$F38-Cfg_ReviewDays)</f>
        <v>46338</v>
      </c>
      <c r="F38" s="35" t="n">
        <f aca="false">IF(OR($C$14="",$D38=""),"",$C$14-$D38)</f>
        <v>46359</v>
      </c>
    </row>
    <row r="39" customFormat="false" ht="15" hidden="false" customHeight="false" outlineLevel="0" collapsed="false">
      <c r="B39" s="32" t="s">
        <v>143</v>
      </c>
      <c r="C39" s="33" t="s">
        <v>144</v>
      </c>
      <c r="D39" s="34" t="n">
        <v>90</v>
      </c>
      <c r="E39" s="35" t="n">
        <f aca="false">IF($F39="","",$F39-Cfg_ReviewDays)</f>
        <v>46428</v>
      </c>
      <c r="F39" s="35" t="n">
        <f aca="false">IF(OR($C$14="",$D39=""),"",$C$14-$D39)</f>
        <v>46449</v>
      </c>
    </row>
    <row r="40" customFormat="false" ht="15" hidden="false" customHeight="false" outlineLevel="0" collapsed="false">
      <c r="B40" s="32" t="s">
        <v>145</v>
      </c>
      <c r="C40" s="33" t="s">
        <v>144</v>
      </c>
      <c r="D40" s="34" t="n">
        <v>90</v>
      </c>
      <c r="E40" s="35" t="n">
        <f aca="false">IF($F40="","",$F40-Cfg_ReviewDays)</f>
        <v>46428</v>
      </c>
      <c r="F40" s="35" t="n">
        <f aca="false">IF(OR($C$14="",$D40=""),"",$C$14-$D40)</f>
        <v>46449</v>
      </c>
    </row>
    <row r="41" customFormat="false" ht="15" hidden="false" customHeight="false" outlineLevel="0" collapsed="false">
      <c r="B41" s="32" t="s">
        <v>146</v>
      </c>
      <c r="C41" s="33" t="s">
        <v>144</v>
      </c>
      <c r="D41" s="34" t="n">
        <v>90</v>
      </c>
      <c r="E41" s="35" t="n">
        <f aca="false">IF($F41="","",$F41-Cfg_ReviewDays)</f>
        <v>46428</v>
      </c>
      <c r="F41" s="35" t="n">
        <f aca="false">IF(OR($C$14="",$D41=""),"",$C$14-$D41)</f>
        <v>46449</v>
      </c>
    </row>
    <row r="42" customFormat="false" ht="15" hidden="false" customHeight="false" outlineLevel="0" collapsed="false">
      <c r="B42" s="32" t="s">
        <v>147</v>
      </c>
      <c r="C42" s="33" t="s">
        <v>148</v>
      </c>
      <c r="D42" s="34" t="n">
        <v>30</v>
      </c>
      <c r="E42" s="35" t="n">
        <f aca="false">IF($F42="","",$F42-Cfg_ReviewDays)</f>
        <v>46488</v>
      </c>
      <c r="F42" s="35" t="n">
        <f aca="false">IF(OR($C$14="",$D42=""),"",$C$14-$D42)</f>
        <v>46509</v>
      </c>
    </row>
    <row r="43" customFormat="false" ht="15" hidden="false" customHeight="false" outlineLevel="0" collapsed="false">
      <c r="B43" s="32" t="s">
        <v>69</v>
      </c>
      <c r="C43" s="33" t="s">
        <v>149</v>
      </c>
      <c r="D43" s="34" t="n">
        <v>14</v>
      </c>
      <c r="E43" s="35" t="n">
        <f aca="false">IF($F43="","",$F43-Cfg_ReviewDays)</f>
        <v>46504</v>
      </c>
      <c r="F43" s="35" t="n">
        <f aca="false">IF(OR($C$14="",$D43=""),"",$C$14-$D43)</f>
        <v>46525</v>
      </c>
    </row>
    <row r="44" customFormat="false" ht="15" hidden="false" customHeight="false" outlineLevel="0" collapsed="false">
      <c r="B44" s="32" t="s">
        <v>150</v>
      </c>
      <c r="C44" s="33" t="s">
        <v>151</v>
      </c>
      <c r="D44" s="34" t="n">
        <v>-30</v>
      </c>
      <c r="E44" s="35" t="n">
        <f aca="false">IF($F44="","",$F44-Cfg_ReviewDays)</f>
        <v>46548</v>
      </c>
      <c r="F44" s="35" t="n">
        <f aca="false">IF(OR($C$14="",$D44=""),"",$C$14-$D44)</f>
        <v>46569</v>
      </c>
    </row>
    <row r="45" customFormat="false" ht="15" hidden="false" customHeight="false" outlineLevel="0" collapsed="false">
      <c r="B45" s="32" t="s">
        <v>152</v>
      </c>
      <c r="C45" s="33" t="s">
        <v>153</v>
      </c>
      <c r="D45" s="34" t="n">
        <v>-60</v>
      </c>
      <c r="E45" s="35" t="n">
        <f aca="false">IF($F45="","",$F45-Cfg_ReviewDays)</f>
        <v>46578</v>
      </c>
      <c r="F45" s="35" t="n">
        <f aca="false">IF(OR($C$14="",$D45=""),"",$C$14-$D45)</f>
        <v>46599</v>
      </c>
    </row>
    <row r="46" customFormat="false" ht="15" hidden="false" customHeight="false" outlineLevel="0" collapsed="false">
      <c r="B46" s="32" t="s">
        <v>154</v>
      </c>
      <c r="C46" s="33" t="s">
        <v>155</v>
      </c>
      <c r="D46" s="34" t="n">
        <v>-75</v>
      </c>
      <c r="E46" s="35" t="n">
        <f aca="false">IF($F46="","",$F46-Cfg_ReviewDays)</f>
        <v>46593</v>
      </c>
      <c r="F46" s="35" t="n">
        <f aca="false">IF(OR($C$14="",$D46=""),"",$C$14-$D46)</f>
        <v>46614</v>
      </c>
    </row>
    <row r="47" customFormat="false" ht="15" hidden="false" customHeight="false" outlineLevel="0" collapsed="false">
      <c r="B47" s="32" t="s">
        <v>156</v>
      </c>
      <c r="C47" s="33" t="s">
        <v>155</v>
      </c>
      <c r="D47" s="34" t="n">
        <v>-75</v>
      </c>
      <c r="E47" s="35" t="n">
        <f aca="false">IF($F47="","",$F47-Cfg_ReviewDays)</f>
        <v>46593</v>
      </c>
      <c r="F47" s="35" t="n">
        <f aca="false">IF(OR($C$14="",$D47=""),"",$C$14-$D47)</f>
        <v>46614</v>
      </c>
    </row>
    <row r="48" customFormat="false" ht="15" hidden="false" customHeight="false" outlineLevel="0" collapsed="false">
      <c r="B48" s="32" t="s">
        <v>157</v>
      </c>
      <c r="C48" s="33" t="s">
        <v>158</v>
      </c>
      <c r="D48" s="34" t="n">
        <v>-90</v>
      </c>
      <c r="E48" s="35" t="n">
        <f aca="false">IF($F48="","",$F48-Cfg_ReviewDays)</f>
        <v>46608</v>
      </c>
      <c r="F48" s="35" t="n">
        <f aca="false">IF(OR($C$14="",$D48=""),"",$C$14-$D48)</f>
        <v>46629</v>
      </c>
    </row>
    <row r="49" customFormat="false" ht="15" hidden="false" customHeight="false" outlineLevel="0" collapsed="false">
      <c r="B49" s="32" t="s">
        <v>159</v>
      </c>
      <c r="C49" s="33" t="s">
        <v>160</v>
      </c>
      <c r="D49" s="34" t="n">
        <v>-90</v>
      </c>
      <c r="E49" s="35" t="n">
        <f aca="false">IF($F49="","",$F49-Cfg_ReviewDays)</f>
        <v>46608</v>
      </c>
      <c r="F49" s="35" t="n">
        <f aca="false">IF(OR($C$14="",$D49=""),"",$C$14-$D49)</f>
        <v>46629</v>
      </c>
    </row>
    <row r="50" customFormat="false" ht="15" hidden="false" customHeight="false" outlineLevel="0" collapsed="false">
      <c r="B50" s="32" t="s">
        <v>161</v>
      </c>
      <c r="C50" s="33" t="s">
        <v>162</v>
      </c>
      <c r="D50" s="34" t="n">
        <v>-105</v>
      </c>
      <c r="E50" s="35" t="n">
        <f aca="false">IF($F50="","",$F50-Cfg_ReviewDays)</f>
        <v>46623</v>
      </c>
      <c r="F50" s="35" t="n">
        <f aca="false">IF(OR($C$14="",$D50=""),"",$C$14-$D50)</f>
        <v>46644</v>
      </c>
    </row>
    <row r="51" customFormat="false" ht="15" hidden="false" customHeight="false" outlineLevel="0" collapsed="false">
      <c r="B51" s="32" t="s">
        <v>163</v>
      </c>
      <c r="C51" s="33" t="s">
        <v>164</v>
      </c>
      <c r="D51" s="34" t="n">
        <v>-120</v>
      </c>
      <c r="E51" s="35" t="n">
        <f aca="false">IF($F51="","",$F51-Cfg_ReviewDays)</f>
        <v>46638</v>
      </c>
      <c r="F51" s="35" t="n">
        <f aca="false">IF(OR($C$14="",$D51=""),"",$C$14-$D51)</f>
        <v>46659</v>
      </c>
    </row>
    <row r="52" customFormat="false" ht="15" hidden="false" customHeight="false" outlineLevel="0" collapsed="false">
      <c r="B52" s="17" t="s">
        <v>165</v>
      </c>
    </row>
    <row r="53" customFormat="false" ht="18" hidden="false" customHeight="true" outlineLevel="0" collapsed="false">
      <c r="B53" s="3" t="s">
        <v>166</v>
      </c>
      <c r="C53" s="3"/>
      <c r="D53" s="3"/>
      <c r="E53" s="3"/>
      <c r="F53" s="3"/>
    </row>
    <row r="54" customFormat="false" ht="30" hidden="false" customHeight="true" outlineLevel="0" collapsed="false">
      <c r="B54" s="31" t="s">
        <v>167</v>
      </c>
      <c r="C54" s="31" t="s">
        <v>168</v>
      </c>
      <c r="D54" s="31" t="s">
        <v>130</v>
      </c>
      <c r="E54" s="31" t="s">
        <v>169</v>
      </c>
    </row>
    <row r="55" customFormat="false" ht="15" hidden="false" customHeight="false" outlineLevel="0" collapsed="false">
      <c r="B55" s="32" t="s">
        <v>170</v>
      </c>
      <c r="C55" s="33" t="s">
        <v>171</v>
      </c>
      <c r="D55" s="34" t="n">
        <v>360</v>
      </c>
      <c r="E55" s="35" t="n">
        <f aca="false">IF(OR($C$14="",$D55=""),"",$C$14-$D55)</f>
        <v>46179</v>
      </c>
    </row>
    <row r="56" customFormat="false" ht="15" hidden="false" customHeight="false" outlineLevel="0" collapsed="false">
      <c r="B56" s="32" t="s">
        <v>172</v>
      </c>
      <c r="C56" s="33" t="s">
        <v>171</v>
      </c>
      <c r="D56" s="34" t="n">
        <v>60</v>
      </c>
      <c r="E56" s="35" t="n">
        <f aca="false">IF(OR($C$14="",$D56=""),"",$C$14-$D56)</f>
        <v>46479</v>
      </c>
    </row>
    <row r="57" customFormat="false" ht="15" hidden="false" customHeight="false" outlineLevel="0" collapsed="false">
      <c r="B57" s="32" t="s">
        <v>173</v>
      </c>
      <c r="C57" s="33" t="s">
        <v>171</v>
      </c>
      <c r="D57" s="34" t="n">
        <v>14</v>
      </c>
      <c r="E57" s="35" t="n">
        <f aca="false">IF(OR($C$14="",$D57=""),"",$C$14-$D57)</f>
        <v>46525</v>
      </c>
    </row>
    <row r="58" customFormat="false" ht="15" hidden="false" customHeight="false" outlineLevel="0" collapsed="false">
      <c r="B58" s="32" t="s">
        <v>174</v>
      </c>
      <c r="C58" s="33" t="s">
        <v>171</v>
      </c>
      <c r="D58" s="34" t="n">
        <v>0</v>
      </c>
      <c r="E58" s="35" t="n">
        <f aca="false">IF(OR($C$14="",$D58=""),"",$C$14-$D58)</f>
        <v>46539</v>
      </c>
    </row>
    <row r="59" customFormat="false" ht="15" hidden="false" customHeight="false" outlineLevel="0" collapsed="false">
      <c r="B59" s="32" t="s">
        <v>175</v>
      </c>
      <c r="C59" s="33" t="s">
        <v>171</v>
      </c>
      <c r="D59" s="34" t="n">
        <v>-75</v>
      </c>
      <c r="E59" s="35" t="n">
        <f aca="false">IF(OR($C$14="",$D59=""),"",$C$14-$D59)</f>
        <v>46614</v>
      </c>
    </row>
    <row r="60" customFormat="false" ht="15" hidden="false" customHeight="false" outlineLevel="0" collapsed="false">
      <c r="B60" s="32" t="s">
        <v>176</v>
      </c>
      <c r="C60" s="33" t="s">
        <v>171</v>
      </c>
      <c r="D60" s="34" t="n">
        <v>-85</v>
      </c>
      <c r="E60" s="35" t="n">
        <f aca="false">IF(OR($C$14="",$D60=""),"",$C$14-$D60)</f>
        <v>46624</v>
      </c>
    </row>
    <row r="61" customFormat="false" ht="15" hidden="false" customHeight="false" outlineLevel="0" collapsed="false">
      <c r="B61" s="32" t="s">
        <v>177</v>
      </c>
      <c r="C61" s="33" t="s">
        <v>171</v>
      </c>
      <c r="D61" s="34" t="n">
        <v>-100</v>
      </c>
      <c r="E61" s="35" t="n">
        <f aca="false">IF(OR($C$14="",$D61=""),"",$C$14-$D61)</f>
        <v>46639</v>
      </c>
    </row>
    <row r="62" customFormat="false" ht="15" hidden="false" customHeight="false" outlineLevel="0" collapsed="false">
      <c r="B62" s="32" t="s">
        <v>178</v>
      </c>
      <c r="C62" s="33" t="s">
        <v>171</v>
      </c>
      <c r="D62" s="34" t="n">
        <v>-115</v>
      </c>
      <c r="E62" s="35" t="n">
        <f aca="false">IF(OR($C$14="",$D62=""),"",$C$14-$D62)</f>
        <v>46654</v>
      </c>
    </row>
    <row r="63" customFormat="false" ht="15" hidden="false" customHeight="false" outlineLevel="0" collapsed="false">
      <c r="B63" s="32" t="s">
        <v>179</v>
      </c>
      <c r="C63" s="33" t="s">
        <v>171</v>
      </c>
      <c r="D63" s="34" t="n">
        <v>-130</v>
      </c>
      <c r="E63" s="35" t="n">
        <f aca="false">IF(OR($C$14="",$D63=""),"",$C$14-$D63)</f>
        <v>46669</v>
      </c>
    </row>
    <row r="64" customFormat="false" ht="15" hidden="false" customHeight="false" outlineLevel="0" collapsed="false">
      <c r="B64" s="17" t="s">
        <v>180</v>
      </c>
    </row>
  </sheetData>
  <mergeCells count="13">
    <mergeCell ref="B4:D4"/>
    <mergeCell ref="F4:H4"/>
    <mergeCell ref="C5:D5"/>
    <mergeCell ref="B13:D13"/>
    <mergeCell ref="F14:H14"/>
    <mergeCell ref="F19:H19"/>
    <mergeCell ref="B21:D21"/>
    <mergeCell ref="B24:H24"/>
    <mergeCell ref="C25:H25"/>
    <mergeCell ref="C26:H26"/>
    <mergeCell ref="C27:H27"/>
    <mergeCell ref="B29:F29"/>
    <mergeCell ref="B53:F53"/>
  </mergeCells>
  <dataValidations count="2">
    <dataValidation allowBlank="true" errorStyle="stop" operator="between" showDropDown="false" showErrorMessage="false" showInputMessage="false" sqref="C11" type="list">
      <formula1>Cfg_ContractStatus</formula1>
      <formula2>0</formula2>
    </dataValidation>
    <dataValidation allowBlank="true" errorStyle="stop" operator="between" showDropDown="false" showErrorMessage="false" showInputMessage="false" sqref="C6:C10"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R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6"/>
    <col collapsed="false" customWidth="true" hidden="false" outlineLevel="0" max="9" min="4" style="0" width="14"/>
    <col collapsed="false" customWidth="true" hidden="false" outlineLevel="0" max="10" min="10" style="0" width="12"/>
    <col collapsed="false" customWidth="true" hidden="false" outlineLevel="0" max="11" min="11" style="0" width="15"/>
    <col collapsed="false" customWidth="true" hidden="false" outlineLevel="0" max="16" min="12" style="0" width="11"/>
    <col collapsed="false" customWidth="true" hidden="false" outlineLevel="0" max="17" min="17" style="0" width="13"/>
    <col collapsed="false" customWidth="true" hidden="false" outlineLevel="0" max="18" min="18" style="0" width="40"/>
  </cols>
  <sheetData>
    <row r="1" customFormat="false" ht="17.35" hidden="false" customHeight="false" outlineLevel="0" collapsed="false">
      <c r="A1" s="1" t="s">
        <v>181</v>
      </c>
    </row>
    <row r="2" customFormat="false" ht="15" hidden="false" customHeight="false" outlineLevel="0" collapsed="false">
      <c r="A2" s="2" t="s">
        <v>182</v>
      </c>
    </row>
    <row r="3" customFormat="false" ht="30" hidden="false" customHeight="true" outlineLevel="0" collapsed="false">
      <c r="A3" s="31" t="s">
        <v>183</v>
      </c>
      <c r="B3" s="31" t="s">
        <v>184</v>
      </c>
      <c r="C3" s="31" t="s">
        <v>185</v>
      </c>
      <c r="D3" s="31" t="s">
        <v>186</v>
      </c>
      <c r="E3" s="31" t="s">
        <v>187</v>
      </c>
      <c r="F3" s="31" t="s">
        <v>188</v>
      </c>
      <c r="G3" s="31" t="s">
        <v>189</v>
      </c>
      <c r="H3" s="31" t="s">
        <v>190</v>
      </c>
      <c r="I3" s="31" t="s">
        <v>191</v>
      </c>
      <c r="J3" s="31" t="s">
        <v>192</v>
      </c>
      <c r="K3" s="31" t="s">
        <v>193</v>
      </c>
      <c r="L3" s="31" t="s">
        <v>194</v>
      </c>
      <c r="M3" s="31" t="s">
        <v>195</v>
      </c>
      <c r="N3" s="31" t="s">
        <v>196</v>
      </c>
      <c r="O3" s="31" t="s">
        <v>197</v>
      </c>
      <c r="P3" s="31" t="s">
        <v>95</v>
      </c>
      <c r="Q3" s="31" t="s">
        <v>198</v>
      </c>
      <c r="R3" s="31" t="s">
        <v>199</v>
      </c>
    </row>
    <row r="4" customFormat="false" ht="15" hidden="false" customHeight="false" outlineLevel="0" collapsed="false">
      <c r="A4" s="36" t="s">
        <v>200</v>
      </c>
      <c r="B4" s="36" t="s">
        <v>201</v>
      </c>
      <c r="C4" s="36" t="s">
        <v>202</v>
      </c>
      <c r="D4" s="37" t="n">
        <v>46329</v>
      </c>
      <c r="E4" s="37" t="n">
        <v>46659</v>
      </c>
      <c r="F4" s="37" t="n">
        <v>46336</v>
      </c>
      <c r="G4" s="37" t="n">
        <v>46666</v>
      </c>
      <c r="H4" s="38"/>
      <c r="I4" s="38"/>
      <c r="J4" s="39" t="n">
        <f aca="false">IF($A4="","",IFERROR(AVERAGEIF(Eq_Scope,$A4,Eq_Readiness),0))</f>
        <v>0.225</v>
      </c>
      <c r="K4" s="36" t="s">
        <v>45</v>
      </c>
      <c r="L4" s="40" t="n">
        <f aca="false">IF($A4="","",COUNTIF(Eq_Scope,$A4))</f>
        <v>1</v>
      </c>
      <c r="M4" s="40" t="n">
        <f aca="false">IF($A4="","",COUNTIFS(Eq_Scope,$A4,Eq_Phase,"Complete"))</f>
        <v>0</v>
      </c>
      <c r="N4" s="40" t="n">
        <f aca="false">IF($A4="","",$L4-$M4-$O4)</f>
        <v>1</v>
      </c>
      <c r="O4" s="40" t="n">
        <f aca="false">IF($A4="","",COUNTIFS(Eq_Scope,$A4,Eq_Phase,"Pre-Commissioning"))</f>
        <v>0</v>
      </c>
      <c r="P4" s="40" t="n">
        <f aca="false">IF($A4="","",COUNTIFS(Act_Scope,$A4,Act_Status,"&lt;&gt;Closed"))</f>
        <v>1</v>
      </c>
      <c r="Q4" s="40" t="n">
        <f aca="false">IF($A4="","",COUNTIFS(Doc_Scope,$A4,Doc_Approved,0))</f>
        <v>1</v>
      </c>
      <c r="R4" s="36" t="s">
        <v>203</v>
      </c>
    </row>
    <row r="5" customFormat="false" ht="15" hidden="false" customHeight="false" outlineLevel="0" collapsed="false">
      <c r="A5" s="41"/>
      <c r="B5" s="41"/>
      <c r="C5" s="41"/>
      <c r="D5" s="38"/>
      <c r="E5" s="38"/>
      <c r="F5" s="38"/>
      <c r="G5" s="38"/>
      <c r="H5" s="38"/>
      <c r="I5" s="38"/>
      <c r="J5" s="39" t="str">
        <f aca="false">IF($A5="","",IFERROR(AVERAGEIF(Eq_Scope,$A5,Eq_Readiness),0))</f>
        <v/>
      </c>
      <c r="K5" s="41"/>
      <c r="L5" s="40" t="str">
        <f aca="false">IF($A5="","",COUNTIF(Eq_Scope,$A5))</f>
        <v/>
      </c>
      <c r="M5" s="40" t="str">
        <f aca="false">IF($A5="","",COUNTIFS(Eq_Scope,$A5,Eq_Phase,"Complete"))</f>
        <v/>
      </c>
      <c r="N5" s="40" t="str">
        <f aca="false">IF($A5="","",$L5-$M5-$O5)</f>
        <v/>
      </c>
      <c r="O5" s="40" t="str">
        <f aca="false">IF($A5="","",COUNTIFS(Eq_Scope,$A5,Eq_Phase,"Pre-Commissioning"))</f>
        <v/>
      </c>
      <c r="P5" s="40" t="str">
        <f aca="false">IF($A5="","",COUNTIFS(Act_Scope,$A5,Act_Status,"&lt;&gt;Closed"))</f>
        <v/>
      </c>
      <c r="Q5" s="40" t="str">
        <f aca="false">IF($A5="","",COUNTIFS(Doc_Scope,$A5,Doc_Approved,0))</f>
        <v/>
      </c>
      <c r="R5" s="41"/>
    </row>
    <row r="6" customFormat="false" ht="15" hidden="false" customHeight="false" outlineLevel="0" collapsed="false">
      <c r="A6" s="41"/>
      <c r="B6" s="41"/>
      <c r="C6" s="41"/>
      <c r="D6" s="38"/>
      <c r="E6" s="38"/>
      <c r="F6" s="38"/>
      <c r="G6" s="38"/>
      <c r="H6" s="38"/>
      <c r="I6" s="38"/>
      <c r="J6" s="39" t="str">
        <f aca="false">IF($A6="","",IFERROR(AVERAGEIF(Eq_Scope,$A6,Eq_Readiness),0))</f>
        <v/>
      </c>
      <c r="K6" s="41"/>
      <c r="L6" s="40" t="str">
        <f aca="false">IF($A6="","",COUNTIF(Eq_Scope,$A6))</f>
        <v/>
      </c>
      <c r="M6" s="40" t="str">
        <f aca="false">IF($A6="","",COUNTIFS(Eq_Scope,$A6,Eq_Phase,"Complete"))</f>
        <v/>
      </c>
      <c r="N6" s="40" t="str">
        <f aca="false">IF($A6="","",$L6-$M6-$O6)</f>
        <v/>
      </c>
      <c r="O6" s="40" t="str">
        <f aca="false">IF($A6="","",COUNTIFS(Eq_Scope,$A6,Eq_Phase,"Pre-Commissioning"))</f>
        <v/>
      </c>
      <c r="P6" s="40" t="str">
        <f aca="false">IF($A6="","",COUNTIFS(Act_Scope,$A6,Act_Status,"&lt;&gt;Closed"))</f>
        <v/>
      </c>
      <c r="Q6" s="40" t="str">
        <f aca="false">IF($A6="","",COUNTIFS(Doc_Scope,$A6,Doc_Approved,0))</f>
        <v/>
      </c>
      <c r="R6" s="41"/>
    </row>
    <row r="7" customFormat="false" ht="15" hidden="false" customHeight="false" outlineLevel="0" collapsed="false">
      <c r="A7" s="41"/>
      <c r="B7" s="41"/>
      <c r="C7" s="41"/>
      <c r="D7" s="38"/>
      <c r="E7" s="38"/>
      <c r="F7" s="38"/>
      <c r="G7" s="38"/>
      <c r="H7" s="38"/>
      <c r="I7" s="38"/>
      <c r="J7" s="39" t="str">
        <f aca="false">IF($A7="","",IFERROR(AVERAGEIF(Eq_Scope,$A7,Eq_Readiness),0))</f>
        <v/>
      </c>
      <c r="K7" s="41"/>
      <c r="L7" s="40" t="str">
        <f aca="false">IF($A7="","",COUNTIF(Eq_Scope,$A7))</f>
        <v/>
      </c>
      <c r="M7" s="40" t="str">
        <f aca="false">IF($A7="","",COUNTIFS(Eq_Scope,$A7,Eq_Phase,"Complete"))</f>
        <v/>
      </c>
      <c r="N7" s="40" t="str">
        <f aca="false">IF($A7="","",$L7-$M7-$O7)</f>
        <v/>
      </c>
      <c r="O7" s="40" t="str">
        <f aca="false">IF($A7="","",COUNTIFS(Eq_Scope,$A7,Eq_Phase,"Pre-Commissioning"))</f>
        <v/>
      </c>
      <c r="P7" s="40" t="str">
        <f aca="false">IF($A7="","",COUNTIFS(Act_Scope,$A7,Act_Status,"&lt;&gt;Closed"))</f>
        <v/>
      </c>
      <c r="Q7" s="40" t="str">
        <f aca="false">IF($A7="","",COUNTIFS(Doc_Scope,$A7,Doc_Approved,0))</f>
        <v/>
      </c>
      <c r="R7" s="41"/>
    </row>
    <row r="8" customFormat="false" ht="15" hidden="false" customHeight="false" outlineLevel="0" collapsed="false">
      <c r="A8" s="41"/>
      <c r="B8" s="41"/>
      <c r="C8" s="41"/>
      <c r="D8" s="38"/>
      <c r="E8" s="38"/>
      <c r="F8" s="38"/>
      <c r="G8" s="38"/>
      <c r="H8" s="38"/>
      <c r="I8" s="38"/>
      <c r="J8" s="39" t="str">
        <f aca="false">IF($A8="","",IFERROR(AVERAGEIF(Eq_Scope,$A8,Eq_Readiness),0))</f>
        <v/>
      </c>
      <c r="K8" s="41"/>
      <c r="L8" s="40" t="str">
        <f aca="false">IF($A8="","",COUNTIF(Eq_Scope,$A8))</f>
        <v/>
      </c>
      <c r="M8" s="40" t="str">
        <f aca="false">IF($A8="","",COUNTIFS(Eq_Scope,$A8,Eq_Phase,"Complete"))</f>
        <v/>
      </c>
      <c r="N8" s="40" t="str">
        <f aca="false">IF($A8="","",$L8-$M8-$O8)</f>
        <v/>
      </c>
      <c r="O8" s="40" t="str">
        <f aca="false">IF($A8="","",COUNTIFS(Eq_Scope,$A8,Eq_Phase,"Pre-Commissioning"))</f>
        <v/>
      </c>
      <c r="P8" s="40" t="str">
        <f aca="false">IF($A8="","",COUNTIFS(Act_Scope,$A8,Act_Status,"&lt;&gt;Closed"))</f>
        <v/>
      </c>
      <c r="Q8" s="40" t="str">
        <f aca="false">IF($A8="","",COUNTIFS(Doc_Scope,$A8,Doc_Approved,0))</f>
        <v/>
      </c>
      <c r="R8" s="41"/>
    </row>
    <row r="9" customFormat="false" ht="15" hidden="false" customHeight="false" outlineLevel="0" collapsed="false">
      <c r="A9" s="41"/>
      <c r="B9" s="41"/>
      <c r="C9" s="41"/>
      <c r="D9" s="38"/>
      <c r="E9" s="38"/>
      <c r="F9" s="38"/>
      <c r="G9" s="38"/>
      <c r="H9" s="38"/>
      <c r="I9" s="38"/>
      <c r="J9" s="39" t="str">
        <f aca="false">IF($A9="","",IFERROR(AVERAGEIF(Eq_Scope,$A9,Eq_Readiness),0))</f>
        <v/>
      </c>
      <c r="K9" s="41"/>
      <c r="L9" s="40" t="str">
        <f aca="false">IF($A9="","",COUNTIF(Eq_Scope,$A9))</f>
        <v/>
      </c>
      <c r="M9" s="40" t="str">
        <f aca="false">IF($A9="","",COUNTIFS(Eq_Scope,$A9,Eq_Phase,"Complete"))</f>
        <v/>
      </c>
      <c r="N9" s="40" t="str">
        <f aca="false">IF($A9="","",$L9-$M9-$O9)</f>
        <v/>
      </c>
      <c r="O9" s="40" t="str">
        <f aca="false">IF($A9="","",COUNTIFS(Eq_Scope,$A9,Eq_Phase,"Pre-Commissioning"))</f>
        <v/>
      </c>
      <c r="P9" s="40" t="str">
        <f aca="false">IF($A9="","",COUNTIFS(Act_Scope,$A9,Act_Status,"&lt;&gt;Closed"))</f>
        <v/>
      </c>
      <c r="Q9" s="40" t="str">
        <f aca="false">IF($A9="","",COUNTIFS(Doc_Scope,$A9,Doc_Approved,0))</f>
        <v/>
      </c>
      <c r="R9" s="41"/>
    </row>
    <row r="10" customFormat="false" ht="15" hidden="false" customHeight="false" outlineLevel="0" collapsed="false">
      <c r="A10" s="41"/>
      <c r="B10" s="41"/>
      <c r="C10" s="41"/>
      <c r="D10" s="38"/>
      <c r="E10" s="38"/>
      <c r="F10" s="38"/>
      <c r="G10" s="38"/>
      <c r="H10" s="38"/>
      <c r="I10" s="38"/>
      <c r="J10" s="39" t="str">
        <f aca="false">IF($A10="","",IFERROR(AVERAGEIF(Eq_Scope,$A10,Eq_Readiness),0))</f>
        <v/>
      </c>
      <c r="K10" s="41"/>
      <c r="L10" s="40" t="str">
        <f aca="false">IF($A10="","",COUNTIF(Eq_Scope,$A10))</f>
        <v/>
      </c>
      <c r="M10" s="40" t="str">
        <f aca="false">IF($A10="","",COUNTIFS(Eq_Scope,$A10,Eq_Phase,"Complete"))</f>
        <v/>
      </c>
      <c r="N10" s="40" t="str">
        <f aca="false">IF($A10="","",$L10-$M10-$O10)</f>
        <v/>
      </c>
      <c r="O10" s="40" t="str">
        <f aca="false">IF($A10="","",COUNTIFS(Eq_Scope,$A10,Eq_Phase,"Pre-Commissioning"))</f>
        <v/>
      </c>
      <c r="P10" s="40" t="str">
        <f aca="false">IF($A10="","",COUNTIFS(Act_Scope,$A10,Act_Status,"&lt;&gt;Closed"))</f>
        <v/>
      </c>
      <c r="Q10" s="40" t="str">
        <f aca="false">IF($A10="","",COUNTIFS(Doc_Scope,$A10,Doc_Approved,0))</f>
        <v/>
      </c>
      <c r="R10" s="41"/>
    </row>
    <row r="11" customFormat="false" ht="15" hidden="false" customHeight="false" outlineLevel="0" collapsed="false">
      <c r="A11" s="41"/>
      <c r="B11" s="41"/>
      <c r="C11" s="41"/>
      <c r="D11" s="38"/>
      <c r="E11" s="38"/>
      <c r="F11" s="38"/>
      <c r="G11" s="38"/>
      <c r="H11" s="38"/>
      <c r="I11" s="38"/>
      <c r="J11" s="39" t="str">
        <f aca="false">IF($A11="","",IFERROR(AVERAGEIF(Eq_Scope,$A11,Eq_Readiness),0))</f>
        <v/>
      </c>
      <c r="K11" s="41"/>
      <c r="L11" s="40" t="str">
        <f aca="false">IF($A11="","",COUNTIF(Eq_Scope,$A11))</f>
        <v/>
      </c>
      <c r="M11" s="40" t="str">
        <f aca="false">IF($A11="","",COUNTIFS(Eq_Scope,$A11,Eq_Phase,"Complete"))</f>
        <v/>
      </c>
      <c r="N11" s="40" t="str">
        <f aca="false">IF($A11="","",$L11-$M11-$O11)</f>
        <v/>
      </c>
      <c r="O11" s="40" t="str">
        <f aca="false">IF($A11="","",COUNTIFS(Eq_Scope,$A11,Eq_Phase,"Pre-Commissioning"))</f>
        <v/>
      </c>
      <c r="P11" s="40" t="str">
        <f aca="false">IF($A11="","",COUNTIFS(Act_Scope,$A11,Act_Status,"&lt;&gt;Closed"))</f>
        <v/>
      </c>
      <c r="Q11" s="40" t="str">
        <f aca="false">IF($A11="","",COUNTIFS(Doc_Scope,$A11,Doc_Approved,0))</f>
        <v/>
      </c>
      <c r="R11" s="41"/>
    </row>
    <row r="12" customFormat="false" ht="15" hidden="false" customHeight="false" outlineLevel="0" collapsed="false">
      <c r="A12" s="41"/>
      <c r="B12" s="41"/>
      <c r="C12" s="41"/>
      <c r="D12" s="38"/>
      <c r="E12" s="38"/>
      <c r="F12" s="38"/>
      <c r="G12" s="38"/>
      <c r="H12" s="38"/>
      <c r="I12" s="38"/>
      <c r="J12" s="39" t="str">
        <f aca="false">IF($A12="","",IFERROR(AVERAGEIF(Eq_Scope,$A12,Eq_Readiness),0))</f>
        <v/>
      </c>
      <c r="K12" s="41"/>
      <c r="L12" s="40" t="str">
        <f aca="false">IF($A12="","",COUNTIF(Eq_Scope,$A12))</f>
        <v/>
      </c>
      <c r="M12" s="40" t="str">
        <f aca="false">IF($A12="","",COUNTIFS(Eq_Scope,$A12,Eq_Phase,"Complete"))</f>
        <v/>
      </c>
      <c r="N12" s="40" t="str">
        <f aca="false">IF($A12="","",$L12-$M12-$O12)</f>
        <v/>
      </c>
      <c r="O12" s="40" t="str">
        <f aca="false">IF($A12="","",COUNTIFS(Eq_Scope,$A12,Eq_Phase,"Pre-Commissioning"))</f>
        <v/>
      </c>
      <c r="P12" s="40" t="str">
        <f aca="false">IF($A12="","",COUNTIFS(Act_Scope,$A12,Act_Status,"&lt;&gt;Closed"))</f>
        <v/>
      </c>
      <c r="Q12" s="40" t="str">
        <f aca="false">IF($A12="","",COUNTIFS(Doc_Scope,$A12,Doc_Approved,0))</f>
        <v/>
      </c>
      <c r="R12" s="41"/>
    </row>
    <row r="13" customFormat="false" ht="15" hidden="false" customHeight="false" outlineLevel="0" collapsed="false">
      <c r="A13" s="41"/>
      <c r="B13" s="41"/>
      <c r="C13" s="41"/>
      <c r="D13" s="38"/>
      <c r="E13" s="38"/>
      <c r="F13" s="38"/>
      <c r="G13" s="38"/>
      <c r="H13" s="38"/>
      <c r="I13" s="38"/>
      <c r="J13" s="39" t="str">
        <f aca="false">IF($A13="","",IFERROR(AVERAGEIF(Eq_Scope,$A13,Eq_Readiness),0))</f>
        <v/>
      </c>
      <c r="K13" s="41"/>
      <c r="L13" s="40" t="str">
        <f aca="false">IF($A13="","",COUNTIF(Eq_Scope,$A13))</f>
        <v/>
      </c>
      <c r="M13" s="40" t="str">
        <f aca="false">IF($A13="","",COUNTIFS(Eq_Scope,$A13,Eq_Phase,"Complete"))</f>
        <v/>
      </c>
      <c r="N13" s="40" t="str">
        <f aca="false">IF($A13="","",$L13-$M13-$O13)</f>
        <v/>
      </c>
      <c r="O13" s="40" t="str">
        <f aca="false">IF($A13="","",COUNTIFS(Eq_Scope,$A13,Eq_Phase,"Pre-Commissioning"))</f>
        <v/>
      </c>
      <c r="P13" s="40" t="str">
        <f aca="false">IF($A13="","",COUNTIFS(Act_Scope,$A13,Act_Status,"&lt;&gt;Closed"))</f>
        <v/>
      </c>
      <c r="Q13" s="40" t="str">
        <f aca="false">IF($A13="","",COUNTIFS(Doc_Scope,$A13,Doc_Approved,0))</f>
        <v/>
      </c>
      <c r="R13" s="41"/>
    </row>
    <row r="14" customFormat="false" ht="15" hidden="false" customHeight="false" outlineLevel="0" collapsed="false">
      <c r="A14" s="41"/>
      <c r="B14" s="41"/>
      <c r="C14" s="41"/>
      <c r="D14" s="38"/>
      <c r="E14" s="38"/>
      <c r="F14" s="38"/>
      <c r="G14" s="38"/>
      <c r="H14" s="38"/>
      <c r="I14" s="38"/>
      <c r="J14" s="39" t="str">
        <f aca="false">IF($A14="","",IFERROR(AVERAGEIF(Eq_Scope,$A14,Eq_Readiness),0))</f>
        <v/>
      </c>
      <c r="K14" s="41"/>
      <c r="L14" s="40" t="str">
        <f aca="false">IF($A14="","",COUNTIF(Eq_Scope,$A14))</f>
        <v/>
      </c>
      <c r="M14" s="40" t="str">
        <f aca="false">IF($A14="","",COUNTIFS(Eq_Scope,$A14,Eq_Phase,"Complete"))</f>
        <v/>
      </c>
      <c r="N14" s="40" t="str">
        <f aca="false">IF($A14="","",$L14-$M14-$O14)</f>
        <v/>
      </c>
      <c r="O14" s="40" t="str">
        <f aca="false">IF($A14="","",COUNTIFS(Eq_Scope,$A14,Eq_Phase,"Pre-Commissioning"))</f>
        <v/>
      </c>
      <c r="P14" s="40" t="str">
        <f aca="false">IF($A14="","",COUNTIFS(Act_Scope,$A14,Act_Status,"&lt;&gt;Closed"))</f>
        <v/>
      </c>
      <c r="Q14" s="40" t="str">
        <f aca="false">IF($A14="","",COUNTIFS(Doc_Scope,$A14,Doc_Approved,0))</f>
        <v/>
      </c>
      <c r="R14" s="41"/>
    </row>
    <row r="15" customFormat="false" ht="15" hidden="false" customHeight="false" outlineLevel="0" collapsed="false">
      <c r="A15" s="41"/>
      <c r="B15" s="41"/>
      <c r="C15" s="41"/>
      <c r="D15" s="38"/>
      <c r="E15" s="38"/>
      <c r="F15" s="38"/>
      <c r="G15" s="38"/>
      <c r="H15" s="38"/>
      <c r="I15" s="38"/>
      <c r="J15" s="39" t="str">
        <f aca="false">IF($A15="","",IFERROR(AVERAGEIF(Eq_Scope,$A15,Eq_Readiness),0))</f>
        <v/>
      </c>
      <c r="K15" s="41"/>
      <c r="L15" s="40" t="str">
        <f aca="false">IF($A15="","",COUNTIF(Eq_Scope,$A15))</f>
        <v/>
      </c>
      <c r="M15" s="40" t="str">
        <f aca="false">IF($A15="","",COUNTIFS(Eq_Scope,$A15,Eq_Phase,"Complete"))</f>
        <v/>
      </c>
      <c r="N15" s="40" t="str">
        <f aca="false">IF($A15="","",$L15-$M15-$O15)</f>
        <v/>
      </c>
      <c r="O15" s="40" t="str">
        <f aca="false">IF($A15="","",COUNTIFS(Eq_Scope,$A15,Eq_Phase,"Pre-Commissioning"))</f>
        <v/>
      </c>
      <c r="P15" s="40" t="str">
        <f aca="false">IF($A15="","",COUNTIFS(Act_Scope,$A15,Act_Status,"&lt;&gt;Closed"))</f>
        <v/>
      </c>
      <c r="Q15" s="40" t="str">
        <f aca="false">IF($A15="","",COUNTIFS(Doc_Scope,$A15,Doc_Approved,0))</f>
        <v/>
      </c>
      <c r="R15" s="41"/>
    </row>
    <row r="16" customFormat="false" ht="15" hidden="false" customHeight="false" outlineLevel="0" collapsed="false">
      <c r="A16" s="41"/>
      <c r="B16" s="41"/>
      <c r="C16" s="41"/>
      <c r="D16" s="38"/>
      <c r="E16" s="38"/>
      <c r="F16" s="38"/>
      <c r="G16" s="38"/>
      <c r="H16" s="38"/>
      <c r="I16" s="38"/>
      <c r="J16" s="39" t="str">
        <f aca="false">IF($A16="","",IFERROR(AVERAGEIF(Eq_Scope,$A16,Eq_Readiness),0))</f>
        <v/>
      </c>
      <c r="K16" s="41"/>
      <c r="L16" s="40" t="str">
        <f aca="false">IF($A16="","",COUNTIF(Eq_Scope,$A16))</f>
        <v/>
      </c>
      <c r="M16" s="40" t="str">
        <f aca="false">IF($A16="","",COUNTIFS(Eq_Scope,$A16,Eq_Phase,"Complete"))</f>
        <v/>
      </c>
      <c r="N16" s="40" t="str">
        <f aca="false">IF($A16="","",$L16-$M16-$O16)</f>
        <v/>
      </c>
      <c r="O16" s="40" t="str">
        <f aca="false">IF($A16="","",COUNTIFS(Eq_Scope,$A16,Eq_Phase,"Pre-Commissioning"))</f>
        <v/>
      </c>
      <c r="P16" s="40" t="str">
        <f aca="false">IF($A16="","",COUNTIFS(Act_Scope,$A16,Act_Status,"&lt;&gt;Closed"))</f>
        <v/>
      </c>
      <c r="Q16" s="40" t="str">
        <f aca="false">IF($A16="","",COUNTIFS(Doc_Scope,$A16,Doc_Approved,0))</f>
        <v/>
      </c>
      <c r="R16" s="41"/>
    </row>
    <row r="17" customFormat="false" ht="15" hidden="false" customHeight="false" outlineLevel="0" collapsed="false">
      <c r="A17" s="41"/>
      <c r="B17" s="41"/>
      <c r="C17" s="41"/>
      <c r="D17" s="38"/>
      <c r="E17" s="38"/>
      <c r="F17" s="38"/>
      <c r="G17" s="38"/>
      <c r="H17" s="38"/>
      <c r="I17" s="38"/>
      <c r="J17" s="39" t="str">
        <f aca="false">IF($A17="","",IFERROR(AVERAGEIF(Eq_Scope,$A17,Eq_Readiness),0))</f>
        <v/>
      </c>
      <c r="K17" s="41"/>
      <c r="L17" s="40" t="str">
        <f aca="false">IF($A17="","",COUNTIF(Eq_Scope,$A17))</f>
        <v/>
      </c>
      <c r="M17" s="40" t="str">
        <f aca="false">IF($A17="","",COUNTIFS(Eq_Scope,$A17,Eq_Phase,"Complete"))</f>
        <v/>
      </c>
      <c r="N17" s="40" t="str">
        <f aca="false">IF($A17="","",$L17-$M17-$O17)</f>
        <v/>
      </c>
      <c r="O17" s="40" t="str">
        <f aca="false">IF($A17="","",COUNTIFS(Eq_Scope,$A17,Eq_Phase,"Pre-Commissioning"))</f>
        <v/>
      </c>
      <c r="P17" s="40" t="str">
        <f aca="false">IF($A17="","",COUNTIFS(Act_Scope,$A17,Act_Status,"&lt;&gt;Closed"))</f>
        <v/>
      </c>
      <c r="Q17" s="40" t="str">
        <f aca="false">IF($A17="","",COUNTIFS(Doc_Scope,$A17,Doc_Approved,0))</f>
        <v/>
      </c>
      <c r="R17" s="41"/>
    </row>
    <row r="18" customFormat="false" ht="15" hidden="false" customHeight="false" outlineLevel="0" collapsed="false">
      <c r="A18" s="41"/>
      <c r="B18" s="41"/>
      <c r="C18" s="41"/>
      <c r="D18" s="38"/>
      <c r="E18" s="38"/>
      <c r="F18" s="38"/>
      <c r="G18" s="38"/>
      <c r="H18" s="38"/>
      <c r="I18" s="38"/>
      <c r="J18" s="39" t="str">
        <f aca="false">IF($A18="","",IFERROR(AVERAGEIF(Eq_Scope,$A18,Eq_Readiness),0))</f>
        <v/>
      </c>
      <c r="K18" s="41"/>
      <c r="L18" s="40" t="str">
        <f aca="false">IF($A18="","",COUNTIF(Eq_Scope,$A18))</f>
        <v/>
      </c>
      <c r="M18" s="40" t="str">
        <f aca="false">IF($A18="","",COUNTIFS(Eq_Scope,$A18,Eq_Phase,"Complete"))</f>
        <v/>
      </c>
      <c r="N18" s="40" t="str">
        <f aca="false">IF($A18="","",$L18-$M18-$O18)</f>
        <v/>
      </c>
      <c r="O18" s="40" t="str">
        <f aca="false">IF($A18="","",COUNTIFS(Eq_Scope,$A18,Eq_Phase,"Pre-Commissioning"))</f>
        <v/>
      </c>
      <c r="P18" s="40" t="str">
        <f aca="false">IF($A18="","",COUNTIFS(Act_Scope,$A18,Act_Status,"&lt;&gt;Closed"))</f>
        <v/>
      </c>
      <c r="Q18" s="40" t="str">
        <f aca="false">IF($A18="","",COUNTIFS(Doc_Scope,$A18,Doc_Approved,0))</f>
        <v/>
      </c>
      <c r="R18" s="41"/>
    </row>
    <row r="19" customFormat="false" ht="15" hidden="false" customHeight="false" outlineLevel="0" collapsed="false">
      <c r="A19" s="41"/>
      <c r="B19" s="41"/>
      <c r="C19" s="41"/>
      <c r="D19" s="38"/>
      <c r="E19" s="38"/>
      <c r="F19" s="38"/>
      <c r="G19" s="38"/>
      <c r="H19" s="38"/>
      <c r="I19" s="38"/>
      <c r="J19" s="39" t="str">
        <f aca="false">IF($A19="","",IFERROR(AVERAGEIF(Eq_Scope,$A19,Eq_Readiness),0))</f>
        <v/>
      </c>
      <c r="K19" s="41"/>
      <c r="L19" s="40" t="str">
        <f aca="false">IF($A19="","",COUNTIF(Eq_Scope,$A19))</f>
        <v/>
      </c>
      <c r="M19" s="40" t="str">
        <f aca="false">IF($A19="","",COUNTIFS(Eq_Scope,$A19,Eq_Phase,"Complete"))</f>
        <v/>
      </c>
      <c r="N19" s="40" t="str">
        <f aca="false">IF($A19="","",$L19-$M19-$O19)</f>
        <v/>
      </c>
      <c r="O19" s="40" t="str">
        <f aca="false">IF($A19="","",COUNTIFS(Eq_Scope,$A19,Eq_Phase,"Pre-Commissioning"))</f>
        <v/>
      </c>
      <c r="P19" s="40" t="str">
        <f aca="false">IF($A19="","",COUNTIFS(Act_Scope,$A19,Act_Status,"&lt;&gt;Closed"))</f>
        <v/>
      </c>
      <c r="Q19" s="40" t="str">
        <f aca="false">IF($A19="","",COUNTIFS(Doc_Scope,$A19,Doc_Approved,0))</f>
        <v/>
      </c>
      <c r="R19" s="41"/>
    </row>
    <row r="20" customFormat="false" ht="15" hidden="false" customHeight="false" outlineLevel="0" collapsed="false">
      <c r="A20" s="41"/>
      <c r="B20" s="41"/>
      <c r="C20" s="41"/>
      <c r="D20" s="38"/>
      <c r="E20" s="38"/>
      <c r="F20" s="38"/>
      <c r="G20" s="38"/>
      <c r="H20" s="38"/>
      <c r="I20" s="38"/>
      <c r="J20" s="39" t="str">
        <f aca="false">IF($A20="","",IFERROR(AVERAGEIF(Eq_Scope,$A20,Eq_Readiness),0))</f>
        <v/>
      </c>
      <c r="K20" s="41"/>
      <c r="L20" s="40" t="str">
        <f aca="false">IF($A20="","",COUNTIF(Eq_Scope,$A20))</f>
        <v/>
      </c>
      <c r="M20" s="40" t="str">
        <f aca="false">IF($A20="","",COUNTIFS(Eq_Scope,$A20,Eq_Phase,"Complete"))</f>
        <v/>
      </c>
      <c r="N20" s="40" t="str">
        <f aca="false">IF($A20="","",$L20-$M20-$O20)</f>
        <v/>
      </c>
      <c r="O20" s="40" t="str">
        <f aca="false">IF($A20="","",COUNTIFS(Eq_Scope,$A20,Eq_Phase,"Pre-Commissioning"))</f>
        <v/>
      </c>
      <c r="P20" s="40" t="str">
        <f aca="false">IF($A20="","",COUNTIFS(Act_Scope,$A20,Act_Status,"&lt;&gt;Closed"))</f>
        <v/>
      </c>
      <c r="Q20" s="40" t="str">
        <f aca="false">IF($A20="","",COUNTIFS(Doc_Scope,$A20,Doc_Approved,0))</f>
        <v/>
      </c>
      <c r="R20" s="41"/>
    </row>
    <row r="21" customFormat="false" ht="15" hidden="false" customHeight="false" outlineLevel="0" collapsed="false">
      <c r="A21" s="41"/>
      <c r="B21" s="41"/>
      <c r="C21" s="41"/>
      <c r="D21" s="38"/>
      <c r="E21" s="38"/>
      <c r="F21" s="38"/>
      <c r="G21" s="38"/>
      <c r="H21" s="38"/>
      <c r="I21" s="38"/>
      <c r="J21" s="39" t="str">
        <f aca="false">IF($A21="","",IFERROR(AVERAGEIF(Eq_Scope,$A21,Eq_Readiness),0))</f>
        <v/>
      </c>
      <c r="K21" s="41"/>
      <c r="L21" s="40" t="str">
        <f aca="false">IF($A21="","",COUNTIF(Eq_Scope,$A21))</f>
        <v/>
      </c>
      <c r="M21" s="40" t="str">
        <f aca="false">IF($A21="","",COUNTIFS(Eq_Scope,$A21,Eq_Phase,"Complete"))</f>
        <v/>
      </c>
      <c r="N21" s="40" t="str">
        <f aca="false">IF($A21="","",$L21-$M21-$O21)</f>
        <v/>
      </c>
      <c r="O21" s="40" t="str">
        <f aca="false">IF($A21="","",COUNTIFS(Eq_Scope,$A21,Eq_Phase,"Pre-Commissioning"))</f>
        <v/>
      </c>
      <c r="P21" s="40" t="str">
        <f aca="false">IF($A21="","",COUNTIFS(Act_Scope,$A21,Act_Status,"&lt;&gt;Closed"))</f>
        <v/>
      </c>
      <c r="Q21" s="40" t="str">
        <f aca="false">IF($A21="","",COUNTIFS(Doc_Scope,$A21,Doc_Approved,0))</f>
        <v/>
      </c>
      <c r="R21" s="41"/>
    </row>
    <row r="22" customFormat="false" ht="15" hidden="false" customHeight="false" outlineLevel="0" collapsed="false">
      <c r="A22" s="41"/>
      <c r="B22" s="41"/>
      <c r="C22" s="41"/>
      <c r="D22" s="38"/>
      <c r="E22" s="38"/>
      <c r="F22" s="38"/>
      <c r="G22" s="38"/>
      <c r="H22" s="38"/>
      <c r="I22" s="38"/>
      <c r="J22" s="39" t="str">
        <f aca="false">IF($A22="","",IFERROR(AVERAGEIF(Eq_Scope,$A22,Eq_Readiness),0))</f>
        <v/>
      </c>
      <c r="K22" s="41"/>
      <c r="L22" s="40" t="str">
        <f aca="false">IF($A22="","",COUNTIF(Eq_Scope,$A22))</f>
        <v/>
      </c>
      <c r="M22" s="40" t="str">
        <f aca="false">IF($A22="","",COUNTIFS(Eq_Scope,$A22,Eq_Phase,"Complete"))</f>
        <v/>
      </c>
      <c r="N22" s="40" t="str">
        <f aca="false">IF($A22="","",$L22-$M22-$O22)</f>
        <v/>
      </c>
      <c r="O22" s="40" t="str">
        <f aca="false">IF($A22="","",COUNTIFS(Eq_Scope,$A22,Eq_Phase,"Pre-Commissioning"))</f>
        <v/>
      </c>
      <c r="P22" s="40" t="str">
        <f aca="false">IF($A22="","",COUNTIFS(Act_Scope,$A22,Act_Status,"&lt;&gt;Closed"))</f>
        <v/>
      </c>
      <c r="Q22" s="40" t="str">
        <f aca="false">IF($A22="","",COUNTIFS(Doc_Scope,$A22,Doc_Approved,0))</f>
        <v/>
      </c>
      <c r="R22" s="41"/>
    </row>
    <row r="23" customFormat="false" ht="15" hidden="false" customHeight="false" outlineLevel="0" collapsed="false">
      <c r="A23" s="41"/>
      <c r="B23" s="41"/>
      <c r="C23" s="41"/>
      <c r="D23" s="38"/>
      <c r="E23" s="38"/>
      <c r="F23" s="38"/>
      <c r="G23" s="38"/>
      <c r="H23" s="38"/>
      <c r="I23" s="38"/>
      <c r="J23" s="39" t="str">
        <f aca="false">IF($A23="","",IFERROR(AVERAGEIF(Eq_Scope,$A23,Eq_Readiness),0))</f>
        <v/>
      </c>
      <c r="K23" s="41"/>
      <c r="L23" s="40" t="str">
        <f aca="false">IF($A23="","",COUNTIF(Eq_Scope,$A23))</f>
        <v/>
      </c>
      <c r="M23" s="40" t="str">
        <f aca="false">IF($A23="","",COUNTIFS(Eq_Scope,$A23,Eq_Phase,"Complete"))</f>
        <v/>
      </c>
      <c r="N23" s="40" t="str">
        <f aca="false">IF($A23="","",$L23-$M23-$O23)</f>
        <v/>
      </c>
      <c r="O23" s="40" t="str">
        <f aca="false">IF($A23="","",COUNTIFS(Eq_Scope,$A23,Eq_Phase,"Pre-Commissioning"))</f>
        <v/>
      </c>
      <c r="P23" s="40" t="str">
        <f aca="false">IF($A23="","",COUNTIFS(Act_Scope,$A23,Act_Status,"&lt;&gt;Closed"))</f>
        <v/>
      </c>
      <c r="Q23" s="40" t="str">
        <f aca="false">IF($A23="","",COUNTIFS(Doc_Scope,$A23,Doc_Approved,0))</f>
        <v/>
      </c>
      <c r="R23" s="41"/>
    </row>
    <row r="24" customFormat="false" ht="15" hidden="false" customHeight="false" outlineLevel="0" collapsed="false">
      <c r="A24" s="41"/>
      <c r="B24" s="41"/>
      <c r="C24" s="41"/>
      <c r="D24" s="38"/>
      <c r="E24" s="38"/>
      <c r="F24" s="38"/>
      <c r="G24" s="38"/>
      <c r="H24" s="38"/>
      <c r="I24" s="38"/>
      <c r="J24" s="39" t="str">
        <f aca="false">IF($A24="","",IFERROR(AVERAGEIF(Eq_Scope,$A24,Eq_Readiness),0))</f>
        <v/>
      </c>
      <c r="K24" s="41"/>
      <c r="L24" s="40" t="str">
        <f aca="false">IF($A24="","",COUNTIF(Eq_Scope,$A24))</f>
        <v/>
      </c>
      <c r="M24" s="40" t="str">
        <f aca="false">IF($A24="","",COUNTIFS(Eq_Scope,$A24,Eq_Phase,"Complete"))</f>
        <v/>
      </c>
      <c r="N24" s="40" t="str">
        <f aca="false">IF($A24="","",$L24-$M24-$O24)</f>
        <v/>
      </c>
      <c r="O24" s="40" t="str">
        <f aca="false">IF($A24="","",COUNTIFS(Eq_Scope,$A24,Eq_Phase,"Pre-Commissioning"))</f>
        <v/>
      </c>
      <c r="P24" s="40" t="str">
        <f aca="false">IF($A24="","",COUNTIFS(Act_Scope,$A24,Act_Status,"&lt;&gt;Closed"))</f>
        <v/>
      </c>
      <c r="Q24" s="40" t="str">
        <f aca="false">IF($A24="","",COUNTIFS(Doc_Scope,$A24,Doc_Approved,0))</f>
        <v/>
      </c>
      <c r="R24" s="41"/>
    </row>
    <row r="25" customFormat="false" ht="15" hidden="false" customHeight="false" outlineLevel="0" collapsed="false">
      <c r="A25" s="41"/>
      <c r="B25" s="41"/>
      <c r="C25" s="41"/>
      <c r="D25" s="38"/>
      <c r="E25" s="38"/>
      <c r="F25" s="38"/>
      <c r="G25" s="38"/>
      <c r="H25" s="38"/>
      <c r="I25" s="38"/>
      <c r="J25" s="39" t="str">
        <f aca="false">IF($A25="","",IFERROR(AVERAGEIF(Eq_Scope,$A25,Eq_Readiness),0))</f>
        <v/>
      </c>
      <c r="K25" s="41"/>
      <c r="L25" s="40" t="str">
        <f aca="false">IF($A25="","",COUNTIF(Eq_Scope,$A25))</f>
        <v/>
      </c>
      <c r="M25" s="40" t="str">
        <f aca="false">IF($A25="","",COUNTIFS(Eq_Scope,$A25,Eq_Phase,"Complete"))</f>
        <v/>
      </c>
      <c r="N25" s="40" t="str">
        <f aca="false">IF($A25="","",$L25-$M25-$O25)</f>
        <v/>
      </c>
      <c r="O25" s="40" t="str">
        <f aca="false">IF($A25="","",COUNTIFS(Eq_Scope,$A25,Eq_Phase,"Pre-Commissioning"))</f>
        <v/>
      </c>
      <c r="P25" s="40" t="str">
        <f aca="false">IF($A25="","",COUNTIFS(Act_Scope,$A25,Act_Status,"&lt;&gt;Closed"))</f>
        <v/>
      </c>
      <c r="Q25" s="40" t="str">
        <f aca="false">IF($A25="","",COUNTIFS(Doc_Scope,$A25,Doc_Approved,0))</f>
        <v/>
      </c>
      <c r="R25" s="41"/>
    </row>
    <row r="26" customFormat="false" ht="15" hidden="false" customHeight="false" outlineLevel="0" collapsed="false">
      <c r="A26" s="41"/>
      <c r="B26" s="41"/>
      <c r="C26" s="41"/>
      <c r="D26" s="38"/>
      <c r="E26" s="38"/>
      <c r="F26" s="38"/>
      <c r="G26" s="38"/>
      <c r="H26" s="38"/>
      <c r="I26" s="38"/>
      <c r="J26" s="39" t="str">
        <f aca="false">IF($A26="","",IFERROR(AVERAGEIF(Eq_Scope,$A26,Eq_Readiness),0))</f>
        <v/>
      </c>
      <c r="K26" s="41"/>
      <c r="L26" s="40" t="str">
        <f aca="false">IF($A26="","",COUNTIF(Eq_Scope,$A26))</f>
        <v/>
      </c>
      <c r="M26" s="40" t="str">
        <f aca="false">IF($A26="","",COUNTIFS(Eq_Scope,$A26,Eq_Phase,"Complete"))</f>
        <v/>
      </c>
      <c r="N26" s="40" t="str">
        <f aca="false">IF($A26="","",$L26-$M26-$O26)</f>
        <v/>
      </c>
      <c r="O26" s="40" t="str">
        <f aca="false">IF($A26="","",COUNTIFS(Eq_Scope,$A26,Eq_Phase,"Pre-Commissioning"))</f>
        <v/>
      </c>
      <c r="P26" s="40" t="str">
        <f aca="false">IF($A26="","",COUNTIFS(Act_Scope,$A26,Act_Status,"&lt;&gt;Closed"))</f>
        <v/>
      </c>
      <c r="Q26" s="40" t="str">
        <f aca="false">IF($A26="","",COUNTIFS(Doc_Scope,$A26,Doc_Approved,0))</f>
        <v/>
      </c>
      <c r="R26" s="41"/>
    </row>
    <row r="27" customFormat="false" ht="15" hidden="false" customHeight="false" outlineLevel="0" collapsed="false">
      <c r="A27" s="41"/>
      <c r="B27" s="41"/>
      <c r="C27" s="41"/>
      <c r="D27" s="38"/>
      <c r="E27" s="38"/>
      <c r="F27" s="38"/>
      <c r="G27" s="38"/>
      <c r="H27" s="38"/>
      <c r="I27" s="38"/>
      <c r="J27" s="39" t="str">
        <f aca="false">IF($A27="","",IFERROR(AVERAGEIF(Eq_Scope,$A27,Eq_Readiness),0))</f>
        <v/>
      </c>
      <c r="K27" s="41"/>
      <c r="L27" s="40" t="str">
        <f aca="false">IF($A27="","",COUNTIF(Eq_Scope,$A27))</f>
        <v/>
      </c>
      <c r="M27" s="40" t="str">
        <f aca="false">IF($A27="","",COUNTIFS(Eq_Scope,$A27,Eq_Phase,"Complete"))</f>
        <v/>
      </c>
      <c r="N27" s="40" t="str">
        <f aca="false">IF($A27="","",$L27-$M27-$O27)</f>
        <v/>
      </c>
      <c r="O27" s="40" t="str">
        <f aca="false">IF($A27="","",COUNTIFS(Eq_Scope,$A27,Eq_Phase,"Pre-Commissioning"))</f>
        <v/>
      </c>
      <c r="P27" s="40" t="str">
        <f aca="false">IF($A27="","",COUNTIFS(Act_Scope,$A27,Act_Status,"&lt;&gt;Closed"))</f>
        <v/>
      </c>
      <c r="Q27" s="40" t="str">
        <f aca="false">IF($A27="","",COUNTIFS(Doc_Scope,$A27,Doc_Approved,0))</f>
        <v/>
      </c>
      <c r="R27" s="41"/>
    </row>
    <row r="28" customFormat="false" ht="15" hidden="false" customHeight="false" outlineLevel="0" collapsed="false">
      <c r="A28" s="41"/>
      <c r="B28" s="41"/>
      <c r="C28" s="41"/>
      <c r="D28" s="38"/>
      <c r="E28" s="38"/>
      <c r="F28" s="38"/>
      <c r="G28" s="38"/>
      <c r="H28" s="38"/>
      <c r="I28" s="38"/>
      <c r="J28" s="39" t="str">
        <f aca="false">IF($A28="","",IFERROR(AVERAGEIF(Eq_Scope,$A28,Eq_Readiness),0))</f>
        <v/>
      </c>
      <c r="K28" s="41"/>
      <c r="L28" s="40" t="str">
        <f aca="false">IF($A28="","",COUNTIF(Eq_Scope,$A28))</f>
        <v/>
      </c>
      <c r="M28" s="40" t="str">
        <f aca="false">IF($A28="","",COUNTIFS(Eq_Scope,$A28,Eq_Phase,"Complete"))</f>
        <v/>
      </c>
      <c r="N28" s="40" t="str">
        <f aca="false">IF($A28="","",$L28-$M28-$O28)</f>
        <v/>
      </c>
      <c r="O28" s="40" t="str">
        <f aca="false">IF($A28="","",COUNTIFS(Eq_Scope,$A28,Eq_Phase,"Pre-Commissioning"))</f>
        <v/>
      </c>
      <c r="P28" s="40" t="str">
        <f aca="false">IF($A28="","",COUNTIFS(Act_Scope,$A28,Act_Status,"&lt;&gt;Closed"))</f>
        <v/>
      </c>
      <c r="Q28" s="40" t="str">
        <f aca="false">IF($A28="","",COUNTIFS(Doc_Scope,$A28,Doc_Approved,0))</f>
        <v/>
      </c>
      <c r="R28" s="41"/>
    </row>
    <row r="29" customFormat="false" ht="15" hidden="false" customHeight="false" outlineLevel="0" collapsed="false">
      <c r="A29" s="41"/>
      <c r="B29" s="41"/>
      <c r="C29" s="41"/>
      <c r="D29" s="38"/>
      <c r="E29" s="38"/>
      <c r="F29" s="38"/>
      <c r="G29" s="38"/>
      <c r="H29" s="38"/>
      <c r="I29" s="38"/>
      <c r="J29" s="39" t="str">
        <f aca="false">IF($A29="","",IFERROR(AVERAGEIF(Eq_Scope,$A29,Eq_Readiness),0))</f>
        <v/>
      </c>
      <c r="K29" s="41"/>
      <c r="L29" s="40" t="str">
        <f aca="false">IF($A29="","",COUNTIF(Eq_Scope,$A29))</f>
        <v/>
      </c>
      <c r="M29" s="40" t="str">
        <f aca="false">IF($A29="","",COUNTIFS(Eq_Scope,$A29,Eq_Phase,"Complete"))</f>
        <v/>
      </c>
      <c r="N29" s="40" t="str">
        <f aca="false">IF($A29="","",$L29-$M29-$O29)</f>
        <v/>
      </c>
      <c r="O29" s="40" t="str">
        <f aca="false">IF($A29="","",COUNTIFS(Eq_Scope,$A29,Eq_Phase,"Pre-Commissioning"))</f>
        <v/>
      </c>
      <c r="P29" s="40" t="str">
        <f aca="false">IF($A29="","",COUNTIFS(Act_Scope,$A29,Act_Status,"&lt;&gt;Closed"))</f>
        <v/>
      </c>
      <c r="Q29" s="40" t="str">
        <f aca="false">IF($A29="","",COUNTIFS(Doc_Scope,$A29,Doc_Approved,0))</f>
        <v/>
      </c>
      <c r="R29" s="41"/>
    </row>
    <row r="30" customFormat="false" ht="15" hidden="false" customHeight="false" outlineLevel="0" collapsed="false">
      <c r="A30" s="41"/>
      <c r="B30" s="41"/>
      <c r="C30" s="41"/>
      <c r="D30" s="38"/>
      <c r="E30" s="38"/>
      <c r="F30" s="38"/>
      <c r="G30" s="38"/>
      <c r="H30" s="38"/>
      <c r="I30" s="38"/>
      <c r="J30" s="39" t="str">
        <f aca="false">IF($A30="","",IFERROR(AVERAGEIF(Eq_Scope,$A30,Eq_Readiness),0))</f>
        <v/>
      </c>
      <c r="K30" s="41"/>
      <c r="L30" s="40" t="str">
        <f aca="false">IF($A30="","",COUNTIF(Eq_Scope,$A30))</f>
        <v/>
      </c>
      <c r="M30" s="40" t="str">
        <f aca="false">IF($A30="","",COUNTIFS(Eq_Scope,$A30,Eq_Phase,"Complete"))</f>
        <v/>
      </c>
      <c r="N30" s="40" t="str">
        <f aca="false">IF($A30="","",$L30-$M30-$O30)</f>
        <v/>
      </c>
      <c r="O30" s="40" t="str">
        <f aca="false">IF($A30="","",COUNTIFS(Eq_Scope,$A30,Eq_Phase,"Pre-Commissioning"))</f>
        <v/>
      </c>
      <c r="P30" s="40" t="str">
        <f aca="false">IF($A30="","",COUNTIFS(Act_Scope,$A30,Act_Status,"&lt;&gt;Closed"))</f>
        <v/>
      </c>
      <c r="Q30" s="40" t="str">
        <f aca="false">IF($A30="","",COUNTIFS(Doc_Scope,$A30,Doc_Approved,0))</f>
        <v/>
      </c>
      <c r="R30" s="41"/>
    </row>
    <row r="31" customFormat="false" ht="15" hidden="false" customHeight="false" outlineLevel="0" collapsed="false">
      <c r="A31" s="41"/>
      <c r="B31" s="41"/>
      <c r="C31" s="41"/>
      <c r="D31" s="38"/>
      <c r="E31" s="38"/>
      <c r="F31" s="38"/>
      <c r="G31" s="38"/>
      <c r="H31" s="38"/>
      <c r="I31" s="38"/>
      <c r="J31" s="39" t="str">
        <f aca="false">IF($A31="","",IFERROR(AVERAGEIF(Eq_Scope,$A31,Eq_Readiness),0))</f>
        <v/>
      </c>
      <c r="K31" s="41"/>
      <c r="L31" s="40" t="str">
        <f aca="false">IF($A31="","",COUNTIF(Eq_Scope,$A31))</f>
        <v/>
      </c>
      <c r="M31" s="40" t="str">
        <f aca="false">IF($A31="","",COUNTIFS(Eq_Scope,$A31,Eq_Phase,"Complete"))</f>
        <v/>
      </c>
      <c r="N31" s="40" t="str">
        <f aca="false">IF($A31="","",$L31-$M31-$O31)</f>
        <v/>
      </c>
      <c r="O31" s="40" t="str">
        <f aca="false">IF($A31="","",COUNTIFS(Eq_Scope,$A31,Eq_Phase,"Pre-Commissioning"))</f>
        <v/>
      </c>
      <c r="P31" s="40" t="str">
        <f aca="false">IF($A31="","",COUNTIFS(Act_Scope,$A31,Act_Status,"&lt;&gt;Closed"))</f>
        <v/>
      </c>
      <c r="Q31" s="40" t="str">
        <f aca="false">IF($A31="","",COUNTIFS(Doc_Scope,$A31,Doc_Approved,0))</f>
        <v/>
      </c>
      <c r="R31" s="41"/>
    </row>
    <row r="32" customFormat="false" ht="15" hidden="false" customHeight="false" outlineLevel="0" collapsed="false">
      <c r="A32" s="41"/>
      <c r="B32" s="41"/>
      <c r="C32" s="41"/>
      <c r="D32" s="38"/>
      <c r="E32" s="38"/>
      <c r="F32" s="38"/>
      <c r="G32" s="38"/>
      <c r="H32" s="38"/>
      <c r="I32" s="38"/>
      <c r="J32" s="39" t="str">
        <f aca="false">IF($A32="","",IFERROR(AVERAGEIF(Eq_Scope,$A32,Eq_Readiness),0))</f>
        <v/>
      </c>
      <c r="K32" s="41"/>
      <c r="L32" s="40" t="str">
        <f aca="false">IF($A32="","",COUNTIF(Eq_Scope,$A32))</f>
        <v/>
      </c>
      <c r="M32" s="40" t="str">
        <f aca="false">IF($A32="","",COUNTIFS(Eq_Scope,$A32,Eq_Phase,"Complete"))</f>
        <v/>
      </c>
      <c r="N32" s="40" t="str">
        <f aca="false">IF($A32="","",$L32-$M32-$O32)</f>
        <v/>
      </c>
      <c r="O32" s="40" t="str">
        <f aca="false">IF($A32="","",COUNTIFS(Eq_Scope,$A32,Eq_Phase,"Pre-Commissioning"))</f>
        <v/>
      </c>
      <c r="P32" s="40" t="str">
        <f aca="false">IF($A32="","",COUNTIFS(Act_Scope,$A32,Act_Status,"&lt;&gt;Closed"))</f>
        <v/>
      </c>
      <c r="Q32" s="40" t="str">
        <f aca="false">IF($A32="","",COUNTIFS(Doc_Scope,$A32,Doc_Approved,0))</f>
        <v/>
      </c>
      <c r="R32" s="41"/>
    </row>
    <row r="33" customFormat="false" ht="15" hidden="false" customHeight="false" outlineLevel="0" collapsed="false">
      <c r="A33" s="41"/>
      <c r="B33" s="41"/>
      <c r="C33" s="41"/>
      <c r="D33" s="38"/>
      <c r="E33" s="38"/>
      <c r="F33" s="38"/>
      <c r="G33" s="38"/>
      <c r="H33" s="38"/>
      <c r="I33" s="38"/>
      <c r="J33" s="39" t="str">
        <f aca="false">IF($A33="","",IFERROR(AVERAGEIF(Eq_Scope,$A33,Eq_Readiness),0))</f>
        <v/>
      </c>
      <c r="K33" s="41"/>
      <c r="L33" s="40" t="str">
        <f aca="false">IF($A33="","",COUNTIF(Eq_Scope,$A33))</f>
        <v/>
      </c>
      <c r="M33" s="40" t="str">
        <f aca="false">IF($A33="","",COUNTIFS(Eq_Scope,$A33,Eq_Phase,"Complete"))</f>
        <v/>
      </c>
      <c r="N33" s="40" t="str">
        <f aca="false">IF($A33="","",$L33-$M33-$O33)</f>
        <v/>
      </c>
      <c r="O33" s="40" t="str">
        <f aca="false">IF($A33="","",COUNTIFS(Eq_Scope,$A33,Eq_Phase,"Pre-Commissioning"))</f>
        <v/>
      </c>
      <c r="P33" s="40" t="str">
        <f aca="false">IF($A33="","",COUNTIFS(Act_Scope,$A33,Act_Status,"&lt;&gt;Closed"))</f>
        <v/>
      </c>
      <c r="Q33" s="40" t="str">
        <f aca="false">IF($A33="","",COUNTIFS(Doc_Scope,$A33,Doc_Approved,0))</f>
        <v/>
      </c>
      <c r="R33" s="41"/>
    </row>
    <row r="34" customFormat="false" ht="15" hidden="false" customHeight="false" outlineLevel="0" collapsed="false">
      <c r="A34" s="41"/>
      <c r="B34" s="41"/>
      <c r="C34" s="41"/>
      <c r="D34" s="38"/>
      <c r="E34" s="38"/>
      <c r="F34" s="38"/>
      <c r="G34" s="38"/>
      <c r="H34" s="38"/>
      <c r="I34" s="38"/>
      <c r="J34" s="39" t="str">
        <f aca="false">IF($A34="","",IFERROR(AVERAGEIF(Eq_Scope,$A34,Eq_Readiness),0))</f>
        <v/>
      </c>
      <c r="K34" s="41"/>
      <c r="L34" s="40" t="str">
        <f aca="false">IF($A34="","",COUNTIF(Eq_Scope,$A34))</f>
        <v/>
      </c>
      <c r="M34" s="40" t="str">
        <f aca="false">IF($A34="","",COUNTIFS(Eq_Scope,$A34,Eq_Phase,"Complete"))</f>
        <v/>
      </c>
      <c r="N34" s="40" t="str">
        <f aca="false">IF($A34="","",$L34-$M34-$O34)</f>
        <v/>
      </c>
      <c r="O34" s="40" t="str">
        <f aca="false">IF($A34="","",COUNTIFS(Eq_Scope,$A34,Eq_Phase,"Pre-Commissioning"))</f>
        <v/>
      </c>
      <c r="P34" s="40" t="str">
        <f aca="false">IF($A34="","",COUNTIFS(Act_Scope,$A34,Act_Status,"&lt;&gt;Closed"))</f>
        <v/>
      </c>
      <c r="Q34" s="40" t="str">
        <f aca="false">IF($A34="","",COUNTIFS(Doc_Scope,$A34,Doc_Approved,0))</f>
        <v/>
      </c>
      <c r="R34" s="41"/>
    </row>
    <row r="35" customFormat="false" ht="15" hidden="false" customHeight="false" outlineLevel="0" collapsed="false">
      <c r="A35" s="41"/>
      <c r="B35" s="41"/>
      <c r="C35" s="41"/>
      <c r="D35" s="38"/>
      <c r="E35" s="38"/>
      <c r="F35" s="38"/>
      <c r="G35" s="38"/>
      <c r="H35" s="38"/>
      <c r="I35" s="38"/>
      <c r="J35" s="39" t="str">
        <f aca="false">IF($A35="","",IFERROR(AVERAGEIF(Eq_Scope,$A35,Eq_Readiness),0))</f>
        <v/>
      </c>
      <c r="K35" s="41"/>
      <c r="L35" s="40" t="str">
        <f aca="false">IF($A35="","",COUNTIF(Eq_Scope,$A35))</f>
        <v/>
      </c>
      <c r="M35" s="40" t="str">
        <f aca="false">IF($A35="","",COUNTIFS(Eq_Scope,$A35,Eq_Phase,"Complete"))</f>
        <v/>
      </c>
      <c r="N35" s="40" t="str">
        <f aca="false">IF($A35="","",$L35-$M35-$O35)</f>
        <v/>
      </c>
      <c r="O35" s="40" t="str">
        <f aca="false">IF($A35="","",COUNTIFS(Eq_Scope,$A35,Eq_Phase,"Pre-Commissioning"))</f>
        <v/>
      </c>
      <c r="P35" s="40" t="str">
        <f aca="false">IF($A35="","",COUNTIFS(Act_Scope,$A35,Act_Status,"&lt;&gt;Closed"))</f>
        <v/>
      </c>
      <c r="Q35" s="40" t="str">
        <f aca="false">IF($A35="","",COUNTIFS(Doc_Scope,$A35,Doc_Approved,0))</f>
        <v/>
      </c>
      <c r="R35" s="41"/>
    </row>
    <row r="36" customFormat="false" ht="15" hidden="false" customHeight="false" outlineLevel="0" collapsed="false">
      <c r="A36" s="41"/>
      <c r="B36" s="41"/>
      <c r="C36" s="41"/>
      <c r="D36" s="38"/>
      <c r="E36" s="38"/>
      <c r="F36" s="38"/>
      <c r="G36" s="38"/>
      <c r="H36" s="38"/>
      <c r="I36" s="38"/>
      <c r="J36" s="39" t="str">
        <f aca="false">IF($A36="","",IFERROR(AVERAGEIF(Eq_Scope,$A36,Eq_Readiness),0))</f>
        <v/>
      </c>
      <c r="K36" s="41"/>
      <c r="L36" s="40" t="str">
        <f aca="false">IF($A36="","",COUNTIF(Eq_Scope,$A36))</f>
        <v/>
      </c>
      <c r="M36" s="40" t="str">
        <f aca="false">IF($A36="","",COUNTIFS(Eq_Scope,$A36,Eq_Phase,"Complete"))</f>
        <v/>
      </c>
      <c r="N36" s="40" t="str">
        <f aca="false">IF($A36="","",$L36-$M36-$O36)</f>
        <v/>
      </c>
      <c r="O36" s="40" t="str">
        <f aca="false">IF($A36="","",COUNTIFS(Eq_Scope,$A36,Eq_Phase,"Pre-Commissioning"))</f>
        <v/>
      </c>
      <c r="P36" s="40" t="str">
        <f aca="false">IF($A36="","",COUNTIFS(Act_Scope,$A36,Act_Status,"&lt;&gt;Closed"))</f>
        <v/>
      </c>
      <c r="Q36" s="40" t="str">
        <f aca="false">IF($A36="","",COUNTIFS(Doc_Scope,$A36,Doc_Approved,0))</f>
        <v/>
      </c>
      <c r="R36" s="41"/>
    </row>
    <row r="37" customFormat="false" ht="15" hidden="false" customHeight="false" outlineLevel="0" collapsed="false">
      <c r="A37" s="41"/>
      <c r="B37" s="41"/>
      <c r="C37" s="41"/>
      <c r="D37" s="38"/>
      <c r="E37" s="38"/>
      <c r="F37" s="38"/>
      <c r="G37" s="38"/>
      <c r="H37" s="38"/>
      <c r="I37" s="38"/>
      <c r="J37" s="39" t="str">
        <f aca="false">IF($A37="","",IFERROR(AVERAGEIF(Eq_Scope,$A37,Eq_Readiness),0))</f>
        <v/>
      </c>
      <c r="K37" s="41"/>
      <c r="L37" s="40" t="str">
        <f aca="false">IF($A37="","",COUNTIF(Eq_Scope,$A37))</f>
        <v/>
      </c>
      <c r="M37" s="40" t="str">
        <f aca="false">IF($A37="","",COUNTIFS(Eq_Scope,$A37,Eq_Phase,"Complete"))</f>
        <v/>
      </c>
      <c r="N37" s="40" t="str">
        <f aca="false">IF($A37="","",$L37-$M37-$O37)</f>
        <v/>
      </c>
      <c r="O37" s="40" t="str">
        <f aca="false">IF($A37="","",COUNTIFS(Eq_Scope,$A37,Eq_Phase,"Pre-Commissioning"))</f>
        <v/>
      </c>
      <c r="P37" s="40" t="str">
        <f aca="false">IF($A37="","",COUNTIFS(Act_Scope,$A37,Act_Status,"&lt;&gt;Closed"))</f>
        <v/>
      </c>
      <c r="Q37" s="40" t="str">
        <f aca="false">IF($A37="","",COUNTIFS(Doc_Scope,$A37,Doc_Approved,0))</f>
        <v/>
      </c>
      <c r="R37" s="41"/>
    </row>
    <row r="38" customFormat="false" ht="15" hidden="false" customHeight="false" outlineLevel="0" collapsed="false">
      <c r="A38" s="41"/>
      <c r="B38" s="41"/>
      <c r="C38" s="41"/>
      <c r="D38" s="38"/>
      <c r="E38" s="38"/>
      <c r="F38" s="38"/>
      <c r="G38" s="38"/>
      <c r="H38" s="38"/>
      <c r="I38" s="38"/>
      <c r="J38" s="39" t="str">
        <f aca="false">IF($A38="","",IFERROR(AVERAGEIF(Eq_Scope,$A38,Eq_Readiness),0))</f>
        <v/>
      </c>
      <c r="K38" s="41"/>
      <c r="L38" s="40" t="str">
        <f aca="false">IF($A38="","",COUNTIF(Eq_Scope,$A38))</f>
        <v/>
      </c>
      <c r="M38" s="40" t="str">
        <f aca="false">IF($A38="","",COUNTIFS(Eq_Scope,$A38,Eq_Phase,"Complete"))</f>
        <v/>
      </c>
      <c r="N38" s="40" t="str">
        <f aca="false">IF($A38="","",$L38-$M38-$O38)</f>
        <v/>
      </c>
      <c r="O38" s="40" t="str">
        <f aca="false">IF($A38="","",COUNTIFS(Eq_Scope,$A38,Eq_Phase,"Pre-Commissioning"))</f>
        <v/>
      </c>
      <c r="P38" s="40" t="str">
        <f aca="false">IF($A38="","",COUNTIFS(Act_Scope,$A38,Act_Status,"&lt;&gt;Closed"))</f>
        <v/>
      </c>
      <c r="Q38" s="40" t="str">
        <f aca="false">IF($A38="","",COUNTIFS(Doc_Scope,$A38,Doc_Approved,0))</f>
        <v/>
      </c>
      <c r="R38" s="41"/>
    </row>
    <row r="39" customFormat="false" ht="15" hidden="false" customHeight="false" outlineLevel="0" collapsed="false">
      <c r="A39" s="41"/>
      <c r="B39" s="41"/>
      <c r="C39" s="41"/>
      <c r="D39" s="38"/>
      <c r="E39" s="38"/>
      <c r="F39" s="38"/>
      <c r="G39" s="38"/>
      <c r="H39" s="38"/>
      <c r="I39" s="38"/>
      <c r="J39" s="39" t="str">
        <f aca="false">IF($A39="","",IFERROR(AVERAGEIF(Eq_Scope,$A39,Eq_Readiness),0))</f>
        <v/>
      </c>
      <c r="K39" s="41"/>
      <c r="L39" s="40" t="str">
        <f aca="false">IF($A39="","",COUNTIF(Eq_Scope,$A39))</f>
        <v/>
      </c>
      <c r="M39" s="40" t="str">
        <f aca="false">IF($A39="","",COUNTIFS(Eq_Scope,$A39,Eq_Phase,"Complete"))</f>
        <v/>
      </c>
      <c r="N39" s="40" t="str">
        <f aca="false">IF($A39="","",$L39-$M39-$O39)</f>
        <v/>
      </c>
      <c r="O39" s="40" t="str">
        <f aca="false">IF($A39="","",COUNTIFS(Eq_Scope,$A39,Eq_Phase,"Pre-Commissioning"))</f>
        <v/>
      </c>
      <c r="P39" s="40" t="str">
        <f aca="false">IF($A39="","",COUNTIFS(Act_Scope,$A39,Act_Status,"&lt;&gt;Closed"))</f>
        <v/>
      </c>
      <c r="Q39" s="40" t="str">
        <f aca="false">IF($A39="","",COUNTIFS(Doc_Scope,$A39,Doc_Approved,0))</f>
        <v/>
      </c>
      <c r="R39" s="41"/>
    </row>
    <row r="40" customFormat="false" ht="15" hidden="false" customHeight="false" outlineLevel="0" collapsed="false">
      <c r="A40" s="41"/>
      <c r="B40" s="41"/>
      <c r="C40" s="41"/>
      <c r="D40" s="38"/>
      <c r="E40" s="38"/>
      <c r="F40" s="38"/>
      <c r="G40" s="38"/>
      <c r="H40" s="38"/>
      <c r="I40" s="38"/>
      <c r="J40" s="39" t="str">
        <f aca="false">IF($A40="","",IFERROR(AVERAGEIF(Eq_Scope,$A40,Eq_Readiness),0))</f>
        <v/>
      </c>
      <c r="K40" s="41"/>
      <c r="L40" s="40" t="str">
        <f aca="false">IF($A40="","",COUNTIF(Eq_Scope,$A40))</f>
        <v/>
      </c>
      <c r="M40" s="40" t="str">
        <f aca="false">IF($A40="","",COUNTIFS(Eq_Scope,$A40,Eq_Phase,"Complete"))</f>
        <v/>
      </c>
      <c r="N40" s="40" t="str">
        <f aca="false">IF($A40="","",$L40-$M40-$O40)</f>
        <v/>
      </c>
      <c r="O40" s="40" t="str">
        <f aca="false">IF($A40="","",COUNTIFS(Eq_Scope,$A40,Eq_Phase,"Pre-Commissioning"))</f>
        <v/>
      </c>
      <c r="P40" s="40" t="str">
        <f aca="false">IF($A40="","",COUNTIFS(Act_Scope,$A40,Act_Status,"&lt;&gt;Closed"))</f>
        <v/>
      </c>
      <c r="Q40" s="40" t="str">
        <f aca="false">IF($A40="","",COUNTIFS(Doc_Scope,$A40,Doc_Approved,0))</f>
        <v/>
      </c>
      <c r="R40" s="41"/>
    </row>
    <row r="41" customFormat="false" ht="15" hidden="false" customHeight="false" outlineLevel="0" collapsed="false">
      <c r="A41" s="41"/>
      <c r="B41" s="41"/>
      <c r="C41" s="41"/>
      <c r="D41" s="38"/>
      <c r="E41" s="38"/>
      <c r="F41" s="38"/>
      <c r="G41" s="38"/>
      <c r="H41" s="38"/>
      <c r="I41" s="38"/>
      <c r="J41" s="39" t="str">
        <f aca="false">IF($A41="","",IFERROR(AVERAGEIF(Eq_Scope,$A41,Eq_Readiness),0))</f>
        <v/>
      </c>
      <c r="K41" s="41"/>
      <c r="L41" s="40" t="str">
        <f aca="false">IF($A41="","",COUNTIF(Eq_Scope,$A41))</f>
        <v/>
      </c>
      <c r="M41" s="40" t="str">
        <f aca="false">IF($A41="","",COUNTIFS(Eq_Scope,$A41,Eq_Phase,"Complete"))</f>
        <v/>
      </c>
      <c r="N41" s="40" t="str">
        <f aca="false">IF($A41="","",$L41-$M41-$O41)</f>
        <v/>
      </c>
      <c r="O41" s="40" t="str">
        <f aca="false">IF($A41="","",COUNTIFS(Eq_Scope,$A41,Eq_Phase,"Pre-Commissioning"))</f>
        <v/>
      </c>
      <c r="P41" s="40" t="str">
        <f aca="false">IF($A41="","",COUNTIFS(Act_Scope,$A41,Act_Status,"&lt;&gt;Closed"))</f>
        <v/>
      </c>
      <c r="Q41" s="40" t="str">
        <f aca="false">IF($A41="","",COUNTIFS(Doc_Scope,$A41,Doc_Approved,0))</f>
        <v/>
      </c>
      <c r="R41" s="41"/>
    </row>
    <row r="42" customFormat="false" ht="15" hidden="false" customHeight="false" outlineLevel="0" collapsed="false">
      <c r="A42" s="41"/>
      <c r="B42" s="41"/>
      <c r="C42" s="41"/>
      <c r="D42" s="38"/>
      <c r="E42" s="38"/>
      <c r="F42" s="38"/>
      <c r="G42" s="38"/>
      <c r="H42" s="38"/>
      <c r="I42" s="38"/>
      <c r="J42" s="39" t="str">
        <f aca="false">IF($A42="","",IFERROR(AVERAGEIF(Eq_Scope,$A42,Eq_Readiness),0))</f>
        <v/>
      </c>
      <c r="K42" s="41"/>
      <c r="L42" s="40" t="str">
        <f aca="false">IF($A42="","",COUNTIF(Eq_Scope,$A42))</f>
        <v/>
      </c>
      <c r="M42" s="40" t="str">
        <f aca="false">IF($A42="","",COUNTIFS(Eq_Scope,$A42,Eq_Phase,"Complete"))</f>
        <v/>
      </c>
      <c r="N42" s="40" t="str">
        <f aca="false">IF($A42="","",$L42-$M42-$O42)</f>
        <v/>
      </c>
      <c r="O42" s="40" t="str">
        <f aca="false">IF($A42="","",COUNTIFS(Eq_Scope,$A42,Eq_Phase,"Pre-Commissioning"))</f>
        <v/>
      </c>
      <c r="P42" s="40" t="str">
        <f aca="false">IF($A42="","",COUNTIFS(Act_Scope,$A42,Act_Status,"&lt;&gt;Closed"))</f>
        <v/>
      </c>
      <c r="Q42" s="40" t="str">
        <f aca="false">IF($A42="","",COUNTIFS(Doc_Scope,$A42,Doc_Approved,0))</f>
        <v/>
      </c>
      <c r="R42" s="41"/>
    </row>
    <row r="43" customFormat="false" ht="15" hidden="false" customHeight="false" outlineLevel="0" collapsed="false">
      <c r="A43" s="41"/>
      <c r="B43" s="41"/>
      <c r="C43" s="41"/>
      <c r="D43" s="38"/>
      <c r="E43" s="38"/>
      <c r="F43" s="38"/>
      <c r="G43" s="38"/>
      <c r="H43" s="38"/>
      <c r="I43" s="38"/>
      <c r="J43" s="39" t="str">
        <f aca="false">IF($A43="","",IFERROR(AVERAGEIF(Eq_Scope,$A43,Eq_Readiness),0))</f>
        <v/>
      </c>
      <c r="K43" s="41"/>
      <c r="L43" s="40" t="str">
        <f aca="false">IF($A43="","",COUNTIF(Eq_Scope,$A43))</f>
        <v/>
      </c>
      <c r="M43" s="40" t="str">
        <f aca="false">IF($A43="","",COUNTIFS(Eq_Scope,$A43,Eq_Phase,"Complete"))</f>
        <v/>
      </c>
      <c r="N43" s="40" t="str">
        <f aca="false">IF($A43="","",$L43-$M43-$O43)</f>
        <v/>
      </c>
      <c r="O43" s="40" t="str">
        <f aca="false">IF($A43="","",COUNTIFS(Eq_Scope,$A43,Eq_Phase,"Pre-Commissioning"))</f>
        <v/>
      </c>
      <c r="P43" s="40" t="str">
        <f aca="false">IF($A43="","",COUNTIFS(Act_Scope,$A43,Act_Status,"&lt;&gt;Closed"))</f>
        <v/>
      </c>
      <c r="Q43" s="40" t="str">
        <f aca="false">IF($A43="","",COUNTIFS(Doc_Scope,$A43,Doc_Approved,0))</f>
        <v/>
      </c>
      <c r="R43" s="41"/>
    </row>
    <row r="44" customFormat="false" ht="15" hidden="false" customHeight="false" outlineLevel="0" collapsed="false">
      <c r="A44" s="41"/>
      <c r="B44" s="41"/>
      <c r="C44" s="41"/>
      <c r="D44" s="38"/>
      <c r="E44" s="38"/>
      <c r="F44" s="38"/>
      <c r="G44" s="38"/>
      <c r="H44" s="38"/>
      <c r="I44" s="38"/>
      <c r="J44" s="39" t="str">
        <f aca="false">IF($A44="","",IFERROR(AVERAGEIF(Eq_Scope,$A44,Eq_Readiness),0))</f>
        <v/>
      </c>
      <c r="K44" s="41"/>
      <c r="L44" s="40" t="str">
        <f aca="false">IF($A44="","",COUNTIF(Eq_Scope,$A44))</f>
        <v/>
      </c>
      <c r="M44" s="40" t="str">
        <f aca="false">IF($A44="","",COUNTIFS(Eq_Scope,$A44,Eq_Phase,"Complete"))</f>
        <v/>
      </c>
      <c r="N44" s="40" t="str">
        <f aca="false">IF($A44="","",$L44-$M44-$O44)</f>
        <v/>
      </c>
      <c r="O44" s="40" t="str">
        <f aca="false">IF($A44="","",COUNTIFS(Eq_Scope,$A44,Eq_Phase,"Pre-Commissioning"))</f>
        <v/>
      </c>
      <c r="P44" s="40" t="str">
        <f aca="false">IF($A44="","",COUNTIFS(Act_Scope,$A44,Act_Status,"&lt;&gt;Closed"))</f>
        <v/>
      </c>
      <c r="Q44" s="40" t="str">
        <f aca="false">IF($A44="","",COUNTIFS(Doc_Scope,$A44,Doc_Approved,0))</f>
        <v/>
      </c>
      <c r="R44" s="41"/>
    </row>
    <row r="45" customFormat="false" ht="15" hidden="false" customHeight="false" outlineLevel="0" collapsed="false">
      <c r="A45" s="41"/>
      <c r="B45" s="41"/>
      <c r="C45" s="41"/>
      <c r="D45" s="38"/>
      <c r="E45" s="38"/>
      <c r="F45" s="38"/>
      <c r="G45" s="38"/>
      <c r="H45" s="38"/>
      <c r="I45" s="38"/>
      <c r="J45" s="39" t="str">
        <f aca="false">IF($A45="","",IFERROR(AVERAGEIF(Eq_Scope,$A45,Eq_Readiness),0))</f>
        <v/>
      </c>
      <c r="K45" s="41"/>
      <c r="L45" s="40" t="str">
        <f aca="false">IF($A45="","",COUNTIF(Eq_Scope,$A45))</f>
        <v/>
      </c>
      <c r="M45" s="40" t="str">
        <f aca="false">IF($A45="","",COUNTIFS(Eq_Scope,$A45,Eq_Phase,"Complete"))</f>
        <v/>
      </c>
      <c r="N45" s="40" t="str">
        <f aca="false">IF($A45="","",$L45-$M45-$O45)</f>
        <v/>
      </c>
      <c r="O45" s="40" t="str">
        <f aca="false">IF($A45="","",COUNTIFS(Eq_Scope,$A45,Eq_Phase,"Pre-Commissioning"))</f>
        <v/>
      </c>
      <c r="P45" s="40" t="str">
        <f aca="false">IF($A45="","",COUNTIFS(Act_Scope,$A45,Act_Status,"&lt;&gt;Closed"))</f>
        <v/>
      </c>
      <c r="Q45" s="40" t="str">
        <f aca="false">IF($A45="","",COUNTIFS(Doc_Scope,$A45,Doc_Approved,0))</f>
        <v/>
      </c>
      <c r="R45" s="41"/>
    </row>
    <row r="46" customFormat="false" ht="15" hidden="false" customHeight="false" outlineLevel="0" collapsed="false">
      <c r="A46" s="41"/>
      <c r="B46" s="41"/>
      <c r="C46" s="41"/>
      <c r="D46" s="38"/>
      <c r="E46" s="38"/>
      <c r="F46" s="38"/>
      <c r="G46" s="38"/>
      <c r="H46" s="38"/>
      <c r="I46" s="38"/>
      <c r="J46" s="39" t="str">
        <f aca="false">IF($A46="","",IFERROR(AVERAGEIF(Eq_Scope,$A46,Eq_Readiness),0))</f>
        <v/>
      </c>
      <c r="K46" s="41"/>
      <c r="L46" s="40" t="str">
        <f aca="false">IF($A46="","",COUNTIF(Eq_Scope,$A46))</f>
        <v/>
      </c>
      <c r="M46" s="40" t="str">
        <f aca="false">IF($A46="","",COUNTIFS(Eq_Scope,$A46,Eq_Phase,"Complete"))</f>
        <v/>
      </c>
      <c r="N46" s="40" t="str">
        <f aca="false">IF($A46="","",$L46-$M46-$O46)</f>
        <v/>
      </c>
      <c r="O46" s="40" t="str">
        <f aca="false">IF($A46="","",COUNTIFS(Eq_Scope,$A46,Eq_Phase,"Pre-Commissioning"))</f>
        <v/>
      </c>
      <c r="P46" s="40" t="str">
        <f aca="false">IF($A46="","",COUNTIFS(Act_Scope,$A46,Act_Status,"&lt;&gt;Closed"))</f>
        <v/>
      </c>
      <c r="Q46" s="40" t="str">
        <f aca="false">IF($A46="","",COUNTIFS(Doc_Scope,$A46,Doc_Approved,0))</f>
        <v/>
      </c>
      <c r="R46" s="41"/>
    </row>
    <row r="47" customFormat="false" ht="15" hidden="false" customHeight="false" outlineLevel="0" collapsed="false">
      <c r="A47" s="41"/>
      <c r="B47" s="41"/>
      <c r="C47" s="41"/>
      <c r="D47" s="38"/>
      <c r="E47" s="38"/>
      <c r="F47" s="38"/>
      <c r="G47" s="38"/>
      <c r="H47" s="38"/>
      <c r="I47" s="38"/>
      <c r="J47" s="39" t="str">
        <f aca="false">IF($A47="","",IFERROR(AVERAGEIF(Eq_Scope,$A47,Eq_Readiness),0))</f>
        <v/>
      </c>
      <c r="K47" s="41"/>
      <c r="L47" s="40" t="str">
        <f aca="false">IF($A47="","",COUNTIF(Eq_Scope,$A47))</f>
        <v/>
      </c>
      <c r="M47" s="40" t="str">
        <f aca="false">IF($A47="","",COUNTIFS(Eq_Scope,$A47,Eq_Phase,"Complete"))</f>
        <v/>
      </c>
      <c r="N47" s="40" t="str">
        <f aca="false">IF($A47="","",$L47-$M47-$O47)</f>
        <v/>
      </c>
      <c r="O47" s="40" t="str">
        <f aca="false">IF($A47="","",COUNTIFS(Eq_Scope,$A47,Eq_Phase,"Pre-Commissioning"))</f>
        <v/>
      </c>
      <c r="P47" s="40" t="str">
        <f aca="false">IF($A47="","",COUNTIFS(Act_Scope,$A47,Act_Status,"&lt;&gt;Closed"))</f>
        <v/>
      </c>
      <c r="Q47" s="40" t="str">
        <f aca="false">IF($A47="","",COUNTIFS(Doc_Scope,$A47,Doc_Approved,0))</f>
        <v/>
      </c>
      <c r="R47" s="41"/>
    </row>
    <row r="48" customFormat="false" ht="15" hidden="false" customHeight="false" outlineLevel="0" collapsed="false">
      <c r="A48" s="41"/>
      <c r="B48" s="41"/>
      <c r="C48" s="41"/>
      <c r="D48" s="38"/>
      <c r="E48" s="38"/>
      <c r="F48" s="38"/>
      <c r="G48" s="38"/>
      <c r="H48" s="38"/>
      <c r="I48" s="38"/>
      <c r="J48" s="39" t="str">
        <f aca="false">IF($A48="","",IFERROR(AVERAGEIF(Eq_Scope,$A48,Eq_Readiness),0))</f>
        <v/>
      </c>
      <c r="K48" s="41"/>
      <c r="L48" s="40" t="str">
        <f aca="false">IF($A48="","",COUNTIF(Eq_Scope,$A48))</f>
        <v/>
      </c>
      <c r="M48" s="40" t="str">
        <f aca="false">IF($A48="","",COUNTIFS(Eq_Scope,$A48,Eq_Phase,"Complete"))</f>
        <v/>
      </c>
      <c r="N48" s="40" t="str">
        <f aca="false">IF($A48="","",$L48-$M48-$O48)</f>
        <v/>
      </c>
      <c r="O48" s="40" t="str">
        <f aca="false">IF($A48="","",COUNTIFS(Eq_Scope,$A48,Eq_Phase,"Pre-Commissioning"))</f>
        <v/>
      </c>
      <c r="P48" s="40" t="str">
        <f aca="false">IF($A48="","",COUNTIFS(Act_Scope,$A48,Act_Status,"&lt;&gt;Closed"))</f>
        <v/>
      </c>
      <c r="Q48" s="40" t="str">
        <f aca="false">IF($A48="","",COUNTIFS(Doc_Scope,$A48,Doc_Approved,0))</f>
        <v/>
      </c>
      <c r="R48" s="41"/>
    </row>
    <row r="49" customFormat="false" ht="15" hidden="false" customHeight="false" outlineLevel="0" collapsed="false">
      <c r="A49" s="41"/>
      <c r="B49" s="41"/>
      <c r="C49" s="41"/>
      <c r="D49" s="38"/>
      <c r="E49" s="38"/>
      <c r="F49" s="38"/>
      <c r="G49" s="38"/>
      <c r="H49" s="38"/>
      <c r="I49" s="38"/>
      <c r="J49" s="39" t="str">
        <f aca="false">IF($A49="","",IFERROR(AVERAGEIF(Eq_Scope,$A49,Eq_Readiness),0))</f>
        <v/>
      </c>
      <c r="K49" s="41"/>
      <c r="L49" s="40" t="str">
        <f aca="false">IF($A49="","",COUNTIF(Eq_Scope,$A49))</f>
        <v/>
      </c>
      <c r="M49" s="40" t="str">
        <f aca="false">IF($A49="","",COUNTIFS(Eq_Scope,$A49,Eq_Phase,"Complete"))</f>
        <v/>
      </c>
      <c r="N49" s="40" t="str">
        <f aca="false">IF($A49="","",$L49-$M49-$O49)</f>
        <v/>
      </c>
      <c r="O49" s="40" t="str">
        <f aca="false">IF($A49="","",COUNTIFS(Eq_Scope,$A49,Eq_Phase,"Pre-Commissioning"))</f>
        <v/>
      </c>
      <c r="P49" s="40" t="str">
        <f aca="false">IF($A49="","",COUNTIFS(Act_Scope,$A49,Act_Status,"&lt;&gt;Closed"))</f>
        <v/>
      </c>
      <c r="Q49" s="40" t="str">
        <f aca="false">IF($A49="","",COUNTIFS(Doc_Scope,$A49,Doc_Approved,0))</f>
        <v/>
      </c>
      <c r="R49" s="41"/>
    </row>
    <row r="50" customFormat="false" ht="15" hidden="false" customHeight="false" outlineLevel="0" collapsed="false">
      <c r="A50" s="41"/>
      <c r="B50" s="41"/>
      <c r="C50" s="41"/>
      <c r="D50" s="38"/>
      <c r="E50" s="38"/>
      <c r="F50" s="38"/>
      <c r="G50" s="38"/>
      <c r="H50" s="38"/>
      <c r="I50" s="38"/>
      <c r="J50" s="39" t="str">
        <f aca="false">IF($A50="","",IFERROR(AVERAGEIF(Eq_Scope,$A50,Eq_Readiness),0))</f>
        <v/>
      </c>
      <c r="K50" s="41"/>
      <c r="L50" s="40" t="str">
        <f aca="false">IF($A50="","",COUNTIF(Eq_Scope,$A50))</f>
        <v/>
      </c>
      <c r="M50" s="40" t="str">
        <f aca="false">IF($A50="","",COUNTIFS(Eq_Scope,$A50,Eq_Phase,"Complete"))</f>
        <v/>
      </c>
      <c r="N50" s="40" t="str">
        <f aca="false">IF($A50="","",$L50-$M50-$O50)</f>
        <v/>
      </c>
      <c r="O50" s="40" t="str">
        <f aca="false">IF($A50="","",COUNTIFS(Eq_Scope,$A50,Eq_Phase,"Pre-Commissioning"))</f>
        <v/>
      </c>
      <c r="P50" s="40" t="str">
        <f aca="false">IF($A50="","",COUNTIFS(Act_Scope,$A50,Act_Status,"&lt;&gt;Closed"))</f>
        <v/>
      </c>
      <c r="Q50" s="40" t="str">
        <f aca="false">IF($A50="","",COUNTIFS(Doc_Scope,$A50,Doc_Approved,0))</f>
        <v/>
      </c>
      <c r="R50" s="41"/>
    </row>
    <row r="51" customFormat="false" ht="15" hidden="false" customHeight="false" outlineLevel="0" collapsed="false">
      <c r="A51" s="41"/>
      <c r="B51" s="41"/>
      <c r="C51" s="41"/>
      <c r="D51" s="38"/>
      <c r="E51" s="38"/>
      <c r="F51" s="38"/>
      <c r="G51" s="38"/>
      <c r="H51" s="38"/>
      <c r="I51" s="38"/>
      <c r="J51" s="39" t="str">
        <f aca="false">IF($A51="","",IFERROR(AVERAGEIF(Eq_Scope,$A51,Eq_Readiness),0))</f>
        <v/>
      </c>
      <c r="K51" s="41"/>
      <c r="L51" s="40" t="str">
        <f aca="false">IF($A51="","",COUNTIF(Eq_Scope,$A51))</f>
        <v/>
      </c>
      <c r="M51" s="40" t="str">
        <f aca="false">IF($A51="","",COUNTIFS(Eq_Scope,$A51,Eq_Phase,"Complete"))</f>
        <v/>
      </c>
      <c r="N51" s="40" t="str">
        <f aca="false">IF($A51="","",$L51-$M51-$O51)</f>
        <v/>
      </c>
      <c r="O51" s="40" t="str">
        <f aca="false">IF($A51="","",COUNTIFS(Eq_Scope,$A51,Eq_Phase,"Pre-Commissioning"))</f>
        <v/>
      </c>
      <c r="P51" s="40" t="str">
        <f aca="false">IF($A51="","",COUNTIFS(Act_Scope,$A51,Act_Status,"&lt;&gt;Closed"))</f>
        <v/>
      </c>
      <c r="Q51" s="40" t="str">
        <f aca="false">IF($A51="","",COUNTIFS(Doc_Scope,$A51,Doc_Approved,0))</f>
        <v/>
      </c>
      <c r="R51" s="41"/>
    </row>
    <row r="52" customFormat="false" ht="15" hidden="false" customHeight="false" outlineLevel="0" collapsed="false">
      <c r="A52" s="41"/>
      <c r="B52" s="41"/>
      <c r="C52" s="41"/>
      <c r="D52" s="38"/>
      <c r="E52" s="38"/>
      <c r="F52" s="38"/>
      <c r="G52" s="38"/>
      <c r="H52" s="38"/>
      <c r="I52" s="38"/>
      <c r="J52" s="39" t="str">
        <f aca="false">IF($A52="","",IFERROR(AVERAGEIF(Eq_Scope,$A52,Eq_Readiness),0))</f>
        <v/>
      </c>
      <c r="K52" s="41"/>
      <c r="L52" s="40" t="str">
        <f aca="false">IF($A52="","",COUNTIF(Eq_Scope,$A52))</f>
        <v/>
      </c>
      <c r="M52" s="40" t="str">
        <f aca="false">IF($A52="","",COUNTIFS(Eq_Scope,$A52,Eq_Phase,"Complete"))</f>
        <v/>
      </c>
      <c r="N52" s="40" t="str">
        <f aca="false">IF($A52="","",$L52-$M52-$O52)</f>
        <v/>
      </c>
      <c r="O52" s="40" t="str">
        <f aca="false">IF($A52="","",COUNTIFS(Eq_Scope,$A52,Eq_Phase,"Pre-Commissioning"))</f>
        <v/>
      </c>
      <c r="P52" s="40" t="str">
        <f aca="false">IF($A52="","",COUNTIFS(Act_Scope,$A52,Act_Status,"&lt;&gt;Closed"))</f>
        <v/>
      </c>
      <c r="Q52" s="40" t="str">
        <f aca="false">IF($A52="","",COUNTIFS(Doc_Scope,$A52,Doc_Approved,0))</f>
        <v/>
      </c>
      <c r="R52" s="41"/>
    </row>
    <row r="53" customFormat="false" ht="15" hidden="false" customHeight="false" outlineLevel="0" collapsed="false">
      <c r="A53" s="41"/>
      <c r="B53" s="41"/>
      <c r="C53" s="41"/>
      <c r="D53" s="38"/>
      <c r="E53" s="38"/>
      <c r="F53" s="38"/>
      <c r="G53" s="38"/>
      <c r="H53" s="38"/>
      <c r="I53" s="38"/>
      <c r="J53" s="39" t="str">
        <f aca="false">IF($A53="","",IFERROR(AVERAGEIF(Eq_Scope,$A53,Eq_Readiness),0))</f>
        <v/>
      </c>
      <c r="K53" s="41"/>
      <c r="L53" s="40" t="str">
        <f aca="false">IF($A53="","",COUNTIF(Eq_Scope,$A53))</f>
        <v/>
      </c>
      <c r="M53" s="40" t="str">
        <f aca="false">IF($A53="","",COUNTIFS(Eq_Scope,$A53,Eq_Phase,"Complete"))</f>
        <v/>
      </c>
      <c r="N53" s="40" t="str">
        <f aca="false">IF($A53="","",$L53-$M53-$O53)</f>
        <v/>
      </c>
      <c r="O53" s="40" t="str">
        <f aca="false">IF($A53="","",COUNTIFS(Eq_Scope,$A53,Eq_Phase,"Pre-Commissioning"))</f>
        <v/>
      </c>
      <c r="P53" s="40" t="str">
        <f aca="false">IF($A53="","",COUNTIFS(Act_Scope,$A53,Act_Status,"&lt;&gt;Closed"))</f>
        <v/>
      </c>
      <c r="Q53" s="40" t="str">
        <f aca="false">IF($A53="","",COUNTIFS(Doc_Scope,$A53,Doc_Approved,0))</f>
        <v/>
      </c>
      <c r="R53" s="41"/>
    </row>
    <row r="54" customFormat="false" ht="15" hidden="false" customHeight="false" outlineLevel="0" collapsed="false">
      <c r="A54" s="41"/>
      <c r="B54" s="41"/>
      <c r="C54" s="41"/>
      <c r="D54" s="38"/>
      <c r="E54" s="38"/>
      <c r="F54" s="38"/>
      <c r="G54" s="38"/>
      <c r="H54" s="38"/>
      <c r="I54" s="38"/>
      <c r="J54" s="39" t="str">
        <f aca="false">IF($A54="","",IFERROR(AVERAGEIF(Eq_Scope,$A54,Eq_Readiness),0))</f>
        <v/>
      </c>
      <c r="K54" s="41"/>
      <c r="L54" s="40" t="str">
        <f aca="false">IF($A54="","",COUNTIF(Eq_Scope,$A54))</f>
        <v/>
      </c>
      <c r="M54" s="40" t="str">
        <f aca="false">IF($A54="","",COUNTIFS(Eq_Scope,$A54,Eq_Phase,"Complete"))</f>
        <v/>
      </c>
      <c r="N54" s="40" t="str">
        <f aca="false">IF($A54="","",$L54-$M54-$O54)</f>
        <v/>
      </c>
      <c r="O54" s="40" t="str">
        <f aca="false">IF($A54="","",COUNTIFS(Eq_Scope,$A54,Eq_Phase,"Pre-Commissioning"))</f>
        <v/>
      </c>
      <c r="P54" s="40" t="str">
        <f aca="false">IF($A54="","",COUNTIFS(Act_Scope,$A54,Act_Status,"&lt;&gt;Closed"))</f>
        <v/>
      </c>
      <c r="Q54" s="40" t="str">
        <f aca="false">IF($A54="","",COUNTIFS(Doc_Scope,$A54,Doc_Approved,0))</f>
        <v/>
      </c>
      <c r="R54" s="41"/>
    </row>
    <row r="55" customFormat="false" ht="15" hidden="false" customHeight="false" outlineLevel="0" collapsed="false">
      <c r="A55" s="41"/>
      <c r="B55" s="41"/>
      <c r="C55" s="41"/>
      <c r="D55" s="38"/>
      <c r="E55" s="38"/>
      <c r="F55" s="38"/>
      <c r="G55" s="38"/>
      <c r="H55" s="38"/>
      <c r="I55" s="38"/>
      <c r="J55" s="39" t="str">
        <f aca="false">IF($A55="","",IFERROR(AVERAGEIF(Eq_Scope,$A55,Eq_Readiness),0))</f>
        <v/>
      </c>
      <c r="K55" s="41"/>
      <c r="L55" s="40" t="str">
        <f aca="false">IF($A55="","",COUNTIF(Eq_Scope,$A55))</f>
        <v/>
      </c>
      <c r="M55" s="40" t="str">
        <f aca="false">IF($A55="","",COUNTIFS(Eq_Scope,$A55,Eq_Phase,"Complete"))</f>
        <v/>
      </c>
      <c r="N55" s="40" t="str">
        <f aca="false">IF($A55="","",$L55-$M55-$O55)</f>
        <v/>
      </c>
      <c r="O55" s="40" t="str">
        <f aca="false">IF($A55="","",COUNTIFS(Eq_Scope,$A55,Eq_Phase,"Pre-Commissioning"))</f>
        <v/>
      </c>
      <c r="P55" s="40" t="str">
        <f aca="false">IF($A55="","",COUNTIFS(Act_Scope,$A55,Act_Status,"&lt;&gt;Closed"))</f>
        <v/>
      </c>
      <c r="Q55" s="40" t="str">
        <f aca="false">IF($A55="","",COUNTIFS(Doc_Scope,$A55,Doc_Approved,0))</f>
        <v/>
      </c>
      <c r="R55" s="41"/>
    </row>
    <row r="56" customFormat="false" ht="15" hidden="false" customHeight="false" outlineLevel="0" collapsed="false">
      <c r="A56" s="41"/>
      <c r="B56" s="41"/>
      <c r="C56" s="41"/>
      <c r="D56" s="38"/>
      <c r="E56" s="38"/>
      <c r="F56" s="38"/>
      <c r="G56" s="38"/>
      <c r="H56" s="38"/>
      <c r="I56" s="38"/>
      <c r="J56" s="39" t="str">
        <f aca="false">IF($A56="","",IFERROR(AVERAGEIF(Eq_Scope,$A56,Eq_Readiness),0))</f>
        <v/>
      </c>
      <c r="K56" s="41"/>
      <c r="L56" s="40" t="str">
        <f aca="false">IF($A56="","",COUNTIF(Eq_Scope,$A56))</f>
        <v/>
      </c>
      <c r="M56" s="40" t="str">
        <f aca="false">IF($A56="","",COUNTIFS(Eq_Scope,$A56,Eq_Phase,"Complete"))</f>
        <v/>
      </c>
      <c r="N56" s="40" t="str">
        <f aca="false">IF($A56="","",$L56-$M56-$O56)</f>
        <v/>
      </c>
      <c r="O56" s="40" t="str">
        <f aca="false">IF($A56="","",COUNTIFS(Eq_Scope,$A56,Eq_Phase,"Pre-Commissioning"))</f>
        <v/>
      </c>
      <c r="P56" s="40" t="str">
        <f aca="false">IF($A56="","",COUNTIFS(Act_Scope,$A56,Act_Status,"&lt;&gt;Closed"))</f>
        <v/>
      </c>
      <c r="Q56" s="40" t="str">
        <f aca="false">IF($A56="","",COUNTIFS(Doc_Scope,$A56,Doc_Approved,0))</f>
        <v/>
      </c>
      <c r="R56" s="41"/>
    </row>
    <row r="57" customFormat="false" ht="15" hidden="false" customHeight="false" outlineLevel="0" collapsed="false">
      <c r="A57" s="41"/>
      <c r="B57" s="41"/>
      <c r="C57" s="41"/>
      <c r="D57" s="38"/>
      <c r="E57" s="38"/>
      <c r="F57" s="38"/>
      <c r="G57" s="38"/>
      <c r="H57" s="38"/>
      <c r="I57" s="38"/>
      <c r="J57" s="39" t="str">
        <f aca="false">IF($A57="","",IFERROR(AVERAGEIF(Eq_Scope,$A57,Eq_Readiness),0))</f>
        <v/>
      </c>
      <c r="K57" s="41"/>
      <c r="L57" s="40" t="str">
        <f aca="false">IF($A57="","",COUNTIF(Eq_Scope,$A57))</f>
        <v/>
      </c>
      <c r="M57" s="40" t="str">
        <f aca="false">IF($A57="","",COUNTIFS(Eq_Scope,$A57,Eq_Phase,"Complete"))</f>
        <v/>
      </c>
      <c r="N57" s="40" t="str">
        <f aca="false">IF($A57="","",$L57-$M57-$O57)</f>
        <v/>
      </c>
      <c r="O57" s="40" t="str">
        <f aca="false">IF($A57="","",COUNTIFS(Eq_Scope,$A57,Eq_Phase,"Pre-Commissioning"))</f>
        <v/>
      </c>
      <c r="P57" s="40" t="str">
        <f aca="false">IF($A57="","",COUNTIFS(Act_Scope,$A57,Act_Status,"&lt;&gt;Closed"))</f>
        <v/>
      </c>
      <c r="Q57" s="40" t="str">
        <f aca="false">IF($A57="","",COUNTIFS(Doc_Scope,$A57,Doc_Approved,0))</f>
        <v/>
      </c>
      <c r="R57" s="41"/>
    </row>
    <row r="58" customFormat="false" ht="15" hidden="false" customHeight="false" outlineLevel="0" collapsed="false">
      <c r="A58" s="41"/>
      <c r="B58" s="41"/>
      <c r="C58" s="41"/>
      <c r="D58" s="38"/>
      <c r="E58" s="38"/>
      <c r="F58" s="38"/>
      <c r="G58" s="38"/>
      <c r="H58" s="38"/>
      <c r="I58" s="38"/>
      <c r="J58" s="39" t="str">
        <f aca="false">IF($A58="","",IFERROR(AVERAGEIF(Eq_Scope,$A58,Eq_Readiness),0))</f>
        <v/>
      </c>
      <c r="K58" s="41"/>
      <c r="L58" s="40" t="str">
        <f aca="false">IF($A58="","",COUNTIF(Eq_Scope,$A58))</f>
        <v/>
      </c>
      <c r="M58" s="40" t="str">
        <f aca="false">IF($A58="","",COUNTIFS(Eq_Scope,$A58,Eq_Phase,"Complete"))</f>
        <v/>
      </c>
      <c r="N58" s="40" t="str">
        <f aca="false">IF($A58="","",$L58-$M58-$O58)</f>
        <v/>
      </c>
      <c r="O58" s="40" t="str">
        <f aca="false">IF($A58="","",COUNTIFS(Eq_Scope,$A58,Eq_Phase,"Pre-Commissioning"))</f>
        <v/>
      </c>
      <c r="P58" s="40" t="str">
        <f aca="false">IF($A58="","",COUNTIFS(Act_Scope,$A58,Act_Status,"&lt;&gt;Closed"))</f>
        <v/>
      </c>
      <c r="Q58" s="40" t="str">
        <f aca="false">IF($A58="","",COUNTIFS(Doc_Scope,$A58,Doc_Approved,0))</f>
        <v/>
      </c>
      <c r="R58" s="41"/>
    </row>
    <row r="59" customFormat="false" ht="15" hidden="false" customHeight="false" outlineLevel="0" collapsed="false">
      <c r="A59" s="41"/>
      <c r="B59" s="41"/>
      <c r="C59" s="41"/>
      <c r="D59" s="38"/>
      <c r="E59" s="38"/>
      <c r="F59" s="38"/>
      <c r="G59" s="38"/>
      <c r="H59" s="38"/>
      <c r="I59" s="38"/>
      <c r="J59" s="39" t="str">
        <f aca="false">IF($A59="","",IFERROR(AVERAGEIF(Eq_Scope,$A59,Eq_Readiness),0))</f>
        <v/>
      </c>
      <c r="K59" s="41"/>
      <c r="L59" s="40" t="str">
        <f aca="false">IF($A59="","",COUNTIF(Eq_Scope,$A59))</f>
        <v/>
      </c>
      <c r="M59" s="40" t="str">
        <f aca="false">IF($A59="","",COUNTIFS(Eq_Scope,$A59,Eq_Phase,"Complete"))</f>
        <v/>
      </c>
      <c r="N59" s="40" t="str">
        <f aca="false">IF($A59="","",$L59-$M59-$O59)</f>
        <v/>
      </c>
      <c r="O59" s="40" t="str">
        <f aca="false">IF($A59="","",COUNTIFS(Eq_Scope,$A59,Eq_Phase,"Pre-Commissioning"))</f>
        <v/>
      </c>
      <c r="P59" s="40" t="str">
        <f aca="false">IF($A59="","",COUNTIFS(Act_Scope,$A59,Act_Status,"&lt;&gt;Closed"))</f>
        <v/>
      </c>
      <c r="Q59" s="40" t="str">
        <f aca="false">IF($A59="","",COUNTIFS(Doc_Scope,$A59,Doc_Approved,0))</f>
        <v/>
      </c>
      <c r="R59" s="41"/>
    </row>
    <row r="60" customFormat="false" ht="15" hidden="false" customHeight="false" outlineLevel="0" collapsed="false">
      <c r="A60" s="41"/>
      <c r="B60" s="41"/>
      <c r="C60" s="41"/>
      <c r="D60" s="38"/>
      <c r="E60" s="38"/>
      <c r="F60" s="38"/>
      <c r="G60" s="38"/>
      <c r="H60" s="38"/>
      <c r="I60" s="38"/>
      <c r="J60" s="39" t="str">
        <f aca="false">IF($A60="","",IFERROR(AVERAGEIF(Eq_Scope,$A60,Eq_Readiness),0))</f>
        <v/>
      </c>
      <c r="K60" s="41"/>
      <c r="L60" s="40" t="str">
        <f aca="false">IF($A60="","",COUNTIF(Eq_Scope,$A60))</f>
        <v/>
      </c>
      <c r="M60" s="40" t="str">
        <f aca="false">IF($A60="","",COUNTIFS(Eq_Scope,$A60,Eq_Phase,"Complete"))</f>
        <v/>
      </c>
      <c r="N60" s="40" t="str">
        <f aca="false">IF($A60="","",$L60-$M60-$O60)</f>
        <v/>
      </c>
      <c r="O60" s="40" t="str">
        <f aca="false">IF($A60="","",COUNTIFS(Eq_Scope,$A60,Eq_Phase,"Pre-Commissioning"))</f>
        <v/>
      </c>
      <c r="P60" s="40" t="str">
        <f aca="false">IF($A60="","",COUNTIFS(Act_Scope,$A60,Act_Status,"&lt;&gt;Closed"))</f>
        <v/>
      </c>
      <c r="Q60" s="40" t="str">
        <f aca="false">IF($A60="","",COUNTIFS(Doc_Scope,$A60,Doc_Approved,0))</f>
        <v/>
      </c>
      <c r="R60" s="41"/>
    </row>
    <row r="61" customFormat="false" ht="15" hidden="false" customHeight="false" outlineLevel="0" collapsed="false">
      <c r="A61" s="41"/>
      <c r="B61" s="41"/>
      <c r="C61" s="41"/>
      <c r="D61" s="38"/>
      <c r="E61" s="38"/>
      <c r="F61" s="38"/>
      <c r="G61" s="38"/>
      <c r="H61" s="38"/>
      <c r="I61" s="38"/>
      <c r="J61" s="39" t="str">
        <f aca="false">IF($A61="","",IFERROR(AVERAGEIF(Eq_Scope,$A61,Eq_Readiness),0))</f>
        <v/>
      </c>
      <c r="K61" s="41"/>
      <c r="L61" s="40" t="str">
        <f aca="false">IF($A61="","",COUNTIF(Eq_Scope,$A61))</f>
        <v/>
      </c>
      <c r="M61" s="40" t="str">
        <f aca="false">IF($A61="","",COUNTIFS(Eq_Scope,$A61,Eq_Phase,"Complete"))</f>
        <v/>
      </c>
      <c r="N61" s="40" t="str">
        <f aca="false">IF($A61="","",$L61-$M61-$O61)</f>
        <v/>
      </c>
      <c r="O61" s="40" t="str">
        <f aca="false">IF($A61="","",COUNTIFS(Eq_Scope,$A61,Eq_Phase,"Pre-Commissioning"))</f>
        <v/>
      </c>
      <c r="P61" s="40" t="str">
        <f aca="false">IF($A61="","",COUNTIFS(Act_Scope,$A61,Act_Status,"&lt;&gt;Closed"))</f>
        <v/>
      </c>
      <c r="Q61" s="40" t="str">
        <f aca="false">IF($A61="","",COUNTIFS(Doc_Scope,$A61,Doc_Approved,0))</f>
        <v/>
      </c>
      <c r="R61" s="41"/>
    </row>
    <row r="62" customFormat="false" ht="15" hidden="false" customHeight="false" outlineLevel="0" collapsed="false">
      <c r="A62" s="41"/>
      <c r="B62" s="41"/>
      <c r="C62" s="41"/>
      <c r="D62" s="38"/>
      <c r="E62" s="38"/>
      <c r="F62" s="38"/>
      <c r="G62" s="38"/>
      <c r="H62" s="38"/>
      <c r="I62" s="38"/>
      <c r="J62" s="39" t="str">
        <f aca="false">IF($A62="","",IFERROR(AVERAGEIF(Eq_Scope,$A62,Eq_Readiness),0))</f>
        <v/>
      </c>
      <c r="K62" s="41"/>
      <c r="L62" s="40" t="str">
        <f aca="false">IF($A62="","",COUNTIF(Eq_Scope,$A62))</f>
        <v/>
      </c>
      <c r="M62" s="40" t="str">
        <f aca="false">IF($A62="","",COUNTIFS(Eq_Scope,$A62,Eq_Phase,"Complete"))</f>
        <v/>
      </c>
      <c r="N62" s="40" t="str">
        <f aca="false">IF($A62="","",$L62-$M62-$O62)</f>
        <v/>
      </c>
      <c r="O62" s="40" t="str">
        <f aca="false">IF($A62="","",COUNTIFS(Eq_Scope,$A62,Eq_Phase,"Pre-Commissioning"))</f>
        <v/>
      </c>
      <c r="P62" s="40" t="str">
        <f aca="false">IF($A62="","",COUNTIFS(Act_Scope,$A62,Act_Status,"&lt;&gt;Closed"))</f>
        <v/>
      </c>
      <c r="Q62" s="40" t="str">
        <f aca="false">IF($A62="","",COUNTIFS(Doc_Scope,$A62,Doc_Approved,0))</f>
        <v/>
      </c>
      <c r="R62" s="41"/>
    </row>
    <row r="63" customFormat="false" ht="15" hidden="false" customHeight="false" outlineLevel="0" collapsed="false">
      <c r="A63" s="41"/>
      <c r="B63" s="41"/>
      <c r="C63" s="41"/>
      <c r="D63" s="38"/>
      <c r="E63" s="38"/>
      <c r="F63" s="38"/>
      <c r="G63" s="38"/>
      <c r="H63" s="38"/>
      <c r="I63" s="38"/>
      <c r="J63" s="39" t="str">
        <f aca="false">IF($A63="","",IFERROR(AVERAGEIF(Eq_Scope,$A63,Eq_Readiness),0))</f>
        <v/>
      </c>
      <c r="K63" s="41"/>
      <c r="L63" s="40" t="str">
        <f aca="false">IF($A63="","",COUNTIF(Eq_Scope,$A63))</f>
        <v/>
      </c>
      <c r="M63" s="40" t="str">
        <f aca="false">IF($A63="","",COUNTIFS(Eq_Scope,$A63,Eq_Phase,"Complete"))</f>
        <v/>
      </c>
      <c r="N63" s="40" t="str">
        <f aca="false">IF($A63="","",$L63-$M63-$O63)</f>
        <v/>
      </c>
      <c r="O63" s="40" t="str">
        <f aca="false">IF($A63="","",COUNTIFS(Eq_Scope,$A63,Eq_Phase,"Pre-Commissioning"))</f>
        <v/>
      </c>
      <c r="P63" s="40" t="str">
        <f aca="false">IF($A63="","",COUNTIFS(Act_Scope,$A63,Act_Status,"&lt;&gt;Closed"))</f>
        <v/>
      </c>
      <c r="Q63" s="40" t="str">
        <f aca="false">IF($A63="","",COUNTIFS(Doc_Scope,$A63,Doc_Approved,0))</f>
        <v/>
      </c>
      <c r="R63" s="41"/>
    </row>
    <row r="64" customFormat="false" ht="15" hidden="false" customHeight="false" outlineLevel="0" collapsed="false">
      <c r="A64" s="41"/>
      <c r="B64" s="41"/>
      <c r="C64" s="41"/>
      <c r="D64" s="38"/>
      <c r="E64" s="38"/>
      <c r="F64" s="38"/>
      <c r="G64" s="38"/>
      <c r="H64" s="38"/>
      <c r="I64" s="38"/>
      <c r="J64" s="39" t="str">
        <f aca="false">IF($A64="","",IFERROR(AVERAGEIF(Eq_Scope,$A64,Eq_Readiness),0))</f>
        <v/>
      </c>
      <c r="K64" s="41"/>
      <c r="L64" s="40" t="str">
        <f aca="false">IF($A64="","",COUNTIF(Eq_Scope,$A64))</f>
        <v/>
      </c>
      <c r="M64" s="40" t="str">
        <f aca="false">IF($A64="","",COUNTIFS(Eq_Scope,$A64,Eq_Phase,"Complete"))</f>
        <v/>
      </c>
      <c r="N64" s="40" t="str">
        <f aca="false">IF($A64="","",$L64-$M64-$O64)</f>
        <v/>
      </c>
      <c r="O64" s="40" t="str">
        <f aca="false">IF($A64="","",COUNTIFS(Eq_Scope,$A64,Eq_Phase,"Pre-Commissioning"))</f>
        <v/>
      </c>
      <c r="P64" s="40" t="str">
        <f aca="false">IF($A64="","",COUNTIFS(Act_Scope,$A64,Act_Status,"&lt;&gt;Closed"))</f>
        <v/>
      </c>
      <c r="Q64" s="40" t="str">
        <f aca="false">IF($A64="","",COUNTIFS(Doc_Scope,$A64,Doc_Approved,0))</f>
        <v/>
      </c>
      <c r="R64" s="41"/>
    </row>
    <row r="65" customFormat="false" ht="15" hidden="false" customHeight="false" outlineLevel="0" collapsed="false">
      <c r="A65" s="41"/>
      <c r="B65" s="41"/>
      <c r="C65" s="41"/>
      <c r="D65" s="38"/>
      <c r="E65" s="38"/>
      <c r="F65" s="38"/>
      <c r="G65" s="38"/>
      <c r="H65" s="38"/>
      <c r="I65" s="38"/>
      <c r="J65" s="39" t="str">
        <f aca="false">IF($A65="","",IFERROR(AVERAGEIF(Eq_Scope,$A65,Eq_Readiness),0))</f>
        <v/>
      </c>
      <c r="K65" s="41"/>
      <c r="L65" s="40" t="str">
        <f aca="false">IF($A65="","",COUNTIF(Eq_Scope,$A65))</f>
        <v/>
      </c>
      <c r="M65" s="40" t="str">
        <f aca="false">IF($A65="","",COUNTIFS(Eq_Scope,$A65,Eq_Phase,"Complete"))</f>
        <v/>
      </c>
      <c r="N65" s="40" t="str">
        <f aca="false">IF($A65="","",$L65-$M65-$O65)</f>
        <v/>
      </c>
      <c r="O65" s="40" t="str">
        <f aca="false">IF($A65="","",COUNTIFS(Eq_Scope,$A65,Eq_Phase,"Pre-Commissioning"))</f>
        <v/>
      </c>
      <c r="P65" s="40" t="str">
        <f aca="false">IF($A65="","",COUNTIFS(Act_Scope,$A65,Act_Status,"&lt;&gt;Closed"))</f>
        <v/>
      </c>
      <c r="Q65" s="40" t="str">
        <f aca="false">IF($A65="","",COUNTIFS(Doc_Scope,$A65,Doc_Approved,0))</f>
        <v/>
      </c>
      <c r="R65" s="41"/>
    </row>
    <row r="66" customFormat="false" ht="15" hidden="false" customHeight="false" outlineLevel="0" collapsed="false">
      <c r="A66" s="41"/>
      <c r="B66" s="41"/>
      <c r="C66" s="41"/>
      <c r="D66" s="38"/>
      <c r="E66" s="38"/>
      <c r="F66" s="38"/>
      <c r="G66" s="38"/>
      <c r="H66" s="38"/>
      <c r="I66" s="38"/>
      <c r="J66" s="39" t="str">
        <f aca="false">IF($A66="","",IFERROR(AVERAGEIF(Eq_Scope,$A66,Eq_Readiness),0))</f>
        <v/>
      </c>
      <c r="K66" s="41"/>
      <c r="L66" s="40" t="str">
        <f aca="false">IF($A66="","",COUNTIF(Eq_Scope,$A66))</f>
        <v/>
      </c>
      <c r="M66" s="40" t="str">
        <f aca="false">IF($A66="","",COUNTIFS(Eq_Scope,$A66,Eq_Phase,"Complete"))</f>
        <v/>
      </c>
      <c r="N66" s="40" t="str">
        <f aca="false">IF($A66="","",$L66-$M66-$O66)</f>
        <v/>
      </c>
      <c r="O66" s="40" t="str">
        <f aca="false">IF($A66="","",COUNTIFS(Eq_Scope,$A66,Eq_Phase,"Pre-Commissioning"))</f>
        <v/>
      </c>
      <c r="P66" s="40" t="str">
        <f aca="false">IF($A66="","",COUNTIFS(Act_Scope,$A66,Act_Status,"&lt;&gt;Closed"))</f>
        <v/>
      </c>
      <c r="Q66" s="40" t="str">
        <f aca="false">IF($A66="","",COUNTIFS(Doc_Scope,$A66,Doc_Approved,0))</f>
        <v/>
      </c>
      <c r="R66" s="41"/>
    </row>
    <row r="67" customFormat="false" ht="15" hidden="false" customHeight="false" outlineLevel="0" collapsed="false">
      <c r="A67" s="41"/>
      <c r="B67" s="41"/>
      <c r="C67" s="41"/>
      <c r="D67" s="38"/>
      <c r="E67" s="38"/>
      <c r="F67" s="38"/>
      <c r="G67" s="38"/>
      <c r="H67" s="38"/>
      <c r="I67" s="38"/>
      <c r="J67" s="39" t="str">
        <f aca="false">IF($A67="","",IFERROR(AVERAGEIF(Eq_Scope,$A67,Eq_Readiness),0))</f>
        <v/>
      </c>
      <c r="K67" s="41"/>
      <c r="L67" s="40" t="str">
        <f aca="false">IF($A67="","",COUNTIF(Eq_Scope,$A67))</f>
        <v/>
      </c>
      <c r="M67" s="40" t="str">
        <f aca="false">IF($A67="","",COUNTIFS(Eq_Scope,$A67,Eq_Phase,"Complete"))</f>
        <v/>
      </c>
      <c r="N67" s="40" t="str">
        <f aca="false">IF($A67="","",$L67-$M67-$O67)</f>
        <v/>
      </c>
      <c r="O67" s="40" t="str">
        <f aca="false">IF($A67="","",COUNTIFS(Eq_Scope,$A67,Eq_Phase,"Pre-Commissioning"))</f>
        <v/>
      </c>
      <c r="P67" s="40" t="str">
        <f aca="false">IF($A67="","",COUNTIFS(Act_Scope,$A67,Act_Status,"&lt;&gt;Closed"))</f>
        <v/>
      </c>
      <c r="Q67" s="40" t="str">
        <f aca="false">IF($A67="","",COUNTIFS(Doc_Scope,$A67,Doc_Approved,0))</f>
        <v/>
      </c>
      <c r="R67" s="41"/>
    </row>
    <row r="68" customFormat="false" ht="15" hidden="false" customHeight="false" outlineLevel="0" collapsed="false">
      <c r="A68" s="41"/>
      <c r="B68" s="41"/>
      <c r="C68" s="41"/>
      <c r="D68" s="38"/>
      <c r="E68" s="38"/>
      <c r="F68" s="38"/>
      <c r="G68" s="38"/>
      <c r="H68" s="38"/>
      <c r="I68" s="38"/>
      <c r="J68" s="39" t="str">
        <f aca="false">IF($A68="","",IFERROR(AVERAGEIF(Eq_Scope,$A68,Eq_Readiness),0))</f>
        <v/>
      </c>
      <c r="K68" s="41"/>
      <c r="L68" s="40" t="str">
        <f aca="false">IF($A68="","",COUNTIF(Eq_Scope,$A68))</f>
        <v/>
      </c>
      <c r="M68" s="40" t="str">
        <f aca="false">IF($A68="","",COUNTIFS(Eq_Scope,$A68,Eq_Phase,"Complete"))</f>
        <v/>
      </c>
      <c r="N68" s="40" t="str">
        <f aca="false">IF($A68="","",$L68-$M68-$O68)</f>
        <v/>
      </c>
      <c r="O68" s="40" t="str">
        <f aca="false">IF($A68="","",COUNTIFS(Eq_Scope,$A68,Eq_Phase,"Pre-Commissioning"))</f>
        <v/>
      </c>
      <c r="P68" s="40" t="str">
        <f aca="false">IF($A68="","",COUNTIFS(Act_Scope,$A68,Act_Status,"&lt;&gt;Closed"))</f>
        <v/>
      </c>
      <c r="Q68" s="40" t="str">
        <f aca="false">IF($A68="","",COUNTIFS(Doc_Scope,$A68,Doc_Approved,0))</f>
        <v/>
      </c>
      <c r="R68" s="41"/>
    </row>
    <row r="69" customFormat="false" ht="15" hidden="false" customHeight="false" outlineLevel="0" collapsed="false">
      <c r="A69" s="41"/>
      <c r="B69" s="41"/>
      <c r="C69" s="41"/>
      <c r="D69" s="38"/>
      <c r="E69" s="38"/>
      <c r="F69" s="38"/>
      <c r="G69" s="38"/>
      <c r="H69" s="38"/>
      <c r="I69" s="38"/>
      <c r="J69" s="39" t="str">
        <f aca="false">IF($A69="","",IFERROR(AVERAGEIF(Eq_Scope,$A69,Eq_Readiness),0))</f>
        <v/>
      </c>
      <c r="K69" s="41"/>
      <c r="L69" s="40" t="str">
        <f aca="false">IF($A69="","",COUNTIF(Eq_Scope,$A69))</f>
        <v/>
      </c>
      <c r="M69" s="40" t="str">
        <f aca="false">IF($A69="","",COUNTIFS(Eq_Scope,$A69,Eq_Phase,"Complete"))</f>
        <v/>
      </c>
      <c r="N69" s="40" t="str">
        <f aca="false">IF($A69="","",$L69-$M69-$O69)</f>
        <v/>
      </c>
      <c r="O69" s="40" t="str">
        <f aca="false">IF($A69="","",COUNTIFS(Eq_Scope,$A69,Eq_Phase,"Pre-Commissioning"))</f>
        <v/>
      </c>
      <c r="P69" s="40" t="str">
        <f aca="false">IF($A69="","",COUNTIFS(Act_Scope,$A69,Act_Status,"&lt;&gt;Closed"))</f>
        <v/>
      </c>
      <c r="Q69" s="40" t="str">
        <f aca="false">IF($A69="","",COUNTIFS(Doc_Scope,$A69,Doc_Approved,0))</f>
        <v/>
      </c>
      <c r="R69" s="41"/>
    </row>
    <row r="70" customFormat="false" ht="15" hidden="false" customHeight="false" outlineLevel="0" collapsed="false">
      <c r="A70" s="41"/>
      <c r="B70" s="41"/>
      <c r="C70" s="41"/>
      <c r="D70" s="38"/>
      <c r="E70" s="38"/>
      <c r="F70" s="38"/>
      <c r="G70" s="38"/>
      <c r="H70" s="38"/>
      <c r="I70" s="38"/>
      <c r="J70" s="39" t="str">
        <f aca="false">IF($A70="","",IFERROR(AVERAGEIF(Eq_Scope,$A70,Eq_Readiness),0))</f>
        <v/>
      </c>
      <c r="K70" s="41"/>
      <c r="L70" s="40" t="str">
        <f aca="false">IF($A70="","",COUNTIF(Eq_Scope,$A70))</f>
        <v/>
      </c>
      <c r="M70" s="40" t="str">
        <f aca="false">IF($A70="","",COUNTIFS(Eq_Scope,$A70,Eq_Phase,"Complete"))</f>
        <v/>
      </c>
      <c r="N70" s="40" t="str">
        <f aca="false">IF($A70="","",$L70-$M70-$O70)</f>
        <v/>
      </c>
      <c r="O70" s="40" t="str">
        <f aca="false">IF($A70="","",COUNTIFS(Eq_Scope,$A70,Eq_Phase,"Pre-Commissioning"))</f>
        <v/>
      </c>
      <c r="P70" s="40" t="str">
        <f aca="false">IF($A70="","",COUNTIFS(Act_Scope,$A70,Act_Status,"&lt;&gt;Closed"))</f>
        <v/>
      </c>
      <c r="Q70" s="40" t="str">
        <f aca="false">IF($A70="","",COUNTIFS(Doc_Scope,$A70,Doc_Approved,0))</f>
        <v/>
      </c>
      <c r="R70" s="41"/>
    </row>
    <row r="71" customFormat="false" ht="15" hidden="false" customHeight="false" outlineLevel="0" collapsed="false">
      <c r="A71" s="41"/>
      <c r="B71" s="41"/>
      <c r="C71" s="41"/>
      <c r="D71" s="38"/>
      <c r="E71" s="38"/>
      <c r="F71" s="38"/>
      <c r="G71" s="38"/>
      <c r="H71" s="38"/>
      <c r="I71" s="38"/>
      <c r="J71" s="39" t="str">
        <f aca="false">IF($A71="","",IFERROR(AVERAGEIF(Eq_Scope,$A71,Eq_Readiness),0))</f>
        <v/>
      </c>
      <c r="K71" s="41"/>
      <c r="L71" s="40" t="str">
        <f aca="false">IF($A71="","",COUNTIF(Eq_Scope,$A71))</f>
        <v/>
      </c>
      <c r="M71" s="40" t="str">
        <f aca="false">IF($A71="","",COUNTIFS(Eq_Scope,$A71,Eq_Phase,"Complete"))</f>
        <v/>
      </c>
      <c r="N71" s="40" t="str">
        <f aca="false">IF($A71="","",$L71-$M71-$O71)</f>
        <v/>
      </c>
      <c r="O71" s="40" t="str">
        <f aca="false">IF($A71="","",COUNTIFS(Eq_Scope,$A71,Eq_Phase,"Pre-Commissioning"))</f>
        <v/>
      </c>
      <c r="P71" s="40" t="str">
        <f aca="false">IF($A71="","",COUNTIFS(Act_Scope,$A71,Act_Status,"&lt;&gt;Closed"))</f>
        <v/>
      </c>
      <c r="Q71" s="40" t="str">
        <f aca="false">IF($A71="","",COUNTIFS(Doc_Scope,$A71,Doc_Approved,0))</f>
        <v/>
      </c>
      <c r="R71" s="41"/>
    </row>
    <row r="72" customFormat="false" ht="15" hidden="false" customHeight="false" outlineLevel="0" collapsed="false">
      <c r="A72" s="41"/>
      <c r="B72" s="41"/>
      <c r="C72" s="41"/>
      <c r="D72" s="38"/>
      <c r="E72" s="38"/>
      <c r="F72" s="38"/>
      <c r="G72" s="38"/>
      <c r="H72" s="38"/>
      <c r="I72" s="38"/>
      <c r="J72" s="39" t="str">
        <f aca="false">IF($A72="","",IFERROR(AVERAGEIF(Eq_Scope,$A72,Eq_Readiness),0))</f>
        <v/>
      </c>
      <c r="K72" s="41"/>
      <c r="L72" s="40" t="str">
        <f aca="false">IF($A72="","",COUNTIF(Eq_Scope,$A72))</f>
        <v/>
      </c>
      <c r="M72" s="40" t="str">
        <f aca="false">IF($A72="","",COUNTIFS(Eq_Scope,$A72,Eq_Phase,"Complete"))</f>
        <v/>
      </c>
      <c r="N72" s="40" t="str">
        <f aca="false">IF($A72="","",$L72-$M72-$O72)</f>
        <v/>
      </c>
      <c r="O72" s="40" t="str">
        <f aca="false">IF($A72="","",COUNTIFS(Eq_Scope,$A72,Eq_Phase,"Pre-Commissioning"))</f>
        <v/>
      </c>
      <c r="P72" s="40" t="str">
        <f aca="false">IF($A72="","",COUNTIFS(Act_Scope,$A72,Act_Status,"&lt;&gt;Closed"))</f>
        <v/>
      </c>
      <c r="Q72" s="40" t="str">
        <f aca="false">IF($A72="","",COUNTIFS(Doc_Scope,$A72,Doc_Approved,0))</f>
        <v/>
      </c>
      <c r="R72" s="41"/>
    </row>
    <row r="73" customFormat="false" ht="15" hidden="false" customHeight="false" outlineLevel="0" collapsed="false">
      <c r="A73" s="41"/>
      <c r="B73" s="41"/>
      <c r="C73" s="41"/>
      <c r="D73" s="38"/>
      <c r="E73" s="38"/>
      <c r="F73" s="38"/>
      <c r="G73" s="38"/>
      <c r="H73" s="38"/>
      <c r="I73" s="38"/>
      <c r="J73" s="39" t="str">
        <f aca="false">IF($A73="","",IFERROR(AVERAGEIF(Eq_Scope,$A73,Eq_Readiness),0))</f>
        <v/>
      </c>
      <c r="K73" s="41"/>
      <c r="L73" s="40" t="str">
        <f aca="false">IF($A73="","",COUNTIF(Eq_Scope,$A73))</f>
        <v/>
      </c>
      <c r="M73" s="40" t="str">
        <f aca="false">IF($A73="","",COUNTIFS(Eq_Scope,$A73,Eq_Phase,"Complete"))</f>
        <v/>
      </c>
      <c r="N73" s="40" t="str">
        <f aca="false">IF($A73="","",$L73-$M73-$O73)</f>
        <v/>
      </c>
      <c r="O73" s="40" t="str">
        <f aca="false">IF($A73="","",COUNTIFS(Eq_Scope,$A73,Eq_Phase,"Pre-Commissioning"))</f>
        <v/>
      </c>
      <c r="P73" s="40" t="str">
        <f aca="false">IF($A73="","",COUNTIFS(Act_Scope,$A73,Act_Status,"&lt;&gt;Closed"))</f>
        <v/>
      </c>
      <c r="Q73" s="40" t="str">
        <f aca="false">IF($A73="","",COUNTIFS(Doc_Scope,$A73,Doc_Approved,0))</f>
        <v/>
      </c>
      <c r="R73" s="41"/>
    </row>
    <row r="74" customFormat="false" ht="15" hidden="false" customHeight="false" outlineLevel="0" collapsed="false">
      <c r="A74" s="41"/>
      <c r="B74" s="41"/>
      <c r="C74" s="41"/>
      <c r="D74" s="38"/>
      <c r="E74" s="38"/>
      <c r="F74" s="38"/>
      <c r="G74" s="38"/>
      <c r="H74" s="38"/>
      <c r="I74" s="38"/>
      <c r="J74" s="39" t="str">
        <f aca="false">IF($A74="","",IFERROR(AVERAGEIF(Eq_Scope,$A74,Eq_Readiness),0))</f>
        <v/>
      </c>
      <c r="K74" s="41"/>
      <c r="L74" s="40" t="str">
        <f aca="false">IF($A74="","",COUNTIF(Eq_Scope,$A74))</f>
        <v/>
      </c>
      <c r="M74" s="40" t="str">
        <f aca="false">IF($A74="","",COUNTIFS(Eq_Scope,$A74,Eq_Phase,"Complete"))</f>
        <v/>
      </c>
      <c r="N74" s="40" t="str">
        <f aca="false">IF($A74="","",$L74-$M74-$O74)</f>
        <v/>
      </c>
      <c r="O74" s="40" t="str">
        <f aca="false">IF($A74="","",COUNTIFS(Eq_Scope,$A74,Eq_Phase,"Pre-Commissioning"))</f>
        <v/>
      </c>
      <c r="P74" s="40" t="str">
        <f aca="false">IF($A74="","",COUNTIFS(Act_Scope,$A74,Act_Status,"&lt;&gt;Closed"))</f>
        <v/>
      </c>
      <c r="Q74" s="40" t="str">
        <f aca="false">IF($A74="","",COUNTIFS(Doc_Scope,$A74,Doc_Approved,0))</f>
        <v/>
      </c>
      <c r="R74" s="41"/>
    </row>
    <row r="75" customFormat="false" ht="15" hidden="false" customHeight="false" outlineLevel="0" collapsed="false">
      <c r="A75" s="41"/>
      <c r="B75" s="41"/>
      <c r="C75" s="41"/>
      <c r="D75" s="38"/>
      <c r="E75" s="38"/>
      <c r="F75" s="38"/>
      <c r="G75" s="38"/>
      <c r="H75" s="38"/>
      <c r="I75" s="38"/>
      <c r="J75" s="39" t="str">
        <f aca="false">IF($A75="","",IFERROR(AVERAGEIF(Eq_Scope,$A75,Eq_Readiness),0))</f>
        <v/>
      </c>
      <c r="K75" s="41"/>
      <c r="L75" s="40" t="str">
        <f aca="false">IF($A75="","",COUNTIF(Eq_Scope,$A75))</f>
        <v/>
      </c>
      <c r="M75" s="40" t="str">
        <f aca="false">IF($A75="","",COUNTIFS(Eq_Scope,$A75,Eq_Phase,"Complete"))</f>
        <v/>
      </c>
      <c r="N75" s="40" t="str">
        <f aca="false">IF($A75="","",$L75-$M75-$O75)</f>
        <v/>
      </c>
      <c r="O75" s="40" t="str">
        <f aca="false">IF($A75="","",COUNTIFS(Eq_Scope,$A75,Eq_Phase,"Pre-Commissioning"))</f>
        <v/>
      </c>
      <c r="P75" s="40" t="str">
        <f aca="false">IF($A75="","",COUNTIFS(Act_Scope,$A75,Act_Status,"&lt;&gt;Closed"))</f>
        <v/>
      </c>
      <c r="Q75" s="40" t="str">
        <f aca="false">IF($A75="","",COUNTIFS(Doc_Scope,$A75,Doc_Approved,0))</f>
        <v/>
      </c>
      <c r="R75" s="41"/>
    </row>
    <row r="76" customFormat="false" ht="15" hidden="false" customHeight="false" outlineLevel="0" collapsed="false">
      <c r="A76" s="41"/>
      <c r="B76" s="41"/>
      <c r="C76" s="41"/>
      <c r="D76" s="38"/>
      <c r="E76" s="38"/>
      <c r="F76" s="38"/>
      <c r="G76" s="38"/>
      <c r="H76" s="38"/>
      <c r="I76" s="38"/>
      <c r="J76" s="39" t="str">
        <f aca="false">IF($A76="","",IFERROR(AVERAGEIF(Eq_Scope,$A76,Eq_Readiness),0))</f>
        <v/>
      </c>
      <c r="K76" s="41"/>
      <c r="L76" s="40" t="str">
        <f aca="false">IF($A76="","",COUNTIF(Eq_Scope,$A76))</f>
        <v/>
      </c>
      <c r="M76" s="40" t="str">
        <f aca="false">IF($A76="","",COUNTIFS(Eq_Scope,$A76,Eq_Phase,"Complete"))</f>
        <v/>
      </c>
      <c r="N76" s="40" t="str">
        <f aca="false">IF($A76="","",$L76-$M76-$O76)</f>
        <v/>
      </c>
      <c r="O76" s="40" t="str">
        <f aca="false">IF($A76="","",COUNTIFS(Eq_Scope,$A76,Eq_Phase,"Pre-Commissioning"))</f>
        <v/>
      </c>
      <c r="P76" s="40" t="str">
        <f aca="false">IF($A76="","",COUNTIFS(Act_Scope,$A76,Act_Status,"&lt;&gt;Closed"))</f>
        <v/>
      </c>
      <c r="Q76" s="40" t="str">
        <f aca="false">IF($A76="","",COUNTIFS(Doc_Scope,$A76,Doc_Approved,0))</f>
        <v/>
      </c>
      <c r="R76" s="41"/>
    </row>
    <row r="77" customFormat="false" ht="15" hidden="false" customHeight="false" outlineLevel="0" collapsed="false">
      <c r="A77" s="41"/>
      <c r="B77" s="41"/>
      <c r="C77" s="41"/>
      <c r="D77" s="38"/>
      <c r="E77" s="38"/>
      <c r="F77" s="38"/>
      <c r="G77" s="38"/>
      <c r="H77" s="38"/>
      <c r="I77" s="38"/>
      <c r="J77" s="39" t="str">
        <f aca="false">IF($A77="","",IFERROR(AVERAGEIF(Eq_Scope,$A77,Eq_Readiness),0))</f>
        <v/>
      </c>
      <c r="K77" s="41"/>
      <c r="L77" s="40" t="str">
        <f aca="false">IF($A77="","",COUNTIF(Eq_Scope,$A77))</f>
        <v/>
      </c>
      <c r="M77" s="40" t="str">
        <f aca="false">IF($A77="","",COUNTIFS(Eq_Scope,$A77,Eq_Phase,"Complete"))</f>
        <v/>
      </c>
      <c r="N77" s="40" t="str">
        <f aca="false">IF($A77="","",$L77-$M77-$O77)</f>
        <v/>
      </c>
      <c r="O77" s="40" t="str">
        <f aca="false">IF($A77="","",COUNTIFS(Eq_Scope,$A77,Eq_Phase,"Pre-Commissioning"))</f>
        <v/>
      </c>
      <c r="P77" s="40" t="str">
        <f aca="false">IF($A77="","",COUNTIFS(Act_Scope,$A77,Act_Status,"&lt;&gt;Closed"))</f>
        <v/>
      </c>
      <c r="Q77" s="40" t="str">
        <f aca="false">IF($A77="","",COUNTIFS(Doc_Scope,$A77,Doc_Approved,0))</f>
        <v/>
      </c>
      <c r="R77" s="41"/>
    </row>
    <row r="78" customFormat="false" ht="15" hidden="false" customHeight="false" outlineLevel="0" collapsed="false">
      <c r="A78" s="41"/>
      <c r="B78" s="41"/>
      <c r="C78" s="41"/>
      <c r="D78" s="38"/>
      <c r="E78" s="38"/>
      <c r="F78" s="38"/>
      <c r="G78" s="38"/>
      <c r="H78" s="38"/>
      <c r="I78" s="38"/>
      <c r="J78" s="39" t="str">
        <f aca="false">IF($A78="","",IFERROR(AVERAGEIF(Eq_Scope,$A78,Eq_Readiness),0))</f>
        <v/>
      </c>
      <c r="K78" s="41"/>
      <c r="L78" s="40" t="str">
        <f aca="false">IF($A78="","",COUNTIF(Eq_Scope,$A78))</f>
        <v/>
      </c>
      <c r="M78" s="40" t="str">
        <f aca="false">IF($A78="","",COUNTIFS(Eq_Scope,$A78,Eq_Phase,"Complete"))</f>
        <v/>
      </c>
      <c r="N78" s="40" t="str">
        <f aca="false">IF($A78="","",$L78-$M78-$O78)</f>
        <v/>
      </c>
      <c r="O78" s="40" t="str">
        <f aca="false">IF($A78="","",COUNTIFS(Eq_Scope,$A78,Eq_Phase,"Pre-Commissioning"))</f>
        <v/>
      </c>
      <c r="P78" s="40" t="str">
        <f aca="false">IF($A78="","",COUNTIFS(Act_Scope,$A78,Act_Status,"&lt;&gt;Closed"))</f>
        <v/>
      </c>
      <c r="Q78" s="40" t="str">
        <f aca="false">IF($A78="","",COUNTIFS(Doc_Scope,$A78,Doc_Approved,0))</f>
        <v/>
      </c>
      <c r="R78" s="41"/>
    </row>
    <row r="79" customFormat="false" ht="15" hidden="false" customHeight="false" outlineLevel="0" collapsed="false">
      <c r="A79" s="41"/>
      <c r="B79" s="41"/>
      <c r="C79" s="41"/>
      <c r="D79" s="38"/>
      <c r="E79" s="38"/>
      <c r="F79" s="38"/>
      <c r="G79" s="38"/>
      <c r="H79" s="38"/>
      <c r="I79" s="38"/>
      <c r="J79" s="39" t="str">
        <f aca="false">IF($A79="","",IFERROR(AVERAGEIF(Eq_Scope,$A79,Eq_Readiness),0))</f>
        <v/>
      </c>
      <c r="K79" s="41"/>
      <c r="L79" s="40" t="str">
        <f aca="false">IF($A79="","",COUNTIF(Eq_Scope,$A79))</f>
        <v/>
      </c>
      <c r="M79" s="40" t="str">
        <f aca="false">IF($A79="","",COUNTIFS(Eq_Scope,$A79,Eq_Phase,"Complete"))</f>
        <v/>
      </c>
      <c r="N79" s="40" t="str">
        <f aca="false">IF($A79="","",$L79-$M79-$O79)</f>
        <v/>
      </c>
      <c r="O79" s="40" t="str">
        <f aca="false">IF($A79="","",COUNTIFS(Eq_Scope,$A79,Eq_Phase,"Pre-Commissioning"))</f>
        <v/>
      </c>
      <c r="P79" s="40" t="str">
        <f aca="false">IF($A79="","",COUNTIFS(Act_Scope,$A79,Act_Status,"&lt;&gt;Closed"))</f>
        <v/>
      </c>
      <c r="Q79" s="40" t="str">
        <f aca="false">IF($A79="","",COUNTIFS(Doc_Scope,$A79,Doc_Approved,0))</f>
        <v/>
      </c>
      <c r="R79" s="41"/>
    </row>
    <row r="80" customFormat="false" ht="15" hidden="false" customHeight="false" outlineLevel="0" collapsed="false">
      <c r="A80" s="41"/>
      <c r="B80" s="41"/>
      <c r="C80" s="41"/>
      <c r="D80" s="38"/>
      <c r="E80" s="38"/>
      <c r="F80" s="38"/>
      <c r="G80" s="38"/>
      <c r="H80" s="38"/>
      <c r="I80" s="38"/>
      <c r="J80" s="39" t="str">
        <f aca="false">IF($A80="","",IFERROR(AVERAGEIF(Eq_Scope,$A80,Eq_Readiness),0))</f>
        <v/>
      </c>
      <c r="K80" s="41"/>
      <c r="L80" s="40" t="str">
        <f aca="false">IF($A80="","",COUNTIF(Eq_Scope,$A80))</f>
        <v/>
      </c>
      <c r="M80" s="40" t="str">
        <f aca="false">IF($A80="","",COUNTIFS(Eq_Scope,$A80,Eq_Phase,"Complete"))</f>
        <v/>
      </c>
      <c r="N80" s="40" t="str">
        <f aca="false">IF($A80="","",$L80-$M80-$O80)</f>
        <v/>
      </c>
      <c r="O80" s="40" t="str">
        <f aca="false">IF($A80="","",COUNTIFS(Eq_Scope,$A80,Eq_Phase,"Pre-Commissioning"))</f>
        <v/>
      </c>
      <c r="P80" s="40" t="str">
        <f aca="false">IF($A80="","",COUNTIFS(Act_Scope,$A80,Act_Status,"&lt;&gt;Closed"))</f>
        <v/>
      </c>
      <c r="Q80" s="40" t="str">
        <f aca="false">IF($A80="","",COUNTIFS(Doc_Scope,$A80,Doc_Approved,0))</f>
        <v/>
      </c>
      <c r="R80" s="41"/>
    </row>
    <row r="81" customFormat="false" ht="15" hidden="false" customHeight="false" outlineLevel="0" collapsed="false">
      <c r="A81" s="41"/>
      <c r="B81" s="41"/>
      <c r="C81" s="41"/>
      <c r="D81" s="38"/>
      <c r="E81" s="38"/>
      <c r="F81" s="38"/>
      <c r="G81" s="38"/>
      <c r="H81" s="38"/>
      <c r="I81" s="38"/>
      <c r="J81" s="39" t="str">
        <f aca="false">IF($A81="","",IFERROR(AVERAGEIF(Eq_Scope,$A81,Eq_Readiness),0))</f>
        <v/>
      </c>
      <c r="K81" s="41"/>
      <c r="L81" s="40" t="str">
        <f aca="false">IF($A81="","",COUNTIF(Eq_Scope,$A81))</f>
        <v/>
      </c>
      <c r="M81" s="40" t="str">
        <f aca="false">IF($A81="","",COUNTIFS(Eq_Scope,$A81,Eq_Phase,"Complete"))</f>
        <v/>
      </c>
      <c r="N81" s="40" t="str">
        <f aca="false">IF($A81="","",$L81-$M81-$O81)</f>
        <v/>
      </c>
      <c r="O81" s="40" t="str">
        <f aca="false">IF($A81="","",COUNTIFS(Eq_Scope,$A81,Eq_Phase,"Pre-Commissioning"))</f>
        <v/>
      </c>
      <c r="P81" s="40" t="str">
        <f aca="false">IF($A81="","",COUNTIFS(Act_Scope,$A81,Act_Status,"&lt;&gt;Closed"))</f>
        <v/>
      </c>
      <c r="Q81" s="40" t="str">
        <f aca="false">IF($A81="","",COUNTIFS(Doc_Scope,$A81,Doc_Approved,0))</f>
        <v/>
      </c>
      <c r="R81" s="41"/>
    </row>
    <row r="82" customFormat="false" ht="15" hidden="false" customHeight="false" outlineLevel="0" collapsed="false">
      <c r="A82" s="41"/>
      <c r="B82" s="41"/>
      <c r="C82" s="41"/>
      <c r="D82" s="38"/>
      <c r="E82" s="38"/>
      <c r="F82" s="38"/>
      <c r="G82" s="38"/>
      <c r="H82" s="38"/>
      <c r="I82" s="38"/>
      <c r="J82" s="39" t="str">
        <f aca="false">IF($A82="","",IFERROR(AVERAGEIF(Eq_Scope,$A82,Eq_Readiness),0))</f>
        <v/>
      </c>
      <c r="K82" s="41"/>
      <c r="L82" s="40" t="str">
        <f aca="false">IF($A82="","",COUNTIF(Eq_Scope,$A82))</f>
        <v/>
      </c>
      <c r="M82" s="40" t="str">
        <f aca="false">IF($A82="","",COUNTIFS(Eq_Scope,$A82,Eq_Phase,"Complete"))</f>
        <v/>
      </c>
      <c r="N82" s="40" t="str">
        <f aca="false">IF($A82="","",$L82-$M82-$O82)</f>
        <v/>
      </c>
      <c r="O82" s="40" t="str">
        <f aca="false">IF($A82="","",COUNTIFS(Eq_Scope,$A82,Eq_Phase,"Pre-Commissioning"))</f>
        <v/>
      </c>
      <c r="P82" s="40" t="str">
        <f aca="false">IF($A82="","",COUNTIFS(Act_Scope,$A82,Act_Status,"&lt;&gt;Closed"))</f>
        <v/>
      </c>
      <c r="Q82" s="40" t="str">
        <f aca="false">IF($A82="","",COUNTIFS(Doc_Scope,$A82,Doc_Approved,0))</f>
        <v/>
      </c>
      <c r="R82" s="41"/>
    </row>
    <row r="83" customFormat="false" ht="15" hidden="false" customHeight="false" outlineLevel="0" collapsed="false">
      <c r="A83" s="41"/>
      <c r="B83" s="41"/>
      <c r="C83" s="41"/>
      <c r="D83" s="38"/>
      <c r="E83" s="38"/>
      <c r="F83" s="38"/>
      <c r="G83" s="38"/>
      <c r="H83" s="38"/>
      <c r="I83" s="38"/>
      <c r="J83" s="39" t="str">
        <f aca="false">IF($A83="","",IFERROR(AVERAGEIF(Eq_Scope,$A83,Eq_Readiness),0))</f>
        <v/>
      </c>
      <c r="K83" s="41"/>
      <c r="L83" s="40" t="str">
        <f aca="false">IF($A83="","",COUNTIF(Eq_Scope,$A83))</f>
        <v/>
      </c>
      <c r="M83" s="40" t="str">
        <f aca="false">IF($A83="","",COUNTIFS(Eq_Scope,$A83,Eq_Phase,"Complete"))</f>
        <v/>
      </c>
      <c r="N83" s="40" t="str">
        <f aca="false">IF($A83="","",$L83-$M83-$O83)</f>
        <v/>
      </c>
      <c r="O83" s="40" t="str">
        <f aca="false">IF($A83="","",COUNTIFS(Eq_Scope,$A83,Eq_Phase,"Pre-Commissioning"))</f>
        <v/>
      </c>
      <c r="P83" s="40" t="str">
        <f aca="false">IF($A83="","",COUNTIFS(Act_Scope,$A83,Act_Status,"&lt;&gt;Closed"))</f>
        <v/>
      </c>
      <c r="Q83" s="40" t="str">
        <f aca="false">IF($A83="","",COUNTIFS(Doc_Scope,$A83,Doc_Approved,0))</f>
        <v/>
      </c>
      <c r="R83" s="41"/>
    </row>
    <row r="84" customFormat="false" ht="15" hidden="false" customHeight="false" outlineLevel="0" collapsed="false">
      <c r="A84" s="41"/>
      <c r="B84" s="41"/>
      <c r="C84" s="41"/>
      <c r="D84" s="38"/>
      <c r="E84" s="38"/>
      <c r="F84" s="38"/>
      <c r="G84" s="38"/>
      <c r="H84" s="38"/>
      <c r="I84" s="38"/>
      <c r="J84" s="39" t="str">
        <f aca="false">IF($A84="","",IFERROR(AVERAGEIF(Eq_Scope,$A84,Eq_Readiness),0))</f>
        <v/>
      </c>
      <c r="K84" s="41"/>
      <c r="L84" s="40" t="str">
        <f aca="false">IF($A84="","",COUNTIF(Eq_Scope,$A84))</f>
        <v/>
      </c>
      <c r="M84" s="40" t="str">
        <f aca="false">IF($A84="","",COUNTIFS(Eq_Scope,$A84,Eq_Phase,"Complete"))</f>
        <v/>
      </c>
      <c r="N84" s="40" t="str">
        <f aca="false">IF($A84="","",$L84-$M84-$O84)</f>
        <v/>
      </c>
      <c r="O84" s="40" t="str">
        <f aca="false">IF($A84="","",COUNTIFS(Eq_Scope,$A84,Eq_Phase,"Pre-Commissioning"))</f>
        <v/>
      </c>
      <c r="P84" s="40" t="str">
        <f aca="false">IF($A84="","",COUNTIFS(Act_Scope,$A84,Act_Status,"&lt;&gt;Closed"))</f>
        <v/>
      </c>
      <c r="Q84" s="40" t="str">
        <f aca="false">IF($A84="","",COUNTIFS(Doc_Scope,$A84,Doc_Approved,0))</f>
        <v/>
      </c>
      <c r="R84" s="41"/>
    </row>
    <row r="85" customFormat="false" ht="15" hidden="false" customHeight="false" outlineLevel="0" collapsed="false">
      <c r="A85" s="41"/>
      <c r="B85" s="41"/>
      <c r="C85" s="41"/>
      <c r="D85" s="38"/>
      <c r="E85" s="38"/>
      <c r="F85" s="38"/>
      <c r="G85" s="38"/>
      <c r="H85" s="38"/>
      <c r="I85" s="38"/>
      <c r="J85" s="39" t="str">
        <f aca="false">IF($A85="","",IFERROR(AVERAGEIF(Eq_Scope,$A85,Eq_Readiness),0))</f>
        <v/>
      </c>
      <c r="K85" s="41"/>
      <c r="L85" s="40" t="str">
        <f aca="false">IF($A85="","",COUNTIF(Eq_Scope,$A85))</f>
        <v/>
      </c>
      <c r="M85" s="40" t="str">
        <f aca="false">IF($A85="","",COUNTIFS(Eq_Scope,$A85,Eq_Phase,"Complete"))</f>
        <v/>
      </c>
      <c r="N85" s="40" t="str">
        <f aca="false">IF($A85="","",$L85-$M85-$O85)</f>
        <v/>
      </c>
      <c r="O85" s="40" t="str">
        <f aca="false">IF($A85="","",COUNTIFS(Eq_Scope,$A85,Eq_Phase,"Pre-Commissioning"))</f>
        <v/>
      </c>
      <c r="P85" s="40" t="str">
        <f aca="false">IF($A85="","",COUNTIFS(Act_Scope,$A85,Act_Status,"&lt;&gt;Closed"))</f>
        <v/>
      </c>
      <c r="Q85" s="40" t="str">
        <f aca="false">IF($A85="","",COUNTIFS(Doc_Scope,$A85,Doc_Approved,0))</f>
        <v/>
      </c>
      <c r="R85" s="41"/>
    </row>
    <row r="86" customFormat="false" ht="15" hidden="false" customHeight="false" outlineLevel="0" collapsed="false">
      <c r="A86" s="41"/>
      <c r="B86" s="41"/>
      <c r="C86" s="41"/>
      <c r="D86" s="38"/>
      <c r="E86" s="38"/>
      <c r="F86" s="38"/>
      <c r="G86" s="38"/>
      <c r="H86" s="38"/>
      <c r="I86" s="38"/>
      <c r="J86" s="39" t="str">
        <f aca="false">IF($A86="","",IFERROR(AVERAGEIF(Eq_Scope,$A86,Eq_Readiness),0))</f>
        <v/>
      </c>
      <c r="K86" s="41"/>
      <c r="L86" s="40" t="str">
        <f aca="false">IF($A86="","",COUNTIF(Eq_Scope,$A86))</f>
        <v/>
      </c>
      <c r="M86" s="40" t="str">
        <f aca="false">IF($A86="","",COUNTIFS(Eq_Scope,$A86,Eq_Phase,"Complete"))</f>
        <v/>
      </c>
      <c r="N86" s="40" t="str">
        <f aca="false">IF($A86="","",$L86-$M86-$O86)</f>
        <v/>
      </c>
      <c r="O86" s="40" t="str">
        <f aca="false">IF($A86="","",COUNTIFS(Eq_Scope,$A86,Eq_Phase,"Pre-Commissioning"))</f>
        <v/>
      </c>
      <c r="P86" s="40" t="str">
        <f aca="false">IF($A86="","",COUNTIFS(Act_Scope,$A86,Act_Status,"&lt;&gt;Closed"))</f>
        <v/>
      </c>
      <c r="Q86" s="40" t="str">
        <f aca="false">IF($A86="","",COUNTIFS(Doc_Scope,$A86,Doc_Approved,0))</f>
        <v/>
      </c>
      <c r="R86" s="41"/>
    </row>
    <row r="87" customFormat="false" ht="15" hidden="false" customHeight="false" outlineLevel="0" collapsed="false">
      <c r="A87" s="41"/>
      <c r="B87" s="41"/>
      <c r="C87" s="41"/>
      <c r="D87" s="38"/>
      <c r="E87" s="38"/>
      <c r="F87" s="38"/>
      <c r="G87" s="38"/>
      <c r="H87" s="38"/>
      <c r="I87" s="38"/>
      <c r="J87" s="39" t="str">
        <f aca="false">IF($A87="","",IFERROR(AVERAGEIF(Eq_Scope,$A87,Eq_Readiness),0))</f>
        <v/>
      </c>
      <c r="K87" s="41"/>
      <c r="L87" s="40" t="str">
        <f aca="false">IF($A87="","",COUNTIF(Eq_Scope,$A87))</f>
        <v/>
      </c>
      <c r="M87" s="40" t="str">
        <f aca="false">IF($A87="","",COUNTIFS(Eq_Scope,$A87,Eq_Phase,"Complete"))</f>
        <v/>
      </c>
      <c r="N87" s="40" t="str">
        <f aca="false">IF($A87="","",$L87-$M87-$O87)</f>
        <v/>
      </c>
      <c r="O87" s="40" t="str">
        <f aca="false">IF($A87="","",COUNTIFS(Eq_Scope,$A87,Eq_Phase,"Pre-Commissioning"))</f>
        <v/>
      </c>
      <c r="P87" s="40" t="str">
        <f aca="false">IF($A87="","",COUNTIFS(Act_Scope,$A87,Act_Status,"&lt;&gt;Closed"))</f>
        <v/>
      </c>
      <c r="Q87" s="40" t="str">
        <f aca="false">IF($A87="","",COUNTIFS(Doc_Scope,$A87,Doc_Approved,0))</f>
        <v/>
      </c>
      <c r="R87" s="41"/>
    </row>
    <row r="88" customFormat="false" ht="15" hidden="false" customHeight="false" outlineLevel="0" collapsed="false">
      <c r="A88" s="41"/>
      <c r="B88" s="41"/>
      <c r="C88" s="41"/>
      <c r="D88" s="38"/>
      <c r="E88" s="38"/>
      <c r="F88" s="38"/>
      <c r="G88" s="38"/>
      <c r="H88" s="38"/>
      <c r="I88" s="38"/>
      <c r="J88" s="39" t="str">
        <f aca="false">IF($A88="","",IFERROR(AVERAGEIF(Eq_Scope,$A88,Eq_Readiness),0))</f>
        <v/>
      </c>
      <c r="K88" s="41"/>
      <c r="L88" s="40" t="str">
        <f aca="false">IF($A88="","",COUNTIF(Eq_Scope,$A88))</f>
        <v/>
      </c>
      <c r="M88" s="40" t="str">
        <f aca="false">IF($A88="","",COUNTIFS(Eq_Scope,$A88,Eq_Phase,"Complete"))</f>
        <v/>
      </c>
      <c r="N88" s="40" t="str">
        <f aca="false">IF($A88="","",$L88-$M88-$O88)</f>
        <v/>
      </c>
      <c r="O88" s="40" t="str">
        <f aca="false">IF($A88="","",COUNTIFS(Eq_Scope,$A88,Eq_Phase,"Pre-Commissioning"))</f>
        <v/>
      </c>
      <c r="P88" s="40" t="str">
        <f aca="false">IF($A88="","",COUNTIFS(Act_Scope,$A88,Act_Status,"&lt;&gt;Closed"))</f>
        <v/>
      </c>
      <c r="Q88" s="40" t="str">
        <f aca="false">IF($A88="","",COUNTIFS(Doc_Scope,$A88,Doc_Approved,0))</f>
        <v/>
      </c>
      <c r="R88" s="41"/>
    </row>
    <row r="89" customFormat="false" ht="15" hidden="false" customHeight="false" outlineLevel="0" collapsed="false">
      <c r="A89" s="41"/>
      <c r="B89" s="41"/>
      <c r="C89" s="41"/>
      <c r="D89" s="38"/>
      <c r="E89" s="38"/>
      <c r="F89" s="38"/>
      <c r="G89" s="38"/>
      <c r="H89" s="38"/>
      <c r="I89" s="38"/>
      <c r="J89" s="39" t="str">
        <f aca="false">IF($A89="","",IFERROR(AVERAGEIF(Eq_Scope,$A89,Eq_Readiness),0))</f>
        <v/>
      </c>
      <c r="K89" s="41"/>
      <c r="L89" s="40" t="str">
        <f aca="false">IF($A89="","",COUNTIF(Eq_Scope,$A89))</f>
        <v/>
      </c>
      <c r="M89" s="40" t="str">
        <f aca="false">IF($A89="","",COUNTIFS(Eq_Scope,$A89,Eq_Phase,"Complete"))</f>
        <v/>
      </c>
      <c r="N89" s="40" t="str">
        <f aca="false">IF($A89="","",$L89-$M89-$O89)</f>
        <v/>
      </c>
      <c r="O89" s="40" t="str">
        <f aca="false">IF($A89="","",COUNTIFS(Eq_Scope,$A89,Eq_Phase,"Pre-Commissioning"))</f>
        <v/>
      </c>
      <c r="P89" s="40" t="str">
        <f aca="false">IF($A89="","",COUNTIFS(Act_Scope,$A89,Act_Status,"&lt;&gt;Closed"))</f>
        <v/>
      </c>
      <c r="Q89" s="40" t="str">
        <f aca="false">IF($A89="","",COUNTIFS(Doc_Scope,$A89,Doc_Approved,0))</f>
        <v/>
      </c>
      <c r="R89" s="41"/>
    </row>
    <row r="90" customFormat="false" ht="15" hidden="false" customHeight="false" outlineLevel="0" collapsed="false">
      <c r="A90" s="41"/>
      <c r="B90" s="41"/>
      <c r="C90" s="41"/>
      <c r="D90" s="38"/>
      <c r="E90" s="38"/>
      <c r="F90" s="38"/>
      <c r="G90" s="38"/>
      <c r="H90" s="38"/>
      <c r="I90" s="38"/>
      <c r="J90" s="39" t="str">
        <f aca="false">IF($A90="","",IFERROR(AVERAGEIF(Eq_Scope,$A90,Eq_Readiness),0))</f>
        <v/>
      </c>
      <c r="K90" s="41"/>
      <c r="L90" s="40" t="str">
        <f aca="false">IF($A90="","",COUNTIF(Eq_Scope,$A90))</f>
        <v/>
      </c>
      <c r="M90" s="40" t="str">
        <f aca="false">IF($A90="","",COUNTIFS(Eq_Scope,$A90,Eq_Phase,"Complete"))</f>
        <v/>
      </c>
      <c r="N90" s="40" t="str">
        <f aca="false">IF($A90="","",$L90-$M90-$O90)</f>
        <v/>
      </c>
      <c r="O90" s="40" t="str">
        <f aca="false">IF($A90="","",COUNTIFS(Eq_Scope,$A90,Eq_Phase,"Pre-Commissioning"))</f>
        <v/>
      </c>
      <c r="P90" s="40" t="str">
        <f aca="false">IF($A90="","",COUNTIFS(Act_Scope,$A90,Act_Status,"&lt;&gt;Closed"))</f>
        <v/>
      </c>
      <c r="Q90" s="40" t="str">
        <f aca="false">IF($A90="","",COUNTIFS(Doc_Scope,$A90,Doc_Approved,0))</f>
        <v/>
      </c>
      <c r="R90" s="41"/>
    </row>
    <row r="91" customFormat="false" ht="15" hidden="false" customHeight="false" outlineLevel="0" collapsed="false">
      <c r="A91" s="41"/>
      <c r="B91" s="41"/>
      <c r="C91" s="41"/>
      <c r="D91" s="38"/>
      <c r="E91" s="38"/>
      <c r="F91" s="38"/>
      <c r="G91" s="38"/>
      <c r="H91" s="38"/>
      <c r="I91" s="38"/>
      <c r="J91" s="39" t="str">
        <f aca="false">IF($A91="","",IFERROR(AVERAGEIF(Eq_Scope,$A91,Eq_Readiness),0))</f>
        <v/>
      </c>
      <c r="K91" s="41"/>
      <c r="L91" s="40" t="str">
        <f aca="false">IF($A91="","",COUNTIF(Eq_Scope,$A91))</f>
        <v/>
      </c>
      <c r="M91" s="40" t="str">
        <f aca="false">IF($A91="","",COUNTIFS(Eq_Scope,$A91,Eq_Phase,"Complete"))</f>
        <v/>
      </c>
      <c r="N91" s="40" t="str">
        <f aca="false">IF($A91="","",$L91-$M91-$O91)</f>
        <v/>
      </c>
      <c r="O91" s="40" t="str">
        <f aca="false">IF($A91="","",COUNTIFS(Eq_Scope,$A91,Eq_Phase,"Pre-Commissioning"))</f>
        <v/>
      </c>
      <c r="P91" s="40" t="str">
        <f aca="false">IF($A91="","",COUNTIFS(Act_Scope,$A91,Act_Status,"&lt;&gt;Closed"))</f>
        <v/>
      </c>
      <c r="Q91" s="40" t="str">
        <f aca="false">IF($A91="","",COUNTIFS(Doc_Scope,$A91,Doc_Approved,0))</f>
        <v/>
      </c>
      <c r="R91" s="41"/>
    </row>
    <row r="92" customFormat="false" ht="15" hidden="false" customHeight="false" outlineLevel="0" collapsed="false">
      <c r="A92" s="41"/>
      <c r="B92" s="41"/>
      <c r="C92" s="41"/>
      <c r="D92" s="38"/>
      <c r="E92" s="38"/>
      <c r="F92" s="38"/>
      <c r="G92" s="38"/>
      <c r="H92" s="38"/>
      <c r="I92" s="38"/>
      <c r="J92" s="39" t="str">
        <f aca="false">IF($A92="","",IFERROR(AVERAGEIF(Eq_Scope,$A92,Eq_Readiness),0))</f>
        <v/>
      </c>
      <c r="K92" s="41"/>
      <c r="L92" s="40" t="str">
        <f aca="false">IF($A92="","",COUNTIF(Eq_Scope,$A92))</f>
        <v/>
      </c>
      <c r="M92" s="40" t="str">
        <f aca="false">IF($A92="","",COUNTIFS(Eq_Scope,$A92,Eq_Phase,"Complete"))</f>
        <v/>
      </c>
      <c r="N92" s="40" t="str">
        <f aca="false">IF($A92="","",$L92-$M92-$O92)</f>
        <v/>
      </c>
      <c r="O92" s="40" t="str">
        <f aca="false">IF($A92="","",COUNTIFS(Eq_Scope,$A92,Eq_Phase,"Pre-Commissioning"))</f>
        <v/>
      </c>
      <c r="P92" s="40" t="str">
        <f aca="false">IF($A92="","",COUNTIFS(Act_Scope,$A92,Act_Status,"&lt;&gt;Closed"))</f>
        <v/>
      </c>
      <c r="Q92" s="40" t="str">
        <f aca="false">IF($A92="","",COUNTIFS(Doc_Scope,$A92,Doc_Approved,0))</f>
        <v/>
      </c>
      <c r="R92" s="41"/>
    </row>
    <row r="93" customFormat="false" ht="15" hidden="false" customHeight="false" outlineLevel="0" collapsed="false">
      <c r="A93" s="41"/>
      <c r="B93" s="41"/>
      <c r="C93" s="41"/>
      <c r="D93" s="38"/>
      <c r="E93" s="38"/>
      <c r="F93" s="38"/>
      <c r="G93" s="38"/>
      <c r="H93" s="38"/>
      <c r="I93" s="38"/>
      <c r="J93" s="39" t="str">
        <f aca="false">IF($A93="","",IFERROR(AVERAGEIF(Eq_Scope,$A93,Eq_Readiness),0))</f>
        <v/>
      </c>
      <c r="K93" s="41"/>
      <c r="L93" s="40" t="str">
        <f aca="false">IF($A93="","",COUNTIF(Eq_Scope,$A93))</f>
        <v/>
      </c>
      <c r="M93" s="40" t="str">
        <f aca="false">IF($A93="","",COUNTIFS(Eq_Scope,$A93,Eq_Phase,"Complete"))</f>
        <v/>
      </c>
      <c r="N93" s="40" t="str">
        <f aca="false">IF($A93="","",$L93-$M93-$O93)</f>
        <v/>
      </c>
      <c r="O93" s="40" t="str">
        <f aca="false">IF($A93="","",COUNTIFS(Eq_Scope,$A93,Eq_Phase,"Pre-Commissioning"))</f>
        <v/>
      </c>
      <c r="P93" s="40" t="str">
        <f aca="false">IF($A93="","",COUNTIFS(Act_Scope,$A93,Act_Status,"&lt;&gt;Closed"))</f>
        <v/>
      </c>
      <c r="Q93" s="40" t="str">
        <f aca="false">IF($A93="","",COUNTIFS(Doc_Scope,$A93,Doc_Approved,0))</f>
        <v/>
      </c>
      <c r="R93" s="41"/>
    </row>
    <row r="94" customFormat="false" ht="15" hidden="false" customHeight="false" outlineLevel="0" collapsed="false">
      <c r="A94" s="41"/>
      <c r="B94" s="41"/>
      <c r="C94" s="41"/>
      <c r="D94" s="38"/>
      <c r="E94" s="38"/>
      <c r="F94" s="38"/>
      <c r="G94" s="38"/>
      <c r="H94" s="38"/>
      <c r="I94" s="38"/>
      <c r="J94" s="39" t="str">
        <f aca="false">IF($A94="","",IFERROR(AVERAGEIF(Eq_Scope,$A94,Eq_Readiness),0))</f>
        <v/>
      </c>
      <c r="K94" s="41"/>
      <c r="L94" s="40" t="str">
        <f aca="false">IF($A94="","",COUNTIF(Eq_Scope,$A94))</f>
        <v/>
      </c>
      <c r="M94" s="40" t="str">
        <f aca="false">IF($A94="","",COUNTIFS(Eq_Scope,$A94,Eq_Phase,"Complete"))</f>
        <v/>
      </c>
      <c r="N94" s="40" t="str">
        <f aca="false">IF($A94="","",$L94-$M94-$O94)</f>
        <v/>
      </c>
      <c r="O94" s="40" t="str">
        <f aca="false">IF($A94="","",COUNTIFS(Eq_Scope,$A94,Eq_Phase,"Pre-Commissioning"))</f>
        <v/>
      </c>
      <c r="P94" s="40" t="str">
        <f aca="false">IF($A94="","",COUNTIFS(Act_Scope,$A94,Act_Status,"&lt;&gt;Closed"))</f>
        <v/>
      </c>
      <c r="Q94" s="40" t="str">
        <f aca="false">IF($A94="","",COUNTIFS(Doc_Scope,$A94,Doc_Approved,0))</f>
        <v/>
      </c>
      <c r="R94" s="41"/>
    </row>
    <row r="95" customFormat="false" ht="15" hidden="false" customHeight="false" outlineLevel="0" collapsed="false">
      <c r="A95" s="41"/>
      <c r="B95" s="41"/>
      <c r="C95" s="41"/>
      <c r="D95" s="38"/>
      <c r="E95" s="38"/>
      <c r="F95" s="38"/>
      <c r="G95" s="38"/>
      <c r="H95" s="38"/>
      <c r="I95" s="38"/>
      <c r="J95" s="39" t="str">
        <f aca="false">IF($A95="","",IFERROR(AVERAGEIF(Eq_Scope,$A95,Eq_Readiness),0))</f>
        <v/>
      </c>
      <c r="K95" s="41"/>
      <c r="L95" s="40" t="str">
        <f aca="false">IF($A95="","",COUNTIF(Eq_Scope,$A95))</f>
        <v/>
      </c>
      <c r="M95" s="40" t="str">
        <f aca="false">IF($A95="","",COUNTIFS(Eq_Scope,$A95,Eq_Phase,"Complete"))</f>
        <v/>
      </c>
      <c r="N95" s="40" t="str">
        <f aca="false">IF($A95="","",$L95-$M95-$O95)</f>
        <v/>
      </c>
      <c r="O95" s="40" t="str">
        <f aca="false">IF($A95="","",COUNTIFS(Eq_Scope,$A95,Eq_Phase,"Pre-Commissioning"))</f>
        <v/>
      </c>
      <c r="P95" s="40" t="str">
        <f aca="false">IF($A95="","",COUNTIFS(Act_Scope,$A95,Act_Status,"&lt;&gt;Closed"))</f>
        <v/>
      </c>
      <c r="Q95" s="40" t="str">
        <f aca="false">IF($A95="","",COUNTIFS(Doc_Scope,$A95,Doc_Approved,0))</f>
        <v/>
      </c>
      <c r="R95" s="41"/>
    </row>
    <row r="96" customFormat="false" ht="15" hidden="false" customHeight="false" outlineLevel="0" collapsed="false">
      <c r="A96" s="41"/>
      <c r="B96" s="41"/>
      <c r="C96" s="41"/>
      <c r="D96" s="38"/>
      <c r="E96" s="38"/>
      <c r="F96" s="38"/>
      <c r="G96" s="38"/>
      <c r="H96" s="38"/>
      <c r="I96" s="38"/>
      <c r="J96" s="39" t="str">
        <f aca="false">IF($A96="","",IFERROR(AVERAGEIF(Eq_Scope,$A96,Eq_Readiness),0))</f>
        <v/>
      </c>
      <c r="K96" s="41"/>
      <c r="L96" s="40" t="str">
        <f aca="false">IF($A96="","",COUNTIF(Eq_Scope,$A96))</f>
        <v/>
      </c>
      <c r="M96" s="40" t="str">
        <f aca="false">IF($A96="","",COUNTIFS(Eq_Scope,$A96,Eq_Phase,"Complete"))</f>
        <v/>
      </c>
      <c r="N96" s="40" t="str">
        <f aca="false">IF($A96="","",$L96-$M96-$O96)</f>
        <v/>
      </c>
      <c r="O96" s="40" t="str">
        <f aca="false">IF($A96="","",COUNTIFS(Eq_Scope,$A96,Eq_Phase,"Pre-Commissioning"))</f>
        <v/>
      </c>
      <c r="P96" s="40" t="str">
        <f aca="false">IF($A96="","",COUNTIFS(Act_Scope,$A96,Act_Status,"&lt;&gt;Closed"))</f>
        <v/>
      </c>
      <c r="Q96" s="40" t="str">
        <f aca="false">IF($A96="","",COUNTIFS(Doc_Scope,$A96,Doc_Approved,0))</f>
        <v/>
      </c>
      <c r="R96" s="41"/>
    </row>
    <row r="97" customFormat="false" ht="15" hidden="false" customHeight="false" outlineLevel="0" collapsed="false">
      <c r="A97" s="41"/>
      <c r="B97" s="41"/>
      <c r="C97" s="41"/>
      <c r="D97" s="38"/>
      <c r="E97" s="38"/>
      <c r="F97" s="38"/>
      <c r="G97" s="38"/>
      <c r="H97" s="38"/>
      <c r="I97" s="38"/>
      <c r="J97" s="39" t="str">
        <f aca="false">IF($A97="","",IFERROR(AVERAGEIF(Eq_Scope,$A97,Eq_Readiness),0))</f>
        <v/>
      </c>
      <c r="K97" s="41"/>
      <c r="L97" s="40" t="str">
        <f aca="false">IF($A97="","",COUNTIF(Eq_Scope,$A97))</f>
        <v/>
      </c>
      <c r="M97" s="40" t="str">
        <f aca="false">IF($A97="","",COUNTIFS(Eq_Scope,$A97,Eq_Phase,"Complete"))</f>
        <v/>
      </c>
      <c r="N97" s="40" t="str">
        <f aca="false">IF($A97="","",$L97-$M97-$O97)</f>
        <v/>
      </c>
      <c r="O97" s="40" t="str">
        <f aca="false">IF($A97="","",COUNTIFS(Eq_Scope,$A97,Eq_Phase,"Pre-Commissioning"))</f>
        <v/>
      </c>
      <c r="P97" s="40" t="str">
        <f aca="false">IF($A97="","",COUNTIFS(Act_Scope,$A97,Act_Status,"&lt;&gt;Closed"))</f>
        <v/>
      </c>
      <c r="Q97" s="40" t="str">
        <f aca="false">IF($A97="","",COUNTIFS(Doc_Scope,$A97,Doc_Approved,0))</f>
        <v/>
      </c>
      <c r="R97" s="41"/>
    </row>
    <row r="98" customFormat="false" ht="15" hidden="false" customHeight="false" outlineLevel="0" collapsed="false">
      <c r="A98" s="41"/>
      <c r="B98" s="41"/>
      <c r="C98" s="41"/>
      <c r="D98" s="38"/>
      <c r="E98" s="38"/>
      <c r="F98" s="38"/>
      <c r="G98" s="38"/>
      <c r="H98" s="38"/>
      <c r="I98" s="38"/>
      <c r="J98" s="39" t="str">
        <f aca="false">IF($A98="","",IFERROR(AVERAGEIF(Eq_Scope,$A98,Eq_Readiness),0))</f>
        <v/>
      </c>
      <c r="K98" s="41"/>
      <c r="L98" s="40" t="str">
        <f aca="false">IF($A98="","",COUNTIF(Eq_Scope,$A98))</f>
        <v/>
      </c>
      <c r="M98" s="40" t="str">
        <f aca="false">IF($A98="","",COUNTIFS(Eq_Scope,$A98,Eq_Phase,"Complete"))</f>
        <v/>
      </c>
      <c r="N98" s="40" t="str">
        <f aca="false">IF($A98="","",$L98-$M98-$O98)</f>
        <v/>
      </c>
      <c r="O98" s="40" t="str">
        <f aca="false">IF($A98="","",COUNTIFS(Eq_Scope,$A98,Eq_Phase,"Pre-Commissioning"))</f>
        <v/>
      </c>
      <c r="P98" s="40" t="str">
        <f aca="false">IF($A98="","",COUNTIFS(Act_Scope,$A98,Act_Status,"&lt;&gt;Closed"))</f>
        <v/>
      </c>
      <c r="Q98" s="40" t="str">
        <f aca="false">IF($A98="","",COUNTIFS(Doc_Scope,$A98,Doc_Approved,0))</f>
        <v/>
      </c>
      <c r="R98" s="41"/>
    </row>
    <row r="99" customFormat="false" ht="15" hidden="false" customHeight="false" outlineLevel="0" collapsed="false">
      <c r="A99" s="41"/>
      <c r="B99" s="41"/>
      <c r="C99" s="41"/>
      <c r="D99" s="38"/>
      <c r="E99" s="38"/>
      <c r="F99" s="38"/>
      <c r="G99" s="38"/>
      <c r="H99" s="38"/>
      <c r="I99" s="38"/>
      <c r="J99" s="39" t="str">
        <f aca="false">IF($A99="","",IFERROR(AVERAGEIF(Eq_Scope,$A99,Eq_Readiness),0))</f>
        <v/>
      </c>
      <c r="K99" s="41"/>
      <c r="L99" s="40" t="str">
        <f aca="false">IF($A99="","",COUNTIF(Eq_Scope,$A99))</f>
        <v/>
      </c>
      <c r="M99" s="40" t="str">
        <f aca="false">IF($A99="","",COUNTIFS(Eq_Scope,$A99,Eq_Phase,"Complete"))</f>
        <v/>
      </c>
      <c r="N99" s="40" t="str">
        <f aca="false">IF($A99="","",$L99-$M99-$O99)</f>
        <v/>
      </c>
      <c r="O99" s="40" t="str">
        <f aca="false">IF($A99="","",COUNTIFS(Eq_Scope,$A99,Eq_Phase,"Pre-Commissioning"))</f>
        <v/>
      </c>
      <c r="P99" s="40" t="str">
        <f aca="false">IF($A99="","",COUNTIFS(Act_Scope,$A99,Act_Status,"&lt;&gt;Closed"))</f>
        <v/>
      </c>
      <c r="Q99" s="40" t="str">
        <f aca="false">IF($A99="","",COUNTIFS(Doc_Scope,$A99,Doc_Approved,0))</f>
        <v/>
      </c>
      <c r="R99" s="41"/>
    </row>
    <row r="100" customFormat="false" ht="15" hidden="false" customHeight="false" outlineLevel="0" collapsed="false">
      <c r="A100" s="41"/>
      <c r="B100" s="41"/>
      <c r="C100" s="41"/>
      <c r="D100" s="38"/>
      <c r="E100" s="38"/>
      <c r="F100" s="38"/>
      <c r="G100" s="38"/>
      <c r="H100" s="38"/>
      <c r="I100" s="38"/>
      <c r="J100" s="39" t="str">
        <f aca="false">IF($A100="","",IFERROR(AVERAGEIF(Eq_Scope,$A100,Eq_Readiness),0))</f>
        <v/>
      </c>
      <c r="K100" s="41"/>
      <c r="L100" s="40" t="str">
        <f aca="false">IF($A100="","",COUNTIF(Eq_Scope,$A100))</f>
        <v/>
      </c>
      <c r="M100" s="40" t="str">
        <f aca="false">IF($A100="","",COUNTIFS(Eq_Scope,$A100,Eq_Phase,"Complete"))</f>
        <v/>
      </c>
      <c r="N100" s="40" t="str">
        <f aca="false">IF($A100="","",$L100-$M100-$O100)</f>
        <v/>
      </c>
      <c r="O100" s="40" t="str">
        <f aca="false">IF($A100="","",COUNTIFS(Eq_Scope,$A100,Eq_Phase,"Pre-Commissioning"))</f>
        <v/>
      </c>
      <c r="P100" s="40" t="str">
        <f aca="false">IF($A100="","",COUNTIFS(Act_Scope,$A100,Act_Status,"&lt;&gt;Closed"))</f>
        <v/>
      </c>
      <c r="Q100" s="40" t="str">
        <f aca="false">IF($A100="","",COUNTIFS(Doc_Scope,$A100,Doc_Approved,0))</f>
        <v/>
      </c>
      <c r="R100" s="41"/>
    </row>
    <row r="101" customFormat="false" ht="15" hidden="false" customHeight="false" outlineLevel="0" collapsed="false">
      <c r="A101" s="41"/>
      <c r="B101" s="41"/>
      <c r="C101" s="41"/>
      <c r="D101" s="38"/>
      <c r="E101" s="38"/>
      <c r="F101" s="38"/>
      <c r="G101" s="38"/>
      <c r="H101" s="38"/>
      <c r="I101" s="38"/>
      <c r="J101" s="39" t="str">
        <f aca="false">IF($A101="","",IFERROR(AVERAGEIF(Eq_Scope,$A101,Eq_Readiness),0))</f>
        <v/>
      </c>
      <c r="K101" s="41"/>
      <c r="L101" s="40" t="str">
        <f aca="false">IF($A101="","",COUNTIF(Eq_Scope,$A101))</f>
        <v/>
      </c>
      <c r="M101" s="40" t="str">
        <f aca="false">IF($A101="","",COUNTIFS(Eq_Scope,$A101,Eq_Phase,"Complete"))</f>
        <v/>
      </c>
      <c r="N101" s="40" t="str">
        <f aca="false">IF($A101="","",$L101-$M101-$O101)</f>
        <v/>
      </c>
      <c r="O101" s="40" t="str">
        <f aca="false">IF($A101="","",COUNTIFS(Eq_Scope,$A101,Eq_Phase,"Pre-Commissioning"))</f>
        <v/>
      </c>
      <c r="P101" s="40" t="str">
        <f aca="false">IF($A101="","",COUNTIFS(Act_Scope,$A101,Act_Status,"&lt;&gt;Closed"))</f>
        <v/>
      </c>
      <c r="Q101" s="40" t="str">
        <f aca="false">IF($A101="","",COUNTIFS(Doc_Scope,$A101,Doc_Approved,0))</f>
        <v/>
      </c>
      <c r="R101" s="41"/>
    </row>
    <row r="102" customFormat="false" ht="15" hidden="false" customHeight="false" outlineLevel="0" collapsed="false">
      <c r="A102" s="41"/>
      <c r="B102" s="41"/>
      <c r="C102" s="41"/>
      <c r="D102" s="38"/>
      <c r="E102" s="38"/>
      <c r="F102" s="38"/>
      <c r="G102" s="38"/>
      <c r="H102" s="38"/>
      <c r="I102" s="38"/>
      <c r="J102" s="39" t="str">
        <f aca="false">IF($A102="","",IFERROR(AVERAGEIF(Eq_Scope,$A102,Eq_Readiness),0))</f>
        <v/>
      </c>
      <c r="K102" s="41"/>
      <c r="L102" s="40" t="str">
        <f aca="false">IF($A102="","",COUNTIF(Eq_Scope,$A102))</f>
        <v/>
      </c>
      <c r="M102" s="40" t="str">
        <f aca="false">IF($A102="","",COUNTIFS(Eq_Scope,$A102,Eq_Phase,"Complete"))</f>
        <v/>
      </c>
      <c r="N102" s="40" t="str">
        <f aca="false">IF($A102="","",$L102-$M102-$O102)</f>
        <v/>
      </c>
      <c r="O102" s="40" t="str">
        <f aca="false">IF($A102="","",COUNTIFS(Eq_Scope,$A102,Eq_Phase,"Pre-Commissioning"))</f>
        <v/>
      </c>
      <c r="P102" s="40" t="str">
        <f aca="false">IF($A102="","",COUNTIFS(Act_Scope,$A102,Act_Status,"&lt;&gt;Closed"))</f>
        <v/>
      </c>
      <c r="Q102" s="40" t="str">
        <f aca="false">IF($A102="","",COUNTIFS(Doc_Scope,$A102,Doc_Approved,0))</f>
        <v/>
      </c>
      <c r="R102" s="41"/>
    </row>
    <row r="103" customFormat="false" ht="15" hidden="false" customHeight="false" outlineLevel="0" collapsed="false">
      <c r="A103" s="41"/>
      <c r="B103" s="41"/>
      <c r="C103" s="41"/>
      <c r="D103" s="38"/>
      <c r="E103" s="38"/>
      <c r="F103" s="38"/>
      <c r="G103" s="38"/>
      <c r="H103" s="38"/>
      <c r="I103" s="38"/>
      <c r="J103" s="39" t="str">
        <f aca="false">IF($A103="","",IFERROR(AVERAGEIF(Eq_Scope,$A103,Eq_Readiness),0))</f>
        <v/>
      </c>
      <c r="K103" s="41"/>
      <c r="L103" s="40" t="str">
        <f aca="false">IF($A103="","",COUNTIF(Eq_Scope,$A103))</f>
        <v/>
      </c>
      <c r="M103" s="40" t="str">
        <f aca="false">IF($A103="","",COUNTIFS(Eq_Scope,$A103,Eq_Phase,"Complete"))</f>
        <v/>
      </c>
      <c r="N103" s="40" t="str">
        <f aca="false">IF($A103="","",$L103-$M103-$O103)</f>
        <v/>
      </c>
      <c r="O103" s="40" t="str">
        <f aca="false">IF($A103="","",COUNTIFS(Eq_Scope,$A103,Eq_Phase,"Pre-Commissioning"))</f>
        <v/>
      </c>
      <c r="P103" s="40" t="str">
        <f aca="false">IF($A103="","",COUNTIFS(Act_Scope,$A103,Act_Status,"&lt;&gt;Closed"))</f>
        <v/>
      </c>
      <c r="Q103" s="40" t="str">
        <f aca="false">IF($A103="","",COUNTIFS(Doc_Scope,$A103,Doc_Approved,0))</f>
        <v/>
      </c>
      <c r="R103" s="41"/>
    </row>
  </sheetData>
  <autoFilter ref="A3:R103"/>
  <conditionalFormatting sqref="J4:J103">
    <cfRule type="dataBar" priority="2">
      <dataBar showValue="1" minLength="10" maxLength="90">
        <cfvo type="num" val="0"/>
        <cfvo type="num" val="1"/>
        <color rgb="FF638EC6"/>
      </dataBar>
      <extLst>
        <ext xmlns:x14="http://schemas.microsoft.com/office/spreadsheetml/2009/9/main" uri="{B025F937-C7B1-47D3-B67F-A62EFF666E3E}">
          <x14:id>{2D7E5BF1-1C52-4C21-A6BE-CC83595C71E7}</x14:id>
        </ext>
      </extLst>
    </cfRule>
  </conditionalFormatting>
  <dataValidations count="2">
    <dataValidation allowBlank="true" errorStyle="stop" operator="between" showDropDown="false" showErrorMessage="false" showInputMessage="false" sqref="K4:K103" type="list">
      <formula1>Cfg_ScopeStatus</formula1>
      <formula2>0</formula2>
    </dataValidation>
    <dataValidation allowBlank="true" errorStyle="stop" operator="between" showDropDown="false" showErrorMessage="false" showInputMessage="false" sqref="C4:C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D7E5BF1-1C52-4C21-A6BE-CC83595C71E7}">
            <x14:dataBar minLength="10" maxLength="90" axisPosition="none" gradient="true">
              <x14:cfvo type="num">
                <xm:f>0</xm:f>
              </x14:cfvo>
              <x14:cfvo type="num">
                <xm:f>1</xm:f>
              </x14:cfvo>
              <x14:negativeFillColor rgb="FF638EC6"/>
              <x14:axisColor rgb="FF000000"/>
            </x14:dataBar>
          </x14:cfRule>
          <xm:sqref>J4:J103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P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24"/>
    <col collapsed="false" customWidth="true" hidden="false" outlineLevel="0" max="10" min="5" style="0" width="14"/>
    <col collapsed="false" customWidth="true" hidden="false" outlineLevel="0" max="11" min="11" style="0" width="12"/>
    <col collapsed="false" customWidth="true" hidden="false" outlineLevel="0" max="12" min="12" style="0" width="17"/>
    <col collapsed="false" customWidth="true" hidden="false" outlineLevel="0" max="13" min="13" style="0" width="36"/>
    <col collapsed="false" customWidth="true" hidden="true" outlineLevel="0" max="14" min="14" style="0" width="11"/>
    <col collapsed="false" customWidth="true" hidden="true" outlineLevel="0" max="16" min="15" style="0" width="10"/>
  </cols>
  <sheetData>
    <row r="1" customFormat="false" ht="17.35" hidden="false" customHeight="false" outlineLevel="0" collapsed="false">
      <c r="A1" s="1" t="s">
        <v>204</v>
      </c>
    </row>
    <row r="2" customFormat="false" ht="15" hidden="false" customHeight="false" outlineLevel="0" collapsed="false">
      <c r="A2" s="2" t="s">
        <v>205</v>
      </c>
    </row>
    <row r="3" customFormat="false" ht="30" hidden="false" customHeight="true" outlineLevel="0" collapsed="false">
      <c r="A3" s="31" t="s">
        <v>206</v>
      </c>
      <c r="B3" s="31" t="s">
        <v>207</v>
      </c>
      <c r="C3" s="31" t="s">
        <v>208</v>
      </c>
      <c r="D3" s="31" t="s">
        <v>209</v>
      </c>
      <c r="E3" s="31" t="s">
        <v>186</v>
      </c>
      <c r="F3" s="31" t="s">
        <v>188</v>
      </c>
      <c r="G3" s="31" t="s">
        <v>190</v>
      </c>
      <c r="H3" s="31" t="s">
        <v>187</v>
      </c>
      <c r="I3" s="31" t="s">
        <v>189</v>
      </c>
      <c r="J3" s="31" t="s">
        <v>191</v>
      </c>
      <c r="K3" s="31" t="s">
        <v>192</v>
      </c>
      <c r="L3" s="31" t="s">
        <v>193</v>
      </c>
      <c r="M3" s="31" t="s">
        <v>199</v>
      </c>
      <c r="N3" s="31" t="s">
        <v>210</v>
      </c>
      <c r="O3" s="31" t="s">
        <v>211</v>
      </c>
      <c r="P3" s="31" t="s">
        <v>212</v>
      </c>
    </row>
    <row r="4" customFormat="false" ht="15" hidden="false" customHeight="false" outlineLevel="0" collapsed="false">
      <c r="A4" s="36" t="s">
        <v>213</v>
      </c>
      <c r="B4" s="36" t="s">
        <v>200</v>
      </c>
      <c r="C4" s="36" t="s">
        <v>214</v>
      </c>
      <c r="D4" s="36" t="s">
        <v>215</v>
      </c>
      <c r="E4" s="37" t="n">
        <v>46359</v>
      </c>
      <c r="F4" s="37" t="n">
        <v>46364</v>
      </c>
      <c r="G4" s="38"/>
      <c r="H4" s="37" t="n">
        <v>46434</v>
      </c>
      <c r="I4" s="37" t="n">
        <v>46441</v>
      </c>
      <c r="J4" s="38"/>
      <c r="K4" s="39" t="n">
        <f aca="false">IF($A4="","",IF($N4=0,$O4,Cfg_WPhase*$O4+Cfg_WDoc*$P4))</f>
        <v>0.225</v>
      </c>
      <c r="L4" s="42" t="str">
        <f aca="true">IF($A4="","",IF($K4&gt;=1,"Complete",IF($K4&lt;=0,"Not Started",IF(AND($H4&lt;&gt;"",$H4&lt;TODAY(),$J4=""),"Behind Schedule","In Progress"))))</f>
        <v>In Progress</v>
      </c>
      <c r="M4" s="36" t="s">
        <v>203</v>
      </c>
      <c r="N4" s="40" t="n">
        <f aca="false">IF($A4="","",COUNTIF(Doc_Equipment,$A4))</f>
        <v>1</v>
      </c>
      <c r="O4" s="39" t="n">
        <f aca="false">IF($A4="","",IFERROR(INDEX(Cfg_PhasePct,MATCH($D4,Cfg_PhaseList,0)),0))</f>
        <v>0.45</v>
      </c>
      <c r="P4" s="39" t="n">
        <f aca="false">IF($A4="","",IF($N4=0,"",COUNTIFS(Doc_Equipment,$A4,Doc_Approved,1)/$N4))</f>
        <v>0</v>
      </c>
    </row>
    <row r="5" customFormat="false" ht="15" hidden="false" customHeight="false" outlineLevel="0" collapsed="false">
      <c r="A5" s="41"/>
      <c r="B5" s="41"/>
      <c r="C5" s="41"/>
      <c r="D5" s="41"/>
      <c r="E5" s="38"/>
      <c r="F5" s="38"/>
      <c r="G5" s="38"/>
      <c r="H5" s="38"/>
      <c r="I5" s="38"/>
      <c r="J5" s="38"/>
      <c r="K5" s="39" t="str">
        <f aca="false">IF($A5="","",IF($N5=0,$O5,Cfg_WPhase*$O5+Cfg_WDoc*$P5))</f>
        <v/>
      </c>
      <c r="L5" s="42" t="str">
        <f aca="true">IF($A5="","",IF($K5&gt;=1,"Complete",IF($K5&lt;=0,"Not Started",IF(AND($H5&lt;&gt;"",$H5&lt;TODAY(),$J5=""),"Behind Schedule","In Progress"))))</f>
        <v/>
      </c>
      <c r="M5" s="41"/>
      <c r="N5" s="40" t="str">
        <f aca="false">IF($A5="","",COUNTIF(Doc_Equipment,$A5))</f>
        <v/>
      </c>
      <c r="O5" s="39" t="str">
        <f aca="false">IF($A5="","",IFERROR(INDEX(Cfg_PhasePct,MATCH($D5,Cfg_PhaseList,0)),0))</f>
        <v/>
      </c>
      <c r="P5" s="39" t="str">
        <f aca="false">IF($A5="","",IF($N5=0,"",COUNTIFS(Doc_Equipment,$A5,Doc_Approved,1)/$N5))</f>
        <v/>
      </c>
    </row>
    <row r="6" customFormat="false" ht="15" hidden="false" customHeight="false" outlineLevel="0" collapsed="false">
      <c r="A6" s="41"/>
      <c r="B6" s="41"/>
      <c r="C6" s="41"/>
      <c r="D6" s="41"/>
      <c r="E6" s="38"/>
      <c r="F6" s="38"/>
      <c r="G6" s="38"/>
      <c r="H6" s="38"/>
      <c r="I6" s="38"/>
      <c r="J6" s="38"/>
      <c r="K6" s="39" t="str">
        <f aca="false">IF($A6="","",IF($N6=0,$O6,Cfg_WPhase*$O6+Cfg_WDoc*$P6))</f>
        <v/>
      </c>
      <c r="L6" s="42" t="str">
        <f aca="true">IF($A6="","",IF($K6&gt;=1,"Complete",IF($K6&lt;=0,"Not Started",IF(AND($H6&lt;&gt;"",$H6&lt;TODAY(),$J6=""),"Behind Schedule","In Progress"))))</f>
        <v/>
      </c>
      <c r="M6" s="41"/>
      <c r="N6" s="40" t="str">
        <f aca="false">IF($A6="","",COUNTIF(Doc_Equipment,$A6))</f>
        <v/>
      </c>
      <c r="O6" s="39" t="str">
        <f aca="false">IF($A6="","",IFERROR(INDEX(Cfg_PhasePct,MATCH($D6,Cfg_PhaseList,0)),0))</f>
        <v/>
      </c>
      <c r="P6" s="39" t="str">
        <f aca="false">IF($A6="","",IF($N6=0,"",COUNTIFS(Doc_Equipment,$A6,Doc_Approved,1)/$N6))</f>
        <v/>
      </c>
    </row>
    <row r="7" customFormat="false" ht="15" hidden="false" customHeight="false" outlineLevel="0" collapsed="false">
      <c r="A7" s="41"/>
      <c r="B7" s="41"/>
      <c r="C7" s="41"/>
      <c r="D7" s="41"/>
      <c r="E7" s="38"/>
      <c r="F7" s="38"/>
      <c r="G7" s="38"/>
      <c r="H7" s="38"/>
      <c r="I7" s="38"/>
      <c r="J7" s="38"/>
      <c r="K7" s="39" t="str">
        <f aca="false">IF($A7="","",IF($N7=0,$O7,Cfg_WPhase*$O7+Cfg_WDoc*$P7))</f>
        <v/>
      </c>
      <c r="L7" s="42" t="str">
        <f aca="true">IF($A7="","",IF($K7&gt;=1,"Complete",IF($K7&lt;=0,"Not Started",IF(AND($H7&lt;&gt;"",$H7&lt;TODAY(),$J7=""),"Behind Schedule","In Progress"))))</f>
        <v/>
      </c>
      <c r="M7" s="41"/>
      <c r="N7" s="40" t="str">
        <f aca="false">IF($A7="","",COUNTIF(Doc_Equipment,$A7))</f>
        <v/>
      </c>
      <c r="O7" s="39" t="str">
        <f aca="false">IF($A7="","",IFERROR(INDEX(Cfg_PhasePct,MATCH($D7,Cfg_PhaseList,0)),0))</f>
        <v/>
      </c>
      <c r="P7" s="39" t="str">
        <f aca="false">IF($A7="","",IF($N7=0,"",COUNTIFS(Doc_Equipment,$A7,Doc_Approved,1)/$N7))</f>
        <v/>
      </c>
    </row>
    <row r="8" customFormat="false" ht="15" hidden="false" customHeight="false" outlineLevel="0" collapsed="false">
      <c r="A8" s="41"/>
      <c r="B8" s="41"/>
      <c r="C8" s="41"/>
      <c r="D8" s="41"/>
      <c r="E8" s="38"/>
      <c r="F8" s="38"/>
      <c r="G8" s="38"/>
      <c r="H8" s="38"/>
      <c r="I8" s="38"/>
      <c r="J8" s="38"/>
      <c r="K8" s="39" t="str">
        <f aca="false">IF($A8="","",IF($N8=0,$O8,Cfg_WPhase*$O8+Cfg_WDoc*$P8))</f>
        <v/>
      </c>
      <c r="L8" s="42" t="str">
        <f aca="true">IF($A8="","",IF($K8&gt;=1,"Complete",IF($K8&lt;=0,"Not Started",IF(AND($H8&lt;&gt;"",$H8&lt;TODAY(),$J8=""),"Behind Schedule","In Progress"))))</f>
        <v/>
      </c>
      <c r="M8" s="41"/>
      <c r="N8" s="40" t="str">
        <f aca="false">IF($A8="","",COUNTIF(Doc_Equipment,$A8))</f>
        <v/>
      </c>
      <c r="O8" s="39" t="str">
        <f aca="false">IF($A8="","",IFERROR(INDEX(Cfg_PhasePct,MATCH($D8,Cfg_PhaseList,0)),0))</f>
        <v/>
      </c>
      <c r="P8" s="39" t="str">
        <f aca="false">IF($A8="","",IF($N8=0,"",COUNTIFS(Doc_Equipment,$A8,Doc_Approved,1)/$N8))</f>
        <v/>
      </c>
    </row>
    <row r="9" customFormat="false" ht="15" hidden="false" customHeight="false" outlineLevel="0" collapsed="false">
      <c r="A9" s="41"/>
      <c r="B9" s="41"/>
      <c r="C9" s="41"/>
      <c r="D9" s="41"/>
      <c r="E9" s="38"/>
      <c r="F9" s="38"/>
      <c r="G9" s="38"/>
      <c r="H9" s="38"/>
      <c r="I9" s="38"/>
      <c r="J9" s="38"/>
      <c r="K9" s="39" t="str">
        <f aca="false">IF($A9="","",IF($N9=0,$O9,Cfg_WPhase*$O9+Cfg_WDoc*$P9))</f>
        <v/>
      </c>
      <c r="L9" s="42" t="str">
        <f aca="true">IF($A9="","",IF($K9&gt;=1,"Complete",IF($K9&lt;=0,"Not Started",IF(AND($H9&lt;&gt;"",$H9&lt;TODAY(),$J9=""),"Behind Schedule","In Progress"))))</f>
        <v/>
      </c>
      <c r="M9" s="41"/>
      <c r="N9" s="40" t="str">
        <f aca="false">IF($A9="","",COUNTIF(Doc_Equipment,$A9))</f>
        <v/>
      </c>
      <c r="O9" s="39" t="str">
        <f aca="false">IF($A9="","",IFERROR(INDEX(Cfg_PhasePct,MATCH($D9,Cfg_PhaseList,0)),0))</f>
        <v/>
      </c>
      <c r="P9" s="39" t="str">
        <f aca="false">IF($A9="","",IF($N9=0,"",COUNTIFS(Doc_Equipment,$A9,Doc_Approved,1)/$N9))</f>
        <v/>
      </c>
    </row>
    <row r="10" customFormat="false" ht="15" hidden="false" customHeight="false" outlineLevel="0" collapsed="false">
      <c r="A10" s="41"/>
      <c r="B10" s="41"/>
      <c r="C10" s="41"/>
      <c r="D10" s="41"/>
      <c r="E10" s="38"/>
      <c r="F10" s="38"/>
      <c r="G10" s="38"/>
      <c r="H10" s="38"/>
      <c r="I10" s="38"/>
      <c r="J10" s="38"/>
      <c r="K10" s="39" t="str">
        <f aca="false">IF($A10="","",IF($N10=0,$O10,Cfg_WPhase*$O10+Cfg_WDoc*$P10))</f>
        <v/>
      </c>
      <c r="L10" s="42" t="str">
        <f aca="true">IF($A10="","",IF($K10&gt;=1,"Complete",IF($K10&lt;=0,"Not Started",IF(AND($H10&lt;&gt;"",$H10&lt;TODAY(),$J10=""),"Behind Schedule","In Progress"))))</f>
        <v/>
      </c>
      <c r="M10" s="41"/>
      <c r="N10" s="40" t="str">
        <f aca="false">IF($A10="","",COUNTIF(Doc_Equipment,$A10))</f>
        <v/>
      </c>
      <c r="O10" s="39" t="str">
        <f aca="false">IF($A10="","",IFERROR(INDEX(Cfg_PhasePct,MATCH($D10,Cfg_PhaseList,0)),0))</f>
        <v/>
      </c>
      <c r="P10" s="39" t="str">
        <f aca="false">IF($A10="","",IF($N10=0,"",COUNTIFS(Doc_Equipment,$A10,Doc_Approved,1)/$N10))</f>
        <v/>
      </c>
    </row>
    <row r="11" customFormat="false" ht="15" hidden="false" customHeight="false" outlineLevel="0" collapsed="false">
      <c r="A11" s="41"/>
      <c r="B11" s="41"/>
      <c r="C11" s="41"/>
      <c r="D11" s="41"/>
      <c r="E11" s="38"/>
      <c r="F11" s="38"/>
      <c r="G11" s="38"/>
      <c r="H11" s="38"/>
      <c r="I11" s="38"/>
      <c r="J11" s="38"/>
      <c r="K11" s="39" t="str">
        <f aca="false">IF($A11="","",IF($N11=0,$O11,Cfg_WPhase*$O11+Cfg_WDoc*$P11))</f>
        <v/>
      </c>
      <c r="L11" s="42" t="str">
        <f aca="true">IF($A11="","",IF($K11&gt;=1,"Complete",IF($K11&lt;=0,"Not Started",IF(AND($H11&lt;&gt;"",$H11&lt;TODAY(),$J11=""),"Behind Schedule","In Progress"))))</f>
        <v/>
      </c>
      <c r="M11" s="41"/>
      <c r="N11" s="40" t="str">
        <f aca="false">IF($A11="","",COUNTIF(Doc_Equipment,$A11))</f>
        <v/>
      </c>
      <c r="O11" s="39" t="str">
        <f aca="false">IF($A11="","",IFERROR(INDEX(Cfg_PhasePct,MATCH($D11,Cfg_PhaseList,0)),0))</f>
        <v/>
      </c>
      <c r="P11" s="39" t="str">
        <f aca="false">IF($A11="","",IF($N11=0,"",COUNTIFS(Doc_Equipment,$A11,Doc_Approved,1)/$N11))</f>
        <v/>
      </c>
    </row>
    <row r="12" customFormat="false" ht="15" hidden="false" customHeight="false" outlineLevel="0" collapsed="false">
      <c r="A12" s="41"/>
      <c r="B12" s="41"/>
      <c r="C12" s="41"/>
      <c r="D12" s="41"/>
      <c r="E12" s="38"/>
      <c r="F12" s="38"/>
      <c r="G12" s="38"/>
      <c r="H12" s="38"/>
      <c r="I12" s="38"/>
      <c r="J12" s="38"/>
      <c r="K12" s="39" t="str">
        <f aca="false">IF($A12="","",IF($N12=0,$O12,Cfg_WPhase*$O12+Cfg_WDoc*$P12))</f>
        <v/>
      </c>
      <c r="L12" s="42" t="str">
        <f aca="true">IF($A12="","",IF($K12&gt;=1,"Complete",IF($K12&lt;=0,"Not Started",IF(AND($H12&lt;&gt;"",$H12&lt;TODAY(),$J12=""),"Behind Schedule","In Progress"))))</f>
        <v/>
      </c>
      <c r="M12" s="41"/>
      <c r="N12" s="40" t="str">
        <f aca="false">IF($A12="","",COUNTIF(Doc_Equipment,$A12))</f>
        <v/>
      </c>
      <c r="O12" s="39" t="str">
        <f aca="false">IF($A12="","",IFERROR(INDEX(Cfg_PhasePct,MATCH($D12,Cfg_PhaseList,0)),0))</f>
        <v/>
      </c>
      <c r="P12" s="39" t="str">
        <f aca="false">IF($A12="","",IF($N12=0,"",COUNTIFS(Doc_Equipment,$A12,Doc_Approved,1)/$N12))</f>
        <v/>
      </c>
    </row>
    <row r="13" customFormat="false" ht="15" hidden="false" customHeight="false" outlineLevel="0" collapsed="false">
      <c r="A13" s="41"/>
      <c r="B13" s="41"/>
      <c r="C13" s="41"/>
      <c r="D13" s="41"/>
      <c r="E13" s="38"/>
      <c r="F13" s="38"/>
      <c r="G13" s="38"/>
      <c r="H13" s="38"/>
      <c r="I13" s="38"/>
      <c r="J13" s="38"/>
      <c r="K13" s="39" t="str">
        <f aca="false">IF($A13="","",IF($N13=0,$O13,Cfg_WPhase*$O13+Cfg_WDoc*$P13))</f>
        <v/>
      </c>
      <c r="L13" s="42" t="str">
        <f aca="true">IF($A13="","",IF($K13&gt;=1,"Complete",IF($K13&lt;=0,"Not Started",IF(AND($H13&lt;&gt;"",$H13&lt;TODAY(),$J13=""),"Behind Schedule","In Progress"))))</f>
        <v/>
      </c>
      <c r="M13" s="41"/>
      <c r="N13" s="40" t="str">
        <f aca="false">IF($A13="","",COUNTIF(Doc_Equipment,$A13))</f>
        <v/>
      </c>
      <c r="O13" s="39" t="str">
        <f aca="false">IF($A13="","",IFERROR(INDEX(Cfg_PhasePct,MATCH($D13,Cfg_PhaseList,0)),0))</f>
        <v/>
      </c>
      <c r="P13" s="39" t="str">
        <f aca="false">IF($A13="","",IF($N13=0,"",COUNTIFS(Doc_Equipment,$A13,Doc_Approved,1)/$N13))</f>
        <v/>
      </c>
    </row>
    <row r="14" customFormat="false" ht="15" hidden="false" customHeight="false" outlineLevel="0" collapsed="false">
      <c r="A14" s="41"/>
      <c r="B14" s="41"/>
      <c r="C14" s="41"/>
      <c r="D14" s="41"/>
      <c r="E14" s="38"/>
      <c r="F14" s="38"/>
      <c r="G14" s="38"/>
      <c r="H14" s="38"/>
      <c r="I14" s="38"/>
      <c r="J14" s="38"/>
      <c r="K14" s="39" t="str">
        <f aca="false">IF($A14="","",IF($N14=0,$O14,Cfg_WPhase*$O14+Cfg_WDoc*$P14))</f>
        <v/>
      </c>
      <c r="L14" s="42" t="str">
        <f aca="true">IF($A14="","",IF($K14&gt;=1,"Complete",IF($K14&lt;=0,"Not Started",IF(AND($H14&lt;&gt;"",$H14&lt;TODAY(),$J14=""),"Behind Schedule","In Progress"))))</f>
        <v/>
      </c>
      <c r="M14" s="41"/>
      <c r="N14" s="40" t="str">
        <f aca="false">IF($A14="","",COUNTIF(Doc_Equipment,$A14))</f>
        <v/>
      </c>
      <c r="O14" s="39" t="str">
        <f aca="false">IF($A14="","",IFERROR(INDEX(Cfg_PhasePct,MATCH($D14,Cfg_PhaseList,0)),0))</f>
        <v/>
      </c>
      <c r="P14" s="39" t="str">
        <f aca="false">IF($A14="","",IF($N14=0,"",COUNTIFS(Doc_Equipment,$A14,Doc_Approved,1)/$N14))</f>
        <v/>
      </c>
    </row>
    <row r="15" customFormat="false" ht="15" hidden="false" customHeight="false" outlineLevel="0" collapsed="false">
      <c r="A15" s="41"/>
      <c r="B15" s="41"/>
      <c r="C15" s="41"/>
      <c r="D15" s="41"/>
      <c r="E15" s="38"/>
      <c r="F15" s="38"/>
      <c r="G15" s="38"/>
      <c r="H15" s="38"/>
      <c r="I15" s="38"/>
      <c r="J15" s="38"/>
      <c r="K15" s="39" t="str">
        <f aca="false">IF($A15="","",IF($N15=0,$O15,Cfg_WPhase*$O15+Cfg_WDoc*$P15))</f>
        <v/>
      </c>
      <c r="L15" s="42" t="str">
        <f aca="true">IF($A15="","",IF($K15&gt;=1,"Complete",IF($K15&lt;=0,"Not Started",IF(AND($H15&lt;&gt;"",$H15&lt;TODAY(),$J15=""),"Behind Schedule","In Progress"))))</f>
        <v/>
      </c>
      <c r="M15" s="41"/>
      <c r="N15" s="40" t="str">
        <f aca="false">IF($A15="","",COUNTIF(Doc_Equipment,$A15))</f>
        <v/>
      </c>
      <c r="O15" s="39" t="str">
        <f aca="false">IF($A15="","",IFERROR(INDEX(Cfg_PhasePct,MATCH($D15,Cfg_PhaseList,0)),0))</f>
        <v/>
      </c>
      <c r="P15" s="39" t="str">
        <f aca="false">IF($A15="","",IF($N15=0,"",COUNTIFS(Doc_Equipment,$A15,Doc_Approved,1)/$N15))</f>
        <v/>
      </c>
    </row>
    <row r="16" customFormat="false" ht="15" hidden="false" customHeight="false" outlineLevel="0" collapsed="false">
      <c r="A16" s="41"/>
      <c r="B16" s="41"/>
      <c r="C16" s="41"/>
      <c r="D16" s="41"/>
      <c r="E16" s="38"/>
      <c r="F16" s="38"/>
      <c r="G16" s="38"/>
      <c r="H16" s="38"/>
      <c r="I16" s="38"/>
      <c r="J16" s="38"/>
      <c r="K16" s="39" t="str">
        <f aca="false">IF($A16="","",IF($N16=0,$O16,Cfg_WPhase*$O16+Cfg_WDoc*$P16))</f>
        <v/>
      </c>
      <c r="L16" s="42" t="str">
        <f aca="true">IF($A16="","",IF($K16&gt;=1,"Complete",IF($K16&lt;=0,"Not Started",IF(AND($H16&lt;&gt;"",$H16&lt;TODAY(),$J16=""),"Behind Schedule","In Progress"))))</f>
        <v/>
      </c>
      <c r="M16" s="41"/>
      <c r="N16" s="40" t="str">
        <f aca="false">IF($A16="","",COUNTIF(Doc_Equipment,$A16))</f>
        <v/>
      </c>
      <c r="O16" s="39" t="str">
        <f aca="false">IF($A16="","",IFERROR(INDEX(Cfg_PhasePct,MATCH($D16,Cfg_PhaseList,0)),0))</f>
        <v/>
      </c>
      <c r="P16" s="39" t="str">
        <f aca="false">IF($A16="","",IF($N16=0,"",COUNTIFS(Doc_Equipment,$A16,Doc_Approved,1)/$N16))</f>
        <v/>
      </c>
    </row>
    <row r="17" customFormat="false" ht="15" hidden="false" customHeight="false" outlineLevel="0" collapsed="false">
      <c r="A17" s="41"/>
      <c r="B17" s="41"/>
      <c r="C17" s="41"/>
      <c r="D17" s="41"/>
      <c r="E17" s="38"/>
      <c r="F17" s="38"/>
      <c r="G17" s="38"/>
      <c r="H17" s="38"/>
      <c r="I17" s="38"/>
      <c r="J17" s="38"/>
      <c r="K17" s="39" t="str">
        <f aca="false">IF($A17="","",IF($N17=0,$O17,Cfg_WPhase*$O17+Cfg_WDoc*$P17))</f>
        <v/>
      </c>
      <c r="L17" s="42" t="str">
        <f aca="true">IF($A17="","",IF($K17&gt;=1,"Complete",IF($K17&lt;=0,"Not Started",IF(AND($H17&lt;&gt;"",$H17&lt;TODAY(),$J17=""),"Behind Schedule","In Progress"))))</f>
        <v/>
      </c>
      <c r="M17" s="41"/>
      <c r="N17" s="40" t="str">
        <f aca="false">IF($A17="","",COUNTIF(Doc_Equipment,$A17))</f>
        <v/>
      </c>
      <c r="O17" s="39" t="str">
        <f aca="false">IF($A17="","",IFERROR(INDEX(Cfg_PhasePct,MATCH($D17,Cfg_PhaseList,0)),0))</f>
        <v/>
      </c>
      <c r="P17" s="39" t="str">
        <f aca="false">IF($A17="","",IF($N17=0,"",COUNTIFS(Doc_Equipment,$A17,Doc_Approved,1)/$N17))</f>
        <v/>
      </c>
    </row>
    <row r="18" customFormat="false" ht="15" hidden="false" customHeight="false" outlineLevel="0" collapsed="false">
      <c r="A18" s="41"/>
      <c r="B18" s="41"/>
      <c r="C18" s="41"/>
      <c r="D18" s="41"/>
      <c r="E18" s="38"/>
      <c r="F18" s="38"/>
      <c r="G18" s="38"/>
      <c r="H18" s="38"/>
      <c r="I18" s="38"/>
      <c r="J18" s="38"/>
      <c r="K18" s="39" t="str">
        <f aca="false">IF($A18="","",IF($N18=0,$O18,Cfg_WPhase*$O18+Cfg_WDoc*$P18))</f>
        <v/>
      </c>
      <c r="L18" s="42" t="str">
        <f aca="true">IF($A18="","",IF($K18&gt;=1,"Complete",IF($K18&lt;=0,"Not Started",IF(AND($H18&lt;&gt;"",$H18&lt;TODAY(),$J18=""),"Behind Schedule","In Progress"))))</f>
        <v/>
      </c>
      <c r="M18" s="41"/>
      <c r="N18" s="40" t="str">
        <f aca="false">IF($A18="","",COUNTIF(Doc_Equipment,$A18))</f>
        <v/>
      </c>
      <c r="O18" s="39" t="str">
        <f aca="false">IF($A18="","",IFERROR(INDEX(Cfg_PhasePct,MATCH($D18,Cfg_PhaseList,0)),0))</f>
        <v/>
      </c>
      <c r="P18" s="39" t="str">
        <f aca="false">IF($A18="","",IF($N18=0,"",COUNTIFS(Doc_Equipment,$A18,Doc_Approved,1)/$N18))</f>
        <v/>
      </c>
    </row>
    <row r="19" customFormat="false" ht="15" hidden="false" customHeight="false" outlineLevel="0" collapsed="false">
      <c r="A19" s="41"/>
      <c r="B19" s="41"/>
      <c r="C19" s="41"/>
      <c r="D19" s="41"/>
      <c r="E19" s="38"/>
      <c r="F19" s="38"/>
      <c r="G19" s="38"/>
      <c r="H19" s="38"/>
      <c r="I19" s="38"/>
      <c r="J19" s="38"/>
      <c r="K19" s="39" t="str">
        <f aca="false">IF($A19="","",IF($N19=0,$O19,Cfg_WPhase*$O19+Cfg_WDoc*$P19))</f>
        <v/>
      </c>
      <c r="L19" s="42" t="str">
        <f aca="true">IF($A19="","",IF($K19&gt;=1,"Complete",IF($K19&lt;=0,"Not Started",IF(AND($H19&lt;&gt;"",$H19&lt;TODAY(),$J19=""),"Behind Schedule","In Progress"))))</f>
        <v/>
      </c>
      <c r="M19" s="41"/>
      <c r="N19" s="40" t="str">
        <f aca="false">IF($A19="","",COUNTIF(Doc_Equipment,$A19))</f>
        <v/>
      </c>
      <c r="O19" s="39" t="str">
        <f aca="false">IF($A19="","",IFERROR(INDEX(Cfg_PhasePct,MATCH($D19,Cfg_PhaseList,0)),0))</f>
        <v/>
      </c>
      <c r="P19" s="39" t="str">
        <f aca="false">IF($A19="","",IF($N19=0,"",COUNTIFS(Doc_Equipment,$A19,Doc_Approved,1)/$N19))</f>
        <v/>
      </c>
    </row>
    <row r="20" customFormat="false" ht="15" hidden="false" customHeight="false" outlineLevel="0" collapsed="false">
      <c r="A20" s="41"/>
      <c r="B20" s="41"/>
      <c r="C20" s="41"/>
      <c r="D20" s="41"/>
      <c r="E20" s="38"/>
      <c r="F20" s="38"/>
      <c r="G20" s="38"/>
      <c r="H20" s="38"/>
      <c r="I20" s="38"/>
      <c r="J20" s="38"/>
      <c r="K20" s="39" t="str">
        <f aca="false">IF($A20="","",IF($N20=0,$O20,Cfg_WPhase*$O20+Cfg_WDoc*$P20))</f>
        <v/>
      </c>
      <c r="L20" s="42" t="str">
        <f aca="true">IF($A20="","",IF($K20&gt;=1,"Complete",IF($K20&lt;=0,"Not Started",IF(AND($H20&lt;&gt;"",$H20&lt;TODAY(),$J20=""),"Behind Schedule","In Progress"))))</f>
        <v/>
      </c>
      <c r="M20" s="41"/>
      <c r="N20" s="40" t="str">
        <f aca="false">IF($A20="","",COUNTIF(Doc_Equipment,$A20))</f>
        <v/>
      </c>
      <c r="O20" s="39" t="str">
        <f aca="false">IF($A20="","",IFERROR(INDEX(Cfg_PhasePct,MATCH($D20,Cfg_PhaseList,0)),0))</f>
        <v/>
      </c>
      <c r="P20" s="39" t="str">
        <f aca="false">IF($A20="","",IF($N20=0,"",COUNTIFS(Doc_Equipment,$A20,Doc_Approved,1)/$N20))</f>
        <v/>
      </c>
    </row>
    <row r="21" customFormat="false" ht="15" hidden="false" customHeight="false" outlineLevel="0" collapsed="false">
      <c r="A21" s="41"/>
      <c r="B21" s="41"/>
      <c r="C21" s="41"/>
      <c r="D21" s="41"/>
      <c r="E21" s="38"/>
      <c r="F21" s="38"/>
      <c r="G21" s="38"/>
      <c r="H21" s="38"/>
      <c r="I21" s="38"/>
      <c r="J21" s="38"/>
      <c r="K21" s="39" t="str">
        <f aca="false">IF($A21="","",IF($N21=0,$O21,Cfg_WPhase*$O21+Cfg_WDoc*$P21))</f>
        <v/>
      </c>
      <c r="L21" s="42" t="str">
        <f aca="true">IF($A21="","",IF($K21&gt;=1,"Complete",IF($K21&lt;=0,"Not Started",IF(AND($H21&lt;&gt;"",$H21&lt;TODAY(),$J21=""),"Behind Schedule","In Progress"))))</f>
        <v/>
      </c>
      <c r="M21" s="41"/>
      <c r="N21" s="40" t="str">
        <f aca="false">IF($A21="","",COUNTIF(Doc_Equipment,$A21))</f>
        <v/>
      </c>
      <c r="O21" s="39" t="str">
        <f aca="false">IF($A21="","",IFERROR(INDEX(Cfg_PhasePct,MATCH($D21,Cfg_PhaseList,0)),0))</f>
        <v/>
      </c>
      <c r="P21" s="39" t="str">
        <f aca="false">IF($A21="","",IF($N21=0,"",COUNTIFS(Doc_Equipment,$A21,Doc_Approved,1)/$N21))</f>
        <v/>
      </c>
    </row>
    <row r="22" customFormat="false" ht="15" hidden="false" customHeight="false" outlineLevel="0" collapsed="false">
      <c r="A22" s="41"/>
      <c r="B22" s="41"/>
      <c r="C22" s="41"/>
      <c r="D22" s="41"/>
      <c r="E22" s="38"/>
      <c r="F22" s="38"/>
      <c r="G22" s="38"/>
      <c r="H22" s="38"/>
      <c r="I22" s="38"/>
      <c r="J22" s="38"/>
      <c r="K22" s="39" t="str">
        <f aca="false">IF($A22="","",IF($N22=0,$O22,Cfg_WPhase*$O22+Cfg_WDoc*$P22))</f>
        <v/>
      </c>
      <c r="L22" s="42" t="str">
        <f aca="true">IF($A22="","",IF($K22&gt;=1,"Complete",IF($K22&lt;=0,"Not Started",IF(AND($H22&lt;&gt;"",$H22&lt;TODAY(),$J22=""),"Behind Schedule","In Progress"))))</f>
        <v/>
      </c>
      <c r="M22" s="41"/>
      <c r="N22" s="40" t="str">
        <f aca="false">IF($A22="","",COUNTIF(Doc_Equipment,$A22))</f>
        <v/>
      </c>
      <c r="O22" s="39" t="str">
        <f aca="false">IF($A22="","",IFERROR(INDEX(Cfg_PhasePct,MATCH($D22,Cfg_PhaseList,0)),0))</f>
        <v/>
      </c>
      <c r="P22" s="39" t="str">
        <f aca="false">IF($A22="","",IF($N22=0,"",COUNTIFS(Doc_Equipment,$A22,Doc_Approved,1)/$N22))</f>
        <v/>
      </c>
    </row>
    <row r="23" customFormat="false" ht="15" hidden="false" customHeight="false" outlineLevel="0" collapsed="false">
      <c r="A23" s="41"/>
      <c r="B23" s="41"/>
      <c r="C23" s="41"/>
      <c r="D23" s="41"/>
      <c r="E23" s="38"/>
      <c r="F23" s="38"/>
      <c r="G23" s="38"/>
      <c r="H23" s="38"/>
      <c r="I23" s="38"/>
      <c r="J23" s="38"/>
      <c r="K23" s="39" t="str">
        <f aca="false">IF($A23="","",IF($N23=0,$O23,Cfg_WPhase*$O23+Cfg_WDoc*$P23))</f>
        <v/>
      </c>
      <c r="L23" s="42" t="str">
        <f aca="true">IF($A23="","",IF($K23&gt;=1,"Complete",IF($K23&lt;=0,"Not Started",IF(AND($H23&lt;&gt;"",$H23&lt;TODAY(),$J23=""),"Behind Schedule","In Progress"))))</f>
        <v/>
      </c>
      <c r="M23" s="41"/>
      <c r="N23" s="40" t="str">
        <f aca="false">IF($A23="","",COUNTIF(Doc_Equipment,$A23))</f>
        <v/>
      </c>
      <c r="O23" s="39" t="str">
        <f aca="false">IF($A23="","",IFERROR(INDEX(Cfg_PhasePct,MATCH($D23,Cfg_PhaseList,0)),0))</f>
        <v/>
      </c>
      <c r="P23" s="39" t="str">
        <f aca="false">IF($A23="","",IF($N23=0,"",COUNTIFS(Doc_Equipment,$A23,Doc_Approved,1)/$N23))</f>
        <v/>
      </c>
    </row>
    <row r="24" customFormat="false" ht="15" hidden="false" customHeight="false" outlineLevel="0" collapsed="false">
      <c r="A24" s="41"/>
      <c r="B24" s="41"/>
      <c r="C24" s="41"/>
      <c r="D24" s="41"/>
      <c r="E24" s="38"/>
      <c r="F24" s="38"/>
      <c r="G24" s="38"/>
      <c r="H24" s="38"/>
      <c r="I24" s="38"/>
      <c r="J24" s="38"/>
      <c r="K24" s="39" t="str">
        <f aca="false">IF($A24="","",IF($N24=0,$O24,Cfg_WPhase*$O24+Cfg_WDoc*$P24))</f>
        <v/>
      </c>
      <c r="L24" s="42" t="str">
        <f aca="true">IF($A24="","",IF($K24&gt;=1,"Complete",IF($K24&lt;=0,"Not Started",IF(AND($H24&lt;&gt;"",$H24&lt;TODAY(),$J24=""),"Behind Schedule","In Progress"))))</f>
        <v/>
      </c>
      <c r="M24" s="41"/>
      <c r="N24" s="40" t="str">
        <f aca="false">IF($A24="","",COUNTIF(Doc_Equipment,$A24))</f>
        <v/>
      </c>
      <c r="O24" s="39" t="str">
        <f aca="false">IF($A24="","",IFERROR(INDEX(Cfg_PhasePct,MATCH($D24,Cfg_PhaseList,0)),0))</f>
        <v/>
      </c>
      <c r="P24" s="39" t="str">
        <f aca="false">IF($A24="","",IF($N24=0,"",COUNTIFS(Doc_Equipment,$A24,Doc_Approved,1)/$N24))</f>
        <v/>
      </c>
    </row>
    <row r="25" customFormat="false" ht="15" hidden="false" customHeight="false" outlineLevel="0" collapsed="false">
      <c r="A25" s="41"/>
      <c r="B25" s="41"/>
      <c r="C25" s="41"/>
      <c r="D25" s="41"/>
      <c r="E25" s="38"/>
      <c r="F25" s="38"/>
      <c r="G25" s="38"/>
      <c r="H25" s="38"/>
      <c r="I25" s="38"/>
      <c r="J25" s="38"/>
      <c r="K25" s="39" t="str">
        <f aca="false">IF($A25="","",IF($N25=0,$O25,Cfg_WPhase*$O25+Cfg_WDoc*$P25))</f>
        <v/>
      </c>
      <c r="L25" s="42" t="str">
        <f aca="true">IF($A25="","",IF($K25&gt;=1,"Complete",IF($K25&lt;=0,"Not Started",IF(AND($H25&lt;&gt;"",$H25&lt;TODAY(),$J25=""),"Behind Schedule","In Progress"))))</f>
        <v/>
      </c>
      <c r="M25" s="41"/>
      <c r="N25" s="40" t="str">
        <f aca="false">IF($A25="","",COUNTIF(Doc_Equipment,$A25))</f>
        <v/>
      </c>
      <c r="O25" s="39" t="str">
        <f aca="false">IF($A25="","",IFERROR(INDEX(Cfg_PhasePct,MATCH($D25,Cfg_PhaseList,0)),0))</f>
        <v/>
      </c>
      <c r="P25" s="39" t="str">
        <f aca="false">IF($A25="","",IF($N25=0,"",COUNTIFS(Doc_Equipment,$A25,Doc_Approved,1)/$N25))</f>
        <v/>
      </c>
    </row>
    <row r="26" customFormat="false" ht="15" hidden="false" customHeight="false" outlineLevel="0" collapsed="false">
      <c r="A26" s="41"/>
      <c r="B26" s="41"/>
      <c r="C26" s="41"/>
      <c r="D26" s="41"/>
      <c r="E26" s="38"/>
      <c r="F26" s="38"/>
      <c r="G26" s="38"/>
      <c r="H26" s="38"/>
      <c r="I26" s="38"/>
      <c r="J26" s="38"/>
      <c r="K26" s="39" t="str">
        <f aca="false">IF($A26="","",IF($N26=0,$O26,Cfg_WPhase*$O26+Cfg_WDoc*$P26))</f>
        <v/>
      </c>
      <c r="L26" s="42" t="str">
        <f aca="true">IF($A26="","",IF($K26&gt;=1,"Complete",IF($K26&lt;=0,"Not Started",IF(AND($H26&lt;&gt;"",$H26&lt;TODAY(),$J26=""),"Behind Schedule","In Progress"))))</f>
        <v/>
      </c>
      <c r="M26" s="41"/>
      <c r="N26" s="40" t="str">
        <f aca="false">IF($A26="","",COUNTIF(Doc_Equipment,$A26))</f>
        <v/>
      </c>
      <c r="O26" s="39" t="str">
        <f aca="false">IF($A26="","",IFERROR(INDEX(Cfg_PhasePct,MATCH($D26,Cfg_PhaseList,0)),0))</f>
        <v/>
      </c>
      <c r="P26" s="39" t="str">
        <f aca="false">IF($A26="","",IF($N26=0,"",COUNTIFS(Doc_Equipment,$A26,Doc_Approved,1)/$N26))</f>
        <v/>
      </c>
    </row>
    <row r="27" customFormat="false" ht="15" hidden="false" customHeight="false" outlineLevel="0" collapsed="false">
      <c r="A27" s="41"/>
      <c r="B27" s="41"/>
      <c r="C27" s="41"/>
      <c r="D27" s="41"/>
      <c r="E27" s="38"/>
      <c r="F27" s="38"/>
      <c r="G27" s="38"/>
      <c r="H27" s="38"/>
      <c r="I27" s="38"/>
      <c r="J27" s="38"/>
      <c r="K27" s="39" t="str">
        <f aca="false">IF($A27="","",IF($N27=0,$O27,Cfg_WPhase*$O27+Cfg_WDoc*$P27))</f>
        <v/>
      </c>
      <c r="L27" s="42" t="str">
        <f aca="true">IF($A27="","",IF($K27&gt;=1,"Complete",IF($K27&lt;=0,"Not Started",IF(AND($H27&lt;&gt;"",$H27&lt;TODAY(),$J27=""),"Behind Schedule","In Progress"))))</f>
        <v/>
      </c>
      <c r="M27" s="41"/>
      <c r="N27" s="40" t="str">
        <f aca="false">IF($A27="","",COUNTIF(Doc_Equipment,$A27))</f>
        <v/>
      </c>
      <c r="O27" s="39" t="str">
        <f aca="false">IF($A27="","",IFERROR(INDEX(Cfg_PhasePct,MATCH($D27,Cfg_PhaseList,0)),0))</f>
        <v/>
      </c>
      <c r="P27" s="39" t="str">
        <f aca="false">IF($A27="","",IF($N27=0,"",COUNTIFS(Doc_Equipment,$A27,Doc_Approved,1)/$N27))</f>
        <v/>
      </c>
    </row>
    <row r="28" customFormat="false" ht="15" hidden="false" customHeight="false" outlineLevel="0" collapsed="false">
      <c r="A28" s="41"/>
      <c r="B28" s="41"/>
      <c r="C28" s="41"/>
      <c r="D28" s="41"/>
      <c r="E28" s="38"/>
      <c r="F28" s="38"/>
      <c r="G28" s="38"/>
      <c r="H28" s="38"/>
      <c r="I28" s="38"/>
      <c r="J28" s="38"/>
      <c r="K28" s="39" t="str">
        <f aca="false">IF($A28="","",IF($N28=0,$O28,Cfg_WPhase*$O28+Cfg_WDoc*$P28))</f>
        <v/>
      </c>
      <c r="L28" s="42" t="str">
        <f aca="true">IF($A28="","",IF($K28&gt;=1,"Complete",IF($K28&lt;=0,"Not Started",IF(AND($H28&lt;&gt;"",$H28&lt;TODAY(),$J28=""),"Behind Schedule","In Progress"))))</f>
        <v/>
      </c>
      <c r="M28" s="41"/>
      <c r="N28" s="40" t="str">
        <f aca="false">IF($A28="","",COUNTIF(Doc_Equipment,$A28))</f>
        <v/>
      </c>
      <c r="O28" s="39" t="str">
        <f aca="false">IF($A28="","",IFERROR(INDEX(Cfg_PhasePct,MATCH($D28,Cfg_PhaseList,0)),0))</f>
        <v/>
      </c>
      <c r="P28" s="39" t="str">
        <f aca="false">IF($A28="","",IF($N28=0,"",COUNTIFS(Doc_Equipment,$A28,Doc_Approved,1)/$N28))</f>
        <v/>
      </c>
    </row>
    <row r="29" customFormat="false" ht="15" hidden="false" customHeight="false" outlineLevel="0" collapsed="false">
      <c r="A29" s="41"/>
      <c r="B29" s="41"/>
      <c r="C29" s="41"/>
      <c r="D29" s="41"/>
      <c r="E29" s="38"/>
      <c r="F29" s="38"/>
      <c r="G29" s="38"/>
      <c r="H29" s="38"/>
      <c r="I29" s="38"/>
      <c r="J29" s="38"/>
      <c r="K29" s="39" t="str">
        <f aca="false">IF($A29="","",IF($N29=0,$O29,Cfg_WPhase*$O29+Cfg_WDoc*$P29))</f>
        <v/>
      </c>
      <c r="L29" s="42" t="str">
        <f aca="true">IF($A29="","",IF($K29&gt;=1,"Complete",IF($K29&lt;=0,"Not Started",IF(AND($H29&lt;&gt;"",$H29&lt;TODAY(),$J29=""),"Behind Schedule","In Progress"))))</f>
        <v/>
      </c>
      <c r="M29" s="41"/>
      <c r="N29" s="40" t="str">
        <f aca="false">IF($A29="","",COUNTIF(Doc_Equipment,$A29))</f>
        <v/>
      </c>
      <c r="O29" s="39" t="str">
        <f aca="false">IF($A29="","",IFERROR(INDEX(Cfg_PhasePct,MATCH($D29,Cfg_PhaseList,0)),0))</f>
        <v/>
      </c>
      <c r="P29" s="39" t="str">
        <f aca="false">IF($A29="","",IF($N29=0,"",COUNTIFS(Doc_Equipment,$A29,Doc_Approved,1)/$N29))</f>
        <v/>
      </c>
    </row>
    <row r="30" customFormat="false" ht="15" hidden="false" customHeight="false" outlineLevel="0" collapsed="false">
      <c r="A30" s="41"/>
      <c r="B30" s="41"/>
      <c r="C30" s="41"/>
      <c r="D30" s="41"/>
      <c r="E30" s="38"/>
      <c r="F30" s="38"/>
      <c r="G30" s="38"/>
      <c r="H30" s="38"/>
      <c r="I30" s="38"/>
      <c r="J30" s="38"/>
      <c r="K30" s="39" t="str">
        <f aca="false">IF($A30="","",IF($N30=0,$O30,Cfg_WPhase*$O30+Cfg_WDoc*$P30))</f>
        <v/>
      </c>
      <c r="L30" s="42" t="str">
        <f aca="true">IF($A30="","",IF($K30&gt;=1,"Complete",IF($K30&lt;=0,"Not Started",IF(AND($H30&lt;&gt;"",$H30&lt;TODAY(),$J30=""),"Behind Schedule","In Progress"))))</f>
        <v/>
      </c>
      <c r="M30" s="41"/>
      <c r="N30" s="40" t="str">
        <f aca="false">IF($A30="","",COUNTIF(Doc_Equipment,$A30))</f>
        <v/>
      </c>
      <c r="O30" s="39" t="str">
        <f aca="false">IF($A30="","",IFERROR(INDEX(Cfg_PhasePct,MATCH($D30,Cfg_PhaseList,0)),0))</f>
        <v/>
      </c>
      <c r="P30" s="39" t="str">
        <f aca="false">IF($A30="","",IF($N30=0,"",COUNTIFS(Doc_Equipment,$A30,Doc_Approved,1)/$N30))</f>
        <v/>
      </c>
    </row>
    <row r="31" customFormat="false" ht="15" hidden="false" customHeight="false" outlineLevel="0" collapsed="false">
      <c r="A31" s="41"/>
      <c r="B31" s="41"/>
      <c r="C31" s="41"/>
      <c r="D31" s="41"/>
      <c r="E31" s="38"/>
      <c r="F31" s="38"/>
      <c r="G31" s="38"/>
      <c r="H31" s="38"/>
      <c r="I31" s="38"/>
      <c r="J31" s="38"/>
      <c r="K31" s="39" t="str">
        <f aca="false">IF($A31="","",IF($N31=0,$O31,Cfg_WPhase*$O31+Cfg_WDoc*$P31))</f>
        <v/>
      </c>
      <c r="L31" s="42" t="str">
        <f aca="true">IF($A31="","",IF($K31&gt;=1,"Complete",IF($K31&lt;=0,"Not Started",IF(AND($H31&lt;&gt;"",$H31&lt;TODAY(),$J31=""),"Behind Schedule","In Progress"))))</f>
        <v/>
      </c>
      <c r="M31" s="41"/>
      <c r="N31" s="40" t="str">
        <f aca="false">IF($A31="","",COUNTIF(Doc_Equipment,$A31))</f>
        <v/>
      </c>
      <c r="O31" s="39" t="str">
        <f aca="false">IF($A31="","",IFERROR(INDEX(Cfg_PhasePct,MATCH($D31,Cfg_PhaseList,0)),0))</f>
        <v/>
      </c>
      <c r="P31" s="39" t="str">
        <f aca="false">IF($A31="","",IF($N31=0,"",COUNTIFS(Doc_Equipment,$A31,Doc_Approved,1)/$N31))</f>
        <v/>
      </c>
    </row>
    <row r="32" customFormat="false" ht="15" hidden="false" customHeight="false" outlineLevel="0" collapsed="false">
      <c r="A32" s="41"/>
      <c r="B32" s="41"/>
      <c r="C32" s="41"/>
      <c r="D32" s="41"/>
      <c r="E32" s="38"/>
      <c r="F32" s="38"/>
      <c r="G32" s="38"/>
      <c r="H32" s="38"/>
      <c r="I32" s="38"/>
      <c r="J32" s="38"/>
      <c r="K32" s="39" t="str">
        <f aca="false">IF($A32="","",IF($N32=0,$O32,Cfg_WPhase*$O32+Cfg_WDoc*$P32))</f>
        <v/>
      </c>
      <c r="L32" s="42" t="str">
        <f aca="true">IF($A32="","",IF($K32&gt;=1,"Complete",IF($K32&lt;=0,"Not Started",IF(AND($H32&lt;&gt;"",$H32&lt;TODAY(),$J32=""),"Behind Schedule","In Progress"))))</f>
        <v/>
      </c>
      <c r="M32" s="41"/>
      <c r="N32" s="40" t="str">
        <f aca="false">IF($A32="","",COUNTIF(Doc_Equipment,$A32))</f>
        <v/>
      </c>
      <c r="O32" s="39" t="str">
        <f aca="false">IF($A32="","",IFERROR(INDEX(Cfg_PhasePct,MATCH($D32,Cfg_PhaseList,0)),0))</f>
        <v/>
      </c>
      <c r="P32" s="39" t="str">
        <f aca="false">IF($A32="","",IF($N32=0,"",COUNTIFS(Doc_Equipment,$A32,Doc_Approved,1)/$N32))</f>
        <v/>
      </c>
    </row>
    <row r="33" customFormat="false" ht="15" hidden="false" customHeight="false" outlineLevel="0" collapsed="false">
      <c r="A33" s="41"/>
      <c r="B33" s="41"/>
      <c r="C33" s="41"/>
      <c r="D33" s="41"/>
      <c r="E33" s="38"/>
      <c r="F33" s="38"/>
      <c r="G33" s="38"/>
      <c r="H33" s="38"/>
      <c r="I33" s="38"/>
      <c r="J33" s="38"/>
      <c r="K33" s="39" t="str">
        <f aca="false">IF($A33="","",IF($N33=0,$O33,Cfg_WPhase*$O33+Cfg_WDoc*$P33))</f>
        <v/>
      </c>
      <c r="L33" s="42" t="str">
        <f aca="true">IF($A33="","",IF($K33&gt;=1,"Complete",IF($K33&lt;=0,"Not Started",IF(AND($H33&lt;&gt;"",$H33&lt;TODAY(),$J33=""),"Behind Schedule","In Progress"))))</f>
        <v/>
      </c>
      <c r="M33" s="41"/>
      <c r="N33" s="40" t="str">
        <f aca="false">IF($A33="","",COUNTIF(Doc_Equipment,$A33))</f>
        <v/>
      </c>
      <c r="O33" s="39" t="str">
        <f aca="false">IF($A33="","",IFERROR(INDEX(Cfg_PhasePct,MATCH($D33,Cfg_PhaseList,0)),0))</f>
        <v/>
      </c>
      <c r="P33" s="39" t="str">
        <f aca="false">IF($A33="","",IF($N33=0,"",COUNTIFS(Doc_Equipment,$A33,Doc_Approved,1)/$N33))</f>
        <v/>
      </c>
    </row>
    <row r="34" customFormat="false" ht="15" hidden="false" customHeight="false" outlineLevel="0" collapsed="false">
      <c r="A34" s="41"/>
      <c r="B34" s="41"/>
      <c r="C34" s="41"/>
      <c r="D34" s="41"/>
      <c r="E34" s="38"/>
      <c r="F34" s="38"/>
      <c r="G34" s="38"/>
      <c r="H34" s="38"/>
      <c r="I34" s="38"/>
      <c r="J34" s="38"/>
      <c r="K34" s="39" t="str">
        <f aca="false">IF($A34="","",IF($N34=0,$O34,Cfg_WPhase*$O34+Cfg_WDoc*$P34))</f>
        <v/>
      </c>
      <c r="L34" s="42" t="str">
        <f aca="true">IF($A34="","",IF($K34&gt;=1,"Complete",IF($K34&lt;=0,"Not Started",IF(AND($H34&lt;&gt;"",$H34&lt;TODAY(),$J34=""),"Behind Schedule","In Progress"))))</f>
        <v/>
      </c>
      <c r="M34" s="41"/>
      <c r="N34" s="40" t="str">
        <f aca="false">IF($A34="","",COUNTIF(Doc_Equipment,$A34))</f>
        <v/>
      </c>
      <c r="O34" s="39" t="str">
        <f aca="false">IF($A34="","",IFERROR(INDEX(Cfg_PhasePct,MATCH($D34,Cfg_PhaseList,0)),0))</f>
        <v/>
      </c>
      <c r="P34" s="39" t="str">
        <f aca="false">IF($A34="","",IF($N34=0,"",COUNTIFS(Doc_Equipment,$A34,Doc_Approved,1)/$N34))</f>
        <v/>
      </c>
    </row>
    <row r="35" customFormat="false" ht="15" hidden="false" customHeight="false" outlineLevel="0" collapsed="false">
      <c r="A35" s="41"/>
      <c r="B35" s="41"/>
      <c r="C35" s="41"/>
      <c r="D35" s="41"/>
      <c r="E35" s="38"/>
      <c r="F35" s="38"/>
      <c r="G35" s="38"/>
      <c r="H35" s="38"/>
      <c r="I35" s="38"/>
      <c r="J35" s="38"/>
      <c r="K35" s="39" t="str">
        <f aca="false">IF($A35="","",IF($N35=0,$O35,Cfg_WPhase*$O35+Cfg_WDoc*$P35))</f>
        <v/>
      </c>
      <c r="L35" s="42" t="str">
        <f aca="true">IF($A35="","",IF($K35&gt;=1,"Complete",IF($K35&lt;=0,"Not Started",IF(AND($H35&lt;&gt;"",$H35&lt;TODAY(),$J35=""),"Behind Schedule","In Progress"))))</f>
        <v/>
      </c>
      <c r="M35" s="41"/>
      <c r="N35" s="40" t="str">
        <f aca="false">IF($A35="","",COUNTIF(Doc_Equipment,$A35))</f>
        <v/>
      </c>
      <c r="O35" s="39" t="str">
        <f aca="false">IF($A35="","",IFERROR(INDEX(Cfg_PhasePct,MATCH($D35,Cfg_PhaseList,0)),0))</f>
        <v/>
      </c>
      <c r="P35" s="39" t="str">
        <f aca="false">IF($A35="","",IF($N35=0,"",COUNTIFS(Doc_Equipment,$A35,Doc_Approved,1)/$N35))</f>
        <v/>
      </c>
    </row>
    <row r="36" customFormat="false" ht="15" hidden="false" customHeight="false" outlineLevel="0" collapsed="false">
      <c r="A36" s="41"/>
      <c r="B36" s="41"/>
      <c r="C36" s="41"/>
      <c r="D36" s="41"/>
      <c r="E36" s="38"/>
      <c r="F36" s="38"/>
      <c r="G36" s="38"/>
      <c r="H36" s="38"/>
      <c r="I36" s="38"/>
      <c r="J36" s="38"/>
      <c r="K36" s="39" t="str">
        <f aca="false">IF($A36="","",IF($N36=0,$O36,Cfg_WPhase*$O36+Cfg_WDoc*$P36))</f>
        <v/>
      </c>
      <c r="L36" s="42" t="str">
        <f aca="true">IF($A36="","",IF($K36&gt;=1,"Complete",IF($K36&lt;=0,"Not Started",IF(AND($H36&lt;&gt;"",$H36&lt;TODAY(),$J36=""),"Behind Schedule","In Progress"))))</f>
        <v/>
      </c>
      <c r="M36" s="41"/>
      <c r="N36" s="40" t="str">
        <f aca="false">IF($A36="","",COUNTIF(Doc_Equipment,$A36))</f>
        <v/>
      </c>
      <c r="O36" s="39" t="str">
        <f aca="false">IF($A36="","",IFERROR(INDEX(Cfg_PhasePct,MATCH($D36,Cfg_PhaseList,0)),0))</f>
        <v/>
      </c>
      <c r="P36" s="39" t="str">
        <f aca="false">IF($A36="","",IF($N36=0,"",COUNTIFS(Doc_Equipment,$A36,Doc_Approved,1)/$N36))</f>
        <v/>
      </c>
    </row>
    <row r="37" customFormat="false" ht="15" hidden="false" customHeight="false" outlineLevel="0" collapsed="false">
      <c r="A37" s="41"/>
      <c r="B37" s="41"/>
      <c r="C37" s="41"/>
      <c r="D37" s="41"/>
      <c r="E37" s="38"/>
      <c r="F37" s="38"/>
      <c r="G37" s="38"/>
      <c r="H37" s="38"/>
      <c r="I37" s="38"/>
      <c r="J37" s="38"/>
      <c r="K37" s="39" t="str">
        <f aca="false">IF($A37="","",IF($N37=0,$O37,Cfg_WPhase*$O37+Cfg_WDoc*$P37))</f>
        <v/>
      </c>
      <c r="L37" s="42" t="str">
        <f aca="true">IF($A37="","",IF($K37&gt;=1,"Complete",IF($K37&lt;=0,"Not Started",IF(AND($H37&lt;&gt;"",$H37&lt;TODAY(),$J37=""),"Behind Schedule","In Progress"))))</f>
        <v/>
      </c>
      <c r="M37" s="41"/>
      <c r="N37" s="40" t="str">
        <f aca="false">IF($A37="","",COUNTIF(Doc_Equipment,$A37))</f>
        <v/>
      </c>
      <c r="O37" s="39" t="str">
        <f aca="false">IF($A37="","",IFERROR(INDEX(Cfg_PhasePct,MATCH($D37,Cfg_PhaseList,0)),0))</f>
        <v/>
      </c>
      <c r="P37" s="39" t="str">
        <f aca="false">IF($A37="","",IF($N37=0,"",COUNTIFS(Doc_Equipment,$A37,Doc_Approved,1)/$N37))</f>
        <v/>
      </c>
    </row>
    <row r="38" customFormat="false" ht="15" hidden="false" customHeight="false" outlineLevel="0" collapsed="false">
      <c r="A38" s="41"/>
      <c r="B38" s="41"/>
      <c r="C38" s="41"/>
      <c r="D38" s="41"/>
      <c r="E38" s="38"/>
      <c r="F38" s="38"/>
      <c r="G38" s="38"/>
      <c r="H38" s="38"/>
      <c r="I38" s="38"/>
      <c r="J38" s="38"/>
      <c r="K38" s="39" t="str">
        <f aca="false">IF($A38="","",IF($N38=0,$O38,Cfg_WPhase*$O38+Cfg_WDoc*$P38))</f>
        <v/>
      </c>
      <c r="L38" s="42" t="str">
        <f aca="true">IF($A38="","",IF($K38&gt;=1,"Complete",IF($K38&lt;=0,"Not Started",IF(AND($H38&lt;&gt;"",$H38&lt;TODAY(),$J38=""),"Behind Schedule","In Progress"))))</f>
        <v/>
      </c>
      <c r="M38" s="41"/>
      <c r="N38" s="40" t="str">
        <f aca="false">IF($A38="","",COUNTIF(Doc_Equipment,$A38))</f>
        <v/>
      </c>
      <c r="O38" s="39" t="str">
        <f aca="false">IF($A38="","",IFERROR(INDEX(Cfg_PhasePct,MATCH($D38,Cfg_PhaseList,0)),0))</f>
        <v/>
      </c>
      <c r="P38" s="39" t="str">
        <f aca="false">IF($A38="","",IF($N38=0,"",COUNTIFS(Doc_Equipment,$A38,Doc_Approved,1)/$N38))</f>
        <v/>
      </c>
    </row>
    <row r="39" customFormat="false" ht="15" hidden="false" customHeight="false" outlineLevel="0" collapsed="false">
      <c r="A39" s="41"/>
      <c r="B39" s="41"/>
      <c r="C39" s="41"/>
      <c r="D39" s="41"/>
      <c r="E39" s="38"/>
      <c r="F39" s="38"/>
      <c r="G39" s="38"/>
      <c r="H39" s="38"/>
      <c r="I39" s="38"/>
      <c r="J39" s="38"/>
      <c r="K39" s="39" t="str">
        <f aca="false">IF($A39="","",IF($N39=0,$O39,Cfg_WPhase*$O39+Cfg_WDoc*$P39))</f>
        <v/>
      </c>
      <c r="L39" s="42" t="str">
        <f aca="true">IF($A39="","",IF($K39&gt;=1,"Complete",IF($K39&lt;=0,"Not Started",IF(AND($H39&lt;&gt;"",$H39&lt;TODAY(),$J39=""),"Behind Schedule","In Progress"))))</f>
        <v/>
      </c>
      <c r="M39" s="41"/>
      <c r="N39" s="40" t="str">
        <f aca="false">IF($A39="","",COUNTIF(Doc_Equipment,$A39))</f>
        <v/>
      </c>
      <c r="O39" s="39" t="str">
        <f aca="false">IF($A39="","",IFERROR(INDEX(Cfg_PhasePct,MATCH($D39,Cfg_PhaseList,0)),0))</f>
        <v/>
      </c>
      <c r="P39" s="39" t="str">
        <f aca="false">IF($A39="","",IF($N39=0,"",COUNTIFS(Doc_Equipment,$A39,Doc_Approved,1)/$N39))</f>
        <v/>
      </c>
    </row>
    <row r="40" customFormat="false" ht="15" hidden="false" customHeight="false" outlineLevel="0" collapsed="false">
      <c r="A40" s="41"/>
      <c r="B40" s="41"/>
      <c r="C40" s="41"/>
      <c r="D40" s="41"/>
      <c r="E40" s="38"/>
      <c r="F40" s="38"/>
      <c r="G40" s="38"/>
      <c r="H40" s="38"/>
      <c r="I40" s="38"/>
      <c r="J40" s="38"/>
      <c r="K40" s="39" t="str">
        <f aca="false">IF($A40="","",IF($N40=0,$O40,Cfg_WPhase*$O40+Cfg_WDoc*$P40))</f>
        <v/>
      </c>
      <c r="L40" s="42" t="str">
        <f aca="true">IF($A40="","",IF($K40&gt;=1,"Complete",IF($K40&lt;=0,"Not Started",IF(AND($H40&lt;&gt;"",$H40&lt;TODAY(),$J40=""),"Behind Schedule","In Progress"))))</f>
        <v/>
      </c>
      <c r="M40" s="41"/>
      <c r="N40" s="40" t="str">
        <f aca="false">IF($A40="","",COUNTIF(Doc_Equipment,$A40))</f>
        <v/>
      </c>
      <c r="O40" s="39" t="str">
        <f aca="false">IF($A40="","",IFERROR(INDEX(Cfg_PhasePct,MATCH($D40,Cfg_PhaseList,0)),0))</f>
        <v/>
      </c>
      <c r="P40" s="39" t="str">
        <f aca="false">IF($A40="","",IF($N40=0,"",COUNTIFS(Doc_Equipment,$A40,Doc_Approved,1)/$N40))</f>
        <v/>
      </c>
    </row>
    <row r="41" customFormat="false" ht="15" hidden="false" customHeight="false" outlineLevel="0" collapsed="false">
      <c r="A41" s="41"/>
      <c r="B41" s="41"/>
      <c r="C41" s="41"/>
      <c r="D41" s="41"/>
      <c r="E41" s="38"/>
      <c r="F41" s="38"/>
      <c r="G41" s="38"/>
      <c r="H41" s="38"/>
      <c r="I41" s="38"/>
      <c r="J41" s="38"/>
      <c r="K41" s="39" t="str">
        <f aca="false">IF($A41="","",IF($N41=0,$O41,Cfg_WPhase*$O41+Cfg_WDoc*$P41))</f>
        <v/>
      </c>
      <c r="L41" s="42" t="str">
        <f aca="true">IF($A41="","",IF($K41&gt;=1,"Complete",IF($K41&lt;=0,"Not Started",IF(AND($H41&lt;&gt;"",$H41&lt;TODAY(),$J41=""),"Behind Schedule","In Progress"))))</f>
        <v/>
      </c>
      <c r="M41" s="41"/>
      <c r="N41" s="40" t="str">
        <f aca="false">IF($A41="","",COUNTIF(Doc_Equipment,$A41))</f>
        <v/>
      </c>
      <c r="O41" s="39" t="str">
        <f aca="false">IF($A41="","",IFERROR(INDEX(Cfg_PhasePct,MATCH($D41,Cfg_PhaseList,0)),0))</f>
        <v/>
      </c>
      <c r="P41" s="39" t="str">
        <f aca="false">IF($A41="","",IF($N41=0,"",COUNTIFS(Doc_Equipment,$A41,Doc_Approved,1)/$N41))</f>
        <v/>
      </c>
    </row>
    <row r="42" customFormat="false" ht="15" hidden="false" customHeight="false" outlineLevel="0" collapsed="false">
      <c r="A42" s="41"/>
      <c r="B42" s="41"/>
      <c r="C42" s="41"/>
      <c r="D42" s="41"/>
      <c r="E42" s="38"/>
      <c r="F42" s="38"/>
      <c r="G42" s="38"/>
      <c r="H42" s="38"/>
      <c r="I42" s="38"/>
      <c r="J42" s="38"/>
      <c r="K42" s="39" t="str">
        <f aca="false">IF($A42="","",IF($N42=0,$O42,Cfg_WPhase*$O42+Cfg_WDoc*$P42))</f>
        <v/>
      </c>
      <c r="L42" s="42" t="str">
        <f aca="true">IF($A42="","",IF($K42&gt;=1,"Complete",IF($K42&lt;=0,"Not Started",IF(AND($H42&lt;&gt;"",$H42&lt;TODAY(),$J42=""),"Behind Schedule","In Progress"))))</f>
        <v/>
      </c>
      <c r="M42" s="41"/>
      <c r="N42" s="40" t="str">
        <f aca="false">IF($A42="","",COUNTIF(Doc_Equipment,$A42))</f>
        <v/>
      </c>
      <c r="O42" s="39" t="str">
        <f aca="false">IF($A42="","",IFERROR(INDEX(Cfg_PhasePct,MATCH($D42,Cfg_PhaseList,0)),0))</f>
        <v/>
      </c>
      <c r="P42" s="39" t="str">
        <f aca="false">IF($A42="","",IF($N42=0,"",COUNTIFS(Doc_Equipment,$A42,Doc_Approved,1)/$N42))</f>
        <v/>
      </c>
    </row>
    <row r="43" customFormat="false" ht="15" hidden="false" customHeight="false" outlineLevel="0" collapsed="false">
      <c r="A43" s="41"/>
      <c r="B43" s="41"/>
      <c r="C43" s="41"/>
      <c r="D43" s="41"/>
      <c r="E43" s="38"/>
      <c r="F43" s="38"/>
      <c r="G43" s="38"/>
      <c r="H43" s="38"/>
      <c r="I43" s="38"/>
      <c r="J43" s="38"/>
      <c r="K43" s="39" t="str">
        <f aca="false">IF($A43="","",IF($N43=0,$O43,Cfg_WPhase*$O43+Cfg_WDoc*$P43))</f>
        <v/>
      </c>
      <c r="L43" s="42" t="str">
        <f aca="true">IF($A43="","",IF($K43&gt;=1,"Complete",IF($K43&lt;=0,"Not Started",IF(AND($H43&lt;&gt;"",$H43&lt;TODAY(),$J43=""),"Behind Schedule","In Progress"))))</f>
        <v/>
      </c>
      <c r="M43" s="41"/>
      <c r="N43" s="40" t="str">
        <f aca="false">IF($A43="","",COUNTIF(Doc_Equipment,$A43))</f>
        <v/>
      </c>
      <c r="O43" s="39" t="str">
        <f aca="false">IF($A43="","",IFERROR(INDEX(Cfg_PhasePct,MATCH($D43,Cfg_PhaseList,0)),0))</f>
        <v/>
      </c>
      <c r="P43" s="39" t="str">
        <f aca="false">IF($A43="","",IF($N43=0,"",COUNTIFS(Doc_Equipment,$A43,Doc_Approved,1)/$N43))</f>
        <v/>
      </c>
    </row>
    <row r="44" customFormat="false" ht="15" hidden="false" customHeight="false" outlineLevel="0" collapsed="false">
      <c r="A44" s="41"/>
      <c r="B44" s="41"/>
      <c r="C44" s="41"/>
      <c r="D44" s="41"/>
      <c r="E44" s="38"/>
      <c r="F44" s="38"/>
      <c r="G44" s="38"/>
      <c r="H44" s="38"/>
      <c r="I44" s="38"/>
      <c r="J44" s="38"/>
      <c r="K44" s="39" t="str">
        <f aca="false">IF($A44="","",IF($N44=0,$O44,Cfg_WPhase*$O44+Cfg_WDoc*$P44))</f>
        <v/>
      </c>
      <c r="L44" s="42" t="str">
        <f aca="true">IF($A44="","",IF($K44&gt;=1,"Complete",IF($K44&lt;=0,"Not Started",IF(AND($H44&lt;&gt;"",$H44&lt;TODAY(),$J44=""),"Behind Schedule","In Progress"))))</f>
        <v/>
      </c>
      <c r="M44" s="41"/>
      <c r="N44" s="40" t="str">
        <f aca="false">IF($A44="","",COUNTIF(Doc_Equipment,$A44))</f>
        <v/>
      </c>
      <c r="O44" s="39" t="str">
        <f aca="false">IF($A44="","",IFERROR(INDEX(Cfg_PhasePct,MATCH($D44,Cfg_PhaseList,0)),0))</f>
        <v/>
      </c>
      <c r="P44" s="39" t="str">
        <f aca="false">IF($A44="","",IF($N44=0,"",COUNTIFS(Doc_Equipment,$A44,Doc_Approved,1)/$N44))</f>
        <v/>
      </c>
    </row>
    <row r="45" customFormat="false" ht="15" hidden="false" customHeight="false" outlineLevel="0" collapsed="false">
      <c r="A45" s="41"/>
      <c r="B45" s="41"/>
      <c r="C45" s="41"/>
      <c r="D45" s="41"/>
      <c r="E45" s="38"/>
      <c r="F45" s="38"/>
      <c r="G45" s="38"/>
      <c r="H45" s="38"/>
      <c r="I45" s="38"/>
      <c r="J45" s="38"/>
      <c r="K45" s="39" t="str">
        <f aca="false">IF($A45="","",IF($N45=0,$O45,Cfg_WPhase*$O45+Cfg_WDoc*$P45))</f>
        <v/>
      </c>
      <c r="L45" s="42" t="str">
        <f aca="true">IF($A45="","",IF($K45&gt;=1,"Complete",IF($K45&lt;=0,"Not Started",IF(AND($H45&lt;&gt;"",$H45&lt;TODAY(),$J45=""),"Behind Schedule","In Progress"))))</f>
        <v/>
      </c>
      <c r="M45" s="41"/>
      <c r="N45" s="40" t="str">
        <f aca="false">IF($A45="","",COUNTIF(Doc_Equipment,$A45))</f>
        <v/>
      </c>
      <c r="O45" s="39" t="str">
        <f aca="false">IF($A45="","",IFERROR(INDEX(Cfg_PhasePct,MATCH($D45,Cfg_PhaseList,0)),0))</f>
        <v/>
      </c>
      <c r="P45" s="39" t="str">
        <f aca="false">IF($A45="","",IF($N45=0,"",COUNTIFS(Doc_Equipment,$A45,Doc_Approved,1)/$N45))</f>
        <v/>
      </c>
    </row>
    <row r="46" customFormat="false" ht="15" hidden="false" customHeight="false" outlineLevel="0" collapsed="false">
      <c r="A46" s="41"/>
      <c r="B46" s="41"/>
      <c r="C46" s="41"/>
      <c r="D46" s="41"/>
      <c r="E46" s="38"/>
      <c r="F46" s="38"/>
      <c r="G46" s="38"/>
      <c r="H46" s="38"/>
      <c r="I46" s="38"/>
      <c r="J46" s="38"/>
      <c r="K46" s="39" t="str">
        <f aca="false">IF($A46="","",IF($N46=0,$O46,Cfg_WPhase*$O46+Cfg_WDoc*$P46))</f>
        <v/>
      </c>
      <c r="L46" s="42" t="str">
        <f aca="true">IF($A46="","",IF($K46&gt;=1,"Complete",IF($K46&lt;=0,"Not Started",IF(AND($H46&lt;&gt;"",$H46&lt;TODAY(),$J46=""),"Behind Schedule","In Progress"))))</f>
        <v/>
      </c>
      <c r="M46" s="41"/>
      <c r="N46" s="40" t="str">
        <f aca="false">IF($A46="","",COUNTIF(Doc_Equipment,$A46))</f>
        <v/>
      </c>
      <c r="O46" s="39" t="str">
        <f aca="false">IF($A46="","",IFERROR(INDEX(Cfg_PhasePct,MATCH($D46,Cfg_PhaseList,0)),0))</f>
        <v/>
      </c>
      <c r="P46" s="39" t="str">
        <f aca="false">IF($A46="","",IF($N46=0,"",COUNTIFS(Doc_Equipment,$A46,Doc_Approved,1)/$N46))</f>
        <v/>
      </c>
    </row>
    <row r="47" customFormat="false" ht="15" hidden="false" customHeight="false" outlineLevel="0" collapsed="false">
      <c r="A47" s="41"/>
      <c r="B47" s="41"/>
      <c r="C47" s="41"/>
      <c r="D47" s="41"/>
      <c r="E47" s="38"/>
      <c r="F47" s="38"/>
      <c r="G47" s="38"/>
      <c r="H47" s="38"/>
      <c r="I47" s="38"/>
      <c r="J47" s="38"/>
      <c r="K47" s="39" t="str">
        <f aca="false">IF($A47="","",IF($N47=0,$O47,Cfg_WPhase*$O47+Cfg_WDoc*$P47))</f>
        <v/>
      </c>
      <c r="L47" s="42" t="str">
        <f aca="true">IF($A47="","",IF($K47&gt;=1,"Complete",IF($K47&lt;=0,"Not Started",IF(AND($H47&lt;&gt;"",$H47&lt;TODAY(),$J47=""),"Behind Schedule","In Progress"))))</f>
        <v/>
      </c>
      <c r="M47" s="41"/>
      <c r="N47" s="40" t="str">
        <f aca="false">IF($A47="","",COUNTIF(Doc_Equipment,$A47))</f>
        <v/>
      </c>
      <c r="O47" s="39" t="str">
        <f aca="false">IF($A47="","",IFERROR(INDEX(Cfg_PhasePct,MATCH($D47,Cfg_PhaseList,0)),0))</f>
        <v/>
      </c>
      <c r="P47" s="39" t="str">
        <f aca="false">IF($A47="","",IF($N47=0,"",COUNTIFS(Doc_Equipment,$A47,Doc_Approved,1)/$N47))</f>
        <v/>
      </c>
    </row>
    <row r="48" customFormat="false" ht="15" hidden="false" customHeight="false" outlineLevel="0" collapsed="false">
      <c r="A48" s="41"/>
      <c r="B48" s="41"/>
      <c r="C48" s="41"/>
      <c r="D48" s="41"/>
      <c r="E48" s="38"/>
      <c r="F48" s="38"/>
      <c r="G48" s="38"/>
      <c r="H48" s="38"/>
      <c r="I48" s="38"/>
      <c r="J48" s="38"/>
      <c r="K48" s="39" t="str">
        <f aca="false">IF($A48="","",IF($N48=0,$O48,Cfg_WPhase*$O48+Cfg_WDoc*$P48))</f>
        <v/>
      </c>
      <c r="L48" s="42" t="str">
        <f aca="true">IF($A48="","",IF($K48&gt;=1,"Complete",IF($K48&lt;=0,"Not Started",IF(AND($H48&lt;&gt;"",$H48&lt;TODAY(),$J48=""),"Behind Schedule","In Progress"))))</f>
        <v/>
      </c>
      <c r="M48" s="41"/>
      <c r="N48" s="40" t="str">
        <f aca="false">IF($A48="","",COUNTIF(Doc_Equipment,$A48))</f>
        <v/>
      </c>
      <c r="O48" s="39" t="str">
        <f aca="false">IF($A48="","",IFERROR(INDEX(Cfg_PhasePct,MATCH($D48,Cfg_PhaseList,0)),0))</f>
        <v/>
      </c>
      <c r="P48" s="39" t="str">
        <f aca="false">IF($A48="","",IF($N48=0,"",COUNTIFS(Doc_Equipment,$A48,Doc_Approved,1)/$N48))</f>
        <v/>
      </c>
    </row>
    <row r="49" customFormat="false" ht="15" hidden="false" customHeight="false" outlineLevel="0" collapsed="false">
      <c r="A49" s="41"/>
      <c r="B49" s="41"/>
      <c r="C49" s="41"/>
      <c r="D49" s="41"/>
      <c r="E49" s="38"/>
      <c r="F49" s="38"/>
      <c r="G49" s="38"/>
      <c r="H49" s="38"/>
      <c r="I49" s="38"/>
      <c r="J49" s="38"/>
      <c r="K49" s="39" t="str">
        <f aca="false">IF($A49="","",IF($N49=0,$O49,Cfg_WPhase*$O49+Cfg_WDoc*$P49))</f>
        <v/>
      </c>
      <c r="L49" s="42" t="str">
        <f aca="true">IF($A49="","",IF($K49&gt;=1,"Complete",IF($K49&lt;=0,"Not Started",IF(AND($H49&lt;&gt;"",$H49&lt;TODAY(),$J49=""),"Behind Schedule","In Progress"))))</f>
        <v/>
      </c>
      <c r="M49" s="41"/>
      <c r="N49" s="40" t="str">
        <f aca="false">IF($A49="","",COUNTIF(Doc_Equipment,$A49))</f>
        <v/>
      </c>
      <c r="O49" s="39" t="str">
        <f aca="false">IF($A49="","",IFERROR(INDEX(Cfg_PhasePct,MATCH($D49,Cfg_PhaseList,0)),0))</f>
        <v/>
      </c>
      <c r="P49" s="39" t="str">
        <f aca="false">IF($A49="","",IF($N49=0,"",COUNTIFS(Doc_Equipment,$A49,Doc_Approved,1)/$N49))</f>
        <v/>
      </c>
    </row>
    <row r="50" customFormat="false" ht="15" hidden="false" customHeight="false" outlineLevel="0" collapsed="false">
      <c r="A50" s="41"/>
      <c r="B50" s="41"/>
      <c r="C50" s="41"/>
      <c r="D50" s="41"/>
      <c r="E50" s="38"/>
      <c r="F50" s="38"/>
      <c r="G50" s="38"/>
      <c r="H50" s="38"/>
      <c r="I50" s="38"/>
      <c r="J50" s="38"/>
      <c r="K50" s="39" t="str">
        <f aca="false">IF($A50="","",IF($N50=0,$O50,Cfg_WPhase*$O50+Cfg_WDoc*$P50))</f>
        <v/>
      </c>
      <c r="L50" s="42" t="str">
        <f aca="true">IF($A50="","",IF($K50&gt;=1,"Complete",IF($K50&lt;=0,"Not Started",IF(AND($H50&lt;&gt;"",$H50&lt;TODAY(),$J50=""),"Behind Schedule","In Progress"))))</f>
        <v/>
      </c>
      <c r="M50" s="41"/>
      <c r="N50" s="40" t="str">
        <f aca="false">IF($A50="","",COUNTIF(Doc_Equipment,$A50))</f>
        <v/>
      </c>
      <c r="O50" s="39" t="str">
        <f aca="false">IF($A50="","",IFERROR(INDEX(Cfg_PhasePct,MATCH($D50,Cfg_PhaseList,0)),0))</f>
        <v/>
      </c>
      <c r="P50" s="39" t="str">
        <f aca="false">IF($A50="","",IF($N50=0,"",COUNTIFS(Doc_Equipment,$A50,Doc_Approved,1)/$N50))</f>
        <v/>
      </c>
    </row>
    <row r="51" customFormat="false" ht="15" hidden="false" customHeight="false" outlineLevel="0" collapsed="false">
      <c r="A51" s="41"/>
      <c r="B51" s="41"/>
      <c r="C51" s="41"/>
      <c r="D51" s="41"/>
      <c r="E51" s="38"/>
      <c r="F51" s="38"/>
      <c r="G51" s="38"/>
      <c r="H51" s="38"/>
      <c r="I51" s="38"/>
      <c r="J51" s="38"/>
      <c r="K51" s="39" t="str">
        <f aca="false">IF($A51="","",IF($N51=0,$O51,Cfg_WPhase*$O51+Cfg_WDoc*$P51))</f>
        <v/>
      </c>
      <c r="L51" s="42" t="str">
        <f aca="true">IF($A51="","",IF($K51&gt;=1,"Complete",IF($K51&lt;=0,"Not Started",IF(AND($H51&lt;&gt;"",$H51&lt;TODAY(),$J51=""),"Behind Schedule","In Progress"))))</f>
        <v/>
      </c>
      <c r="M51" s="41"/>
      <c r="N51" s="40" t="str">
        <f aca="false">IF($A51="","",COUNTIF(Doc_Equipment,$A51))</f>
        <v/>
      </c>
      <c r="O51" s="39" t="str">
        <f aca="false">IF($A51="","",IFERROR(INDEX(Cfg_PhasePct,MATCH($D51,Cfg_PhaseList,0)),0))</f>
        <v/>
      </c>
      <c r="P51" s="39" t="str">
        <f aca="false">IF($A51="","",IF($N51=0,"",COUNTIFS(Doc_Equipment,$A51,Doc_Approved,1)/$N51))</f>
        <v/>
      </c>
    </row>
    <row r="52" customFormat="false" ht="15" hidden="false" customHeight="false" outlineLevel="0" collapsed="false">
      <c r="A52" s="41"/>
      <c r="B52" s="41"/>
      <c r="C52" s="41"/>
      <c r="D52" s="41"/>
      <c r="E52" s="38"/>
      <c r="F52" s="38"/>
      <c r="G52" s="38"/>
      <c r="H52" s="38"/>
      <c r="I52" s="38"/>
      <c r="J52" s="38"/>
      <c r="K52" s="39" t="str">
        <f aca="false">IF($A52="","",IF($N52=0,$O52,Cfg_WPhase*$O52+Cfg_WDoc*$P52))</f>
        <v/>
      </c>
      <c r="L52" s="42" t="str">
        <f aca="true">IF($A52="","",IF($K52&gt;=1,"Complete",IF($K52&lt;=0,"Not Started",IF(AND($H52&lt;&gt;"",$H52&lt;TODAY(),$J52=""),"Behind Schedule","In Progress"))))</f>
        <v/>
      </c>
      <c r="M52" s="41"/>
      <c r="N52" s="40" t="str">
        <f aca="false">IF($A52="","",COUNTIF(Doc_Equipment,$A52))</f>
        <v/>
      </c>
      <c r="O52" s="39" t="str">
        <f aca="false">IF($A52="","",IFERROR(INDEX(Cfg_PhasePct,MATCH($D52,Cfg_PhaseList,0)),0))</f>
        <v/>
      </c>
      <c r="P52" s="39" t="str">
        <f aca="false">IF($A52="","",IF($N52=0,"",COUNTIFS(Doc_Equipment,$A52,Doc_Approved,1)/$N52))</f>
        <v/>
      </c>
    </row>
    <row r="53" customFormat="false" ht="15" hidden="false" customHeight="false" outlineLevel="0" collapsed="false">
      <c r="A53" s="41"/>
      <c r="B53" s="41"/>
      <c r="C53" s="41"/>
      <c r="D53" s="41"/>
      <c r="E53" s="38"/>
      <c r="F53" s="38"/>
      <c r="G53" s="38"/>
      <c r="H53" s="38"/>
      <c r="I53" s="38"/>
      <c r="J53" s="38"/>
      <c r="K53" s="39" t="str">
        <f aca="false">IF($A53="","",IF($N53=0,$O53,Cfg_WPhase*$O53+Cfg_WDoc*$P53))</f>
        <v/>
      </c>
      <c r="L53" s="42" t="str">
        <f aca="true">IF($A53="","",IF($K53&gt;=1,"Complete",IF($K53&lt;=0,"Not Started",IF(AND($H53&lt;&gt;"",$H53&lt;TODAY(),$J53=""),"Behind Schedule","In Progress"))))</f>
        <v/>
      </c>
      <c r="M53" s="41"/>
      <c r="N53" s="40" t="str">
        <f aca="false">IF($A53="","",COUNTIF(Doc_Equipment,$A53))</f>
        <v/>
      </c>
      <c r="O53" s="39" t="str">
        <f aca="false">IF($A53="","",IFERROR(INDEX(Cfg_PhasePct,MATCH($D53,Cfg_PhaseList,0)),0))</f>
        <v/>
      </c>
      <c r="P53" s="39" t="str">
        <f aca="false">IF($A53="","",IF($N53=0,"",COUNTIFS(Doc_Equipment,$A53,Doc_Approved,1)/$N53))</f>
        <v/>
      </c>
    </row>
    <row r="54" customFormat="false" ht="15" hidden="false" customHeight="false" outlineLevel="0" collapsed="false">
      <c r="A54" s="41"/>
      <c r="B54" s="41"/>
      <c r="C54" s="41"/>
      <c r="D54" s="41"/>
      <c r="E54" s="38"/>
      <c r="F54" s="38"/>
      <c r="G54" s="38"/>
      <c r="H54" s="38"/>
      <c r="I54" s="38"/>
      <c r="J54" s="38"/>
      <c r="K54" s="39" t="str">
        <f aca="false">IF($A54="","",IF($N54=0,$O54,Cfg_WPhase*$O54+Cfg_WDoc*$P54))</f>
        <v/>
      </c>
      <c r="L54" s="42" t="str">
        <f aca="true">IF($A54="","",IF($K54&gt;=1,"Complete",IF($K54&lt;=0,"Not Started",IF(AND($H54&lt;&gt;"",$H54&lt;TODAY(),$J54=""),"Behind Schedule","In Progress"))))</f>
        <v/>
      </c>
      <c r="M54" s="41"/>
      <c r="N54" s="40" t="str">
        <f aca="false">IF($A54="","",COUNTIF(Doc_Equipment,$A54))</f>
        <v/>
      </c>
      <c r="O54" s="39" t="str">
        <f aca="false">IF($A54="","",IFERROR(INDEX(Cfg_PhasePct,MATCH($D54,Cfg_PhaseList,0)),0))</f>
        <v/>
      </c>
      <c r="P54" s="39" t="str">
        <f aca="false">IF($A54="","",IF($N54=0,"",COUNTIFS(Doc_Equipment,$A54,Doc_Approved,1)/$N54))</f>
        <v/>
      </c>
    </row>
    <row r="55" customFormat="false" ht="15" hidden="false" customHeight="false" outlineLevel="0" collapsed="false">
      <c r="A55" s="41"/>
      <c r="B55" s="41"/>
      <c r="C55" s="41"/>
      <c r="D55" s="41"/>
      <c r="E55" s="38"/>
      <c r="F55" s="38"/>
      <c r="G55" s="38"/>
      <c r="H55" s="38"/>
      <c r="I55" s="38"/>
      <c r="J55" s="38"/>
      <c r="K55" s="39" t="str">
        <f aca="false">IF($A55="","",IF($N55=0,$O55,Cfg_WPhase*$O55+Cfg_WDoc*$P55))</f>
        <v/>
      </c>
      <c r="L55" s="42" t="str">
        <f aca="true">IF($A55="","",IF($K55&gt;=1,"Complete",IF($K55&lt;=0,"Not Started",IF(AND($H55&lt;&gt;"",$H55&lt;TODAY(),$J55=""),"Behind Schedule","In Progress"))))</f>
        <v/>
      </c>
      <c r="M55" s="41"/>
      <c r="N55" s="40" t="str">
        <f aca="false">IF($A55="","",COUNTIF(Doc_Equipment,$A55))</f>
        <v/>
      </c>
      <c r="O55" s="39" t="str">
        <f aca="false">IF($A55="","",IFERROR(INDEX(Cfg_PhasePct,MATCH($D55,Cfg_PhaseList,0)),0))</f>
        <v/>
      </c>
      <c r="P55" s="39" t="str">
        <f aca="false">IF($A55="","",IF($N55=0,"",COUNTIFS(Doc_Equipment,$A55,Doc_Approved,1)/$N55))</f>
        <v/>
      </c>
    </row>
    <row r="56" customFormat="false" ht="15" hidden="false" customHeight="false" outlineLevel="0" collapsed="false">
      <c r="A56" s="41"/>
      <c r="B56" s="41"/>
      <c r="C56" s="41"/>
      <c r="D56" s="41"/>
      <c r="E56" s="38"/>
      <c r="F56" s="38"/>
      <c r="G56" s="38"/>
      <c r="H56" s="38"/>
      <c r="I56" s="38"/>
      <c r="J56" s="38"/>
      <c r="K56" s="39" t="str">
        <f aca="false">IF($A56="","",IF($N56=0,$O56,Cfg_WPhase*$O56+Cfg_WDoc*$P56))</f>
        <v/>
      </c>
      <c r="L56" s="42" t="str">
        <f aca="true">IF($A56="","",IF($K56&gt;=1,"Complete",IF($K56&lt;=0,"Not Started",IF(AND($H56&lt;&gt;"",$H56&lt;TODAY(),$J56=""),"Behind Schedule","In Progress"))))</f>
        <v/>
      </c>
      <c r="M56" s="41"/>
      <c r="N56" s="40" t="str">
        <f aca="false">IF($A56="","",COUNTIF(Doc_Equipment,$A56))</f>
        <v/>
      </c>
      <c r="O56" s="39" t="str">
        <f aca="false">IF($A56="","",IFERROR(INDEX(Cfg_PhasePct,MATCH($D56,Cfg_PhaseList,0)),0))</f>
        <v/>
      </c>
      <c r="P56" s="39" t="str">
        <f aca="false">IF($A56="","",IF($N56=0,"",COUNTIFS(Doc_Equipment,$A56,Doc_Approved,1)/$N56))</f>
        <v/>
      </c>
    </row>
    <row r="57" customFormat="false" ht="15" hidden="false" customHeight="false" outlineLevel="0" collapsed="false">
      <c r="A57" s="41"/>
      <c r="B57" s="41"/>
      <c r="C57" s="41"/>
      <c r="D57" s="41"/>
      <c r="E57" s="38"/>
      <c r="F57" s="38"/>
      <c r="G57" s="38"/>
      <c r="H57" s="38"/>
      <c r="I57" s="38"/>
      <c r="J57" s="38"/>
      <c r="K57" s="39" t="str">
        <f aca="false">IF($A57="","",IF($N57=0,$O57,Cfg_WPhase*$O57+Cfg_WDoc*$P57))</f>
        <v/>
      </c>
      <c r="L57" s="42" t="str">
        <f aca="true">IF($A57="","",IF($K57&gt;=1,"Complete",IF($K57&lt;=0,"Not Started",IF(AND($H57&lt;&gt;"",$H57&lt;TODAY(),$J57=""),"Behind Schedule","In Progress"))))</f>
        <v/>
      </c>
      <c r="M57" s="41"/>
      <c r="N57" s="40" t="str">
        <f aca="false">IF($A57="","",COUNTIF(Doc_Equipment,$A57))</f>
        <v/>
      </c>
      <c r="O57" s="39" t="str">
        <f aca="false">IF($A57="","",IFERROR(INDEX(Cfg_PhasePct,MATCH($D57,Cfg_PhaseList,0)),0))</f>
        <v/>
      </c>
      <c r="P57" s="39" t="str">
        <f aca="false">IF($A57="","",IF($N57=0,"",COUNTIFS(Doc_Equipment,$A57,Doc_Approved,1)/$N57))</f>
        <v/>
      </c>
    </row>
    <row r="58" customFormat="false" ht="15" hidden="false" customHeight="false" outlineLevel="0" collapsed="false">
      <c r="A58" s="41"/>
      <c r="B58" s="41"/>
      <c r="C58" s="41"/>
      <c r="D58" s="41"/>
      <c r="E58" s="38"/>
      <c r="F58" s="38"/>
      <c r="G58" s="38"/>
      <c r="H58" s="38"/>
      <c r="I58" s="38"/>
      <c r="J58" s="38"/>
      <c r="K58" s="39" t="str">
        <f aca="false">IF($A58="","",IF($N58=0,$O58,Cfg_WPhase*$O58+Cfg_WDoc*$P58))</f>
        <v/>
      </c>
      <c r="L58" s="42" t="str">
        <f aca="true">IF($A58="","",IF($K58&gt;=1,"Complete",IF($K58&lt;=0,"Not Started",IF(AND($H58&lt;&gt;"",$H58&lt;TODAY(),$J58=""),"Behind Schedule","In Progress"))))</f>
        <v/>
      </c>
      <c r="M58" s="41"/>
      <c r="N58" s="40" t="str">
        <f aca="false">IF($A58="","",COUNTIF(Doc_Equipment,$A58))</f>
        <v/>
      </c>
      <c r="O58" s="39" t="str">
        <f aca="false">IF($A58="","",IFERROR(INDEX(Cfg_PhasePct,MATCH($D58,Cfg_PhaseList,0)),0))</f>
        <v/>
      </c>
      <c r="P58" s="39" t="str">
        <f aca="false">IF($A58="","",IF($N58=0,"",COUNTIFS(Doc_Equipment,$A58,Doc_Approved,1)/$N58))</f>
        <v/>
      </c>
    </row>
    <row r="59" customFormat="false" ht="15" hidden="false" customHeight="false" outlineLevel="0" collapsed="false">
      <c r="A59" s="41"/>
      <c r="B59" s="41"/>
      <c r="C59" s="41"/>
      <c r="D59" s="41"/>
      <c r="E59" s="38"/>
      <c r="F59" s="38"/>
      <c r="G59" s="38"/>
      <c r="H59" s="38"/>
      <c r="I59" s="38"/>
      <c r="J59" s="38"/>
      <c r="K59" s="39" t="str">
        <f aca="false">IF($A59="","",IF($N59=0,$O59,Cfg_WPhase*$O59+Cfg_WDoc*$P59))</f>
        <v/>
      </c>
      <c r="L59" s="42" t="str">
        <f aca="true">IF($A59="","",IF($K59&gt;=1,"Complete",IF($K59&lt;=0,"Not Started",IF(AND($H59&lt;&gt;"",$H59&lt;TODAY(),$J59=""),"Behind Schedule","In Progress"))))</f>
        <v/>
      </c>
      <c r="M59" s="41"/>
      <c r="N59" s="40" t="str">
        <f aca="false">IF($A59="","",COUNTIF(Doc_Equipment,$A59))</f>
        <v/>
      </c>
      <c r="O59" s="39" t="str">
        <f aca="false">IF($A59="","",IFERROR(INDEX(Cfg_PhasePct,MATCH($D59,Cfg_PhaseList,0)),0))</f>
        <v/>
      </c>
      <c r="P59" s="39" t="str">
        <f aca="false">IF($A59="","",IF($N59=0,"",COUNTIFS(Doc_Equipment,$A59,Doc_Approved,1)/$N59))</f>
        <v/>
      </c>
    </row>
    <row r="60" customFormat="false" ht="15" hidden="false" customHeight="false" outlineLevel="0" collapsed="false">
      <c r="A60" s="41"/>
      <c r="B60" s="41"/>
      <c r="C60" s="41"/>
      <c r="D60" s="41"/>
      <c r="E60" s="38"/>
      <c r="F60" s="38"/>
      <c r="G60" s="38"/>
      <c r="H60" s="38"/>
      <c r="I60" s="38"/>
      <c r="J60" s="38"/>
      <c r="K60" s="39" t="str">
        <f aca="false">IF($A60="","",IF($N60=0,$O60,Cfg_WPhase*$O60+Cfg_WDoc*$P60))</f>
        <v/>
      </c>
      <c r="L60" s="42" t="str">
        <f aca="true">IF($A60="","",IF($K60&gt;=1,"Complete",IF($K60&lt;=0,"Not Started",IF(AND($H60&lt;&gt;"",$H60&lt;TODAY(),$J60=""),"Behind Schedule","In Progress"))))</f>
        <v/>
      </c>
      <c r="M60" s="41"/>
      <c r="N60" s="40" t="str">
        <f aca="false">IF($A60="","",COUNTIF(Doc_Equipment,$A60))</f>
        <v/>
      </c>
      <c r="O60" s="39" t="str">
        <f aca="false">IF($A60="","",IFERROR(INDEX(Cfg_PhasePct,MATCH($D60,Cfg_PhaseList,0)),0))</f>
        <v/>
      </c>
      <c r="P60" s="39" t="str">
        <f aca="false">IF($A60="","",IF($N60=0,"",COUNTIFS(Doc_Equipment,$A60,Doc_Approved,1)/$N60))</f>
        <v/>
      </c>
    </row>
    <row r="61" customFormat="false" ht="15" hidden="false" customHeight="false" outlineLevel="0" collapsed="false">
      <c r="A61" s="41"/>
      <c r="B61" s="41"/>
      <c r="C61" s="41"/>
      <c r="D61" s="41"/>
      <c r="E61" s="38"/>
      <c r="F61" s="38"/>
      <c r="G61" s="38"/>
      <c r="H61" s="38"/>
      <c r="I61" s="38"/>
      <c r="J61" s="38"/>
      <c r="K61" s="39" t="str">
        <f aca="false">IF($A61="","",IF($N61=0,$O61,Cfg_WPhase*$O61+Cfg_WDoc*$P61))</f>
        <v/>
      </c>
      <c r="L61" s="42" t="str">
        <f aca="true">IF($A61="","",IF($K61&gt;=1,"Complete",IF($K61&lt;=0,"Not Started",IF(AND($H61&lt;&gt;"",$H61&lt;TODAY(),$J61=""),"Behind Schedule","In Progress"))))</f>
        <v/>
      </c>
      <c r="M61" s="41"/>
      <c r="N61" s="40" t="str">
        <f aca="false">IF($A61="","",COUNTIF(Doc_Equipment,$A61))</f>
        <v/>
      </c>
      <c r="O61" s="39" t="str">
        <f aca="false">IF($A61="","",IFERROR(INDEX(Cfg_PhasePct,MATCH($D61,Cfg_PhaseList,0)),0))</f>
        <v/>
      </c>
      <c r="P61" s="39" t="str">
        <f aca="false">IF($A61="","",IF($N61=0,"",COUNTIFS(Doc_Equipment,$A61,Doc_Approved,1)/$N61))</f>
        <v/>
      </c>
    </row>
    <row r="62" customFormat="false" ht="15" hidden="false" customHeight="false" outlineLevel="0" collapsed="false">
      <c r="A62" s="41"/>
      <c r="B62" s="41"/>
      <c r="C62" s="41"/>
      <c r="D62" s="41"/>
      <c r="E62" s="38"/>
      <c r="F62" s="38"/>
      <c r="G62" s="38"/>
      <c r="H62" s="38"/>
      <c r="I62" s="38"/>
      <c r="J62" s="38"/>
      <c r="K62" s="39" t="str">
        <f aca="false">IF($A62="","",IF($N62=0,$O62,Cfg_WPhase*$O62+Cfg_WDoc*$P62))</f>
        <v/>
      </c>
      <c r="L62" s="42" t="str">
        <f aca="true">IF($A62="","",IF($K62&gt;=1,"Complete",IF($K62&lt;=0,"Not Started",IF(AND($H62&lt;&gt;"",$H62&lt;TODAY(),$J62=""),"Behind Schedule","In Progress"))))</f>
        <v/>
      </c>
      <c r="M62" s="41"/>
      <c r="N62" s="40" t="str">
        <f aca="false">IF($A62="","",COUNTIF(Doc_Equipment,$A62))</f>
        <v/>
      </c>
      <c r="O62" s="39" t="str">
        <f aca="false">IF($A62="","",IFERROR(INDEX(Cfg_PhasePct,MATCH($D62,Cfg_PhaseList,0)),0))</f>
        <v/>
      </c>
      <c r="P62" s="39" t="str">
        <f aca="false">IF($A62="","",IF($N62=0,"",COUNTIFS(Doc_Equipment,$A62,Doc_Approved,1)/$N62))</f>
        <v/>
      </c>
    </row>
    <row r="63" customFormat="false" ht="15" hidden="false" customHeight="false" outlineLevel="0" collapsed="false">
      <c r="A63" s="41"/>
      <c r="B63" s="41"/>
      <c r="C63" s="41"/>
      <c r="D63" s="41"/>
      <c r="E63" s="38"/>
      <c r="F63" s="38"/>
      <c r="G63" s="38"/>
      <c r="H63" s="38"/>
      <c r="I63" s="38"/>
      <c r="J63" s="38"/>
      <c r="K63" s="39" t="str">
        <f aca="false">IF($A63="","",IF($N63=0,$O63,Cfg_WPhase*$O63+Cfg_WDoc*$P63))</f>
        <v/>
      </c>
      <c r="L63" s="42" t="str">
        <f aca="true">IF($A63="","",IF($K63&gt;=1,"Complete",IF($K63&lt;=0,"Not Started",IF(AND($H63&lt;&gt;"",$H63&lt;TODAY(),$J63=""),"Behind Schedule","In Progress"))))</f>
        <v/>
      </c>
      <c r="M63" s="41"/>
      <c r="N63" s="40" t="str">
        <f aca="false">IF($A63="","",COUNTIF(Doc_Equipment,$A63))</f>
        <v/>
      </c>
      <c r="O63" s="39" t="str">
        <f aca="false">IF($A63="","",IFERROR(INDEX(Cfg_PhasePct,MATCH($D63,Cfg_PhaseList,0)),0))</f>
        <v/>
      </c>
      <c r="P63" s="39" t="str">
        <f aca="false">IF($A63="","",IF($N63=0,"",COUNTIFS(Doc_Equipment,$A63,Doc_Approved,1)/$N63))</f>
        <v/>
      </c>
    </row>
    <row r="64" customFormat="false" ht="15" hidden="false" customHeight="false" outlineLevel="0" collapsed="false">
      <c r="A64" s="41"/>
      <c r="B64" s="41"/>
      <c r="C64" s="41"/>
      <c r="D64" s="41"/>
      <c r="E64" s="38"/>
      <c r="F64" s="38"/>
      <c r="G64" s="38"/>
      <c r="H64" s="38"/>
      <c r="I64" s="38"/>
      <c r="J64" s="38"/>
      <c r="K64" s="39" t="str">
        <f aca="false">IF($A64="","",IF($N64=0,$O64,Cfg_WPhase*$O64+Cfg_WDoc*$P64))</f>
        <v/>
      </c>
      <c r="L64" s="42" t="str">
        <f aca="true">IF($A64="","",IF($K64&gt;=1,"Complete",IF($K64&lt;=0,"Not Started",IF(AND($H64&lt;&gt;"",$H64&lt;TODAY(),$J64=""),"Behind Schedule","In Progress"))))</f>
        <v/>
      </c>
      <c r="M64" s="41"/>
      <c r="N64" s="40" t="str">
        <f aca="false">IF($A64="","",COUNTIF(Doc_Equipment,$A64))</f>
        <v/>
      </c>
      <c r="O64" s="39" t="str">
        <f aca="false">IF($A64="","",IFERROR(INDEX(Cfg_PhasePct,MATCH($D64,Cfg_PhaseList,0)),0))</f>
        <v/>
      </c>
      <c r="P64" s="39" t="str">
        <f aca="false">IF($A64="","",IF($N64=0,"",COUNTIFS(Doc_Equipment,$A64,Doc_Approved,1)/$N64))</f>
        <v/>
      </c>
    </row>
    <row r="65" customFormat="false" ht="15" hidden="false" customHeight="false" outlineLevel="0" collapsed="false">
      <c r="A65" s="41"/>
      <c r="B65" s="41"/>
      <c r="C65" s="41"/>
      <c r="D65" s="41"/>
      <c r="E65" s="38"/>
      <c r="F65" s="38"/>
      <c r="G65" s="38"/>
      <c r="H65" s="38"/>
      <c r="I65" s="38"/>
      <c r="J65" s="38"/>
      <c r="K65" s="39" t="str">
        <f aca="false">IF($A65="","",IF($N65=0,$O65,Cfg_WPhase*$O65+Cfg_WDoc*$P65))</f>
        <v/>
      </c>
      <c r="L65" s="42" t="str">
        <f aca="true">IF($A65="","",IF($K65&gt;=1,"Complete",IF($K65&lt;=0,"Not Started",IF(AND($H65&lt;&gt;"",$H65&lt;TODAY(),$J65=""),"Behind Schedule","In Progress"))))</f>
        <v/>
      </c>
      <c r="M65" s="41"/>
      <c r="N65" s="40" t="str">
        <f aca="false">IF($A65="","",COUNTIF(Doc_Equipment,$A65))</f>
        <v/>
      </c>
      <c r="O65" s="39" t="str">
        <f aca="false">IF($A65="","",IFERROR(INDEX(Cfg_PhasePct,MATCH($D65,Cfg_PhaseList,0)),0))</f>
        <v/>
      </c>
      <c r="P65" s="39" t="str">
        <f aca="false">IF($A65="","",IF($N65=0,"",COUNTIFS(Doc_Equipment,$A65,Doc_Approved,1)/$N65))</f>
        <v/>
      </c>
    </row>
    <row r="66" customFormat="false" ht="15" hidden="false" customHeight="false" outlineLevel="0" collapsed="false">
      <c r="A66" s="41"/>
      <c r="B66" s="41"/>
      <c r="C66" s="41"/>
      <c r="D66" s="41"/>
      <c r="E66" s="38"/>
      <c r="F66" s="38"/>
      <c r="G66" s="38"/>
      <c r="H66" s="38"/>
      <c r="I66" s="38"/>
      <c r="J66" s="38"/>
      <c r="K66" s="39" t="str">
        <f aca="false">IF($A66="","",IF($N66=0,$O66,Cfg_WPhase*$O66+Cfg_WDoc*$P66))</f>
        <v/>
      </c>
      <c r="L66" s="42" t="str">
        <f aca="true">IF($A66="","",IF($K66&gt;=1,"Complete",IF($K66&lt;=0,"Not Started",IF(AND($H66&lt;&gt;"",$H66&lt;TODAY(),$J66=""),"Behind Schedule","In Progress"))))</f>
        <v/>
      </c>
      <c r="M66" s="41"/>
      <c r="N66" s="40" t="str">
        <f aca="false">IF($A66="","",COUNTIF(Doc_Equipment,$A66))</f>
        <v/>
      </c>
      <c r="O66" s="39" t="str">
        <f aca="false">IF($A66="","",IFERROR(INDEX(Cfg_PhasePct,MATCH($D66,Cfg_PhaseList,0)),0))</f>
        <v/>
      </c>
      <c r="P66" s="39" t="str">
        <f aca="false">IF($A66="","",IF($N66=0,"",COUNTIFS(Doc_Equipment,$A66,Doc_Approved,1)/$N66))</f>
        <v/>
      </c>
    </row>
    <row r="67" customFormat="false" ht="15" hidden="false" customHeight="false" outlineLevel="0" collapsed="false">
      <c r="A67" s="41"/>
      <c r="B67" s="41"/>
      <c r="C67" s="41"/>
      <c r="D67" s="41"/>
      <c r="E67" s="38"/>
      <c r="F67" s="38"/>
      <c r="G67" s="38"/>
      <c r="H67" s="38"/>
      <c r="I67" s="38"/>
      <c r="J67" s="38"/>
      <c r="K67" s="39" t="str">
        <f aca="false">IF($A67="","",IF($N67=0,$O67,Cfg_WPhase*$O67+Cfg_WDoc*$P67))</f>
        <v/>
      </c>
      <c r="L67" s="42" t="str">
        <f aca="true">IF($A67="","",IF($K67&gt;=1,"Complete",IF($K67&lt;=0,"Not Started",IF(AND($H67&lt;&gt;"",$H67&lt;TODAY(),$J67=""),"Behind Schedule","In Progress"))))</f>
        <v/>
      </c>
      <c r="M67" s="41"/>
      <c r="N67" s="40" t="str">
        <f aca="false">IF($A67="","",COUNTIF(Doc_Equipment,$A67))</f>
        <v/>
      </c>
      <c r="O67" s="39" t="str">
        <f aca="false">IF($A67="","",IFERROR(INDEX(Cfg_PhasePct,MATCH($D67,Cfg_PhaseList,0)),0))</f>
        <v/>
      </c>
      <c r="P67" s="39" t="str">
        <f aca="false">IF($A67="","",IF($N67=0,"",COUNTIFS(Doc_Equipment,$A67,Doc_Approved,1)/$N67))</f>
        <v/>
      </c>
    </row>
    <row r="68" customFormat="false" ht="15" hidden="false" customHeight="false" outlineLevel="0" collapsed="false">
      <c r="A68" s="41"/>
      <c r="B68" s="41"/>
      <c r="C68" s="41"/>
      <c r="D68" s="41"/>
      <c r="E68" s="38"/>
      <c r="F68" s="38"/>
      <c r="G68" s="38"/>
      <c r="H68" s="38"/>
      <c r="I68" s="38"/>
      <c r="J68" s="38"/>
      <c r="K68" s="39" t="str">
        <f aca="false">IF($A68="","",IF($N68=0,$O68,Cfg_WPhase*$O68+Cfg_WDoc*$P68))</f>
        <v/>
      </c>
      <c r="L68" s="42" t="str">
        <f aca="true">IF($A68="","",IF($K68&gt;=1,"Complete",IF($K68&lt;=0,"Not Started",IF(AND($H68&lt;&gt;"",$H68&lt;TODAY(),$J68=""),"Behind Schedule","In Progress"))))</f>
        <v/>
      </c>
      <c r="M68" s="41"/>
      <c r="N68" s="40" t="str">
        <f aca="false">IF($A68="","",COUNTIF(Doc_Equipment,$A68))</f>
        <v/>
      </c>
      <c r="O68" s="39" t="str">
        <f aca="false">IF($A68="","",IFERROR(INDEX(Cfg_PhasePct,MATCH($D68,Cfg_PhaseList,0)),0))</f>
        <v/>
      </c>
      <c r="P68" s="39" t="str">
        <f aca="false">IF($A68="","",IF($N68=0,"",COUNTIFS(Doc_Equipment,$A68,Doc_Approved,1)/$N68))</f>
        <v/>
      </c>
    </row>
    <row r="69" customFormat="false" ht="15" hidden="false" customHeight="false" outlineLevel="0" collapsed="false">
      <c r="A69" s="41"/>
      <c r="B69" s="41"/>
      <c r="C69" s="41"/>
      <c r="D69" s="41"/>
      <c r="E69" s="38"/>
      <c r="F69" s="38"/>
      <c r="G69" s="38"/>
      <c r="H69" s="38"/>
      <c r="I69" s="38"/>
      <c r="J69" s="38"/>
      <c r="K69" s="39" t="str">
        <f aca="false">IF($A69="","",IF($N69=0,$O69,Cfg_WPhase*$O69+Cfg_WDoc*$P69))</f>
        <v/>
      </c>
      <c r="L69" s="42" t="str">
        <f aca="true">IF($A69="","",IF($K69&gt;=1,"Complete",IF($K69&lt;=0,"Not Started",IF(AND($H69&lt;&gt;"",$H69&lt;TODAY(),$J69=""),"Behind Schedule","In Progress"))))</f>
        <v/>
      </c>
      <c r="M69" s="41"/>
      <c r="N69" s="40" t="str">
        <f aca="false">IF($A69="","",COUNTIF(Doc_Equipment,$A69))</f>
        <v/>
      </c>
      <c r="O69" s="39" t="str">
        <f aca="false">IF($A69="","",IFERROR(INDEX(Cfg_PhasePct,MATCH($D69,Cfg_PhaseList,0)),0))</f>
        <v/>
      </c>
      <c r="P69" s="39" t="str">
        <f aca="false">IF($A69="","",IF($N69=0,"",COUNTIFS(Doc_Equipment,$A69,Doc_Approved,1)/$N69))</f>
        <v/>
      </c>
    </row>
    <row r="70" customFormat="false" ht="15" hidden="false" customHeight="false" outlineLevel="0" collapsed="false">
      <c r="A70" s="41"/>
      <c r="B70" s="41"/>
      <c r="C70" s="41"/>
      <c r="D70" s="41"/>
      <c r="E70" s="38"/>
      <c r="F70" s="38"/>
      <c r="G70" s="38"/>
      <c r="H70" s="38"/>
      <c r="I70" s="38"/>
      <c r="J70" s="38"/>
      <c r="K70" s="39" t="str">
        <f aca="false">IF($A70="","",IF($N70=0,$O70,Cfg_WPhase*$O70+Cfg_WDoc*$P70))</f>
        <v/>
      </c>
      <c r="L70" s="42" t="str">
        <f aca="true">IF($A70="","",IF($K70&gt;=1,"Complete",IF($K70&lt;=0,"Not Started",IF(AND($H70&lt;&gt;"",$H70&lt;TODAY(),$J70=""),"Behind Schedule","In Progress"))))</f>
        <v/>
      </c>
      <c r="M70" s="41"/>
      <c r="N70" s="40" t="str">
        <f aca="false">IF($A70="","",COUNTIF(Doc_Equipment,$A70))</f>
        <v/>
      </c>
      <c r="O70" s="39" t="str">
        <f aca="false">IF($A70="","",IFERROR(INDEX(Cfg_PhasePct,MATCH($D70,Cfg_PhaseList,0)),0))</f>
        <v/>
      </c>
      <c r="P70" s="39" t="str">
        <f aca="false">IF($A70="","",IF($N70=0,"",COUNTIFS(Doc_Equipment,$A70,Doc_Approved,1)/$N70))</f>
        <v/>
      </c>
    </row>
    <row r="71" customFormat="false" ht="15" hidden="false" customHeight="false" outlineLevel="0" collapsed="false">
      <c r="A71" s="41"/>
      <c r="B71" s="41"/>
      <c r="C71" s="41"/>
      <c r="D71" s="41"/>
      <c r="E71" s="38"/>
      <c r="F71" s="38"/>
      <c r="G71" s="38"/>
      <c r="H71" s="38"/>
      <c r="I71" s="38"/>
      <c r="J71" s="38"/>
      <c r="K71" s="39" t="str">
        <f aca="false">IF($A71="","",IF($N71=0,$O71,Cfg_WPhase*$O71+Cfg_WDoc*$P71))</f>
        <v/>
      </c>
      <c r="L71" s="42" t="str">
        <f aca="true">IF($A71="","",IF($K71&gt;=1,"Complete",IF($K71&lt;=0,"Not Started",IF(AND($H71&lt;&gt;"",$H71&lt;TODAY(),$J71=""),"Behind Schedule","In Progress"))))</f>
        <v/>
      </c>
      <c r="M71" s="41"/>
      <c r="N71" s="40" t="str">
        <f aca="false">IF($A71="","",COUNTIF(Doc_Equipment,$A71))</f>
        <v/>
      </c>
      <c r="O71" s="39" t="str">
        <f aca="false">IF($A71="","",IFERROR(INDEX(Cfg_PhasePct,MATCH($D71,Cfg_PhaseList,0)),0))</f>
        <v/>
      </c>
      <c r="P71" s="39" t="str">
        <f aca="false">IF($A71="","",IF($N71=0,"",COUNTIFS(Doc_Equipment,$A71,Doc_Approved,1)/$N71))</f>
        <v/>
      </c>
    </row>
    <row r="72" customFormat="false" ht="15" hidden="false" customHeight="false" outlineLevel="0" collapsed="false">
      <c r="A72" s="41"/>
      <c r="B72" s="41"/>
      <c r="C72" s="41"/>
      <c r="D72" s="41"/>
      <c r="E72" s="38"/>
      <c r="F72" s="38"/>
      <c r="G72" s="38"/>
      <c r="H72" s="38"/>
      <c r="I72" s="38"/>
      <c r="J72" s="38"/>
      <c r="K72" s="39" t="str">
        <f aca="false">IF($A72="","",IF($N72=0,$O72,Cfg_WPhase*$O72+Cfg_WDoc*$P72))</f>
        <v/>
      </c>
      <c r="L72" s="42" t="str">
        <f aca="true">IF($A72="","",IF($K72&gt;=1,"Complete",IF($K72&lt;=0,"Not Started",IF(AND($H72&lt;&gt;"",$H72&lt;TODAY(),$J72=""),"Behind Schedule","In Progress"))))</f>
        <v/>
      </c>
      <c r="M72" s="41"/>
      <c r="N72" s="40" t="str">
        <f aca="false">IF($A72="","",COUNTIF(Doc_Equipment,$A72))</f>
        <v/>
      </c>
      <c r="O72" s="39" t="str">
        <f aca="false">IF($A72="","",IFERROR(INDEX(Cfg_PhasePct,MATCH($D72,Cfg_PhaseList,0)),0))</f>
        <v/>
      </c>
      <c r="P72" s="39" t="str">
        <f aca="false">IF($A72="","",IF($N72=0,"",COUNTIFS(Doc_Equipment,$A72,Doc_Approved,1)/$N72))</f>
        <v/>
      </c>
    </row>
    <row r="73" customFormat="false" ht="15" hidden="false" customHeight="false" outlineLevel="0" collapsed="false">
      <c r="A73" s="41"/>
      <c r="B73" s="41"/>
      <c r="C73" s="41"/>
      <c r="D73" s="41"/>
      <c r="E73" s="38"/>
      <c r="F73" s="38"/>
      <c r="G73" s="38"/>
      <c r="H73" s="38"/>
      <c r="I73" s="38"/>
      <c r="J73" s="38"/>
      <c r="K73" s="39" t="str">
        <f aca="false">IF($A73="","",IF($N73=0,$O73,Cfg_WPhase*$O73+Cfg_WDoc*$P73))</f>
        <v/>
      </c>
      <c r="L73" s="42" t="str">
        <f aca="true">IF($A73="","",IF($K73&gt;=1,"Complete",IF($K73&lt;=0,"Not Started",IF(AND($H73&lt;&gt;"",$H73&lt;TODAY(),$J73=""),"Behind Schedule","In Progress"))))</f>
        <v/>
      </c>
      <c r="M73" s="41"/>
      <c r="N73" s="40" t="str">
        <f aca="false">IF($A73="","",COUNTIF(Doc_Equipment,$A73))</f>
        <v/>
      </c>
      <c r="O73" s="39" t="str">
        <f aca="false">IF($A73="","",IFERROR(INDEX(Cfg_PhasePct,MATCH($D73,Cfg_PhaseList,0)),0))</f>
        <v/>
      </c>
      <c r="P73" s="39" t="str">
        <f aca="false">IF($A73="","",IF($N73=0,"",COUNTIFS(Doc_Equipment,$A73,Doc_Approved,1)/$N73))</f>
        <v/>
      </c>
    </row>
    <row r="74" customFormat="false" ht="15" hidden="false" customHeight="false" outlineLevel="0" collapsed="false">
      <c r="A74" s="41"/>
      <c r="B74" s="41"/>
      <c r="C74" s="41"/>
      <c r="D74" s="41"/>
      <c r="E74" s="38"/>
      <c r="F74" s="38"/>
      <c r="G74" s="38"/>
      <c r="H74" s="38"/>
      <c r="I74" s="38"/>
      <c r="J74" s="38"/>
      <c r="K74" s="39" t="str">
        <f aca="false">IF($A74="","",IF($N74=0,$O74,Cfg_WPhase*$O74+Cfg_WDoc*$P74))</f>
        <v/>
      </c>
      <c r="L74" s="42" t="str">
        <f aca="true">IF($A74="","",IF($K74&gt;=1,"Complete",IF($K74&lt;=0,"Not Started",IF(AND($H74&lt;&gt;"",$H74&lt;TODAY(),$J74=""),"Behind Schedule","In Progress"))))</f>
        <v/>
      </c>
      <c r="M74" s="41"/>
      <c r="N74" s="40" t="str">
        <f aca="false">IF($A74="","",COUNTIF(Doc_Equipment,$A74))</f>
        <v/>
      </c>
      <c r="O74" s="39" t="str">
        <f aca="false">IF($A74="","",IFERROR(INDEX(Cfg_PhasePct,MATCH($D74,Cfg_PhaseList,0)),0))</f>
        <v/>
      </c>
      <c r="P74" s="39" t="str">
        <f aca="false">IF($A74="","",IF($N74=0,"",COUNTIFS(Doc_Equipment,$A74,Doc_Approved,1)/$N74))</f>
        <v/>
      </c>
    </row>
    <row r="75" customFormat="false" ht="15" hidden="false" customHeight="false" outlineLevel="0" collapsed="false">
      <c r="A75" s="41"/>
      <c r="B75" s="41"/>
      <c r="C75" s="41"/>
      <c r="D75" s="41"/>
      <c r="E75" s="38"/>
      <c r="F75" s="38"/>
      <c r="G75" s="38"/>
      <c r="H75" s="38"/>
      <c r="I75" s="38"/>
      <c r="J75" s="38"/>
      <c r="K75" s="39" t="str">
        <f aca="false">IF($A75="","",IF($N75=0,$O75,Cfg_WPhase*$O75+Cfg_WDoc*$P75))</f>
        <v/>
      </c>
      <c r="L75" s="42" t="str">
        <f aca="true">IF($A75="","",IF($K75&gt;=1,"Complete",IF($K75&lt;=0,"Not Started",IF(AND($H75&lt;&gt;"",$H75&lt;TODAY(),$J75=""),"Behind Schedule","In Progress"))))</f>
        <v/>
      </c>
      <c r="M75" s="41"/>
      <c r="N75" s="40" t="str">
        <f aca="false">IF($A75="","",COUNTIF(Doc_Equipment,$A75))</f>
        <v/>
      </c>
      <c r="O75" s="39" t="str">
        <f aca="false">IF($A75="","",IFERROR(INDEX(Cfg_PhasePct,MATCH($D75,Cfg_PhaseList,0)),0))</f>
        <v/>
      </c>
      <c r="P75" s="39" t="str">
        <f aca="false">IF($A75="","",IF($N75=0,"",COUNTIFS(Doc_Equipment,$A75,Doc_Approved,1)/$N75))</f>
        <v/>
      </c>
    </row>
    <row r="76" customFormat="false" ht="15" hidden="false" customHeight="false" outlineLevel="0" collapsed="false">
      <c r="A76" s="41"/>
      <c r="B76" s="41"/>
      <c r="C76" s="41"/>
      <c r="D76" s="41"/>
      <c r="E76" s="38"/>
      <c r="F76" s="38"/>
      <c r="G76" s="38"/>
      <c r="H76" s="38"/>
      <c r="I76" s="38"/>
      <c r="J76" s="38"/>
      <c r="K76" s="39" t="str">
        <f aca="false">IF($A76="","",IF($N76=0,$O76,Cfg_WPhase*$O76+Cfg_WDoc*$P76))</f>
        <v/>
      </c>
      <c r="L76" s="42" t="str">
        <f aca="true">IF($A76="","",IF($K76&gt;=1,"Complete",IF($K76&lt;=0,"Not Started",IF(AND($H76&lt;&gt;"",$H76&lt;TODAY(),$J76=""),"Behind Schedule","In Progress"))))</f>
        <v/>
      </c>
      <c r="M76" s="41"/>
      <c r="N76" s="40" t="str">
        <f aca="false">IF($A76="","",COUNTIF(Doc_Equipment,$A76))</f>
        <v/>
      </c>
      <c r="O76" s="39" t="str">
        <f aca="false">IF($A76="","",IFERROR(INDEX(Cfg_PhasePct,MATCH($D76,Cfg_PhaseList,0)),0))</f>
        <v/>
      </c>
      <c r="P76" s="39" t="str">
        <f aca="false">IF($A76="","",IF($N76=0,"",COUNTIFS(Doc_Equipment,$A76,Doc_Approved,1)/$N76))</f>
        <v/>
      </c>
    </row>
    <row r="77" customFormat="false" ht="15" hidden="false" customHeight="false" outlineLevel="0" collapsed="false">
      <c r="A77" s="41"/>
      <c r="B77" s="41"/>
      <c r="C77" s="41"/>
      <c r="D77" s="41"/>
      <c r="E77" s="38"/>
      <c r="F77" s="38"/>
      <c r="G77" s="38"/>
      <c r="H77" s="38"/>
      <c r="I77" s="38"/>
      <c r="J77" s="38"/>
      <c r="K77" s="39" t="str">
        <f aca="false">IF($A77="","",IF($N77=0,$O77,Cfg_WPhase*$O77+Cfg_WDoc*$P77))</f>
        <v/>
      </c>
      <c r="L77" s="42" t="str">
        <f aca="true">IF($A77="","",IF($K77&gt;=1,"Complete",IF($K77&lt;=0,"Not Started",IF(AND($H77&lt;&gt;"",$H77&lt;TODAY(),$J77=""),"Behind Schedule","In Progress"))))</f>
        <v/>
      </c>
      <c r="M77" s="41"/>
      <c r="N77" s="40" t="str">
        <f aca="false">IF($A77="","",COUNTIF(Doc_Equipment,$A77))</f>
        <v/>
      </c>
      <c r="O77" s="39" t="str">
        <f aca="false">IF($A77="","",IFERROR(INDEX(Cfg_PhasePct,MATCH($D77,Cfg_PhaseList,0)),0))</f>
        <v/>
      </c>
      <c r="P77" s="39" t="str">
        <f aca="false">IF($A77="","",IF($N77=0,"",COUNTIFS(Doc_Equipment,$A77,Doc_Approved,1)/$N77))</f>
        <v/>
      </c>
    </row>
    <row r="78" customFormat="false" ht="15" hidden="false" customHeight="false" outlineLevel="0" collapsed="false">
      <c r="A78" s="41"/>
      <c r="B78" s="41"/>
      <c r="C78" s="41"/>
      <c r="D78" s="41"/>
      <c r="E78" s="38"/>
      <c r="F78" s="38"/>
      <c r="G78" s="38"/>
      <c r="H78" s="38"/>
      <c r="I78" s="38"/>
      <c r="J78" s="38"/>
      <c r="K78" s="39" t="str">
        <f aca="false">IF($A78="","",IF($N78=0,$O78,Cfg_WPhase*$O78+Cfg_WDoc*$P78))</f>
        <v/>
      </c>
      <c r="L78" s="42" t="str">
        <f aca="true">IF($A78="","",IF($K78&gt;=1,"Complete",IF($K78&lt;=0,"Not Started",IF(AND($H78&lt;&gt;"",$H78&lt;TODAY(),$J78=""),"Behind Schedule","In Progress"))))</f>
        <v/>
      </c>
      <c r="M78" s="41"/>
      <c r="N78" s="40" t="str">
        <f aca="false">IF($A78="","",COUNTIF(Doc_Equipment,$A78))</f>
        <v/>
      </c>
      <c r="O78" s="39" t="str">
        <f aca="false">IF($A78="","",IFERROR(INDEX(Cfg_PhasePct,MATCH($D78,Cfg_PhaseList,0)),0))</f>
        <v/>
      </c>
      <c r="P78" s="39" t="str">
        <f aca="false">IF($A78="","",IF($N78=0,"",COUNTIFS(Doc_Equipment,$A78,Doc_Approved,1)/$N78))</f>
        <v/>
      </c>
    </row>
    <row r="79" customFormat="false" ht="15" hidden="false" customHeight="false" outlineLevel="0" collapsed="false">
      <c r="A79" s="41"/>
      <c r="B79" s="41"/>
      <c r="C79" s="41"/>
      <c r="D79" s="41"/>
      <c r="E79" s="38"/>
      <c r="F79" s="38"/>
      <c r="G79" s="38"/>
      <c r="H79" s="38"/>
      <c r="I79" s="38"/>
      <c r="J79" s="38"/>
      <c r="K79" s="39" t="str">
        <f aca="false">IF($A79="","",IF($N79=0,$O79,Cfg_WPhase*$O79+Cfg_WDoc*$P79))</f>
        <v/>
      </c>
      <c r="L79" s="42" t="str">
        <f aca="true">IF($A79="","",IF($K79&gt;=1,"Complete",IF($K79&lt;=0,"Not Started",IF(AND($H79&lt;&gt;"",$H79&lt;TODAY(),$J79=""),"Behind Schedule","In Progress"))))</f>
        <v/>
      </c>
      <c r="M79" s="41"/>
      <c r="N79" s="40" t="str">
        <f aca="false">IF($A79="","",COUNTIF(Doc_Equipment,$A79))</f>
        <v/>
      </c>
      <c r="O79" s="39" t="str">
        <f aca="false">IF($A79="","",IFERROR(INDEX(Cfg_PhasePct,MATCH($D79,Cfg_PhaseList,0)),0))</f>
        <v/>
      </c>
      <c r="P79" s="39" t="str">
        <f aca="false">IF($A79="","",IF($N79=0,"",COUNTIFS(Doc_Equipment,$A79,Doc_Approved,1)/$N79))</f>
        <v/>
      </c>
    </row>
    <row r="80" customFormat="false" ht="15" hidden="false" customHeight="false" outlineLevel="0" collapsed="false">
      <c r="A80" s="41"/>
      <c r="B80" s="41"/>
      <c r="C80" s="41"/>
      <c r="D80" s="41"/>
      <c r="E80" s="38"/>
      <c r="F80" s="38"/>
      <c r="G80" s="38"/>
      <c r="H80" s="38"/>
      <c r="I80" s="38"/>
      <c r="J80" s="38"/>
      <c r="K80" s="39" t="str">
        <f aca="false">IF($A80="","",IF($N80=0,$O80,Cfg_WPhase*$O80+Cfg_WDoc*$P80))</f>
        <v/>
      </c>
      <c r="L80" s="42" t="str">
        <f aca="true">IF($A80="","",IF($K80&gt;=1,"Complete",IF($K80&lt;=0,"Not Started",IF(AND($H80&lt;&gt;"",$H80&lt;TODAY(),$J80=""),"Behind Schedule","In Progress"))))</f>
        <v/>
      </c>
      <c r="M80" s="41"/>
      <c r="N80" s="40" t="str">
        <f aca="false">IF($A80="","",COUNTIF(Doc_Equipment,$A80))</f>
        <v/>
      </c>
      <c r="O80" s="39" t="str">
        <f aca="false">IF($A80="","",IFERROR(INDEX(Cfg_PhasePct,MATCH($D80,Cfg_PhaseList,0)),0))</f>
        <v/>
      </c>
      <c r="P80" s="39" t="str">
        <f aca="false">IF($A80="","",IF($N80=0,"",COUNTIFS(Doc_Equipment,$A80,Doc_Approved,1)/$N80))</f>
        <v/>
      </c>
    </row>
    <row r="81" customFormat="false" ht="15" hidden="false" customHeight="false" outlineLevel="0" collapsed="false">
      <c r="A81" s="41"/>
      <c r="B81" s="41"/>
      <c r="C81" s="41"/>
      <c r="D81" s="41"/>
      <c r="E81" s="38"/>
      <c r="F81" s="38"/>
      <c r="G81" s="38"/>
      <c r="H81" s="38"/>
      <c r="I81" s="38"/>
      <c r="J81" s="38"/>
      <c r="K81" s="39" t="str">
        <f aca="false">IF($A81="","",IF($N81=0,$O81,Cfg_WPhase*$O81+Cfg_WDoc*$P81))</f>
        <v/>
      </c>
      <c r="L81" s="42" t="str">
        <f aca="true">IF($A81="","",IF($K81&gt;=1,"Complete",IF($K81&lt;=0,"Not Started",IF(AND($H81&lt;&gt;"",$H81&lt;TODAY(),$J81=""),"Behind Schedule","In Progress"))))</f>
        <v/>
      </c>
      <c r="M81" s="41"/>
      <c r="N81" s="40" t="str">
        <f aca="false">IF($A81="","",COUNTIF(Doc_Equipment,$A81))</f>
        <v/>
      </c>
      <c r="O81" s="39" t="str">
        <f aca="false">IF($A81="","",IFERROR(INDEX(Cfg_PhasePct,MATCH($D81,Cfg_PhaseList,0)),0))</f>
        <v/>
      </c>
      <c r="P81" s="39" t="str">
        <f aca="false">IF($A81="","",IF($N81=0,"",COUNTIFS(Doc_Equipment,$A81,Doc_Approved,1)/$N81))</f>
        <v/>
      </c>
    </row>
    <row r="82" customFormat="false" ht="15" hidden="false" customHeight="false" outlineLevel="0" collapsed="false">
      <c r="A82" s="41"/>
      <c r="B82" s="41"/>
      <c r="C82" s="41"/>
      <c r="D82" s="41"/>
      <c r="E82" s="38"/>
      <c r="F82" s="38"/>
      <c r="G82" s="38"/>
      <c r="H82" s="38"/>
      <c r="I82" s="38"/>
      <c r="J82" s="38"/>
      <c r="K82" s="39" t="str">
        <f aca="false">IF($A82="","",IF($N82=0,$O82,Cfg_WPhase*$O82+Cfg_WDoc*$P82))</f>
        <v/>
      </c>
      <c r="L82" s="42" t="str">
        <f aca="true">IF($A82="","",IF($K82&gt;=1,"Complete",IF($K82&lt;=0,"Not Started",IF(AND($H82&lt;&gt;"",$H82&lt;TODAY(),$J82=""),"Behind Schedule","In Progress"))))</f>
        <v/>
      </c>
      <c r="M82" s="41"/>
      <c r="N82" s="40" t="str">
        <f aca="false">IF($A82="","",COUNTIF(Doc_Equipment,$A82))</f>
        <v/>
      </c>
      <c r="O82" s="39" t="str">
        <f aca="false">IF($A82="","",IFERROR(INDEX(Cfg_PhasePct,MATCH($D82,Cfg_PhaseList,0)),0))</f>
        <v/>
      </c>
      <c r="P82" s="39" t="str">
        <f aca="false">IF($A82="","",IF($N82=0,"",COUNTIFS(Doc_Equipment,$A82,Doc_Approved,1)/$N82))</f>
        <v/>
      </c>
    </row>
    <row r="83" customFormat="false" ht="15" hidden="false" customHeight="false" outlineLevel="0" collapsed="false">
      <c r="A83" s="41"/>
      <c r="B83" s="41"/>
      <c r="C83" s="41"/>
      <c r="D83" s="41"/>
      <c r="E83" s="38"/>
      <c r="F83" s="38"/>
      <c r="G83" s="38"/>
      <c r="H83" s="38"/>
      <c r="I83" s="38"/>
      <c r="J83" s="38"/>
      <c r="K83" s="39" t="str">
        <f aca="false">IF($A83="","",IF($N83=0,$O83,Cfg_WPhase*$O83+Cfg_WDoc*$P83))</f>
        <v/>
      </c>
      <c r="L83" s="42" t="str">
        <f aca="true">IF($A83="","",IF($K83&gt;=1,"Complete",IF($K83&lt;=0,"Not Started",IF(AND($H83&lt;&gt;"",$H83&lt;TODAY(),$J83=""),"Behind Schedule","In Progress"))))</f>
        <v/>
      </c>
      <c r="M83" s="41"/>
      <c r="N83" s="40" t="str">
        <f aca="false">IF($A83="","",COUNTIF(Doc_Equipment,$A83))</f>
        <v/>
      </c>
      <c r="O83" s="39" t="str">
        <f aca="false">IF($A83="","",IFERROR(INDEX(Cfg_PhasePct,MATCH($D83,Cfg_PhaseList,0)),0))</f>
        <v/>
      </c>
      <c r="P83" s="39" t="str">
        <f aca="false">IF($A83="","",IF($N83=0,"",COUNTIFS(Doc_Equipment,$A83,Doc_Approved,1)/$N83))</f>
        <v/>
      </c>
    </row>
    <row r="84" customFormat="false" ht="15" hidden="false" customHeight="false" outlineLevel="0" collapsed="false">
      <c r="A84" s="41"/>
      <c r="B84" s="41"/>
      <c r="C84" s="41"/>
      <c r="D84" s="41"/>
      <c r="E84" s="38"/>
      <c r="F84" s="38"/>
      <c r="G84" s="38"/>
      <c r="H84" s="38"/>
      <c r="I84" s="38"/>
      <c r="J84" s="38"/>
      <c r="K84" s="39" t="str">
        <f aca="false">IF($A84="","",IF($N84=0,$O84,Cfg_WPhase*$O84+Cfg_WDoc*$P84))</f>
        <v/>
      </c>
      <c r="L84" s="42" t="str">
        <f aca="true">IF($A84="","",IF($K84&gt;=1,"Complete",IF($K84&lt;=0,"Not Started",IF(AND($H84&lt;&gt;"",$H84&lt;TODAY(),$J84=""),"Behind Schedule","In Progress"))))</f>
        <v/>
      </c>
      <c r="M84" s="41"/>
      <c r="N84" s="40" t="str">
        <f aca="false">IF($A84="","",COUNTIF(Doc_Equipment,$A84))</f>
        <v/>
      </c>
      <c r="O84" s="39" t="str">
        <f aca="false">IF($A84="","",IFERROR(INDEX(Cfg_PhasePct,MATCH($D84,Cfg_PhaseList,0)),0))</f>
        <v/>
      </c>
      <c r="P84" s="39" t="str">
        <f aca="false">IF($A84="","",IF($N84=0,"",COUNTIFS(Doc_Equipment,$A84,Doc_Approved,1)/$N84))</f>
        <v/>
      </c>
    </row>
    <row r="85" customFormat="false" ht="15" hidden="false" customHeight="false" outlineLevel="0" collapsed="false">
      <c r="A85" s="41"/>
      <c r="B85" s="41"/>
      <c r="C85" s="41"/>
      <c r="D85" s="41"/>
      <c r="E85" s="38"/>
      <c r="F85" s="38"/>
      <c r="G85" s="38"/>
      <c r="H85" s="38"/>
      <c r="I85" s="38"/>
      <c r="J85" s="38"/>
      <c r="K85" s="39" t="str">
        <f aca="false">IF($A85="","",IF($N85=0,$O85,Cfg_WPhase*$O85+Cfg_WDoc*$P85))</f>
        <v/>
      </c>
      <c r="L85" s="42" t="str">
        <f aca="true">IF($A85="","",IF($K85&gt;=1,"Complete",IF($K85&lt;=0,"Not Started",IF(AND($H85&lt;&gt;"",$H85&lt;TODAY(),$J85=""),"Behind Schedule","In Progress"))))</f>
        <v/>
      </c>
      <c r="M85" s="41"/>
      <c r="N85" s="40" t="str">
        <f aca="false">IF($A85="","",COUNTIF(Doc_Equipment,$A85))</f>
        <v/>
      </c>
      <c r="O85" s="39" t="str">
        <f aca="false">IF($A85="","",IFERROR(INDEX(Cfg_PhasePct,MATCH($D85,Cfg_PhaseList,0)),0))</f>
        <v/>
      </c>
      <c r="P85" s="39" t="str">
        <f aca="false">IF($A85="","",IF($N85=0,"",COUNTIFS(Doc_Equipment,$A85,Doc_Approved,1)/$N85))</f>
        <v/>
      </c>
    </row>
    <row r="86" customFormat="false" ht="15" hidden="false" customHeight="false" outlineLevel="0" collapsed="false">
      <c r="A86" s="41"/>
      <c r="B86" s="41"/>
      <c r="C86" s="41"/>
      <c r="D86" s="41"/>
      <c r="E86" s="38"/>
      <c r="F86" s="38"/>
      <c r="G86" s="38"/>
      <c r="H86" s="38"/>
      <c r="I86" s="38"/>
      <c r="J86" s="38"/>
      <c r="K86" s="39" t="str">
        <f aca="false">IF($A86="","",IF($N86=0,$O86,Cfg_WPhase*$O86+Cfg_WDoc*$P86))</f>
        <v/>
      </c>
      <c r="L86" s="42" t="str">
        <f aca="true">IF($A86="","",IF($K86&gt;=1,"Complete",IF($K86&lt;=0,"Not Started",IF(AND($H86&lt;&gt;"",$H86&lt;TODAY(),$J86=""),"Behind Schedule","In Progress"))))</f>
        <v/>
      </c>
      <c r="M86" s="41"/>
      <c r="N86" s="40" t="str">
        <f aca="false">IF($A86="","",COUNTIF(Doc_Equipment,$A86))</f>
        <v/>
      </c>
      <c r="O86" s="39" t="str">
        <f aca="false">IF($A86="","",IFERROR(INDEX(Cfg_PhasePct,MATCH($D86,Cfg_PhaseList,0)),0))</f>
        <v/>
      </c>
      <c r="P86" s="39" t="str">
        <f aca="false">IF($A86="","",IF($N86=0,"",COUNTIFS(Doc_Equipment,$A86,Doc_Approved,1)/$N86))</f>
        <v/>
      </c>
    </row>
    <row r="87" customFormat="false" ht="15" hidden="false" customHeight="false" outlineLevel="0" collapsed="false">
      <c r="A87" s="41"/>
      <c r="B87" s="41"/>
      <c r="C87" s="41"/>
      <c r="D87" s="41"/>
      <c r="E87" s="38"/>
      <c r="F87" s="38"/>
      <c r="G87" s="38"/>
      <c r="H87" s="38"/>
      <c r="I87" s="38"/>
      <c r="J87" s="38"/>
      <c r="K87" s="39" t="str">
        <f aca="false">IF($A87="","",IF($N87=0,$O87,Cfg_WPhase*$O87+Cfg_WDoc*$P87))</f>
        <v/>
      </c>
      <c r="L87" s="42" t="str">
        <f aca="true">IF($A87="","",IF($K87&gt;=1,"Complete",IF($K87&lt;=0,"Not Started",IF(AND($H87&lt;&gt;"",$H87&lt;TODAY(),$J87=""),"Behind Schedule","In Progress"))))</f>
        <v/>
      </c>
      <c r="M87" s="41"/>
      <c r="N87" s="40" t="str">
        <f aca="false">IF($A87="","",COUNTIF(Doc_Equipment,$A87))</f>
        <v/>
      </c>
      <c r="O87" s="39" t="str">
        <f aca="false">IF($A87="","",IFERROR(INDEX(Cfg_PhasePct,MATCH($D87,Cfg_PhaseList,0)),0))</f>
        <v/>
      </c>
      <c r="P87" s="39" t="str">
        <f aca="false">IF($A87="","",IF($N87=0,"",COUNTIFS(Doc_Equipment,$A87,Doc_Approved,1)/$N87))</f>
        <v/>
      </c>
    </row>
    <row r="88" customFormat="false" ht="15" hidden="false" customHeight="false" outlineLevel="0" collapsed="false">
      <c r="A88" s="41"/>
      <c r="B88" s="41"/>
      <c r="C88" s="41"/>
      <c r="D88" s="41"/>
      <c r="E88" s="38"/>
      <c r="F88" s="38"/>
      <c r="G88" s="38"/>
      <c r="H88" s="38"/>
      <c r="I88" s="38"/>
      <c r="J88" s="38"/>
      <c r="K88" s="39" t="str">
        <f aca="false">IF($A88="","",IF($N88=0,$O88,Cfg_WPhase*$O88+Cfg_WDoc*$P88))</f>
        <v/>
      </c>
      <c r="L88" s="42" t="str">
        <f aca="true">IF($A88="","",IF($K88&gt;=1,"Complete",IF($K88&lt;=0,"Not Started",IF(AND($H88&lt;&gt;"",$H88&lt;TODAY(),$J88=""),"Behind Schedule","In Progress"))))</f>
        <v/>
      </c>
      <c r="M88" s="41"/>
      <c r="N88" s="40" t="str">
        <f aca="false">IF($A88="","",COUNTIF(Doc_Equipment,$A88))</f>
        <v/>
      </c>
      <c r="O88" s="39" t="str">
        <f aca="false">IF($A88="","",IFERROR(INDEX(Cfg_PhasePct,MATCH($D88,Cfg_PhaseList,0)),0))</f>
        <v/>
      </c>
      <c r="P88" s="39" t="str">
        <f aca="false">IF($A88="","",IF($N88=0,"",COUNTIFS(Doc_Equipment,$A88,Doc_Approved,1)/$N88))</f>
        <v/>
      </c>
    </row>
    <row r="89" customFormat="false" ht="15" hidden="false" customHeight="false" outlineLevel="0" collapsed="false">
      <c r="A89" s="41"/>
      <c r="B89" s="41"/>
      <c r="C89" s="41"/>
      <c r="D89" s="41"/>
      <c r="E89" s="38"/>
      <c r="F89" s="38"/>
      <c r="G89" s="38"/>
      <c r="H89" s="38"/>
      <c r="I89" s="38"/>
      <c r="J89" s="38"/>
      <c r="K89" s="39" t="str">
        <f aca="false">IF($A89="","",IF($N89=0,$O89,Cfg_WPhase*$O89+Cfg_WDoc*$P89))</f>
        <v/>
      </c>
      <c r="L89" s="42" t="str">
        <f aca="true">IF($A89="","",IF($K89&gt;=1,"Complete",IF($K89&lt;=0,"Not Started",IF(AND($H89&lt;&gt;"",$H89&lt;TODAY(),$J89=""),"Behind Schedule","In Progress"))))</f>
        <v/>
      </c>
      <c r="M89" s="41"/>
      <c r="N89" s="40" t="str">
        <f aca="false">IF($A89="","",COUNTIF(Doc_Equipment,$A89))</f>
        <v/>
      </c>
      <c r="O89" s="39" t="str">
        <f aca="false">IF($A89="","",IFERROR(INDEX(Cfg_PhasePct,MATCH($D89,Cfg_PhaseList,0)),0))</f>
        <v/>
      </c>
      <c r="P89" s="39" t="str">
        <f aca="false">IF($A89="","",IF($N89=0,"",COUNTIFS(Doc_Equipment,$A89,Doc_Approved,1)/$N89))</f>
        <v/>
      </c>
    </row>
    <row r="90" customFormat="false" ht="15" hidden="false" customHeight="false" outlineLevel="0" collapsed="false">
      <c r="A90" s="41"/>
      <c r="B90" s="41"/>
      <c r="C90" s="41"/>
      <c r="D90" s="41"/>
      <c r="E90" s="38"/>
      <c r="F90" s="38"/>
      <c r="G90" s="38"/>
      <c r="H90" s="38"/>
      <c r="I90" s="38"/>
      <c r="J90" s="38"/>
      <c r="K90" s="39" t="str">
        <f aca="false">IF($A90="","",IF($N90=0,$O90,Cfg_WPhase*$O90+Cfg_WDoc*$P90))</f>
        <v/>
      </c>
      <c r="L90" s="42" t="str">
        <f aca="true">IF($A90="","",IF($K90&gt;=1,"Complete",IF($K90&lt;=0,"Not Started",IF(AND($H90&lt;&gt;"",$H90&lt;TODAY(),$J90=""),"Behind Schedule","In Progress"))))</f>
        <v/>
      </c>
      <c r="M90" s="41"/>
      <c r="N90" s="40" t="str">
        <f aca="false">IF($A90="","",COUNTIF(Doc_Equipment,$A90))</f>
        <v/>
      </c>
      <c r="O90" s="39" t="str">
        <f aca="false">IF($A90="","",IFERROR(INDEX(Cfg_PhasePct,MATCH($D90,Cfg_PhaseList,0)),0))</f>
        <v/>
      </c>
      <c r="P90" s="39" t="str">
        <f aca="false">IF($A90="","",IF($N90=0,"",COUNTIFS(Doc_Equipment,$A90,Doc_Approved,1)/$N90))</f>
        <v/>
      </c>
    </row>
    <row r="91" customFormat="false" ht="15" hidden="false" customHeight="false" outlineLevel="0" collapsed="false">
      <c r="A91" s="41"/>
      <c r="B91" s="41"/>
      <c r="C91" s="41"/>
      <c r="D91" s="41"/>
      <c r="E91" s="38"/>
      <c r="F91" s="38"/>
      <c r="G91" s="38"/>
      <c r="H91" s="38"/>
      <c r="I91" s="38"/>
      <c r="J91" s="38"/>
      <c r="K91" s="39" t="str">
        <f aca="false">IF($A91="","",IF($N91=0,$O91,Cfg_WPhase*$O91+Cfg_WDoc*$P91))</f>
        <v/>
      </c>
      <c r="L91" s="42" t="str">
        <f aca="true">IF($A91="","",IF($K91&gt;=1,"Complete",IF($K91&lt;=0,"Not Started",IF(AND($H91&lt;&gt;"",$H91&lt;TODAY(),$J91=""),"Behind Schedule","In Progress"))))</f>
        <v/>
      </c>
      <c r="M91" s="41"/>
      <c r="N91" s="40" t="str">
        <f aca="false">IF($A91="","",COUNTIF(Doc_Equipment,$A91))</f>
        <v/>
      </c>
      <c r="O91" s="39" t="str">
        <f aca="false">IF($A91="","",IFERROR(INDEX(Cfg_PhasePct,MATCH($D91,Cfg_PhaseList,0)),0))</f>
        <v/>
      </c>
      <c r="P91" s="39" t="str">
        <f aca="false">IF($A91="","",IF($N91=0,"",COUNTIFS(Doc_Equipment,$A91,Doc_Approved,1)/$N91))</f>
        <v/>
      </c>
    </row>
    <row r="92" customFormat="false" ht="15" hidden="false" customHeight="false" outlineLevel="0" collapsed="false">
      <c r="A92" s="41"/>
      <c r="B92" s="41"/>
      <c r="C92" s="41"/>
      <c r="D92" s="41"/>
      <c r="E92" s="38"/>
      <c r="F92" s="38"/>
      <c r="G92" s="38"/>
      <c r="H92" s="38"/>
      <c r="I92" s="38"/>
      <c r="J92" s="38"/>
      <c r="K92" s="39" t="str">
        <f aca="false">IF($A92="","",IF($N92=0,$O92,Cfg_WPhase*$O92+Cfg_WDoc*$P92))</f>
        <v/>
      </c>
      <c r="L92" s="42" t="str">
        <f aca="true">IF($A92="","",IF($K92&gt;=1,"Complete",IF($K92&lt;=0,"Not Started",IF(AND($H92&lt;&gt;"",$H92&lt;TODAY(),$J92=""),"Behind Schedule","In Progress"))))</f>
        <v/>
      </c>
      <c r="M92" s="41"/>
      <c r="N92" s="40" t="str">
        <f aca="false">IF($A92="","",COUNTIF(Doc_Equipment,$A92))</f>
        <v/>
      </c>
      <c r="O92" s="39" t="str">
        <f aca="false">IF($A92="","",IFERROR(INDEX(Cfg_PhasePct,MATCH($D92,Cfg_PhaseList,0)),0))</f>
        <v/>
      </c>
      <c r="P92" s="39" t="str">
        <f aca="false">IF($A92="","",IF($N92=0,"",COUNTIFS(Doc_Equipment,$A92,Doc_Approved,1)/$N92))</f>
        <v/>
      </c>
    </row>
    <row r="93" customFormat="false" ht="15" hidden="false" customHeight="false" outlineLevel="0" collapsed="false">
      <c r="A93" s="41"/>
      <c r="B93" s="41"/>
      <c r="C93" s="41"/>
      <c r="D93" s="41"/>
      <c r="E93" s="38"/>
      <c r="F93" s="38"/>
      <c r="G93" s="38"/>
      <c r="H93" s="38"/>
      <c r="I93" s="38"/>
      <c r="J93" s="38"/>
      <c r="K93" s="39" t="str">
        <f aca="false">IF($A93="","",IF($N93=0,$O93,Cfg_WPhase*$O93+Cfg_WDoc*$P93))</f>
        <v/>
      </c>
      <c r="L93" s="42" t="str">
        <f aca="true">IF($A93="","",IF($K93&gt;=1,"Complete",IF($K93&lt;=0,"Not Started",IF(AND($H93&lt;&gt;"",$H93&lt;TODAY(),$J93=""),"Behind Schedule","In Progress"))))</f>
        <v/>
      </c>
      <c r="M93" s="41"/>
      <c r="N93" s="40" t="str">
        <f aca="false">IF($A93="","",COUNTIF(Doc_Equipment,$A93))</f>
        <v/>
      </c>
      <c r="O93" s="39" t="str">
        <f aca="false">IF($A93="","",IFERROR(INDEX(Cfg_PhasePct,MATCH($D93,Cfg_PhaseList,0)),0))</f>
        <v/>
      </c>
      <c r="P93" s="39" t="str">
        <f aca="false">IF($A93="","",IF($N93=0,"",COUNTIFS(Doc_Equipment,$A93,Doc_Approved,1)/$N93))</f>
        <v/>
      </c>
    </row>
    <row r="94" customFormat="false" ht="15" hidden="false" customHeight="false" outlineLevel="0" collapsed="false">
      <c r="A94" s="41"/>
      <c r="B94" s="41"/>
      <c r="C94" s="41"/>
      <c r="D94" s="41"/>
      <c r="E94" s="38"/>
      <c r="F94" s="38"/>
      <c r="G94" s="38"/>
      <c r="H94" s="38"/>
      <c r="I94" s="38"/>
      <c r="J94" s="38"/>
      <c r="K94" s="39" t="str">
        <f aca="false">IF($A94="","",IF($N94=0,$O94,Cfg_WPhase*$O94+Cfg_WDoc*$P94))</f>
        <v/>
      </c>
      <c r="L94" s="42" t="str">
        <f aca="true">IF($A94="","",IF($K94&gt;=1,"Complete",IF($K94&lt;=0,"Not Started",IF(AND($H94&lt;&gt;"",$H94&lt;TODAY(),$J94=""),"Behind Schedule","In Progress"))))</f>
        <v/>
      </c>
      <c r="M94" s="41"/>
      <c r="N94" s="40" t="str">
        <f aca="false">IF($A94="","",COUNTIF(Doc_Equipment,$A94))</f>
        <v/>
      </c>
      <c r="O94" s="39" t="str">
        <f aca="false">IF($A94="","",IFERROR(INDEX(Cfg_PhasePct,MATCH($D94,Cfg_PhaseList,0)),0))</f>
        <v/>
      </c>
      <c r="P94" s="39" t="str">
        <f aca="false">IF($A94="","",IF($N94=0,"",COUNTIFS(Doc_Equipment,$A94,Doc_Approved,1)/$N94))</f>
        <v/>
      </c>
    </row>
    <row r="95" customFormat="false" ht="15" hidden="false" customHeight="false" outlineLevel="0" collapsed="false">
      <c r="A95" s="41"/>
      <c r="B95" s="41"/>
      <c r="C95" s="41"/>
      <c r="D95" s="41"/>
      <c r="E95" s="38"/>
      <c r="F95" s="38"/>
      <c r="G95" s="38"/>
      <c r="H95" s="38"/>
      <c r="I95" s="38"/>
      <c r="J95" s="38"/>
      <c r="K95" s="39" t="str">
        <f aca="false">IF($A95="","",IF($N95=0,$O95,Cfg_WPhase*$O95+Cfg_WDoc*$P95))</f>
        <v/>
      </c>
      <c r="L95" s="42" t="str">
        <f aca="true">IF($A95="","",IF($K95&gt;=1,"Complete",IF($K95&lt;=0,"Not Started",IF(AND($H95&lt;&gt;"",$H95&lt;TODAY(),$J95=""),"Behind Schedule","In Progress"))))</f>
        <v/>
      </c>
      <c r="M95" s="41"/>
      <c r="N95" s="40" t="str">
        <f aca="false">IF($A95="","",COUNTIF(Doc_Equipment,$A95))</f>
        <v/>
      </c>
      <c r="O95" s="39" t="str">
        <f aca="false">IF($A95="","",IFERROR(INDEX(Cfg_PhasePct,MATCH($D95,Cfg_PhaseList,0)),0))</f>
        <v/>
      </c>
      <c r="P95" s="39" t="str">
        <f aca="false">IF($A95="","",IF($N95=0,"",COUNTIFS(Doc_Equipment,$A95,Doc_Approved,1)/$N95))</f>
        <v/>
      </c>
    </row>
    <row r="96" customFormat="false" ht="15" hidden="false" customHeight="false" outlineLevel="0" collapsed="false">
      <c r="A96" s="41"/>
      <c r="B96" s="41"/>
      <c r="C96" s="41"/>
      <c r="D96" s="41"/>
      <c r="E96" s="38"/>
      <c r="F96" s="38"/>
      <c r="G96" s="38"/>
      <c r="H96" s="38"/>
      <c r="I96" s="38"/>
      <c r="J96" s="38"/>
      <c r="K96" s="39" t="str">
        <f aca="false">IF($A96="","",IF($N96=0,$O96,Cfg_WPhase*$O96+Cfg_WDoc*$P96))</f>
        <v/>
      </c>
      <c r="L96" s="42" t="str">
        <f aca="true">IF($A96="","",IF($K96&gt;=1,"Complete",IF($K96&lt;=0,"Not Started",IF(AND($H96&lt;&gt;"",$H96&lt;TODAY(),$J96=""),"Behind Schedule","In Progress"))))</f>
        <v/>
      </c>
      <c r="M96" s="41"/>
      <c r="N96" s="40" t="str">
        <f aca="false">IF($A96="","",COUNTIF(Doc_Equipment,$A96))</f>
        <v/>
      </c>
      <c r="O96" s="39" t="str">
        <f aca="false">IF($A96="","",IFERROR(INDEX(Cfg_PhasePct,MATCH($D96,Cfg_PhaseList,0)),0))</f>
        <v/>
      </c>
      <c r="P96" s="39" t="str">
        <f aca="false">IF($A96="","",IF($N96=0,"",COUNTIFS(Doc_Equipment,$A96,Doc_Approved,1)/$N96))</f>
        <v/>
      </c>
    </row>
    <row r="97" customFormat="false" ht="15" hidden="false" customHeight="false" outlineLevel="0" collapsed="false">
      <c r="A97" s="41"/>
      <c r="B97" s="41"/>
      <c r="C97" s="41"/>
      <c r="D97" s="41"/>
      <c r="E97" s="38"/>
      <c r="F97" s="38"/>
      <c r="G97" s="38"/>
      <c r="H97" s="38"/>
      <c r="I97" s="38"/>
      <c r="J97" s="38"/>
      <c r="K97" s="39" t="str">
        <f aca="false">IF($A97="","",IF($N97=0,$O97,Cfg_WPhase*$O97+Cfg_WDoc*$P97))</f>
        <v/>
      </c>
      <c r="L97" s="42" t="str">
        <f aca="true">IF($A97="","",IF($K97&gt;=1,"Complete",IF($K97&lt;=0,"Not Started",IF(AND($H97&lt;&gt;"",$H97&lt;TODAY(),$J97=""),"Behind Schedule","In Progress"))))</f>
        <v/>
      </c>
      <c r="M97" s="41"/>
      <c r="N97" s="40" t="str">
        <f aca="false">IF($A97="","",COUNTIF(Doc_Equipment,$A97))</f>
        <v/>
      </c>
      <c r="O97" s="39" t="str">
        <f aca="false">IF($A97="","",IFERROR(INDEX(Cfg_PhasePct,MATCH($D97,Cfg_PhaseList,0)),0))</f>
        <v/>
      </c>
      <c r="P97" s="39" t="str">
        <f aca="false">IF($A97="","",IF($N97=0,"",COUNTIFS(Doc_Equipment,$A97,Doc_Approved,1)/$N97))</f>
        <v/>
      </c>
    </row>
    <row r="98" customFormat="false" ht="15" hidden="false" customHeight="false" outlineLevel="0" collapsed="false">
      <c r="A98" s="41"/>
      <c r="B98" s="41"/>
      <c r="C98" s="41"/>
      <c r="D98" s="41"/>
      <c r="E98" s="38"/>
      <c r="F98" s="38"/>
      <c r="G98" s="38"/>
      <c r="H98" s="38"/>
      <c r="I98" s="38"/>
      <c r="J98" s="38"/>
      <c r="K98" s="39" t="str">
        <f aca="false">IF($A98="","",IF($N98=0,$O98,Cfg_WPhase*$O98+Cfg_WDoc*$P98))</f>
        <v/>
      </c>
      <c r="L98" s="42" t="str">
        <f aca="true">IF($A98="","",IF($K98&gt;=1,"Complete",IF($K98&lt;=0,"Not Started",IF(AND($H98&lt;&gt;"",$H98&lt;TODAY(),$J98=""),"Behind Schedule","In Progress"))))</f>
        <v/>
      </c>
      <c r="M98" s="41"/>
      <c r="N98" s="40" t="str">
        <f aca="false">IF($A98="","",COUNTIF(Doc_Equipment,$A98))</f>
        <v/>
      </c>
      <c r="O98" s="39" t="str">
        <f aca="false">IF($A98="","",IFERROR(INDEX(Cfg_PhasePct,MATCH($D98,Cfg_PhaseList,0)),0))</f>
        <v/>
      </c>
      <c r="P98" s="39" t="str">
        <f aca="false">IF($A98="","",IF($N98=0,"",COUNTIFS(Doc_Equipment,$A98,Doc_Approved,1)/$N98))</f>
        <v/>
      </c>
    </row>
    <row r="99" customFormat="false" ht="15" hidden="false" customHeight="false" outlineLevel="0" collapsed="false">
      <c r="A99" s="41"/>
      <c r="B99" s="41"/>
      <c r="C99" s="41"/>
      <c r="D99" s="41"/>
      <c r="E99" s="38"/>
      <c r="F99" s="38"/>
      <c r="G99" s="38"/>
      <c r="H99" s="38"/>
      <c r="I99" s="38"/>
      <c r="J99" s="38"/>
      <c r="K99" s="39" t="str">
        <f aca="false">IF($A99="","",IF($N99=0,$O99,Cfg_WPhase*$O99+Cfg_WDoc*$P99))</f>
        <v/>
      </c>
      <c r="L99" s="42" t="str">
        <f aca="true">IF($A99="","",IF($K99&gt;=1,"Complete",IF($K99&lt;=0,"Not Started",IF(AND($H99&lt;&gt;"",$H99&lt;TODAY(),$J99=""),"Behind Schedule","In Progress"))))</f>
        <v/>
      </c>
      <c r="M99" s="41"/>
      <c r="N99" s="40" t="str">
        <f aca="false">IF($A99="","",COUNTIF(Doc_Equipment,$A99))</f>
        <v/>
      </c>
      <c r="O99" s="39" t="str">
        <f aca="false">IF($A99="","",IFERROR(INDEX(Cfg_PhasePct,MATCH($D99,Cfg_PhaseList,0)),0))</f>
        <v/>
      </c>
      <c r="P99" s="39" t="str">
        <f aca="false">IF($A99="","",IF($N99=0,"",COUNTIFS(Doc_Equipment,$A99,Doc_Approved,1)/$N99))</f>
        <v/>
      </c>
    </row>
    <row r="100" customFormat="false" ht="15" hidden="false" customHeight="false" outlineLevel="0" collapsed="false">
      <c r="A100" s="41"/>
      <c r="B100" s="41"/>
      <c r="C100" s="41"/>
      <c r="D100" s="41"/>
      <c r="E100" s="38"/>
      <c r="F100" s="38"/>
      <c r="G100" s="38"/>
      <c r="H100" s="38"/>
      <c r="I100" s="38"/>
      <c r="J100" s="38"/>
      <c r="K100" s="39" t="str">
        <f aca="false">IF($A100="","",IF($N100=0,$O100,Cfg_WPhase*$O100+Cfg_WDoc*$P100))</f>
        <v/>
      </c>
      <c r="L100" s="42" t="str">
        <f aca="true">IF($A100="","",IF($K100&gt;=1,"Complete",IF($K100&lt;=0,"Not Started",IF(AND($H100&lt;&gt;"",$H100&lt;TODAY(),$J100=""),"Behind Schedule","In Progress"))))</f>
        <v/>
      </c>
      <c r="M100" s="41"/>
      <c r="N100" s="40" t="str">
        <f aca="false">IF($A100="","",COUNTIF(Doc_Equipment,$A100))</f>
        <v/>
      </c>
      <c r="O100" s="39" t="str">
        <f aca="false">IF($A100="","",IFERROR(INDEX(Cfg_PhasePct,MATCH($D100,Cfg_PhaseList,0)),0))</f>
        <v/>
      </c>
      <c r="P100" s="39" t="str">
        <f aca="false">IF($A100="","",IF($N100=0,"",COUNTIFS(Doc_Equipment,$A100,Doc_Approved,1)/$N100))</f>
        <v/>
      </c>
    </row>
    <row r="101" customFormat="false" ht="15" hidden="false" customHeight="false" outlineLevel="0" collapsed="false">
      <c r="A101" s="41"/>
      <c r="B101" s="41"/>
      <c r="C101" s="41"/>
      <c r="D101" s="41"/>
      <c r="E101" s="38"/>
      <c r="F101" s="38"/>
      <c r="G101" s="38"/>
      <c r="H101" s="38"/>
      <c r="I101" s="38"/>
      <c r="J101" s="38"/>
      <c r="K101" s="39" t="str">
        <f aca="false">IF($A101="","",IF($N101=0,$O101,Cfg_WPhase*$O101+Cfg_WDoc*$P101))</f>
        <v/>
      </c>
      <c r="L101" s="42" t="str">
        <f aca="true">IF($A101="","",IF($K101&gt;=1,"Complete",IF($K101&lt;=0,"Not Started",IF(AND($H101&lt;&gt;"",$H101&lt;TODAY(),$J101=""),"Behind Schedule","In Progress"))))</f>
        <v/>
      </c>
      <c r="M101" s="41"/>
      <c r="N101" s="40" t="str">
        <f aca="false">IF($A101="","",COUNTIF(Doc_Equipment,$A101))</f>
        <v/>
      </c>
      <c r="O101" s="39" t="str">
        <f aca="false">IF($A101="","",IFERROR(INDEX(Cfg_PhasePct,MATCH($D101,Cfg_PhaseList,0)),0))</f>
        <v/>
      </c>
      <c r="P101" s="39" t="str">
        <f aca="false">IF($A101="","",IF($N101=0,"",COUNTIFS(Doc_Equipment,$A101,Doc_Approved,1)/$N101))</f>
        <v/>
      </c>
    </row>
    <row r="102" customFormat="false" ht="15" hidden="false" customHeight="false" outlineLevel="0" collapsed="false">
      <c r="A102" s="41"/>
      <c r="B102" s="41"/>
      <c r="C102" s="41"/>
      <c r="D102" s="41"/>
      <c r="E102" s="38"/>
      <c r="F102" s="38"/>
      <c r="G102" s="38"/>
      <c r="H102" s="38"/>
      <c r="I102" s="38"/>
      <c r="J102" s="38"/>
      <c r="K102" s="39" t="str">
        <f aca="false">IF($A102="","",IF($N102=0,$O102,Cfg_WPhase*$O102+Cfg_WDoc*$P102))</f>
        <v/>
      </c>
      <c r="L102" s="42" t="str">
        <f aca="true">IF($A102="","",IF($K102&gt;=1,"Complete",IF($K102&lt;=0,"Not Started",IF(AND($H102&lt;&gt;"",$H102&lt;TODAY(),$J102=""),"Behind Schedule","In Progress"))))</f>
        <v/>
      </c>
      <c r="M102" s="41"/>
      <c r="N102" s="40" t="str">
        <f aca="false">IF($A102="","",COUNTIF(Doc_Equipment,$A102))</f>
        <v/>
      </c>
      <c r="O102" s="39" t="str">
        <f aca="false">IF($A102="","",IFERROR(INDEX(Cfg_PhasePct,MATCH($D102,Cfg_PhaseList,0)),0))</f>
        <v/>
      </c>
      <c r="P102" s="39" t="str">
        <f aca="false">IF($A102="","",IF($N102=0,"",COUNTIFS(Doc_Equipment,$A102,Doc_Approved,1)/$N102))</f>
        <v/>
      </c>
    </row>
    <row r="103" customFormat="false" ht="15" hidden="false" customHeight="false" outlineLevel="0" collapsed="false">
      <c r="A103" s="41"/>
      <c r="B103" s="41"/>
      <c r="C103" s="41"/>
      <c r="D103" s="41"/>
      <c r="E103" s="38"/>
      <c r="F103" s="38"/>
      <c r="G103" s="38"/>
      <c r="H103" s="38"/>
      <c r="I103" s="38"/>
      <c r="J103" s="38"/>
      <c r="K103" s="39" t="str">
        <f aca="false">IF($A103="","",IF($N103=0,$O103,Cfg_WPhase*$O103+Cfg_WDoc*$P103))</f>
        <v/>
      </c>
      <c r="L103" s="42" t="str">
        <f aca="true">IF($A103="","",IF($K103&gt;=1,"Complete",IF($K103&lt;=0,"Not Started",IF(AND($H103&lt;&gt;"",$H103&lt;TODAY(),$J103=""),"Behind Schedule","In Progress"))))</f>
        <v/>
      </c>
      <c r="M103" s="41"/>
      <c r="N103" s="40" t="str">
        <f aca="false">IF($A103="","",COUNTIF(Doc_Equipment,$A103))</f>
        <v/>
      </c>
      <c r="O103" s="39" t="str">
        <f aca="false">IF($A103="","",IFERROR(INDEX(Cfg_PhasePct,MATCH($D103,Cfg_PhaseList,0)),0))</f>
        <v/>
      </c>
      <c r="P103" s="39" t="str">
        <f aca="false">IF($A103="","",IF($N103=0,"",COUNTIFS(Doc_Equipment,$A103,Doc_Approved,1)/$N103))</f>
        <v/>
      </c>
    </row>
  </sheetData>
  <autoFilter ref="A3:M103"/>
  <conditionalFormatting sqref="K4:K103">
    <cfRule type="dataBar" priority="2">
      <dataBar showValue="1" minLength="10" maxLength="90">
        <cfvo type="num" val="0"/>
        <cfvo type="num" val="1"/>
        <color rgb="FF63BE7B"/>
      </dataBar>
      <extLst>
        <ext xmlns:x14="http://schemas.microsoft.com/office/spreadsheetml/2009/9/main" uri="{B025F937-C7B1-47D3-B67F-A62EFF666E3E}">
          <x14:id>{E0954715-AFFC-4313-97F2-428065761029}</x14:id>
        </ext>
      </extLst>
    </cfRule>
  </conditionalFormatting>
  <conditionalFormatting sqref="A4:M103">
    <cfRule type="expression" priority="3" aboveAverage="0" equalAverage="0" bottom="0" percent="0" rank="0" text="" dxfId="6">
      <formula>AND($A4&lt;&gt;"",$L4="Behind Schedule")</formula>
    </cfRule>
  </conditionalFormatting>
  <dataValidations count="3">
    <dataValidation allowBlank="true" errorStyle="stop" operator="between" showDropDown="false" showErrorMessage="false" showInputMessage="false" sqref="D4:D103" type="list">
      <formula1>Cfg_Phase</formula1>
      <formula2>0</formula2>
    </dataValidation>
    <dataValidation allowBlank="true" errorStyle="stop" operator="between" showDropDown="false" showErrorMessage="false" showInputMessage="false" sqref="B4:B103" type="list">
      <formula1>Sc_IDList</formula1>
      <formula2>0</formula2>
    </dataValidation>
    <dataValidation allowBlank="true" errorStyle="stop" operator="between" showDropDown="false" showErrorMessage="false" showInputMessage="false" sqref="C4:C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E0954715-AFFC-4313-97F2-428065761029}">
            <x14:dataBar minLength="10" maxLength="90" axisPosition="none" gradient="true">
              <x14:cfvo type="num">
                <xm:f>0</xm:f>
              </x14:cfvo>
              <x14:cfvo type="num">
                <xm:f>1</xm:f>
              </x14:cfvo>
              <x14:negativeFillColor rgb="FF63BE7B"/>
              <x14:axisColor rgb="FF000000"/>
            </x14:dataBar>
          </x14:cfRule>
          <xm:sqref>K4:K103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W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26"/>
    <col collapsed="false" customWidth="true" hidden="false" outlineLevel="0" max="4" min="4" style="0" width="22"/>
    <col collapsed="false" customWidth="true" hidden="false" outlineLevel="0" max="5" min="5" style="0" width="34"/>
    <col collapsed="false" customWidth="true" hidden="false" outlineLevel="0" max="6" min="6" style="0" width="9"/>
    <col collapsed="false" customWidth="true" hidden="false" outlineLevel="0" max="8" min="7" style="0" width="15"/>
    <col collapsed="false" customWidth="true" hidden="false" outlineLevel="0" max="9" min="9" style="0" width="18"/>
    <col collapsed="false" customWidth="true" hidden="false" outlineLevel="0" max="10" min="10" style="0" width="19"/>
    <col collapsed="false" customWidth="true" hidden="false" outlineLevel="0" max="14" min="11" style="0" width="16"/>
    <col collapsed="false" customWidth="true" hidden="false" outlineLevel="0" max="15" min="15" style="0" width="11"/>
    <col collapsed="false" customWidth="true" hidden="false" outlineLevel="0" max="16" min="16" style="0" width="12"/>
    <col collapsed="false" customWidth="true" hidden="false" outlineLevel="0" max="17" min="17" style="0" width="34"/>
    <col collapsed="false" customWidth="true" hidden="true" outlineLevel="0" max="19" min="19" style="0" width="10"/>
    <col collapsed="false" customWidth="true" hidden="true" outlineLevel="0" max="20" min="20" style="0" width="11"/>
    <col collapsed="false" customWidth="true" hidden="true" outlineLevel="0" max="22" min="21" style="0" width="13"/>
    <col collapsed="false" customWidth="true" hidden="true" outlineLevel="0" max="23" min="23" style="0" width="12"/>
  </cols>
  <sheetData>
    <row r="1" customFormat="false" ht="17.35" hidden="false" customHeight="false" outlineLevel="0" collapsed="false">
      <c r="A1" s="1" t="s">
        <v>216</v>
      </c>
    </row>
    <row r="2" customFormat="false" ht="15" hidden="false" customHeight="false" outlineLevel="0" collapsed="false">
      <c r="A2" s="2" t="s">
        <v>217</v>
      </c>
    </row>
    <row r="3" customFormat="false" ht="30" hidden="false" customHeight="true" outlineLevel="0" collapsed="false">
      <c r="A3" s="31" t="s">
        <v>128</v>
      </c>
      <c r="B3" s="31" t="s">
        <v>218</v>
      </c>
      <c r="C3" s="31" t="s">
        <v>219</v>
      </c>
      <c r="D3" s="31" t="s">
        <v>220</v>
      </c>
      <c r="E3" s="31" t="s">
        <v>221</v>
      </c>
      <c r="F3" s="31" t="s">
        <v>222</v>
      </c>
      <c r="G3" s="31" t="s">
        <v>223</v>
      </c>
      <c r="H3" s="31" t="s">
        <v>224</v>
      </c>
      <c r="I3" s="31" t="s">
        <v>225</v>
      </c>
      <c r="J3" s="31" t="s">
        <v>226</v>
      </c>
      <c r="K3" s="31" t="s">
        <v>227</v>
      </c>
      <c r="L3" s="31" t="s">
        <v>228</v>
      </c>
      <c r="M3" s="31" t="s">
        <v>229</v>
      </c>
      <c r="N3" s="31" t="s">
        <v>230</v>
      </c>
      <c r="O3" s="31" t="s">
        <v>231</v>
      </c>
      <c r="P3" s="31" t="s">
        <v>232</v>
      </c>
      <c r="Q3" s="31" t="s">
        <v>199</v>
      </c>
      <c r="S3" s="31" t="s">
        <v>233</v>
      </c>
      <c r="T3" s="31" t="s">
        <v>234</v>
      </c>
      <c r="U3" s="31" t="s">
        <v>235</v>
      </c>
      <c r="V3" s="31" t="s">
        <v>236</v>
      </c>
      <c r="W3" s="31" t="s">
        <v>237</v>
      </c>
    </row>
    <row r="4" customFormat="false" ht="15" hidden="false" customHeight="false" outlineLevel="0" collapsed="false">
      <c r="A4" s="36" t="s">
        <v>142</v>
      </c>
      <c r="B4" s="36" t="s">
        <v>200</v>
      </c>
      <c r="C4" s="36" t="s">
        <v>213</v>
      </c>
      <c r="D4" s="36" t="s">
        <v>238</v>
      </c>
      <c r="E4" s="36" t="s">
        <v>239</v>
      </c>
      <c r="F4" s="36" t="s">
        <v>240</v>
      </c>
      <c r="G4" s="36" t="s">
        <v>214</v>
      </c>
      <c r="H4" s="36" t="s">
        <v>241</v>
      </c>
      <c r="I4" s="36" t="s">
        <v>242</v>
      </c>
      <c r="J4" s="36" t="s">
        <v>243</v>
      </c>
      <c r="K4" s="43" t="n">
        <f aca="false">IF($L4="","",$L4-Cfg_ReviewDays)</f>
        <v>46338</v>
      </c>
      <c r="L4" s="43" t="n">
        <f aca="false">IF($A4="","",IFERROR(Ctrl_PlannedStart-INDEX(Cfg_LeadDays,MATCH($A4,Cfg_LeadType,0)),""))</f>
        <v>46359</v>
      </c>
      <c r="M4" s="38"/>
      <c r="N4" s="38"/>
      <c r="O4" s="44" t="n">
        <f aca="true">IF($A4="","",IF($N4&lt;&gt;"",MAX(0,$N4-$L4),IF(AND($L4&lt;&gt;"",TODAY()&gt;$L4),TODAY()-$L4,0)))</f>
        <v>0</v>
      </c>
      <c r="P4" s="36" t="s">
        <v>244</v>
      </c>
      <c r="Q4" s="36" t="s">
        <v>203</v>
      </c>
      <c r="S4" s="40" t="n">
        <f aca="false">IF($A4="","",IFERROR(INDEX(Cfg_WfApproved,MATCH($I4,Cfg_WfList,0)),0))</f>
        <v>0</v>
      </c>
      <c r="T4" s="39" t="n">
        <f aca="false">IF($A4="","",IFERROR(INDEX(Cfg_WfPct,MATCH($I4,Cfg_WfList,0)),0))</f>
        <v>0.55</v>
      </c>
      <c r="U4" s="44" t="n">
        <f aca="true">IF(OR($A4="",$L4=""),"",$L4-TODAY())</f>
        <v>105</v>
      </c>
      <c r="V4" s="42" t="str">
        <f aca="true">IF($A4="","",IF($S4=1,"Approved",IF(AND($L4&lt;&gt;"",TODAY()&gt;$L4),"Overdue",IF(AND($L4&lt;&gt;"",$L4-TODAY()&lt;=Cfg_DocWindow),"Due Soon",IF($I4="Not Started","Not Started","On Track")))))</f>
        <v>On Track</v>
      </c>
      <c r="W4" s="42" t="str">
        <f aca="false">IF($A4="","",IF(AND($S4=0,$O4&gt;0),$O4+ROW()/1000000,""))</f>
        <v/>
      </c>
    </row>
    <row r="5" customFormat="false" ht="15" hidden="false" customHeight="false" outlineLevel="0" collapsed="false">
      <c r="A5" s="41"/>
      <c r="B5" s="41"/>
      <c r="C5" s="41"/>
      <c r="D5" s="41"/>
      <c r="E5" s="41"/>
      <c r="F5" s="41"/>
      <c r="G5" s="41"/>
      <c r="H5" s="41"/>
      <c r="I5" s="41"/>
      <c r="J5" s="41"/>
      <c r="K5" s="43" t="str">
        <f aca="false">IF($L5="","",$L5-Cfg_ReviewDays)</f>
        <v/>
      </c>
      <c r="L5" s="43" t="str">
        <f aca="false">IF($A5="","",IFERROR(Ctrl_PlannedStart-INDEX(Cfg_LeadDays,MATCH($A5,Cfg_LeadType,0)),""))</f>
        <v/>
      </c>
      <c r="M5" s="38"/>
      <c r="N5" s="38"/>
      <c r="O5" s="44" t="str">
        <f aca="true">IF($A5="","",IF($N5&lt;&gt;"",MAX(0,$N5-$L5),IF(AND($L5&lt;&gt;"",TODAY()&gt;$L5),TODAY()-$L5,0)))</f>
        <v/>
      </c>
      <c r="P5" s="41"/>
      <c r="Q5" s="41"/>
      <c r="S5" s="40" t="str">
        <f aca="false">IF($A5="","",IFERROR(INDEX(Cfg_WfApproved,MATCH($I5,Cfg_WfList,0)),0))</f>
        <v/>
      </c>
      <c r="T5" s="39" t="str">
        <f aca="false">IF($A5="","",IFERROR(INDEX(Cfg_WfPct,MATCH($I5,Cfg_WfList,0)),0))</f>
        <v/>
      </c>
      <c r="U5" s="44" t="str">
        <f aca="true">IF(OR($A5="",$L5=""),"",$L5-TODAY())</f>
        <v/>
      </c>
      <c r="V5" s="42" t="str">
        <f aca="true">IF($A5="","",IF($S5=1,"Approved",IF(AND($L5&lt;&gt;"",TODAY()&gt;$L5),"Overdue",IF(AND($L5&lt;&gt;"",$L5-TODAY()&lt;=Cfg_DocWindow),"Due Soon",IF($I5="Not Started","Not Started","On Track")))))</f>
        <v/>
      </c>
      <c r="W5" s="42" t="str">
        <f aca="false">IF($A5="","",IF(AND($S5=0,$O5&gt;0),$O5+ROW()/1000000,""))</f>
        <v/>
      </c>
    </row>
    <row r="6" customFormat="false" ht="15" hidden="false" customHeight="false" outlineLevel="0" collapsed="false">
      <c r="A6" s="41"/>
      <c r="B6" s="41"/>
      <c r="C6" s="41"/>
      <c r="D6" s="41"/>
      <c r="E6" s="41"/>
      <c r="F6" s="41"/>
      <c r="G6" s="41"/>
      <c r="H6" s="41"/>
      <c r="I6" s="41"/>
      <c r="J6" s="41"/>
      <c r="K6" s="43" t="str">
        <f aca="false">IF($L6="","",$L6-Cfg_ReviewDays)</f>
        <v/>
      </c>
      <c r="L6" s="43" t="str">
        <f aca="false">IF($A6="","",IFERROR(Ctrl_PlannedStart-INDEX(Cfg_LeadDays,MATCH($A6,Cfg_LeadType,0)),""))</f>
        <v/>
      </c>
      <c r="M6" s="38"/>
      <c r="N6" s="38"/>
      <c r="O6" s="44" t="str">
        <f aca="true">IF($A6="","",IF($N6&lt;&gt;"",MAX(0,$N6-$L6),IF(AND($L6&lt;&gt;"",TODAY()&gt;$L6),TODAY()-$L6,0)))</f>
        <v/>
      </c>
      <c r="P6" s="41"/>
      <c r="Q6" s="41"/>
      <c r="S6" s="40" t="str">
        <f aca="false">IF($A6="","",IFERROR(INDEX(Cfg_WfApproved,MATCH($I6,Cfg_WfList,0)),0))</f>
        <v/>
      </c>
      <c r="T6" s="39" t="str">
        <f aca="false">IF($A6="","",IFERROR(INDEX(Cfg_WfPct,MATCH($I6,Cfg_WfList,0)),0))</f>
        <v/>
      </c>
      <c r="U6" s="44" t="str">
        <f aca="true">IF(OR($A6="",$L6=""),"",$L6-TODAY())</f>
        <v/>
      </c>
      <c r="V6" s="42" t="str">
        <f aca="true">IF($A6="","",IF($S6=1,"Approved",IF(AND($L6&lt;&gt;"",TODAY()&gt;$L6),"Overdue",IF(AND($L6&lt;&gt;"",$L6-TODAY()&lt;=Cfg_DocWindow),"Due Soon",IF($I6="Not Started","Not Started","On Track")))))</f>
        <v/>
      </c>
      <c r="W6" s="42" t="str">
        <f aca="false">IF($A6="","",IF(AND($S6=0,$O6&gt;0),$O6+ROW()/1000000,""))</f>
        <v/>
      </c>
    </row>
    <row r="7" customFormat="false" ht="15" hidden="false" customHeight="false" outlineLevel="0" collapsed="false">
      <c r="A7" s="41"/>
      <c r="B7" s="41"/>
      <c r="C7" s="41"/>
      <c r="D7" s="41"/>
      <c r="E7" s="41"/>
      <c r="F7" s="41"/>
      <c r="G7" s="41"/>
      <c r="H7" s="41"/>
      <c r="I7" s="41"/>
      <c r="J7" s="41"/>
      <c r="K7" s="43" t="str">
        <f aca="false">IF($L7="","",$L7-Cfg_ReviewDays)</f>
        <v/>
      </c>
      <c r="L7" s="43" t="str">
        <f aca="false">IF($A7="","",IFERROR(Ctrl_PlannedStart-INDEX(Cfg_LeadDays,MATCH($A7,Cfg_LeadType,0)),""))</f>
        <v/>
      </c>
      <c r="M7" s="38"/>
      <c r="N7" s="38"/>
      <c r="O7" s="44" t="str">
        <f aca="true">IF($A7="","",IF($N7&lt;&gt;"",MAX(0,$N7-$L7),IF(AND($L7&lt;&gt;"",TODAY()&gt;$L7),TODAY()-$L7,0)))</f>
        <v/>
      </c>
      <c r="P7" s="41"/>
      <c r="Q7" s="41"/>
      <c r="S7" s="40" t="str">
        <f aca="false">IF($A7="","",IFERROR(INDEX(Cfg_WfApproved,MATCH($I7,Cfg_WfList,0)),0))</f>
        <v/>
      </c>
      <c r="T7" s="39" t="str">
        <f aca="false">IF($A7="","",IFERROR(INDEX(Cfg_WfPct,MATCH($I7,Cfg_WfList,0)),0))</f>
        <v/>
      </c>
      <c r="U7" s="44" t="str">
        <f aca="true">IF(OR($A7="",$L7=""),"",$L7-TODAY())</f>
        <v/>
      </c>
      <c r="V7" s="42" t="str">
        <f aca="true">IF($A7="","",IF($S7=1,"Approved",IF(AND($L7&lt;&gt;"",TODAY()&gt;$L7),"Overdue",IF(AND($L7&lt;&gt;"",$L7-TODAY()&lt;=Cfg_DocWindow),"Due Soon",IF($I7="Not Started","Not Started","On Track")))))</f>
        <v/>
      </c>
      <c r="W7" s="42" t="str">
        <f aca="false">IF($A7="","",IF(AND($S7=0,$O7&gt;0),$O7+ROW()/1000000,""))</f>
        <v/>
      </c>
    </row>
    <row r="8" customFormat="false" ht="15" hidden="false" customHeight="false" outlineLevel="0" collapsed="false">
      <c r="A8" s="41"/>
      <c r="B8" s="41"/>
      <c r="C8" s="41"/>
      <c r="D8" s="41"/>
      <c r="E8" s="41"/>
      <c r="F8" s="41"/>
      <c r="G8" s="41"/>
      <c r="H8" s="41"/>
      <c r="I8" s="41"/>
      <c r="J8" s="41"/>
      <c r="K8" s="43" t="str">
        <f aca="false">IF($L8="","",$L8-Cfg_ReviewDays)</f>
        <v/>
      </c>
      <c r="L8" s="43" t="str">
        <f aca="false">IF($A8="","",IFERROR(Ctrl_PlannedStart-INDEX(Cfg_LeadDays,MATCH($A8,Cfg_LeadType,0)),""))</f>
        <v/>
      </c>
      <c r="M8" s="38"/>
      <c r="N8" s="38"/>
      <c r="O8" s="44" t="str">
        <f aca="true">IF($A8="","",IF($N8&lt;&gt;"",MAX(0,$N8-$L8),IF(AND($L8&lt;&gt;"",TODAY()&gt;$L8),TODAY()-$L8,0)))</f>
        <v/>
      </c>
      <c r="P8" s="41"/>
      <c r="Q8" s="41"/>
      <c r="S8" s="40" t="str">
        <f aca="false">IF($A8="","",IFERROR(INDEX(Cfg_WfApproved,MATCH($I8,Cfg_WfList,0)),0))</f>
        <v/>
      </c>
      <c r="T8" s="39" t="str">
        <f aca="false">IF($A8="","",IFERROR(INDEX(Cfg_WfPct,MATCH($I8,Cfg_WfList,0)),0))</f>
        <v/>
      </c>
      <c r="U8" s="44" t="str">
        <f aca="true">IF(OR($A8="",$L8=""),"",$L8-TODAY())</f>
        <v/>
      </c>
      <c r="V8" s="42" t="str">
        <f aca="true">IF($A8="","",IF($S8=1,"Approved",IF(AND($L8&lt;&gt;"",TODAY()&gt;$L8),"Overdue",IF(AND($L8&lt;&gt;"",$L8-TODAY()&lt;=Cfg_DocWindow),"Due Soon",IF($I8="Not Started","Not Started","On Track")))))</f>
        <v/>
      </c>
      <c r="W8" s="42" t="str">
        <f aca="false">IF($A8="","",IF(AND($S8=0,$O8&gt;0),$O8+ROW()/1000000,""))</f>
        <v/>
      </c>
    </row>
    <row r="9" customFormat="false" ht="15" hidden="false" customHeight="false" outlineLevel="0" collapsed="false">
      <c r="A9" s="41"/>
      <c r="B9" s="41"/>
      <c r="C9" s="41"/>
      <c r="D9" s="41"/>
      <c r="E9" s="41"/>
      <c r="F9" s="41"/>
      <c r="G9" s="41"/>
      <c r="H9" s="41"/>
      <c r="I9" s="41"/>
      <c r="J9" s="41"/>
      <c r="K9" s="43" t="str">
        <f aca="false">IF($L9="","",$L9-Cfg_ReviewDays)</f>
        <v/>
      </c>
      <c r="L9" s="43" t="str">
        <f aca="false">IF($A9="","",IFERROR(Ctrl_PlannedStart-INDEX(Cfg_LeadDays,MATCH($A9,Cfg_LeadType,0)),""))</f>
        <v/>
      </c>
      <c r="M9" s="38"/>
      <c r="N9" s="38"/>
      <c r="O9" s="44" t="str">
        <f aca="true">IF($A9="","",IF($N9&lt;&gt;"",MAX(0,$N9-$L9),IF(AND($L9&lt;&gt;"",TODAY()&gt;$L9),TODAY()-$L9,0)))</f>
        <v/>
      </c>
      <c r="P9" s="41"/>
      <c r="Q9" s="41"/>
      <c r="S9" s="40" t="str">
        <f aca="false">IF($A9="","",IFERROR(INDEX(Cfg_WfApproved,MATCH($I9,Cfg_WfList,0)),0))</f>
        <v/>
      </c>
      <c r="T9" s="39" t="str">
        <f aca="false">IF($A9="","",IFERROR(INDEX(Cfg_WfPct,MATCH($I9,Cfg_WfList,0)),0))</f>
        <v/>
      </c>
      <c r="U9" s="44" t="str">
        <f aca="true">IF(OR($A9="",$L9=""),"",$L9-TODAY())</f>
        <v/>
      </c>
      <c r="V9" s="42" t="str">
        <f aca="true">IF($A9="","",IF($S9=1,"Approved",IF(AND($L9&lt;&gt;"",TODAY()&gt;$L9),"Overdue",IF(AND($L9&lt;&gt;"",$L9-TODAY()&lt;=Cfg_DocWindow),"Due Soon",IF($I9="Not Started","Not Started","On Track")))))</f>
        <v/>
      </c>
      <c r="W9" s="42" t="str">
        <f aca="false">IF($A9="","",IF(AND($S9=0,$O9&gt;0),$O9+ROW()/1000000,""))</f>
        <v/>
      </c>
    </row>
    <row r="10" customFormat="false" ht="15" hidden="false" customHeight="false" outlineLevel="0" collapsed="false">
      <c r="A10" s="41"/>
      <c r="B10" s="41"/>
      <c r="C10" s="41"/>
      <c r="D10" s="41"/>
      <c r="E10" s="41"/>
      <c r="F10" s="41"/>
      <c r="G10" s="41"/>
      <c r="H10" s="41"/>
      <c r="I10" s="41"/>
      <c r="J10" s="41"/>
      <c r="K10" s="43" t="str">
        <f aca="false">IF($L10="","",$L10-Cfg_ReviewDays)</f>
        <v/>
      </c>
      <c r="L10" s="43" t="str">
        <f aca="false">IF($A10="","",IFERROR(Ctrl_PlannedStart-INDEX(Cfg_LeadDays,MATCH($A10,Cfg_LeadType,0)),""))</f>
        <v/>
      </c>
      <c r="M10" s="38"/>
      <c r="N10" s="38"/>
      <c r="O10" s="44" t="str">
        <f aca="true">IF($A10="","",IF($N10&lt;&gt;"",MAX(0,$N10-$L10),IF(AND($L10&lt;&gt;"",TODAY()&gt;$L10),TODAY()-$L10,0)))</f>
        <v/>
      </c>
      <c r="P10" s="41"/>
      <c r="Q10" s="41"/>
      <c r="S10" s="40" t="str">
        <f aca="false">IF($A10="","",IFERROR(INDEX(Cfg_WfApproved,MATCH($I10,Cfg_WfList,0)),0))</f>
        <v/>
      </c>
      <c r="T10" s="39" t="str">
        <f aca="false">IF($A10="","",IFERROR(INDEX(Cfg_WfPct,MATCH($I10,Cfg_WfList,0)),0))</f>
        <v/>
      </c>
      <c r="U10" s="44" t="str">
        <f aca="true">IF(OR($A10="",$L10=""),"",$L10-TODAY())</f>
        <v/>
      </c>
      <c r="V10" s="42" t="str">
        <f aca="true">IF($A10="","",IF($S10=1,"Approved",IF(AND($L10&lt;&gt;"",TODAY()&gt;$L10),"Overdue",IF(AND($L10&lt;&gt;"",$L10-TODAY()&lt;=Cfg_DocWindow),"Due Soon",IF($I10="Not Started","Not Started","On Track")))))</f>
        <v/>
      </c>
      <c r="W10" s="42" t="str">
        <f aca="false">IF($A10="","",IF(AND($S10=0,$O10&gt;0),$O10+ROW()/1000000,""))</f>
        <v/>
      </c>
    </row>
    <row r="11" customFormat="false" ht="15" hidden="false" customHeight="false" outlineLevel="0" collapsed="false">
      <c r="A11" s="41"/>
      <c r="B11" s="41"/>
      <c r="C11" s="41"/>
      <c r="D11" s="41"/>
      <c r="E11" s="41"/>
      <c r="F11" s="41"/>
      <c r="G11" s="41"/>
      <c r="H11" s="41"/>
      <c r="I11" s="41"/>
      <c r="J11" s="41"/>
      <c r="K11" s="43" t="str">
        <f aca="false">IF($L11="","",$L11-Cfg_ReviewDays)</f>
        <v/>
      </c>
      <c r="L11" s="43" t="str">
        <f aca="false">IF($A11="","",IFERROR(Ctrl_PlannedStart-INDEX(Cfg_LeadDays,MATCH($A11,Cfg_LeadType,0)),""))</f>
        <v/>
      </c>
      <c r="M11" s="38"/>
      <c r="N11" s="38"/>
      <c r="O11" s="44" t="str">
        <f aca="true">IF($A11="","",IF($N11&lt;&gt;"",MAX(0,$N11-$L11),IF(AND($L11&lt;&gt;"",TODAY()&gt;$L11),TODAY()-$L11,0)))</f>
        <v/>
      </c>
      <c r="P11" s="41"/>
      <c r="Q11" s="41"/>
      <c r="S11" s="40" t="str">
        <f aca="false">IF($A11="","",IFERROR(INDEX(Cfg_WfApproved,MATCH($I11,Cfg_WfList,0)),0))</f>
        <v/>
      </c>
      <c r="T11" s="39" t="str">
        <f aca="false">IF($A11="","",IFERROR(INDEX(Cfg_WfPct,MATCH($I11,Cfg_WfList,0)),0))</f>
        <v/>
      </c>
      <c r="U11" s="44" t="str">
        <f aca="true">IF(OR($A11="",$L11=""),"",$L11-TODAY())</f>
        <v/>
      </c>
      <c r="V11" s="42" t="str">
        <f aca="true">IF($A11="","",IF($S11=1,"Approved",IF(AND($L11&lt;&gt;"",TODAY()&gt;$L11),"Overdue",IF(AND($L11&lt;&gt;"",$L11-TODAY()&lt;=Cfg_DocWindow),"Due Soon",IF($I11="Not Started","Not Started","On Track")))))</f>
        <v/>
      </c>
      <c r="W11" s="42" t="str">
        <f aca="false">IF($A11="","",IF(AND($S11=0,$O11&gt;0),$O11+ROW()/1000000,""))</f>
        <v/>
      </c>
    </row>
    <row r="12" customFormat="false" ht="15" hidden="false" customHeight="false" outlineLevel="0" collapsed="false">
      <c r="A12" s="41"/>
      <c r="B12" s="41"/>
      <c r="C12" s="41"/>
      <c r="D12" s="41"/>
      <c r="E12" s="41"/>
      <c r="F12" s="41"/>
      <c r="G12" s="41"/>
      <c r="H12" s="41"/>
      <c r="I12" s="41"/>
      <c r="J12" s="41"/>
      <c r="K12" s="43" t="str">
        <f aca="false">IF($L12="","",$L12-Cfg_ReviewDays)</f>
        <v/>
      </c>
      <c r="L12" s="43" t="str">
        <f aca="false">IF($A12="","",IFERROR(Ctrl_PlannedStart-INDEX(Cfg_LeadDays,MATCH($A12,Cfg_LeadType,0)),""))</f>
        <v/>
      </c>
      <c r="M12" s="38"/>
      <c r="N12" s="38"/>
      <c r="O12" s="44" t="str">
        <f aca="true">IF($A12="","",IF($N12&lt;&gt;"",MAX(0,$N12-$L12),IF(AND($L12&lt;&gt;"",TODAY()&gt;$L12),TODAY()-$L12,0)))</f>
        <v/>
      </c>
      <c r="P12" s="41"/>
      <c r="Q12" s="41"/>
      <c r="S12" s="40" t="str">
        <f aca="false">IF($A12="","",IFERROR(INDEX(Cfg_WfApproved,MATCH($I12,Cfg_WfList,0)),0))</f>
        <v/>
      </c>
      <c r="T12" s="39" t="str">
        <f aca="false">IF($A12="","",IFERROR(INDEX(Cfg_WfPct,MATCH($I12,Cfg_WfList,0)),0))</f>
        <v/>
      </c>
      <c r="U12" s="44" t="str">
        <f aca="true">IF(OR($A12="",$L12=""),"",$L12-TODAY())</f>
        <v/>
      </c>
      <c r="V12" s="42" t="str">
        <f aca="true">IF($A12="","",IF($S12=1,"Approved",IF(AND($L12&lt;&gt;"",TODAY()&gt;$L12),"Overdue",IF(AND($L12&lt;&gt;"",$L12-TODAY()&lt;=Cfg_DocWindow),"Due Soon",IF($I12="Not Started","Not Started","On Track")))))</f>
        <v/>
      </c>
      <c r="W12" s="42" t="str">
        <f aca="false">IF($A12="","",IF(AND($S12=0,$O12&gt;0),$O12+ROW()/1000000,""))</f>
        <v/>
      </c>
    </row>
    <row r="13" customFormat="false" ht="15" hidden="false" customHeight="false" outlineLevel="0" collapsed="false">
      <c r="A13" s="41"/>
      <c r="B13" s="41"/>
      <c r="C13" s="41"/>
      <c r="D13" s="41"/>
      <c r="E13" s="41"/>
      <c r="F13" s="41"/>
      <c r="G13" s="41"/>
      <c r="H13" s="41"/>
      <c r="I13" s="41"/>
      <c r="J13" s="41"/>
      <c r="K13" s="43" t="str">
        <f aca="false">IF($L13="","",$L13-Cfg_ReviewDays)</f>
        <v/>
      </c>
      <c r="L13" s="43" t="str">
        <f aca="false">IF($A13="","",IFERROR(Ctrl_PlannedStart-INDEX(Cfg_LeadDays,MATCH($A13,Cfg_LeadType,0)),""))</f>
        <v/>
      </c>
      <c r="M13" s="38"/>
      <c r="N13" s="38"/>
      <c r="O13" s="44" t="str">
        <f aca="true">IF($A13="","",IF($N13&lt;&gt;"",MAX(0,$N13-$L13),IF(AND($L13&lt;&gt;"",TODAY()&gt;$L13),TODAY()-$L13,0)))</f>
        <v/>
      </c>
      <c r="P13" s="41"/>
      <c r="Q13" s="41"/>
      <c r="S13" s="40" t="str">
        <f aca="false">IF($A13="","",IFERROR(INDEX(Cfg_WfApproved,MATCH($I13,Cfg_WfList,0)),0))</f>
        <v/>
      </c>
      <c r="T13" s="39" t="str">
        <f aca="false">IF($A13="","",IFERROR(INDEX(Cfg_WfPct,MATCH($I13,Cfg_WfList,0)),0))</f>
        <v/>
      </c>
      <c r="U13" s="44" t="str">
        <f aca="true">IF(OR($A13="",$L13=""),"",$L13-TODAY())</f>
        <v/>
      </c>
      <c r="V13" s="42" t="str">
        <f aca="true">IF($A13="","",IF($S13=1,"Approved",IF(AND($L13&lt;&gt;"",TODAY()&gt;$L13),"Overdue",IF(AND($L13&lt;&gt;"",$L13-TODAY()&lt;=Cfg_DocWindow),"Due Soon",IF($I13="Not Started","Not Started","On Track")))))</f>
        <v/>
      </c>
      <c r="W13" s="42" t="str">
        <f aca="false">IF($A13="","",IF(AND($S13=0,$O13&gt;0),$O13+ROW()/1000000,""))</f>
        <v/>
      </c>
    </row>
    <row r="14" customFormat="false" ht="15" hidden="false" customHeight="false" outlineLevel="0" collapsed="false">
      <c r="A14" s="41"/>
      <c r="B14" s="41"/>
      <c r="C14" s="41"/>
      <c r="D14" s="41"/>
      <c r="E14" s="41"/>
      <c r="F14" s="41"/>
      <c r="G14" s="41"/>
      <c r="H14" s="41"/>
      <c r="I14" s="41"/>
      <c r="J14" s="41"/>
      <c r="K14" s="43" t="str">
        <f aca="false">IF($L14="","",$L14-Cfg_ReviewDays)</f>
        <v/>
      </c>
      <c r="L14" s="43" t="str">
        <f aca="false">IF($A14="","",IFERROR(Ctrl_PlannedStart-INDEX(Cfg_LeadDays,MATCH($A14,Cfg_LeadType,0)),""))</f>
        <v/>
      </c>
      <c r="M14" s="38"/>
      <c r="N14" s="38"/>
      <c r="O14" s="44" t="str">
        <f aca="true">IF($A14="","",IF($N14&lt;&gt;"",MAX(0,$N14-$L14),IF(AND($L14&lt;&gt;"",TODAY()&gt;$L14),TODAY()-$L14,0)))</f>
        <v/>
      </c>
      <c r="P14" s="41"/>
      <c r="Q14" s="41"/>
      <c r="S14" s="40" t="str">
        <f aca="false">IF($A14="","",IFERROR(INDEX(Cfg_WfApproved,MATCH($I14,Cfg_WfList,0)),0))</f>
        <v/>
      </c>
      <c r="T14" s="39" t="str">
        <f aca="false">IF($A14="","",IFERROR(INDEX(Cfg_WfPct,MATCH($I14,Cfg_WfList,0)),0))</f>
        <v/>
      </c>
      <c r="U14" s="44" t="str">
        <f aca="true">IF(OR($A14="",$L14=""),"",$L14-TODAY())</f>
        <v/>
      </c>
      <c r="V14" s="42" t="str">
        <f aca="true">IF($A14="","",IF($S14=1,"Approved",IF(AND($L14&lt;&gt;"",TODAY()&gt;$L14),"Overdue",IF(AND($L14&lt;&gt;"",$L14-TODAY()&lt;=Cfg_DocWindow),"Due Soon",IF($I14="Not Started","Not Started","On Track")))))</f>
        <v/>
      </c>
      <c r="W14" s="42" t="str">
        <f aca="false">IF($A14="","",IF(AND($S14=0,$O14&gt;0),$O14+ROW()/1000000,""))</f>
        <v/>
      </c>
    </row>
    <row r="15" customFormat="false" ht="15" hidden="false" customHeight="false" outlineLevel="0" collapsed="false">
      <c r="A15" s="41"/>
      <c r="B15" s="41"/>
      <c r="C15" s="41"/>
      <c r="D15" s="41"/>
      <c r="E15" s="41"/>
      <c r="F15" s="41"/>
      <c r="G15" s="41"/>
      <c r="H15" s="41"/>
      <c r="I15" s="41"/>
      <c r="J15" s="41"/>
      <c r="K15" s="43" t="str">
        <f aca="false">IF($L15="","",$L15-Cfg_ReviewDays)</f>
        <v/>
      </c>
      <c r="L15" s="43" t="str">
        <f aca="false">IF($A15="","",IFERROR(Ctrl_PlannedStart-INDEX(Cfg_LeadDays,MATCH($A15,Cfg_LeadType,0)),""))</f>
        <v/>
      </c>
      <c r="M15" s="38"/>
      <c r="N15" s="38"/>
      <c r="O15" s="44" t="str">
        <f aca="true">IF($A15="","",IF($N15&lt;&gt;"",MAX(0,$N15-$L15),IF(AND($L15&lt;&gt;"",TODAY()&gt;$L15),TODAY()-$L15,0)))</f>
        <v/>
      </c>
      <c r="P15" s="41"/>
      <c r="Q15" s="41"/>
      <c r="S15" s="40" t="str">
        <f aca="false">IF($A15="","",IFERROR(INDEX(Cfg_WfApproved,MATCH($I15,Cfg_WfList,0)),0))</f>
        <v/>
      </c>
      <c r="T15" s="39" t="str">
        <f aca="false">IF($A15="","",IFERROR(INDEX(Cfg_WfPct,MATCH($I15,Cfg_WfList,0)),0))</f>
        <v/>
      </c>
      <c r="U15" s="44" t="str">
        <f aca="true">IF(OR($A15="",$L15=""),"",$L15-TODAY())</f>
        <v/>
      </c>
      <c r="V15" s="42" t="str">
        <f aca="true">IF($A15="","",IF($S15=1,"Approved",IF(AND($L15&lt;&gt;"",TODAY()&gt;$L15),"Overdue",IF(AND($L15&lt;&gt;"",$L15-TODAY()&lt;=Cfg_DocWindow),"Due Soon",IF($I15="Not Started","Not Started","On Track")))))</f>
        <v/>
      </c>
      <c r="W15" s="42" t="str">
        <f aca="false">IF($A15="","",IF(AND($S15=0,$O15&gt;0),$O15+ROW()/1000000,""))</f>
        <v/>
      </c>
    </row>
    <row r="16" customFormat="false" ht="15" hidden="false" customHeight="false" outlineLevel="0" collapsed="false">
      <c r="A16" s="41"/>
      <c r="B16" s="41"/>
      <c r="C16" s="41"/>
      <c r="D16" s="41"/>
      <c r="E16" s="41"/>
      <c r="F16" s="41"/>
      <c r="G16" s="41"/>
      <c r="H16" s="41"/>
      <c r="I16" s="41"/>
      <c r="J16" s="41"/>
      <c r="K16" s="43" t="str">
        <f aca="false">IF($L16="","",$L16-Cfg_ReviewDays)</f>
        <v/>
      </c>
      <c r="L16" s="43" t="str">
        <f aca="false">IF($A16="","",IFERROR(Ctrl_PlannedStart-INDEX(Cfg_LeadDays,MATCH($A16,Cfg_LeadType,0)),""))</f>
        <v/>
      </c>
      <c r="M16" s="38"/>
      <c r="N16" s="38"/>
      <c r="O16" s="44" t="str">
        <f aca="true">IF($A16="","",IF($N16&lt;&gt;"",MAX(0,$N16-$L16),IF(AND($L16&lt;&gt;"",TODAY()&gt;$L16),TODAY()-$L16,0)))</f>
        <v/>
      </c>
      <c r="P16" s="41"/>
      <c r="Q16" s="41"/>
      <c r="S16" s="40" t="str">
        <f aca="false">IF($A16="","",IFERROR(INDEX(Cfg_WfApproved,MATCH($I16,Cfg_WfList,0)),0))</f>
        <v/>
      </c>
      <c r="T16" s="39" t="str">
        <f aca="false">IF($A16="","",IFERROR(INDEX(Cfg_WfPct,MATCH($I16,Cfg_WfList,0)),0))</f>
        <v/>
      </c>
      <c r="U16" s="44" t="str">
        <f aca="true">IF(OR($A16="",$L16=""),"",$L16-TODAY())</f>
        <v/>
      </c>
      <c r="V16" s="42" t="str">
        <f aca="true">IF($A16="","",IF($S16=1,"Approved",IF(AND($L16&lt;&gt;"",TODAY()&gt;$L16),"Overdue",IF(AND($L16&lt;&gt;"",$L16-TODAY()&lt;=Cfg_DocWindow),"Due Soon",IF($I16="Not Started","Not Started","On Track")))))</f>
        <v/>
      </c>
      <c r="W16" s="42" t="str">
        <f aca="false">IF($A16="","",IF(AND($S16=0,$O16&gt;0),$O16+ROW()/1000000,""))</f>
        <v/>
      </c>
    </row>
    <row r="17" customFormat="false" ht="15" hidden="false" customHeight="false" outlineLevel="0" collapsed="false">
      <c r="A17" s="41"/>
      <c r="B17" s="41"/>
      <c r="C17" s="41"/>
      <c r="D17" s="41"/>
      <c r="E17" s="41"/>
      <c r="F17" s="41"/>
      <c r="G17" s="41"/>
      <c r="H17" s="41"/>
      <c r="I17" s="41"/>
      <c r="J17" s="41"/>
      <c r="K17" s="43" t="str">
        <f aca="false">IF($L17="","",$L17-Cfg_ReviewDays)</f>
        <v/>
      </c>
      <c r="L17" s="43" t="str">
        <f aca="false">IF($A17="","",IFERROR(Ctrl_PlannedStart-INDEX(Cfg_LeadDays,MATCH($A17,Cfg_LeadType,0)),""))</f>
        <v/>
      </c>
      <c r="M17" s="38"/>
      <c r="N17" s="38"/>
      <c r="O17" s="44" t="str">
        <f aca="true">IF($A17="","",IF($N17&lt;&gt;"",MAX(0,$N17-$L17),IF(AND($L17&lt;&gt;"",TODAY()&gt;$L17),TODAY()-$L17,0)))</f>
        <v/>
      </c>
      <c r="P17" s="41"/>
      <c r="Q17" s="41"/>
      <c r="S17" s="40" t="str">
        <f aca="false">IF($A17="","",IFERROR(INDEX(Cfg_WfApproved,MATCH($I17,Cfg_WfList,0)),0))</f>
        <v/>
      </c>
      <c r="T17" s="39" t="str">
        <f aca="false">IF($A17="","",IFERROR(INDEX(Cfg_WfPct,MATCH($I17,Cfg_WfList,0)),0))</f>
        <v/>
      </c>
      <c r="U17" s="44" t="str">
        <f aca="true">IF(OR($A17="",$L17=""),"",$L17-TODAY())</f>
        <v/>
      </c>
      <c r="V17" s="42" t="str">
        <f aca="true">IF($A17="","",IF($S17=1,"Approved",IF(AND($L17&lt;&gt;"",TODAY()&gt;$L17),"Overdue",IF(AND($L17&lt;&gt;"",$L17-TODAY()&lt;=Cfg_DocWindow),"Due Soon",IF($I17="Not Started","Not Started","On Track")))))</f>
        <v/>
      </c>
      <c r="W17" s="42" t="str">
        <f aca="false">IF($A17="","",IF(AND($S17=0,$O17&gt;0),$O17+ROW()/1000000,""))</f>
        <v/>
      </c>
    </row>
    <row r="18" customFormat="false" ht="15" hidden="false" customHeight="false" outlineLevel="0" collapsed="false">
      <c r="A18" s="41"/>
      <c r="B18" s="41"/>
      <c r="C18" s="41"/>
      <c r="D18" s="41"/>
      <c r="E18" s="41"/>
      <c r="F18" s="41"/>
      <c r="G18" s="41"/>
      <c r="H18" s="41"/>
      <c r="I18" s="41"/>
      <c r="J18" s="41"/>
      <c r="K18" s="43" t="str">
        <f aca="false">IF($L18="","",$L18-Cfg_ReviewDays)</f>
        <v/>
      </c>
      <c r="L18" s="43" t="str">
        <f aca="false">IF($A18="","",IFERROR(Ctrl_PlannedStart-INDEX(Cfg_LeadDays,MATCH($A18,Cfg_LeadType,0)),""))</f>
        <v/>
      </c>
      <c r="M18" s="38"/>
      <c r="N18" s="38"/>
      <c r="O18" s="44" t="str">
        <f aca="true">IF($A18="","",IF($N18&lt;&gt;"",MAX(0,$N18-$L18),IF(AND($L18&lt;&gt;"",TODAY()&gt;$L18),TODAY()-$L18,0)))</f>
        <v/>
      </c>
      <c r="P18" s="41"/>
      <c r="Q18" s="41"/>
      <c r="S18" s="40" t="str">
        <f aca="false">IF($A18="","",IFERROR(INDEX(Cfg_WfApproved,MATCH($I18,Cfg_WfList,0)),0))</f>
        <v/>
      </c>
      <c r="T18" s="39" t="str">
        <f aca="false">IF($A18="","",IFERROR(INDEX(Cfg_WfPct,MATCH($I18,Cfg_WfList,0)),0))</f>
        <v/>
      </c>
      <c r="U18" s="44" t="str">
        <f aca="true">IF(OR($A18="",$L18=""),"",$L18-TODAY())</f>
        <v/>
      </c>
      <c r="V18" s="42" t="str">
        <f aca="true">IF($A18="","",IF($S18=1,"Approved",IF(AND($L18&lt;&gt;"",TODAY()&gt;$L18),"Overdue",IF(AND($L18&lt;&gt;"",$L18-TODAY()&lt;=Cfg_DocWindow),"Due Soon",IF($I18="Not Started","Not Started","On Track")))))</f>
        <v/>
      </c>
      <c r="W18" s="42" t="str">
        <f aca="false">IF($A18="","",IF(AND($S18=0,$O18&gt;0),$O18+ROW()/1000000,""))</f>
        <v/>
      </c>
    </row>
    <row r="19" customFormat="false" ht="15" hidden="false" customHeight="false" outlineLevel="0" collapsed="false">
      <c r="A19" s="41"/>
      <c r="B19" s="41"/>
      <c r="C19" s="41"/>
      <c r="D19" s="41"/>
      <c r="E19" s="41"/>
      <c r="F19" s="41"/>
      <c r="G19" s="41"/>
      <c r="H19" s="41"/>
      <c r="I19" s="41"/>
      <c r="J19" s="41"/>
      <c r="K19" s="43" t="str">
        <f aca="false">IF($L19="","",$L19-Cfg_ReviewDays)</f>
        <v/>
      </c>
      <c r="L19" s="43" t="str">
        <f aca="false">IF($A19="","",IFERROR(Ctrl_PlannedStart-INDEX(Cfg_LeadDays,MATCH($A19,Cfg_LeadType,0)),""))</f>
        <v/>
      </c>
      <c r="M19" s="38"/>
      <c r="N19" s="38"/>
      <c r="O19" s="44" t="str">
        <f aca="true">IF($A19="","",IF($N19&lt;&gt;"",MAX(0,$N19-$L19),IF(AND($L19&lt;&gt;"",TODAY()&gt;$L19),TODAY()-$L19,0)))</f>
        <v/>
      </c>
      <c r="P19" s="41"/>
      <c r="Q19" s="41"/>
      <c r="S19" s="40" t="str">
        <f aca="false">IF($A19="","",IFERROR(INDEX(Cfg_WfApproved,MATCH($I19,Cfg_WfList,0)),0))</f>
        <v/>
      </c>
      <c r="T19" s="39" t="str">
        <f aca="false">IF($A19="","",IFERROR(INDEX(Cfg_WfPct,MATCH($I19,Cfg_WfList,0)),0))</f>
        <v/>
      </c>
      <c r="U19" s="44" t="str">
        <f aca="true">IF(OR($A19="",$L19=""),"",$L19-TODAY())</f>
        <v/>
      </c>
      <c r="V19" s="42" t="str">
        <f aca="true">IF($A19="","",IF($S19=1,"Approved",IF(AND($L19&lt;&gt;"",TODAY()&gt;$L19),"Overdue",IF(AND($L19&lt;&gt;"",$L19-TODAY()&lt;=Cfg_DocWindow),"Due Soon",IF($I19="Not Started","Not Started","On Track")))))</f>
        <v/>
      </c>
      <c r="W19" s="42" t="str">
        <f aca="false">IF($A19="","",IF(AND($S19=0,$O19&gt;0),$O19+ROW()/1000000,""))</f>
        <v/>
      </c>
    </row>
    <row r="20" customFormat="false" ht="15" hidden="false" customHeight="false" outlineLevel="0" collapsed="false">
      <c r="A20" s="41"/>
      <c r="B20" s="41"/>
      <c r="C20" s="41"/>
      <c r="D20" s="41"/>
      <c r="E20" s="41"/>
      <c r="F20" s="41"/>
      <c r="G20" s="41"/>
      <c r="H20" s="41"/>
      <c r="I20" s="41"/>
      <c r="J20" s="41"/>
      <c r="K20" s="43" t="str">
        <f aca="false">IF($L20="","",$L20-Cfg_ReviewDays)</f>
        <v/>
      </c>
      <c r="L20" s="43" t="str">
        <f aca="false">IF($A20="","",IFERROR(Ctrl_PlannedStart-INDEX(Cfg_LeadDays,MATCH($A20,Cfg_LeadType,0)),""))</f>
        <v/>
      </c>
      <c r="M20" s="38"/>
      <c r="N20" s="38"/>
      <c r="O20" s="44" t="str">
        <f aca="true">IF($A20="","",IF($N20&lt;&gt;"",MAX(0,$N20-$L20),IF(AND($L20&lt;&gt;"",TODAY()&gt;$L20),TODAY()-$L20,0)))</f>
        <v/>
      </c>
      <c r="P20" s="41"/>
      <c r="Q20" s="41"/>
      <c r="S20" s="40" t="str">
        <f aca="false">IF($A20="","",IFERROR(INDEX(Cfg_WfApproved,MATCH($I20,Cfg_WfList,0)),0))</f>
        <v/>
      </c>
      <c r="T20" s="39" t="str">
        <f aca="false">IF($A20="","",IFERROR(INDEX(Cfg_WfPct,MATCH($I20,Cfg_WfList,0)),0))</f>
        <v/>
      </c>
      <c r="U20" s="44" t="str">
        <f aca="true">IF(OR($A20="",$L20=""),"",$L20-TODAY())</f>
        <v/>
      </c>
      <c r="V20" s="42" t="str">
        <f aca="true">IF($A20="","",IF($S20=1,"Approved",IF(AND($L20&lt;&gt;"",TODAY()&gt;$L20),"Overdue",IF(AND($L20&lt;&gt;"",$L20-TODAY()&lt;=Cfg_DocWindow),"Due Soon",IF($I20="Not Started","Not Started","On Track")))))</f>
        <v/>
      </c>
      <c r="W20" s="42" t="str">
        <f aca="false">IF($A20="","",IF(AND($S20=0,$O20&gt;0),$O20+ROW()/1000000,""))</f>
        <v/>
      </c>
    </row>
    <row r="21" customFormat="false" ht="15" hidden="false" customHeight="false" outlineLevel="0" collapsed="false">
      <c r="A21" s="41"/>
      <c r="B21" s="41"/>
      <c r="C21" s="41"/>
      <c r="D21" s="41"/>
      <c r="E21" s="41"/>
      <c r="F21" s="41"/>
      <c r="G21" s="41"/>
      <c r="H21" s="41"/>
      <c r="I21" s="41"/>
      <c r="J21" s="41"/>
      <c r="K21" s="43" t="str">
        <f aca="false">IF($L21="","",$L21-Cfg_ReviewDays)</f>
        <v/>
      </c>
      <c r="L21" s="43" t="str">
        <f aca="false">IF($A21="","",IFERROR(Ctrl_PlannedStart-INDEX(Cfg_LeadDays,MATCH($A21,Cfg_LeadType,0)),""))</f>
        <v/>
      </c>
      <c r="M21" s="38"/>
      <c r="N21" s="38"/>
      <c r="O21" s="44" t="str">
        <f aca="true">IF($A21="","",IF($N21&lt;&gt;"",MAX(0,$N21-$L21),IF(AND($L21&lt;&gt;"",TODAY()&gt;$L21),TODAY()-$L21,0)))</f>
        <v/>
      </c>
      <c r="P21" s="41"/>
      <c r="Q21" s="41"/>
      <c r="S21" s="40" t="str">
        <f aca="false">IF($A21="","",IFERROR(INDEX(Cfg_WfApproved,MATCH($I21,Cfg_WfList,0)),0))</f>
        <v/>
      </c>
      <c r="T21" s="39" t="str">
        <f aca="false">IF($A21="","",IFERROR(INDEX(Cfg_WfPct,MATCH($I21,Cfg_WfList,0)),0))</f>
        <v/>
      </c>
      <c r="U21" s="44" t="str">
        <f aca="true">IF(OR($A21="",$L21=""),"",$L21-TODAY())</f>
        <v/>
      </c>
      <c r="V21" s="42" t="str">
        <f aca="true">IF($A21="","",IF($S21=1,"Approved",IF(AND($L21&lt;&gt;"",TODAY()&gt;$L21),"Overdue",IF(AND($L21&lt;&gt;"",$L21-TODAY()&lt;=Cfg_DocWindow),"Due Soon",IF($I21="Not Started","Not Started","On Track")))))</f>
        <v/>
      </c>
      <c r="W21" s="42" t="str">
        <f aca="false">IF($A21="","",IF(AND($S21=0,$O21&gt;0),$O21+ROW()/1000000,""))</f>
        <v/>
      </c>
    </row>
    <row r="22" customFormat="false" ht="15" hidden="false" customHeight="false" outlineLevel="0" collapsed="false">
      <c r="A22" s="41"/>
      <c r="B22" s="41"/>
      <c r="C22" s="41"/>
      <c r="D22" s="41"/>
      <c r="E22" s="41"/>
      <c r="F22" s="41"/>
      <c r="G22" s="41"/>
      <c r="H22" s="41"/>
      <c r="I22" s="41"/>
      <c r="J22" s="41"/>
      <c r="K22" s="43" t="str">
        <f aca="false">IF($L22="","",$L22-Cfg_ReviewDays)</f>
        <v/>
      </c>
      <c r="L22" s="43" t="str">
        <f aca="false">IF($A22="","",IFERROR(Ctrl_PlannedStart-INDEX(Cfg_LeadDays,MATCH($A22,Cfg_LeadType,0)),""))</f>
        <v/>
      </c>
      <c r="M22" s="38"/>
      <c r="N22" s="38"/>
      <c r="O22" s="44" t="str">
        <f aca="true">IF($A22="","",IF($N22&lt;&gt;"",MAX(0,$N22-$L22),IF(AND($L22&lt;&gt;"",TODAY()&gt;$L22),TODAY()-$L22,0)))</f>
        <v/>
      </c>
      <c r="P22" s="41"/>
      <c r="Q22" s="41"/>
      <c r="S22" s="40" t="str">
        <f aca="false">IF($A22="","",IFERROR(INDEX(Cfg_WfApproved,MATCH($I22,Cfg_WfList,0)),0))</f>
        <v/>
      </c>
      <c r="T22" s="39" t="str">
        <f aca="false">IF($A22="","",IFERROR(INDEX(Cfg_WfPct,MATCH($I22,Cfg_WfList,0)),0))</f>
        <v/>
      </c>
      <c r="U22" s="44" t="str">
        <f aca="true">IF(OR($A22="",$L22=""),"",$L22-TODAY())</f>
        <v/>
      </c>
      <c r="V22" s="42" t="str">
        <f aca="true">IF($A22="","",IF($S22=1,"Approved",IF(AND($L22&lt;&gt;"",TODAY()&gt;$L22),"Overdue",IF(AND($L22&lt;&gt;"",$L22-TODAY()&lt;=Cfg_DocWindow),"Due Soon",IF($I22="Not Started","Not Started","On Track")))))</f>
        <v/>
      </c>
      <c r="W22" s="42" t="str">
        <f aca="false">IF($A22="","",IF(AND($S22=0,$O22&gt;0),$O22+ROW()/1000000,""))</f>
        <v/>
      </c>
    </row>
    <row r="23" customFormat="false" ht="15" hidden="false" customHeight="false" outlineLevel="0" collapsed="false">
      <c r="A23" s="41"/>
      <c r="B23" s="41"/>
      <c r="C23" s="41"/>
      <c r="D23" s="41"/>
      <c r="E23" s="41"/>
      <c r="F23" s="41"/>
      <c r="G23" s="41"/>
      <c r="H23" s="41"/>
      <c r="I23" s="41"/>
      <c r="J23" s="41"/>
      <c r="K23" s="43" t="str">
        <f aca="false">IF($L23="","",$L23-Cfg_ReviewDays)</f>
        <v/>
      </c>
      <c r="L23" s="43" t="str">
        <f aca="false">IF($A23="","",IFERROR(Ctrl_PlannedStart-INDEX(Cfg_LeadDays,MATCH($A23,Cfg_LeadType,0)),""))</f>
        <v/>
      </c>
      <c r="M23" s="38"/>
      <c r="N23" s="38"/>
      <c r="O23" s="44" t="str">
        <f aca="true">IF($A23="","",IF($N23&lt;&gt;"",MAX(0,$N23-$L23),IF(AND($L23&lt;&gt;"",TODAY()&gt;$L23),TODAY()-$L23,0)))</f>
        <v/>
      </c>
      <c r="P23" s="41"/>
      <c r="Q23" s="41"/>
      <c r="S23" s="40" t="str">
        <f aca="false">IF($A23="","",IFERROR(INDEX(Cfg_WfApproved,MATCH($I23,Cfg_WfList,0)),0))</f>
        <v/>
      </c>
      <c r="T23" s="39" t="str">
        <f aca="false">IF($A23="","",IFERROR(INDEX(Cfg_WfPct,MATCH($I23,Cfg_WfList,0)),0))</f>
        <v/>
      </c>
      <c r="U23" s="44" t="str">
        <f aca="true">IF(OR($A23="",$L23=""),"",$L23-TODAY())</f>
        <v/>
      </c>
      <c r="V23" s="42" t="str">
        <f aca="true">IF($A23="","",IF($S23=1,"Approved",IF(AND($L23&lt;&gt;"",TODAY()&gt;$L23),"Overdue",IF(AND($L23&lt;&gt;"",$L23-TODAY()&lt;=Cfg_DocWindow),"Due Soon",IF($I23="Not Started","Not Started","On Track")))))</f>
        <v/>
      </c>
      <c r="W23" s="42" t="str">
        <f aca="false">IF($A23="","",IF(AND($S23=0,$O23&gt;0),$O23+ROW()/1000000,""))</f>
        <v/>
      </c>
    </row>
    <row r="24" customFormat="false" ht="15" hidden="false" customHeight="false" outlineLevel="0" collapsed="false">
      <c r="A24" s="41"/>
      <c r="B24" s="41"/>
      <c r="C24" s="41"/>
      <c r="D24" s="41"/>
      <c r="E24" s="41"/>
      <c r="F24" s="41"/>
      <c r="G24" s="41"/>
      <c r="H24" s="41"/>
      <c r="I24" s="41"/>
      <c r="J24" s="41"/>
      <c r="K24" s="43" t="str">
        <f aca="false">IF($L24="","",$L24-Cfg_ReviewDays)</f>
        <v/>
      </c>
      <c r="L24" s="43" t="str">
        <f aca="false">IF($A24="","",IFERROR(Ctrl_PlannedStart-INDEX(Cfg_LeadDays,MATCH($A24,Cfg_LeadType,0)),""))</f>
        <v/>
      </c>
      <c r="M24" s="38"/>
      <c r="N24" s="38"/>
      <c r="O24" s="44" t="str">
        <f aca="true">IF($A24="","",IF($N24&lt;&gt;"",MAX(0,$N24-$L24),IF(AND($L24&lt;&gt;"",TODAY()&gt;$L24),TODAY()-$L24,0)))</f>
        <v/>
      </c>
      <c r="P24" s="41"/>
      <c r="Q24" s="41"/>
      <c r="S24" s="40" t="str">
        <f aca="false">IF($A24="","",IFERROR(INDEX(Cfg_WfApproved,MATCH($I24,Cfg_WfList,0)),0))</f>
        <v/>
      </c>
      <c r="T24" s="39" t="str">
        <f aca="false">IF($A24="","",IFERROR(INDEX(Cfg_WfPct,MATCH($I24,Cfg_WfList,0)),0))</f>
        <v/>
      </c>
      <c r="U24" s="44" t="str">
        <f aca="true">IF(OR($A24="",$L24=""),"",$L24-TODAY())</f>
        <v/>
      </c>
      <c r="V24" s="42" t="str">
        <f aca="true">IF($A24="","",IF($S24=1,"Approved",IF(AND($L24&lt;&gt;"",TODAY()&gt;$L24),"Overdue",IF(AND($L24&lt;&gt;"",$L24-TODAY()&lt;=Cfg_DocWindow),"Due Soon",IF($I24="Not Started","Not Started","On Track")))))</f>
        <v/>
      </c>
      <c r="W24" s="42" t="str">
        <f aca="false">IF($A24="","",IF(AND($S24=0,$O24&gt;0),$O24+ROW()/1000000,""))</f>
        <v/>
      </c>
    </row>
    <row r="25" customFormat="false" ht="15" hidden="false" customHeight="false" outlineLevel="0" collapsed="false">
      <c r="A25" s="41"/>
      <c r="B25" s="41"/>
      <c r="C25" s="41"/>
      <c r="D25" s="41"/>
      <c r="E25" s="41"/>
      <c r="F25" s="41"/>
      <c r="G25" s="41"/>
      <c r="H25" s="41"/>
      <c r="I25" s="41"/>
      <c r="J25" s="41"/>
      <c r="K25" s="43" t="str">
        <f aca="false">IF($L25="","",$L25-Cfg_ReviewDays)</f>
        <v/>
      </c>
      <c r="L25" s="43" t="str">
        <f aca="false">IF($A25="","",IFERROR(Ctrl_PlannedStart-INDEX(Cfg_LeadDays,MATCH($A25,Cfg_LeadType,0)),""))</f>
        <v/>
      </c>
      <c r="M25" s="38"/>
      <c r="N25" s="38"/>
      <c r="O25" s="44" t="str">
        <f aca="true">IF($A25="","",IF($N25&lt;&gt;"",MAX(0,$N25-$L25),IF(AND($L25&lt;&gt;"",TODAY()&gt;$L25),TODAY()-$L25,0)))</f>
        <v/>
      </c>
      <c r="P25" s="41"/>
      <c r="Q25" s="41"/>
      <c r="S25" s="40" t="str">
        <f aca="false">IF($A25="","",IFERROR(INDEX(Cfg_WfApproved,MATCH($I25,Cfg_WfList,0)),0))</f>
        <v/>
      </c>
      <c r="T25" s="39" t="str">
        <f aca="false">IF($A25="","",IFERROR(INDEX(Cfg_WfPct,MATCH($I25,Cfg_WfList,0)),0))</f>
        <v/>
      </c>
      <c r="U25" s="44" t="str">
        <f aca="true">IF(OR($A25="",$L25=""),"",$L25-TODAY())</f>
        <v/>
      </c>
      <c r="V25" s="42" t="str">
        <f aca="true">IF($A25="","",IF($S25=1,"Approved",IF(AND($L25&lt;&gt;"",TODAY()&gt;$L25),"Overdue",IF(AND($L25&lt;&gt;"",$L25-TODAY()&lt;=Cfg_DocWindow),"Due Soon",IF($I25="Not Started","Not Started","On Track")))))</f>
        <v/>
      </c>
      <c r="W25" s="42" t="str">
        <f aca="false">IF($A25="","",IF(AND($S25=0,$O25&gt;0),$O25+ROW()/1000000,""))</f>
        <v/>
      </c>
    </row>
    <row r="26" customFormat="false" ht="15" hidden="false" customHeight="false" outlineLevel="0" collapsed="false">
      <c r="A26" s="41"/>
      <c r="B26" s="41"/>
      <c r="C26" s="41"/>
      <c r="D26" s="41"/>
      <c r="E26" s="41"/>
      <c r="F26" s="41"/>
      <c r="G26" s="41"/>
      <c r="H26" s="41"/>
      <c r="I26" s="41"/>
      <c r="J26" s="41"/>
      <c r="K26" s="43" t="str">
        <f aca="false">IF($L26="","",$L26-Cfg_ReviewDays)</f>
        <v/>
      </c>
      <c r="L26" s="43" t="str">
        <f aca="false">IF($A26="","",IFERROR(Ctrl_PlannedStart-INDEX(Cfg_LeadDays,MATCH($A26,Cfg_LeadType,0)),""))</f>
        <v/>
      </c>
      <c r="M26" s="38"/>
      <c r="N26" s="38"/>
      <c r="O26" s="44" t="str">
        <f aca="true">IF($A26="","",IF($N26&lt;&gt;"",MAX(0,$N26-$L26),IF(AND($L26&lt;&gt;"",TODAY()&gt;$L26),TODAY()-$L26,0)))</f>
        <v/>
      </c>
      <c r="P26" s="41"/>
      <c r="Q26" s="41"/>
      <c r="S26" s="40" t="str">
        <f aca="false">IF($A26="","",IFERROR(INDEX(Cfg_WfApproved,MATCH($I26,Cfg_WfList,0)),0))</f>
        <v/>
      </c>
      <c r="T26" s="39" t="str">
        <f aca="false">IF($A26="","",IFERROR(INDEX(Cfg_WfPct,MATCH($I26,Cfg_WfList,0)),0))</f>
        <v/>
      </c>
      <c r="U26" s="44" t="str">
        <f aca="true">IF(OR($A26="",$L26=""),"",$L26-TODAY())</f>
        <v/>
      </c>
      <c r="V26" s="42" t="str">
        <f aca="true">IF($A26="","",IF($S26=1,"Approved",IF(AND($L26&lt;&gt;"",TODAY()&gt;$L26),"Overdue",IF(AND($L26&lt;&gt;"",$L26-TODAY()&lt;=Cfg_DocWindow),"Due Soon",IF($I26="Not Started","Not Started","On Track")))))</f>
        <v/>
      </c>
      <c r="W26" s="42" t="str">
        <f aca="false">IF($A26="","",IF(AND($S26=0,$O26&gt;0),$O26+ROW()/1000000,""))</f>
        <v/>
      </c>
    </row>
    <row r="27" customFormat="false" ht="15" hidden="false" customHeight="false" outlineLevel="0" collapsed="false">
      <c r="A27" s="41"/>
      <c r="B27" s="41"/>
      <c r="C27" s="41"/>
      <c r="D27" s="41"/>
      <c r="E27" s="41"/>
      <c r="F27" s="41"/>
      <c r="G27" s="41"/>
      <c r="H27" s="41"/>
      <c r="I27" s="41"/>
      <c r="J27" s="41"/>
      <c r="K27" s="43" t="str">
        <f aca="false">IF($L27="","",$L27-Cfg_ReviewDays)</f>
        <v/>
      </c>
      <c r="L27" s="43" t="str">
        <f aca="false">IF($A27="","",IFERROR(Ctrl_PlannedStart-INDEX(Cfg_LeadDays,MATCH($A27,Cfg_LeadType,0)),""))</f>
        <v/>
      </c>
      <c r="M27" s="38"/>
      <c r="N27" s="38"/>
      <c r="O27" s="44" t="str">
        <f aca="true">IF($A27="","",IF($N27&lt;&gt;"",MAX(0,$N27-$L27),IF(AND($L27&lt;&gt;"",TODAY()&gt;$L27),TODAY()-$L27,0)))</f>
        <v/>
      </c>
      <c r="P27" s="41"/>
      <c r="Q27" s="41"/>
      <c r="S27" s="40" t="str">
        <f aca="false">IF($A27="","",IFERROR(INDEX(Cfg_WfApproved,MATCH($I27,Cfg_WfList,0)),0))</f>
        <v/>
      </c>
      <c r="T27" s="39" t="str">
        <f aca="false">IF($A27="","",IFERROR(INDEX(Cfg_WfPct,MATCH($I27,Cfg_WfList,0)),0))</f>
        <v/>
      </c>
      <c r="U27" s="44" t="str">
        <f aca="true">IF(OR($A27="",$L27=""),"",$L27-TODAY())</f>
        <v/>
      </c>
      <c r="V27" s="42" t="str">
        <f aca="true">IF($A27="","",IF($S27=1,"Approved",IF(AND($L27&lt;&gt;"",TODAY()&gt;$L27),"Overdue",IF(AND($L27&lt;&gt;"",$L27-TODAY()&lt;=Cfg_DocWindow),"Due Soon",IF($I27="Not Started","Not Started","On Track")))))</f>
        <v/>
      </c>
      <c r="W27" s="42" t="str">
        <f aca="false">IF($A27="","",IF(AND($S27=0,$O27&gt;0),$O27+ROW()/1000000,""))</f>
        <v/>
      </c>
    </row>
    <row r="28" customFormat="false" ht="15" hidden="false" customHeight="false" outlineLevel="0" collapsed="false">
      <c r="A28" s="41"/>
      <c r="B28" s="41"/>
      <c r="C28" s="41"/>
      <c r="D28" s="41"/>
      <c r="E28" s="41"/>
      <c r="F28" s="41"/>
      <c r="G28" s="41"/>
      <c r="H28" s="41"/>
      <c r="I28" s="41"/>
      <c r="J28" s="41"/>
      <c r="K28" s="43" t="str">
        <f aca="false">IF($L28="","",$L28-Cfg_ReviewDays)</f>
        <v/>
      </c>
      <c r="L28" s="43" t="str">
        <f aca="false">IF($A28="","",IFERROR(Ctrl_PlannedStart-INDEX(Cfg_LeadDays,MATCH($A28,Cfg_LeadType,0)),""))</f>
        <v/>
      </c>
      <c r="M28" s="38"/>
      <c r="N28" s="38"/>
      <c r="O28" s="44" t="str">
        <f aca="true">IF($A28="","",IF($N28&lt;&gt;"",MAX(0,$N28-$L28),IF(AND($L28&lt;&gt;"",TODAY()&gt;$L28),TODAY()-$L28,0)))</f>
        <v/>
      </c>
      <c r="P28" s="41"/>
      <c r="Q28" s="41"/>
      <c r="S28" s="40" t="str">
        <f aca="false">IF($A28="","",IFERROR(INDEX(Cfg_WfApproved,MATCH($I28,Cfg_WfList,0)),0))</f>
        <v/>
      </c>
      <c r="T28" s="39" t="str">
        <f aca="false">IF($A28="","",IFERROR(INDEX(Cfg_WfPct,MATCH($I28,Cfg_WfList,0)),0))</f>
        <v/>
      </c>
      <c r="U28" s="44" t="str">
        <f aca="true">IF(OR($A28="",$L28=""),"",$L28-TODAY())</f>
        <v/>
      </c>
      <c r="V28" s="42" t="str">
        <f aca="true">IF($A28="","",IF($S28=1,"Approved",IF(AND($L28&lt;&gt;"",TODAY()&gt;$L28),"Overdue",IF(AND($L28&lt;&gt;"",$L28-TODAY()&lt;=Cfg_DocWindow),"Due Soon",IF($I28="Not Started","Not Started","On Track")))))</f>
        <v/>
      </c>
      <c r="W28" s="42" t="str">
        <f aca="false">IF($A28="","",IF(AND($S28=0,$O28&gt;0),$O28+ROW()/1000000,""))</f>
        <v/>
      </c>
    </row>
    <row r="29" customFormat="false" ht="15" hidden="false" customHeight="false" outlineLevel="0" collapsed="false">
      <c r="A29" s="41"/>
      <c r="B29" s="41"/>
      <c r="C29" s="41"/>
      <c r="D29" s="41"/>
      <c r="E29" s="41"/>
      <c r="F29" s="41"/>
      <c r="G29" s="41"/>
      <c r="H29" s="41"/>
      <c r="I29" s="41"/>
      <c r="J29" s="41"/>
      <c r="K29" s="43" t="str">
        <f aca="false">IF($L29="","",$L29-Cfg_ReviewDays)</f>
        <v/>
      </c>
      <c r="L29" s="43" t="str">
        <f aca="false">IF($A29="","",IFERROR(Ctrl_PlannedStart-INDEX(Cfg_LeadDays,MATCH($A29,Cfg_LeadType,0)),""))</f>
        <v/>
      </c>
      <c r="M29" s="38"/>
      <c r="N29" s="38"/>
      <c r="O29" s="44" t="str">
        <f aca="true">IF($A29="","",IF($N29&lt;&gt;"",MAX(0,$N29-$L29),IF(AND($L29&lt;&gt;"",TODAY()&gt;$L29),TODAY()-$L29,0)))</f>
        <v/>
      </c>
      <c r="P29" s="41"/>
      <c r="Q29" s="41"/>
      <c r="S29" s="40" t="str">
        <f aca="false">IF($A29="","",IFERROR(INDEX(Cfg_WfApproved,MATCH($I29,Cfg_WfList,0)),0))</f>
        <v/>
      </c>
      <c r="T29" s="39" t="str">
        <f aca="false">IF($A29="","",IFERROR(INDEX(Cfg_WfPct,MATCH($I29,Cfg_WfList,0)),0))</f>
        <v/>
      </c>
      <c r="U29" s="44" t="str">
        <f aca="true">IF(OR($A29="",$L29=""),"",$L29-TODAY())</f>
        <v/>
      </c>
      <c r="V29" s="42" t="str">
        <f aca="true">IF($A29="","",IF($S29=1,"Approved",IF(AND($L29&lt;&gt;"",TODAY()&gt;$L29),"Overdue",IF(AND($L29&lt;&gt;"",$L29-TODAY()&lt;=Cfg_DocWindow),"Due Soon",IF($I29="Not Started","Not Started","On Track")))))</f>
        <v/>
      </c>
      <c r="W29" s="42" t="str">
        <f aca="false">IF($A29="","",IF(AND($S29=0,$O29&gt;0),$O29+ROW()/1000000,""))</f>
        <v/>
      </c>
    </row>
    <row r="30" customFormat="false" ht="15" hidden="false" customHeight="false" outlineLevel="0" collapsed="false">
      <c r="A30" s="41"/>
      <c r="B30" s="41"/>
      <c r="C30" s="41"/>
      <c r="D30" s="41"/>
      <c r="E30" s="41"/>
      <c r="F30" s="41"/>
      <c r="G30" s="41"/>
      <c r="H30" s="41"/>
      <c r="I30" s="41"/>
      <c r="J30" s="41"/>
      <c r="K30" s="43" t="str">
        <f aca="false">IF($L30="","",$L30-Cfg_ReviewDays)</f>
        <v/>
      </c>
      <c r="L30" s="43" t="str">
        <f aca="false">IF($A30="","",IFERROR(Ctrl_PlannedStart-INDEX(Cfg_LeadDays,MATCH($A30,Cfg_LeadType,0)),""))</f>
        <v/>
      </c>
      <c r="M30" s="38"/>
      <c r="N30" s="38"/>
      <c r="O30" s="44" t="str">
        <f aca="true">IF($A30="","",IF($N30&lt;&gt;"",MAX(0,$N30-$L30),IF(AND($L30&lt;&gt;"",TODAY()&gt;$L30),TODAY()-$L30,0)))</f>
        <v/>
      </c>
      <c r="P30" s="41"/>
      <c r="Q30" s="41"/>
      <c r="S30" s="40" t="str">
        <f aca="false">IF($A30="","",IFERROR(INDEX(Cfg_WfApproved,MATCH($I30,Cfg_WfList,0)),0))</f>
        <v/>
      </c>
      <c r="T30" s="39" t="str">
        <f aca="false">IF($A30="","",IFERROR(INDEX(Cfg_WfPct,MATCH($I30,Cfg_WfList,0)),0))</f>
        <v/>
      </c>
      <c r="U30" s="44" t="str">
        <f aca="true">IF(OR($A30="",$L30=""),"",$L30-TODAY())</f>
        <v/>
      </c>
      <c r="V30" s="42" t="str">
        <f aca="true">IF($A30="","",IF($S30=1,"Approved",IF(AND($L30&lt;&gt;"",TODAY()&gt;$L30),"Overdue",IF(AND($L30&lt;&gt;"",$L30-TODAY()&lt;=Cfg_DocWindow),"Due Soon",IF($I30="Not Started","Not Started","On Track")))))</f>
        <v/>
      </c>
      <c r="W30" s="42" t="str">
        <f aca="false">IF($A30="","",IF(AND($S30=0,$O30&gt;0),$O30+ROW()/1000000,""))</f>
        <v/>
      </c>
    </row>
    <row r="31" customFormat="false" ht="15" hidden="false" customHeight="false" outlineLevel="0" collapsed="false">
      <c r="A31" s="41"/>
      <c r="B31" s="41"/>
      <c r="C31" s="41"/>
      <c r="D31" s="41"/>
      <c r="E31" s="41"/>
      <c r="F31" s="41"/>
      <c r="G31" s="41"/>
      <c r="H31" s="41"/>
      <c r="I31" s="41"/>
      <c r="J31" s="41"/>
      <c r="K31" s="43" t="str">
        <f aca="false">IF($L31="","",$L31-Cfg_ReviewDays)</f>
        <v/>
      </c>
      <c r="L31" s="43" t="str">
        <f aca="false">IF($A31="","",IFERROR(Ctrl_PlannedStart-INDEX(Cfg_LeadDays,MATCH($A31,Cfg_LeadType,0)),""))</f>
        <v/>
      </c>
      <c r="M31" s="38"/>
      <c r="N31" s="38"/>
      <c r="O31" s="44" t="str">
        <f aca="true">IF($A31="","",IF($N31&lt;&gt;"",MAX(0,$N31-$L31),IF(AND($L31&lt;&gt;"",TODAY()&gt;$L31),TODAY()-$L31,0)))</f>
        <v/>
      </c>
      <c r="P31" s="41"/>
      <c r="Q31" s="41"/>
      <c r="S31" s="40" t="str">
        <f aca="false">IF($A31="","",IFERROR(INDEX(Cfg_WfApproved,MATCH($I31,Cfg_WfList,0)),0))</f>
        <v/>
      </c>
      <c r="T31" s="39" t="str">
        <f aca="false">IF($A31="","",IFERROR(INDEX(Cfg_WfPct,MATCH($I31,Cfg_WfList,0)),0))</f>
        <v/>
      </c>
      <c r="U31" s="44" t="str">
        <f aca="true">IF(OR($A31="",$L31=""),"",$L31-TODAY())</f>
        <v/>
      </c>
      <c r="V31" s="42" t="str">
        <f aca="true">IF($A31="","",IF($S31=1,"Approved",IF(AND($L31&lt;&gt;"",TODAY()&gt;$L31),"Overdue",IF(AND($L31&lt;&gt;"",$L31-TODAY()&lt;=Cfg_DocWindow),"Due Soon",IF($I31="Not Started","Not Started","On Track")))))</f>
        <v/>
      </c>
      <c r="W31" s="42" t="str">
        <f aca="false">IF($A31="","",IF(AND($S31=0,$O31&gt;0),$O31+ROW()/1000000,""))</f>
        <v/>
      </c>
    </row>
    <row r="32" customFormat="false" ht="15" hidden="false" customHeight="false" outlineLevel="0" collapsed="false">
      <c r="A32" s="41"/>
      <c r="B32" s="41"/>
      <c r="C32" s="41"/>
      <c r="D32" s="41"/>
      <c r="E32" s="41"/>
      <c r="F32" s="41"/>
      <c r="G32" s="41"/>
      <c r="H32" s="41"/>
      <c r="I32" s="41"/>
      <c r="J32" s="41"/>
      <c r="K32" s="43" t="str">
        <f aca="false">IF($L32="","",$L32-Cfg_ReviewDays)</f>
        <v/>
      </c>
      <c r="L32" s="43" t="str">
        <f aca="false">IF($A32="","",IFERROR(Ctrl_PlannedStart-INDEX(Cfg_LeadDays,MATCH($A32,Cfg_LeadType,0)),""))</f>
        <v/>
      </c>
      <c r="M32" s="38"/>
      <c r="N32" s="38"/>
      <c r="O32" s="44" t="str">
        <f aca="true">IF($A32="","",IF($N32&lt;&gt;"",MAX(0,$N32-$L32),IF(AND($L32&lt;&gt;"",TODAY()&gt;$L32),TODAY()-$L32,0)))</f>
        <v/>
      </c>
      <c r="P32" s="41"/>
      <c r="Q32" s="41"/>
      <c r="S32" s="40" t="str">
        <f aca="false">IF($A32="","",IFERROR(INDEX(Cfg_WfApproved,MATCH($I32,Cfg_WfList,0)),0))</f>
        <v/>
      </c>
      <c r="T32" s="39" t="str">
        <f aca="false">IF($A32="","",IFERROR(INDEX(Cfg_WfPct,MATCH($I32,Cfg_WfList,0)),0))</f>
        <v/>
      </c>
      <c r="U32" s="44" t="str">
        <f aca="true">IF(OR($A32="",$L32=""),"",$L32-TODAY())</f>
        <v/>
      </c>
      <c r="V32" s="42" t="str">
        <f aca="true">IF($A32="","",IF($S32=1,"Approved",IF(AND($L32&lt;&gt;"",TODAY()&gt;$L32),"Overdue",IF(AND($L32&lt;&gt;"",$L32-TODAY()&lt;=Cfg_DocWindow),"Due Soon",IF($I32="Not Started","Not Started","On Track")))))</f>
        <v/>
      </c>
      <c r="W32" s="42" t="str">
        <f aca="false">IF($A32="","",IF(AND($S32=0,$O32&gt;0),$O32+ROW()/1000000,""))</f>
        <v/>
      </c>
    </row>
    <row r="33" customFormat="false" ht="15" hidden="false" customHeight="false" outlineLevel="0" collapsed="false">
      <c r="A33" s="41"/>
      <c r="B33" s="41"/>
      <c r="C33" s="41"/>
      <c r="D33" s="41"/>
      <c r="E33" s="41"/>
      <c r="F33" s="41"/>
      <c r="G33" s="41"/>
      <c r="H33" s="41"/>
      <c r="I33" s="41"/>
      <c r="J33" s="41"/>
      <c r="K33" s="43" t="str">
        <f aca="false">IF($L33="","",$L33-Cfg_ReviewDays)</f>
        <v/>
      </c>
      <c r="L33" s="43" t="str">
        <f aca="false">IF($A33="","",IFERROR(Ctrl_PlannedStart-INDEX(Cfg_LeadDays,MATCH($A33,Cfg_LeadType,0)),""))</f>
        <v/>
      </c>
      <c r="M33" s="38"/>
      <c r="N33" s="38"/>
      <c r="O33" s="44" t="str">
        <f aca="true">IF($A33="","",IF($N33&lt;&gt;"",MAX(0,$N33-$L33),IF(AND($L33&lt;&gt;"",TODAY()&gt;$L33),TODAY()-$L33,0)))</f>
        <v/>
      </c>
      <c r="P33" s="41"/>
      <c r="Q33" s="41"/>
      <c r="S33" s="40" t="str">
        <f aca="false">IF($A33="","",IFERROR(INDEX(Cfg_WfApproved,MATCH($I33,Cfg_WfList,0)),0))</f>
        <v/>
      </c>
      <c r="T33" s="39" t="str">
        <f aca="false">IF($A33="","",IFERROR(INDEX(Cfg_WfPct,MATCH($I33,Cfg_WfList,0)),0))</f>
        <v/>
      </c>
      <c r="U33" s="44" t="str">
        <f aca="true">IF(OR($A33="",$L33=""),"",$L33-TODAY())</f>
        <v/>
      </c>
      <c r="V33" s="42" t="str">
        <f aca="true">IF($A33="","",IF($S33=1,"Approved",IF(AND($L33&lt;&gt;"",TODAY()&gt;$L33),"Overdue",IF(AND($L33&lt;&gt;"",$L33-TODAY()&lt;=Cfg_DocWindow),"Due Soon",IF($I33="Not Started","Not Started","On Track")))))</f>
        <v/>
      </c>
      <c r="W33" s="42" t="str">
        <f aca="false">IF($A33="","",IF(AND($S33=0,$O33&gt;0),$O33+ROW()/1000000,""))</f>
        <v/>
      </c>
    </row>
    <row r="34" customFormat="false" ht="15" hidden="false" customHeight="false" outlineLevel="0" collapsed="false">
      <c r="A34" s="41"/>
      <c r="B34" s="41"/>
      <c r="C34" s="41"/>
      <c r="D34" s="41"/>
      <c r="E34" s="41"/>
      <c r="F34" s="41"/>
      <c r="G34" s="41"/>
      <c r="H34" s="41"/>
      <c r="I34" s="41"/>
      <c r="J34" s="41"/>
      <c r="K34" s="43" t="str">
        <f aca="false">IF($L34="","",$L34-Cfg_ReviewDays)</f>
        <v/>
      </c>
      <c r="L34" s="43" t="str">
        <f aca="false">IF($A34="","",IFERROR(Ctrl_PlannedStart-INDEX(Cfg_LeadDays,MATCH($A34,Cfg_LeadType,0)),""))</f>
        <v/>
      </c>
      <c r="M34" s="38"/>
      <c r="N34" s="38"/>
      <c r="O34" s="44" t="str">
        <f aca="true">IF($A34="","",IF($N34&lt;&gt;"",MAX(0,$N34-$L34),IF(AND($L34&lt;&gt;"",TODAY()&gt;$L34),TODAY()-$L34,0)))</f>
        <v/>
      </c>
      <c r="P34" s="41"/>
      <c r="Q34" s="41"/>
      <c r="S34" s="40" t="str">
        <f aca="false">IF($A34="","",IFERROR(INDEX(Cfg_WfApproved,MATCH($I34,Cfg_WfList,0)),0))</f>
        <v/>
      </c>
      <c r="T34" s="39" t="str">
        <f aca="false">IF($A34="","",IFERROR(INDEX(Cfg_WfPct,MATCH($I34,Cfg_WfList,0)),0))</f>
        <v/>
      </c>
      <c r="U34" s="44" t="str">
        <f aca="true">IF(OR($A34="",$L34=""),"",$L34-TODAY())</f>
        <v/>
      </c>
      <c r="V34" s="42" t="str">
        <f aca="true">IF($A34="","",IF($S34=1,"Approved",IF(AND($L34&lt;&gt;"",TODAY()&gt;$L34),"Overdue",IF(AND($L34&lt;&gt;"",$L34-TODAY()&lt;=Cfg_DocWindow),"Due Soon",IF($I34="Not Started","Not Started","On Track")))))</f>
        <v/>
      </c>
      <c r="W34" s="42" t="str">
        <f aca="false">IF($A34="","",IF(AND($S34=0,$O34&gt;0),$O34+ROW()/1000000,""))</f>
        <v/>
      </c>
    </row>
    <row r="35" customFormat="false" ht="15" hidden="false" customHeight="false" outlineLevel="0" collapsed="false">
      <c r="A35" s="41"/>
      <c r="B35" s="41"/>
      <c r="C35" s="41"/>
      <c r="D35" s="41"/>
      <c r="E35" s="41"/>
      <c r="F35" s="41"/>
      <c r="G35" s="41"/>
      <c r="H35" s="41"/>
      <c r="I35" s="41"/>
      <c r="J35" s="41"/>
      <c r="K35" s="43" t="str">
        <f aca="false">IF($L35="","",$L35-Cfg_ReviewDays)</f>
        <v/>
      </c>
      <c r="L35" s="43" t="str">
        <f aca="false">IF($A35="","",IFERROR(Ctrl_PlannedStart-INDEX(Cfg_LeadDays,MATCH($A35,Cfg_LeadType,0)),""))</f>
        <v/>
      </c>
      <c r="M35" s="38"/>
      <c r="N35" s="38"/>
      <c r="O35" s="44" t="str">
        <f aca="true">IF($A35="","",IF($N35&lt;&gt;"",MAX(0,$N35-$L35),IF(AND($L35&lt;&gt;"",TODAY()&gt;$L35),TODAY()-$L35,0)))</f>
        <v/>
      </c>
      <c r="P35" s="41"/>
      <c r="Q35" s="41"/>
      <c r="S35" s="40" t="str">
        <f aca="false">IF($A35="","",IFERROR(INDEX(Cfg_WfApproved,MATCH($I35,Cfg_WfList,0)),0))</f>
        <v/>
      </c>
      <c r="T35" s="39" t="str">
        <f aca="false">IF($A35="","",IFERROR(INDEX(Cfg_WfPct,MATCH($I35,Cfg_WfList,0)),0))</f>
        <v/>
      </c>
      <c r="U35" s="44" t="str">
        <f aca="true">IF(OR($A35="",$L35=""),"",$L35-TODAY())</f>
        <v/>
      </c>
      <c r="V35" s="42" t="str">
        <f aca="true">IF($A35="","",IF($S35=1,"Approved",IF(AND($L35&lt;&gt;"",TODAY()&gt;$L35),"Overdue",IF(AND($L35&lt;&gt;"",$L35-TODAY()&lt;=Cfg_DocWindow),"Due Soon",IF($I35="Not Started","Not Started","On Track")))))</f>
        <v/>
      </c>
      <c r="W35" s="42" t="str">
        <f aca="false">IF($A35="","",IF(AND($S35=0,$O35&gt;0),$O35+ROW()/1000000,""))</f>
        <v/>
      </c>
    </row>
    <row r="36" customFormat="false" ht="15" hidden="false" customHeight="false" outlineLevel="0" collapsed="false">
      <c r="A36" s="41"/>
      <c r="B36" s="41"/>
      <c r="C36" s="41"/>
      <c r="D36" s="41"/>
      <c r="E36" s="41"/>
      <c r="F36" s="41"/>
      <c r="G36" s="41"/>
      <c r="H36" s="41"/>
      <c r="I36" s="41"/>
      <c r="J36" s="41"/>
      <c r="K36" s="43" t="str">
        <f aca="false">IF($L36="","",$L36-Cfg_ReviewDays)</f>
        <v/>
      </c>
      <c r="L36" s="43" t="str">
        <f aca="false">IF($A36="","",IFERROR(Ctrl_PlannedStart-INDEX(Cfg_LeadDays,MATCH($A36,Cfg_LeadType,0)),""))</f>
        <v/>
      </c>
      <c r="M36" s="38"/>
      <c r="N36" s="38"/>
      <c r="O36" s="44" t="str">
        <f aca="true">IF($A36="","",IF($N36&lt;&gt;"",MAX(0,$N36-$L36),IF(AND($L36&lt;&gt;"",TODAY()&gt;$L36),TODAY()-$L36,0)))</f>
        <v/>
      </c>
      <c r="P36" s="41"/>
      <c r="Q36" s="41"/>
      <c r="S36" s="40" t="str">
        <f aca="false">IF($A36="","",IFERROR(INDEX(Cfg_WfApproved,MATCH($I36,Cfg_WfList,0)),0))</f>
        <v/>
      </c>
      <c r="T36" s="39" t="str">
        <f aca="false">IF($A36="","",IFERROR(INDEX(Cfg_WfPct,MATCH($I36,Cfg_WfList,0)),0))</f>
        <v/>
      </c>
      <c r="U36" s="44" t="str">
        <f aca="true">IF(OR($A36="",$L36=""),"",$L36-TODAY())</f>
        <v/>
      </c>
      <c r="V36" s="42" t="str">
        <f aca="true">IF($A36="","",IF($S36=1,"Approved",IF(AND($L36&lt;&gt;"",TODAY()&gt;$L36),"Overdue",IF(AND($L36&lt;&gt;"",$L36-TODAY()&lt;=Cfg_DocWindow),"Due Soon",IF($I36="Not Started","Not Started","On Track")))))</f>
        <v/>
      </c>
      <c r="W36" s="42" t="str">
        <f aca="false">IF($A36="","",IF(AND($S36=0,$O36&gt;0),$O36+ROW()/1000000,""))</f>
        <v/>
      </c>
    </row>
    <row r="37" customFormat="false" ht="15" hidden="false" customHeight="false" outlineLevel="0" collapsed="false">
      <c r="A37" s="41"/>
      <c r="B37" s="41"/>
      <c r="C37" s="41"/>
      <c r="D37" s="41"/>
      <c r="E37" s="41"/>
      <c r="F37" s="41"/>
      <c r="G37" s="41"/>
      <c r="H37" s="41"/>
      <c r="I37" s="41"/>
      <c r="J37" s="41"/>
      <c r="K37" s="43" t="str">
        <f aca="false">IF($L37="","",$L37-Cfg_ReviewDays)</f>
        <v/>
      </c>
      <c r="L37" s="43" t="str">
        <f aca="false">IF($A37="","",IFERROR(Ctrl_PlannedStart-INDEX(Cfg_LeadDays,MATCH($A37,Cfg_LeadType,0)),""))</f>
        <v/>
      </c>
      <c r="M37" s="38"/>
      <c r="N37" s="38"/>
      <c r="O37" s="44" t="str">
        <f aca="true">IF($A37="","",IF($N37&lt;&gt;"",MAX(0,$N37-$L37),IF(AND($L37&lt;&gt;"",TODAY()&gt;$L37),TODAY()-$L37,0)))</f>
        <v/>
      </c>
      <c r="P37" s="41"/>
      <c r="Q37" s="41"/>
      <c r="S37" s="40" t="str">
        <f aca="false">IF($A37="","",IFERROR(INDEX(Cfg_WfApproved,MATCH($I37,Cfg_WfList,0)),0))</f>
        <v/>
      </c>
      <c r="T37" s="39" t="str">
        <f aca="false">IF($A37="","",IFERROR(INDEX(Cfg_WfPct,MATCH($I37,Cfg_WfList,0)),0))</f>
        <v/>
      </c>
      <c r="U37" s="44" t="str">
        <f aca="true">IF(OR($A37="",$L37=""),"",$L37-TODAY())</f>
        <v/>
      </c>
      <c r="V37" s="42" t="str">
        <f aca="true">IF($A37="","",IF($S37=1,"Approved",IF(AND($L37&lt;&gt;"",TODAY()&gt;$L37),"Overdue",IF(AND($L37&lt;&gt;"",$L37-TODAY()&lt;=Cfg_DocWindow),"Due Soon",IF($I37="Not Started","Not Started","On Track")))))</f>
        <v/>
      </c>
      <c r="W37" s="42" t="str">
        <f aca="false">IF($A37="","",IF(AND($S37=0,$O37&gt;0),$O37+ROW()/1000000,""))</f>
        <v/>
      </c>
    </row>
    <row r="38" customFormat="false" ht="15" hidden="false" customHeight="false" outlineLevel="0" collapsed="false">
      <c r="A38" s="41"/>
      <c r="B38" s="41"/>
      <c r="C38" s="41"/>
      <c r="D38" s="41"/>
      <c r="E38" s="41"/>
      <c r="F38" s="41"/>
      <c r="G38" s="41"/>
      <c r="H38" s="41"/>
      <c r="I38" s="41"/>
      <c r="J38" s="41"/>
      <c r="K38" s="43" t="str">
        <f aca="false">IF($L38="","",$L38-Cfg_ReviewDays)</f>
        <v/>
      </c>
      <c r="L38" s="43" t="str">
        <f aca="false">IF($A38="","",IFERROR(Ctrl_PlannedStart-INDEX(Cfg_LeadDays,MATCH($A38,Cfg_LeadType,0)),""))</f>
        <v/>
      </c>
      <c r="M38" s="38"/>
      <c r="N38" s="38"/>
      <c r="O38" s="44" t="str">
        <f aca="true">IF($A38="","",IF($N38&lt;&gt;"",MAX(0,$N38-$L38),IF(AND($L38&lt;&gt;"",TODAY()&gt;$L38),TODAY()-$L38,0)))</f>
        <v/>
      </c>
      <c r="P38" s="41"/>
      <c r="Q38" s="41"/>
      <c r="S38" s="40" t="str">
        <f aca="false">IF($A38="","",IFERROR(INDEX(Cfg_WfApproved,MATCH($I38,Cfg_WfList,0)),0))</f>
        <v/>
      </c>
      <c r="T38" s="39" t="str">
        <f aca="false">IF($A38="","",IFERROR(INDEX(Cfg_WfPct,MATCH($I38,Cfg_WfList,0)),0))</f>
        <v/>
      </c>
      <c r="U38" s="44" t="str">
        <f aca="true">IF(OR($A38="",$L38=""),"",$L38-TODAY())</f>
        <v/>
      </c>
      <c r="V38" s="42" t="str">
        <f aca="true">IF($A38="","",IF($S38=1,"Approved",IF(AND($L38&lt;&gt;"",TODAY()&gt;$L38),"Overdue",IF(AND($L38&lt;&gt;"",$L38-TODAY()&lt;=Cfg_DocWindow),"Due Soon",IF($I38="Not Started","Not Started","On Track")))))</f>
        <v/>
      </c>
      <c r="W38" s="42" t="str">
        <f aca="false">IF($A38="","",IF(AND($S38=0,$O38&gt;0),$O38+ROW()/1000000,""))</f>
        <v/>
      </c>
    </row>
    <row r="39" customFormat="false" ht="15" hidden="false" customHeight="false" outlineLevel="0" collapsed="false">
      <c r="A39" s="41"/>
      <c r="B39" s="41"/>
      <c r="C39" s="41"/>
      <c r="D39" s="41"/>
      <c r="E39" s="41"/>
      <c r="F39" s="41"/>
      <c r="G39" s="41"/>
      <c r="H39" s="41"/>
      <c r="I39" s="41"/>
      <c r="J39" s="41"/>
      <c r="K39" s="43" t="str">
        <f aca="false">IF($L39="","",$L39-Cfg_ReviewDays)</f>
        <v/>
      </c>
      <c r="L39" s="43" t="str">
        <f aca="false">IF($A39="","",IFERROR(Ctrl_PlannedStart-INDEX(Cfg_LeadDays,MATCH($A39,Cfg_LeadType,0)),""))</f>
        <v/>
      </c>
      <c r="M39" s="38"/>
      <c r="N39" s="38"/>
      <c r="O39" s="44" t="str">
        <f aca="true">IF($A39="","",IF($N39&lt;&gt;"",MAX(0,$N39-$L39),IF(AND($L39&lt;&gt;"",TODAY()&gt;$L39),TODAY()-$L39,0)))</f>
        <v/>
      </c>
      <c r="P39" s="41"/>
      <c r="Q39" s="41"/>
      <c r="S39" s="40" t="str">
        <f aca="false">IF($A39="","",IFERROR(INDEX(Cfg_WfApproved,MATCH($I39,Cfg_WfList,0)),0))</f>
        <v/>
      </c>
      <c r="T39" s="39" t="str">
        <f aca="false">IF($A39="","",IFERROR(INDEX(Cfg_WfPct,MATCH($I39,Cfg_WfList,0)),0))</f>
        <v/>
      </c>
      <c r="U39" s="44" t="str">
        <f aca="true">IF(OR($A39="",$L39=""),"",$L39-TODAY())</f>
        <v/>
      </c>
      <c r="V39" s="42" t="str">
        <f aca="true">IF($A39="","",IF($S39=1,"Approved",IF(AND($L39&lt;&gt;"",TODAY()&gt;$L39),"Overdue",IF(AND($L39&lt;&gt;"",$L39-TODAY()&lt;=Cfg_DocWindow),"Due Soon",IF($I39="Not Started","Not Started","On Track")))))</f>
        <v/>
      </c>
      <c r="W39" s="42" t="str">
        <f aca="false">IF($A39="","",IF(AND($S39=0,$O39&gt;0),$O39+ROW()/1000000,""))</f>
        <v/>
      </c>
    </row>
    <row r="40" customFormat="false" ht="15" hidden="false" customHeight="false" outlineLevel="0" collapsed="false">
      <c r="A40" s="41"/>
      <c r="B40" s="41"/>
      <c r="C40" s="41"/>
      <c r="D40" s="41"/>
      <c r="E40" s="41"/>
      <c r="F40" s="41"/>
      <c r="G40" s="41"/>
      <c r="H40" s="41"/>
      <c r="I40" s="41"/>
      <c r="J40" s="41"/>
      <c r="K40" s="43" t="str">
        <f aca="false">IF($L40="","",$L40-Cfg_ReviewDays)</f>
        <v/>
      </c>
      <c r="L40" s="43" t="str">
        <f aca="false">IF($A40="","",IFERROR(Ctrl_PlannedStart-INDEX(Cfg_LeadDays,MATCH($A40,Cfg_LeadType,0)),""))</f>
        <v/>
      </c>
      <c r="M40" s="38"/>
      <c r="N40" s="38"/>
      <c r="O40" s="44" t="str">
        <f aca="true">IF($A40="","",IF($N40&lt;&gt;"",MAX(0,$N40-$L40),IF(AND($L40&lt;&gt;"",TODAY()&gt;$L40),TODAY()-$L40,0)))</f>
        <v/>
      </c>
      <c r="P40" s="41"/>
      <c r="Q40" s="41"/>
      <c r="S40" s="40" t="str">
        <f aca="false">IF($A40="","",IFERROR(INDEX(Cfg_WfApproved,MATCH($I40,Cfg_WfList,0)),0))</f>
        <v/>
      </c>
      <c r="T40" s="39" t="str">
        <f aca="false">IF($A40="","",IFERROR(INDEX(Cfg_WfPct,MATCH($I40,Cfg_WfList,0)),0))</f>
        <v/>
      </c>
      <c r="U40" s="44" t="str">
        <f aca="true">IF(OR($A40="",$L40=""),"",$L40-TODAY())</f>
        <v/>
      </c>
      <c r="V40" s="42" t="str">
        <f aca="true">IF($A40="","",IF($S40=1,"Approved",IF(AND($L40&lt;&gt;"",TODAY()&gt;$L40),"Overdue",IF(AND($L40&lt;&gt;"",$L40-TODAY()&lt;=Cfg_DocWindow),"Due Soon",IF($I40="Not Started","Not Started","On Track")))))</f>
        <v/>
      </c>
      <c r="W40" s="42" t="str">
        <f aca="false">IF($A40="","",IF(AND($S40=0,$O40&gt;0),$O40+ROW()/1000000,""))</f>
        <v/>
      </c>
    </row>
    <row r="41" customFormat="false" ht="15" hidden="false" customHeight="false" outlineLevel="0" collapsed="false">
      <c r="A41" s="41"/>
      <c r="B41" s="41"/>
      <c r="C41" s="41"/>
      <c r="D41" s="41"/>
      <c r="E41" s="41"/>
      <c r="F41" s="41"/>
      <c r="G41" s="41"/>
      <c r="H41" s="41"/>
      <c r="I41" s="41"/>
      <c r="J41" s="41"/>
      <c r="K41" s="43" t="str">
        <f aca="false">IF($L41="","",$L41-Cfg_ReviewDays)</f>
        <v/>
      </c>
      <c r="L41" s="43" t="str">
        <f aca="false">IF($A41="","",IFERROR(Ctrl_PlannedStart-INDEX(Cfg_LeadDays,MATCH($A41,Cfg_LeadType,0)),""))</f>
        <v/>
      </c>
      <c r="M41" s="38"/>
      <c r="N41" s="38"/>
      <c r="O41" s="44" t="str">
        <f aca="true">IF($A41="","",IF($N41&lt;&gt;"",MAX(0,$N41-$L41),IF(AND($L41&lt;&gt;"",TODAY()&gt;$L41),TODAY()-$L41,0)))</f>
        <v/>
      </c>
      <c r="P41" s="41"/>
      <c r="Q41" s="41"/>
      <c r="S41" s="40" t="str">
        <f aca="false">IF($A41="","",IFERROR(INDEX(Cfg_WfApproved,MATCH($I41,Cfg_WfList,0)),0))</f>
        <v/>
      </c>
      <c r="T41" s="39" t="str">
        <f aca="false">IF($A41="","",IFERROR(INDEX(Cfg_WfPct,MATCH($I41,Cfg_WfList,0)),0))</f>
        <v/>
      </c>
      <c r="U41" s="44" t="str">
        <f aca="true">IF(OR($A41="",$L41=""),"",$L41-TODAY())</f>
        <v/>
      </c>
      <c r="V41" s="42" t="str">
        <f aca="true">IF($A41="","",IF($S41=1,"Approved",IF(AND($L41&lt;&gt;"",TODAY()&gt;$L41),"Overdue",IF(AND($L41&lt;&gt;"",$L41-TODAY()&lt;=Cfg_DocWindow),"Due Soon",IF($I41="Not Started","Not Started","On Track")))))</f>
        <v/>
      </c>
      <c r="W41" s="42" t="str">
        <f aca="false">IF($A41="","",IF(AND($S41=0,$O41&gt;0),$O41+ROW()/1000000,""))</f>
        <v/>
      </c>
    </row>
    <row r="42" customFormat="false" ht="15" hidden="false" customHeight="false" outlineLevel="0" collapsed="false">
      <c r="A42" s="41"/>
      <c r="B42" s="41"/>
      <c r="C42" s="41"/>
      <c r="D42" s="41"/>
      <c r="E42" s="41"/>
      <c r="F42" s="41"/>
      <c r="G42" s="41"/>
      <c r="H42" s="41"/>
      <c r="I42" s="41"/>
      <c r="J42" s="41"/>
      <c r="K42" s="43" t="str">
        <f aca="false">IF($L42="","",$L42-Cfg_ReviewDays)</f>
        <v/>
      </c>
      <c r="L42" s="43" t="str">
        <f aca="false">IF($A42="","",IFERROR(Ctrl_PlannedStart-INDEX(Cfg_LeadDays,MATCH($A42,Cfg_LeadType,0)),""))</f>
        <v/>
      </c>
      <c r="M42" s="38"/>
      <c r="N42" s="38"/>
      <c r="O42" s="44" t="str">
        <f aca="true">IF($A42="","",IF($N42&lt;&gt;"",MAX(0,$N42-$L42),IF(AND($L42&lt;&gt;"",TODAY()&gt;$L42),TODAY()-$L42,0)))</f>
        <v/>
      </c>
      <c r="P42" s="41"/>
      <c r="Q42" s="41"/>
      <c r="S42" s="40" t="str">
        <f aca="false">IF($A42="","",IFERROR(INDEX(Cfg_WfApproved,MATCH($I42,Cfg_WfList,0)),0))</f>
        <v/>
      </c>
      <c r="T42" s="39" t="str">
        <f aca="false">IF($A42="","",IFERROR(INDEX(Cfg_WfPct,MATCH($I42,Cfg_WfList,0)),0))</f>
        <v/>
      </c>
      <c r="U42" s="44" t="str">
        <f aca="true">IF(OR($A42="",$L42=""),"",$L42-TODAY())</f>
        <v/>
      </c>
      <c r="V42" s="42" t="str">
        <f aca="true">IF($A42="","",IF($S42=1,"Approved",IF(AND($L42&lt;&gt;"",TODAY()&gt;$L42),"Overdue",IF(AND($L42&lt;&gt;"",$L42-TODAY()&lt;=Cfg_DocWindow),"Due Soon",IF($I42="Not Started","Not Started","On Track")))))</f>
        <v/>
      </c>
      <c r="W42" s="42" t="str">
        <f aca="false">IF($A42="","",IF(AND($S42=0,$O42&gt;0),$O42+ROW()/1000000,""))</f>
        <v/>
      </c>
    </row>
    <row r="43" customFormat="false" ht="15" hidden="false" customHeight="false" outlineLevel="0" collapsed="false">
      <c r="A43" s="41"/>
      <c r="B43" s="41"/>
      <c r="C43" s="41"/>
      <c r="D43" s="41"/>
      <c r="E43" s="41"/>
      <c r="F43" s="41"/>
      <c r="G43" s="41"/>
      <c r="H43" s="41"/>
      <c r="I43" s="41"/>
      <c r="J43" s="41"/>
      <c r="K43" s="43" t="str">
        <f aca="false">IF($L43="","",$L43-Cfg_ReviewDays)</f>
        <v/>
      </c>
      <c r="L43" s="43" t="str">
        <f aca="false">IF($A43="","",IFERROR(Ctrl_PlannedStart-INDEX(Cfg_LeadDays,MATCH($A43,Cfg_LeadType,0)),""))</f>
        <v/>
      </c>
      <c r="M43" s="38"/>
      <c r="N43" s="38"/>
      <c r="O43" s="44" t="str">
        <f aca="true">IF($A43="","",IF($N43&lt;&gt;"",MAX(0,$N43-$L43),IF(AND($L43&lt;&gt;"",TODAY()&gt;$L43),TODAY()-$L43,0)))</f>
        <v/>
      </c>
      <c r="P43" s="41"/>
      <c r="Q43" s="41"/>
      <c r="S43" s="40" t="str">
        <f aca="false">IF($A43="","",IFERROR(INDEX(Cfg_WfApproved,MATCH($I43,Cfg_WfList,0)),0))</f>
        <v/>
      </c>
      <c r="T43" s="39" t="str">
        <f aca="false">IF($A43="","",IFERROR(INDEX(Cfg_WfPct,MATCH($I43,Cfg_WfList,0)),0))</f>
        <v/>
      </c>
      <c r="U43" s="44" t="str">
        <f aca="true">IF(OR($A43="",$L43=""),"",$L43-TODAY())</f>
        <v/>
      </c>
      <c r="V43" s="42" t="str">
        <f aca="true">IF($A43="","",IF($S43=1,"Approved",IF(AND($L43&lt;&gt;"",TODAY()&gt;$L43),"Overdue",IF(AND($L43&lt;&gt;"",$L43-TODAY()&lt;=Cfg_DocWindow),"Due Soon",IF($I43="Not Started","Not Started","On Track")))))</f>
        <v/>
      </c>
      <c r="W43" s="42" t="str">
        <f aca="false">IF($A43="","",IF(AND($S43=0,$O43&gt;0),$O43+ROW()/1000000,""))</f>
        <v/>
      </c>
    </row>
    <row r="44" customFormat="false" ht="15" hidden="false" customHeight="false" outlineLevel="0" collapsed="false">
      <c r="A44" s="41"/>
      <c r="B44" s="41"/>
      <c r="C44" s="41"/>
      <c r="D44" s="41"/>
      <c r="E44" s="41"/>
      <c r="F44" s="41"/>
      <c r="G44" s="41"/>
      <c r="H44" s="41"/>
      <c r="I44" s="41"/>
      <c r="J44" s="41"/>
      <c r="K44" s="43" t="str">
        <f aca="false">IF($L44="","",$L44-Cfg_ReviewDays)</f>
        <v/>
      </c>
      <c r="L44" s="43" t="str">
        <f aca="false">IF($A44="","",IFERROR(Ctrl_PlannedStart-INDEX(Cfg_LeadDays,MATCH($A44,Cfg_LeadType,0)),""))</f>
        <v/>
      </c>
      <c r="M44" s="38"/>
      <c r="N44" s="38"/>
      <c r="O44" s="44" t="str">
        <f aca="true">IF($A44="","",IF($N44&lt;&gt;"",MAX(0,$N44-$L44),IF(AND($L44&lt;&gt;"",TODAY()&gt;$L44),TODAY()-$L44,0)))</f>
        <v/>
      </c>
      <c r="P44" s="41"/>
      <c r="Q44" s="41"/>
      <c r="S44" s="40" t="str">
        <f aca="false">IF($A44="","",IFERROR(INDEX(Cfg_WfApproved,MATCH($I44,Cfg_WfList,0)),0))</f>
        <v/>
      </c>
      <c r="T44" s="39" t="str">
        <f aca="false">IF($A44="","",IFERROR(INDEX(Cfg_WfPct,MATCH($I44,Cfg_WfList,0)),0))</f>
        <v/>
      </c>
      <c r="U44" s="44" t="str">
        <f aca="true">IF(OR($A44="",$L44=""),"",$L44-TODAY())</f>
        <v/>
      </c>
      <c r="V44" s="42" t="str">
        <f aca="true">IF($A44="","",IF($S44=1,"Approved",IF(AND($L44&lt;&gt;"",TODAY()&gt;$L44),"Overdue",IF(AND($L44&lt;&gt;"",$L44-TODAY()&lt;=Cfg_DocWindow),"Due Soon",IF($I44="Not Started","Not Started","On Track")))))</f>
        <v/>
      </c>
      <c r="W44" s="42" t="str">
        <f aca="false">IF($A44="","",IF(AND($S44=0,$O44&gt;0),$O44+ROW()/1000000,""))</f>
        <v/>
      </c>
    </row>
    <row r="45" customFormat="false" ht="15" hidden="false" customHeight="false" outlineLevel="0" collapsed="false">
      <c r="A45" s="41"/>
      <c r="B45" s="41"/>
      <c r="C45" s="41"/>
      <c r="D45" s="41"/>
      <c r="E45" s="41"/>
      <c r="F45" s="41"/>
      <c r="G45" s="41"/>
      <c r="H45" s="41"/>
      <c r="I45" s="41"/>
      <c r="J45" s="41"/>
      <c r="K45" s="43" t="str">
        <f aca="false">IF($L45="","",$L45-Cfg_ReviewDays)</f>
        <v/>
      </c>
      <c r="L45" s="43" t="str">
        <f aca="false">IF($A45="","",IFERROR(Ctrl_PlannedStart-INDEX(Cfg_LeadDays,MATCH($A45,Cfg_LeadType,0)),""))</f>
        <v/>
      </c>
      <c r="M45" s="38"/>
      <c r="N45" s="38"/>
      <c r="O45" s="44" t="str">
        <f aca="true">IF($A45="","",IF($N45&lt;&gt;"",MAX(0,$N45-$L45),IF(AND($L45&lt;&gt;"",TODAY()&gt;$L45),TODAY()-$L45,0)))</f>
        <v/>
      </c>
      <c r="P45" s="41"/>
      <c r="Q45" s="41"/>
      <c r="S45" s="40" t="str">
        <f aca="false">IF($A45="","",IFERROR(INDEX(Cfg_WfApproved,MATCH($I45,Cfg_WfList,0)),0))</f>
        <v/>
      </c>
      <c r="T45" s="39" t="str">
        <f aca="false">IF($A45="","",IFERROR(INDEX(Cfg_WfPct,MATCH($I45,Cfg_WfList,0)),0))</f>
        <v/>
      </c>
      <c r="U45" s="44" t="str">
        <f aca="true">IF(OR($A45="",$L45=""),"",$L45-TODAY())</f>
        <v/>
      </c>
      <c r="V45" s="42" t="str">
        <f aca="true">IF($A45="","",IF($S45=1,"Approved",IF(AND($L45&lt;&gt;"",TODAY()&gt;$L45),"Overdue",IF(AND($L45&lt;&gt;"",$L45-TODAY()&lt;=Cfg_DocWindow),"Due Soon",IF($I45="Not Started","Not Started","On Track")))))</f>
        <v/>
      </c>
      <c r="W45" s="42" t="str">
        <f aca="false">IF($A45="","",IF(AND($S45=0,$O45&gt;0),$O45+ROW()/1000000,""))</f>
        <v/>
      </c>
    </row>
    <row r="46" customFormat="false" ht="15" hidden="false" customHeight="false" outlineLevel="0" collapsed="false">
      <c r="A46" s="41"/>
      <c r="B46" s="41"/>
      <c r="C46" s="41"/>
      <c r="D46" s="41"/>
      <c r="E46" s="41"/>
      <c r="F46" s="41"/>
      <c r="G46" s="41"/>
      <c r="H46" s="41"/>
      <c r="I46" s="41"/>
      <c r="J46" s="41"/>
      <c r="K46" s="43" t="str">
        <f aca="false">IF($L46="","",$L46-Cfg_ReviewDays)</f>
        <v/>
      </c>
      <c r="L46" s="43" t="str">
        <f aca="false">IF($A46="","",IFERROR(Ctrl_PlannedStart-INDEX(Cfg_LeadDays,MATCH($A46,Cfg_LeadType,0)),""))</f>
        <v/>
      </c>
      <c r="M46" s="38"/>
      <c r="N46" s="38"/>
      <c r="O46" s="44" t="str">
        <f aca="true">IF($A46="","",IF($N46&lt;&gt;"",MAX(0,$N46-$L46),IF(AND($L46&lt;&gt;"",TODAY()&gt;$L46),TODAY()-$L46,0)))</f>
        <v/>
      </c>
      <c r="P46" s="41"/>
      <c r="Q46" s="41"/>
      <c r="S46" s="40" t="str">
        <f aca="false">IF($A46="","",IFERROR(INDEX(Cfg_WfApproved,MATCH($I46,Cfg_WfList,0)),0))</f>
        <v/>
      </c>
      <c r="T46" s="39" t="str">
        <f aca="false">IF($A46="","",IFERROR(INDEX(Cfg_WfPct,MATCH($I46,Cfg_WfList,0)),0))</f>
        <v/>
      </c>
      <c r="U46" s="44" t="str">
        <f aca="true">IF(OR($A46="",$L46=""),"",$L46-TODAY())</f>
        <v/>
      </c>
      <c r="V46" s="42" t="str">
        <f aca="true">IF($A46="","",IF($S46=1,"Approved",IF(AND($L46&lt;&gt;"",TODAY()&gt;$L46),"Overdue",IF(AND($L46&lt;&gt;"",$L46-TODAY()&lt;=Cfg_DocWindow),"Due Soon",IF($I46="Not Started","Not Started","On Track")))))</f>
        <v/>
      </c>
      <c r="W46" s="42" t="str">
        <f aca="false">IF($A46="","",IF(AND($S46=0,$O46&gt;0),$O46+ROW()/1000000,""))</f>
        <v/>
      </c>
    </row>
    <row r="47" customFormat="false" ht="15" hidden="false" customHeight="false" outlineLevel="0" collapsed="false">
      <c r="A47" s="41"/>
      <c r="B47" s="41"/>
      <c r="C47" s="41"/>
      <c r="D47" s="41"/>
      <c r="E47" s="41"/>
      <c r="F47" s="41"/>
      <c r="G47" s="41"/>
      <c r="H47" s="41"/>
      <c r="I47" s="41"/>
      <c r="J47" s="41"/>
      <c r="K47" s="43" t="str">
        <f aca="false">IF($L47="","",$L47-Cfg_ReviewDays)</f>
        <v/>
      </c>
      <c r="L47" s="43" t="str">
        <f aca="false">IF($A47="","",IFERROR(Ctrl_PlannedStart-INDEX(Cfg_LeadDays,MATCH($A47,Cfg_LeadType,0)),""))</f>
        <v/>
      </c>
      <c r="M47" s="38"/>
      <c r="N47" s="38"/>
      <c r="O47" s="44" t="str">
        <f aca="true">IF($A47="","",IF($N47&lt;&gt;"",MAX(0,$N47-$L47),IF(AND($L47&lt;&gt;"",TODAY()&gt;$L47),TODAY()-$L47,0)))</f>
        <v/>
      </c>
      <c r="P47" s="41"/>
      <c r="Q47" s="41"/>
      <c r="S47" s="40" t="str">
        <f aca="false">IF($A47="","",IFERROR(INDEX(Cfg_WfApproved,MATCH($I47,Cfg_WfList,0)),0))</f>
        <v/>
      </c>
      <c r="T47" s="39" t="str">
        <f aca="false">IF($A47="","",IFERROR(INDEX(Cfg_WfPct,MATCH($I47,Cfg_WfList,0)),0))</f>
        <v/>
      </c>
      <c r="U47" s="44" t="str">
        <f aca="true">IF(OR($A47="",$L47=""),"",$L47-TODAY())</f>
        <v/>
      </c>
      <c r="V47" s="42" t="str">
        <f aca="true">IF($A47="","",IF($S47=1,"Approved",IF(AND($L47&lt;&gt;"",TODAY()&gt;$L47),"Overdue",IF(AND($L47&lt;&gt;"",$L47-TODAY()&lt;=Cfg_DocWindow),"Due Soon",IF($I47="Not Started","Not Started","On Track")))))</f>
        <v/>
      </c>
      <c r="W47" s="42" t="str">
        <f aca="false">IF($A47="","",IF(AND($S47=0,$O47&gt;0),$O47+ROW()/1000000,""))</f>
        <v/>
      </c>
    </row>
    <row r="48" customFormat="false" ht="15" hidden="false" customHeight="false" outlineLevel="0" collapsed="false">
      <c r="A48" s="41"/>
      <c r="B48" s="41"/>
      <c r="C48" s="41"/>
      <c r="D48" s="41"/>
      <c r="E48" s="41"/>
      <c r="F48" s="41"/>
      <c r="G48" s="41"/>
      <c r="H48" s="41"/>
      <c r="I48" s="41"/>
      <c r="J48" s="41"/>
      <c r="K48" s="43" t="str">
        <f aca="false">IF($L48="","",$L48-Cfg_ReviewDays)</f>
        <v/>
      </c>
      <c r="L48" s="43" t="str">
        <f aca="false">IF($A48="","",IFERROR(Ctrl_PlannedStart-INDEX(Cfg_LeadDays,MATCH($A48,Cfg_LeadType,0)),""))</f>
        <v/>
      </c>
      <c r="M48" s="38"/>
      <c r="N48" s="38"/>
      <c r="O48" s="44" t="str">
        <f aca="true">IF($A48="","",IF($N48&lt;&gt;"",MAX(0,$N48-$L48),IF(AND($L48&lt;&gt;"",TODAY()&gt;$L48),TODAY()-$L48,0)))</f>
        <v/>
      </c>
      <c r="P48" s="41"/>
      <c r="Q48" s="41"/>
      <c r="S48" s="40" t="str">
        <f aca="false">IF($A48="","",IFERROR(INDEX(Cfg_WfApproved,MATCH($I48,Cfg_WfList,0)),0))</f>
        <v/>
      </c>
      <c r="T48" s="39" t="str">
        <f aca="false">IF($A48="","",IFERROR(INDEX(Cfg_WfPct,MATCH($I48,Cfg_WfList,0)),0))</f>
        <v/>
      </c>
      <c r="U48" s="44" t="str">
        <f aca="true">IF(OR($A48="",$L48=""),"",$L48-TODAY())</f>
        <v/>
      </c>
      <c r="V48" s="42" t="str">
        <f aca="true">IF($A48="","",IF($S48=1,"Approved",IF(AND($L48&lt;&gt;"",TODAY()&gt;$L48),"Overdue",IF(AND($L48&lt;&gt;"",$L48-TODAY()&lt;=Cfg_DocWindow),"Due Soon",IF($I48="Not Started","Not Started","On Track")))))</f>
        <v/>
      </c>
      <c r="W48" s="42" t="str">
        <f aca="false">IF($A48="","",IF(AND($S48=0,$O48&gt;0),$O48+ROW()/1000000,""))</f>
        <v/>
      </c>
    </row>
    <row r="49" customFormat="false" ht="15" hidden="false" customHeight="false" outlineLevel="0" collapsed="false">
      <c r="A49" s="41"/>
      <c r="B49" s="41"/>
      <c r="C49" s="41"/>
      <c r="D49" s="41"/>
      <c r="E49" s="41"/>
      <c r="F49" s="41"/>
      <c r="G49" s="41"/>
      <c r="H49" s="41"/>
      <c r="I49" s="41"/>
      <c r="J49" s="41"/>
      <c r="K49" s="43" t="str">
        <f aca="false">IF($L49="","",$L49-Cfg_ReviewDays)</f>
        <v/>
      </c>
      <c r="L49" s="43" t="str">
        <f aca="false">IF($A49="","",IFERROR(Ctrl_PlannedStart-INDEX(Cfg_LeadDays,MATCH($A49,Cfg_LeadType,0)),""))</f>
        <v/>
      </c>
      <c r="M49" s="38"/>
      <c r="N49" s="38"/>
      <c r="O49" s="44" t="str">
        <f aca="true">IF($A49="","",IF($N49&lt;&gt;"",MAX(0,$N49-$L49),IF(AND($L49&lt;&gt;"",TODAY()&gt;$L49),TODAY()-$L49,0)))</f>
        <v/>
      </c>
      <c r="P49" s="41"/>
      <c r="Q49" s="41"/>
      <c r="S49" s="40" t="str">
        <f aca="false">IF($A49="","",IFERROR(INDEX(Cfg_WfApproved,MATCH($I49,Cfg_WfList,0)),0))</f>
        <v/>
      </c>
      <c r="T49" s="39" t="str">
        <f aca="false">IF($A49="","",IFERROR(INDEX(Cfg_WfPct,MATCH($I49,Cfg_WfList,0)),0))</f>
        <v/>
      </c>
      <c r="U49" s="44" t="str">
        <f aca="true">IF(OR($A49="",$L49=""),"",$L49-TODAY())</f>
        <v/>
      </c>
      <c r="V49" s="42" t="str">
        <f aca="true">IF($A49="","",IF($S49=1,"Approved",IF(AND($L49&lt;&gt;"",TODAY()&gt;$L49),"Overdue",IF(AND($L49&lt;&gt;"",$L49-TODAY()&lt;=Cfg_DocWindow),"Due Soon",IF($I49="Not Started","Not Started","On Track")))))</f>
        <v/>
      </c>
      <c r="W49" s="42" t="str">
        <f aca="false">IF($A49="","",IF(AND($S49=0,$O49&gt;0),$O49+ROW()/1000000,""))</f>
        <v/>
      </c>
    </row>
    <row r="50" customFormat="false" ht="15" hidden="false" customHeight="false" outlineLevel="0" collapsed="false">
      <c r="A50" s="41"/>
      <c r="B50" s="41"/>
      <c r="C50" s="41"/>
      <c r="D50" s="41"/>
      <c r="E50" s="41"/>
      <c r="F50" s="41"/>
      <c r="G50" s="41"/>
      <c r="H50" s="41"/>
      <c r="I50" s="41"/>
      <c r="J50" s="41"/>
      <c r="K50" s="43" t="str">
        <f aca="false">IF($L50="","",$L50-Cfg_ReviewDays)</f>
        <v/>
      </c>
      <c r="L50" s="43" t="str">
        <f aca="false">IF($A50="","",IFERROR(Ctrl_PlannedStart-INDEX(Cfg_LeadDays,MATCH($A50,Cfg_LeadType,0)),""))</f>
        <v/>
      </c>
      <c r="M50" s="38"/>
      <c r="N50" s="38"/>
      <c r="O50" s="44" t="str">
        <f aca="true">IF($A50="","",IF($N50&lt;&gt;"",MAX(0,$N50-$L50),IF(AND($L50&lt;&gt;"",TODAY()&gt;$L50),TODAY()-$L50,0)))</f>
        <v/>
      </c>
      <c r="P50" s="41"/>
      <c r="Q50" s="41"/>
      <c r="S50" s="40" t="str">
        <f aca="false">IF($A50="","",IFERROR(INDEX(Cfg_WfApproved,MATCH($I50,Cfg_WfList,0)),0))</f>
        <v/>
      </c>
      <c r="T50" s="39" t="str">
        <f aca="false">IF($A50="","",IFERROR(INDEX(Cfg_WfPct,MATCH($I50,Cfg_WfList,0)),0))</f>
        <v/>
      </c>
      <c r="U50" s="44" t="str">
        <f aca="true">IF(OR($A50="",$L50=""),"",$L50-TODAY())</f>
        <v/>
      </c>
      <c r="V50" s="42" t="str">
        <f aca="true">IF($A50="","",IF($S50=1,"Approved",IF(AND($L50&lt;&gt;"",TODAY()&gt;$L50),"Overdue",IF(AND($L50&lt;&gt;"",$L50-TODAY()&lt;=Cfg_DocWindow),"Due Soon",IF($I50="Not Started","Not Started","On Track")))))</f>
        <v/>
      </c>
      <c r="W50" s="42" t="str">
        <f aca="false">IF($A50="","",IF(AND($S50=0,$O50&gt;0),$O50+ROW()/1000000,""))</f>
        <v/>
      </c>
    </row>
    <row r="51" customFormat="false" ht="15" hidden="false" customHeight="false" outlineLevel="0" collapsed="false">
      <c r="A51" s="41"/>
      <c r="B51" s="41"/>
      <c r="C51" s="41"/>
      <c r="D51" s="41"/>
      <c r="E51" s="41"/>
      <c r="F51" s="41"/>
      <c r="G51" s="41"/>
      <c r="H51" s="41"/>
      <c r="I51" s="41"/>
      <c r="J51" s="41"/>
      <c r="K51" s="43" t="str">
        <f aca="false">IF($L51="","",$L51-Cfg_ReviewDays)</f>
        <v/>
      </c>
      <c r="L51" s="43" t="str">
        <f aca="false">IF($A51="","",IFERROR(Ctrl_PlannedStart-INDEX(Cfg_LeadDays,MATCH($A51,Cfg_LeadType,0)),""))</f>
        <v/>
      </c>
      <c r="M51" s="38"/>
      <c r="N51" s="38"/>
      <c r="O51" s="44" t="str">
        <f aca="true">IF($A51="","",IF($N51&lt;&gt;"",MAX(0,$N51-$L51),IF(AND($L51&lt;&gt;"",TODAY()&gt;$L51),TODAY()-$L51,0)))</f>
        <v/>
      </c>
      <c r="P51" s="41"/>
      <c r="Q51" s="41"/>
      <c r="S51" s="40" t="str">
        <f aca="false">IF($A51="","",IFERROR(INDEX(Cfg_WfApproved,MATCH($I51,Cfg_WfList,0)),0))</f>
        <v/>
      </c>
      <c r="T51" s="39" t="str">
        <f aca="false">IF($A51="","",IFERROR(INDEX(Cfg_WfPct,MATCH($I51,Cfg_WfList,0)),0))</f>
        <v/>
      </c>
      <c r="U51" s="44" t="str">
        <f aca="true">IF(OR($A51="",$L51=""),"",$L51-TODAY())</f>
        <v/>
      </c>
      <c r="V51" s="42" t="str">
        <f aca="true">IF($A51="","",IF($S51=1,"Approved",IF(AND($L51&lt;&gt;"",TODAY()&gt;$L51),"Overdue",IF(AND($L51&lt;&gt;"",$L51-TODAY()&lt;=Cfg_DocWindow),"Due Soon",IF($I51="Not Started","Not Started","On Track")))))</f>
        <v/>
      </c>
      <c r="W51" s="42" t="str">
        <f aca="false">IF($A51="","",IF(AND($S51=0,$O51&gt;0),$O51+ROW()/1000000,""))</f>
        <v/>
      </c>
    </row>
    <row r="52" customFormat="false" ht="15" hidden="false" customHeight="false" outlineLevel="0" collapsed="false">
      <c r="A52" s="41"/>
      <c r="B52" s="41"/>
      <c r="C52" s="41"/>
      <c r="D52" s="41"/>
      <c r="E52" s="41"/>
      <c r="F52" s="41"/>
      <c r="G52" s="41"/>
      <c r="H52" s="41"/>
      <c r="I52" s="41"/>
      <c r="J52" s="41"/>
      <c r="K52" s="43" t="str">
        <f aca="false">IF($L52="","",$L52-Cfg_ReviewDays)</f>
        <v/>
      </c>
      <c r="L52" s="43" t="str">
        <f aca="false">IF($A52="","",IFERROR(Ctrl_PlannedStart-INDEX(Cfg_LeadDays,MATCH($A52,Cfg_LeadType,0)),""))</f>
        <v/>
      </c>
      <c r="M52" s="38"/>
      <c r="N52" s="38"/>
      <c r="O52" s="44" t="str">
        <f aca="true">IF($A52="","",IF($N52&lt;&gt;"",MAX(0,$N52-$L52),IF(AND($L52&lt;&gt;"",TODAY()&gt;$L52),TODAY()-$L52,0)))</f>
        <v/>
      </c>
      <c r="P52" s="41"/>
      <c r="Q52" s="41"/>
      <c r="S52" s="40" t="str">
        <f aca="false">IF($A52="","",IFERROR(INDEX(Cfg_WfApproved,MATCH($I52,Cfg_WfList,0)),0))</f>
        <v/>
      </c>
      <c r="T52" s="39" t="str">
        <f aca="false">IF($A52="","",IFERROR(INDEX(Cfg_WfPct,MATCH($I52,Cfg_WfList,0)),0))</f>
        <v/>
      </c>
      <c r="U52" s="44" t="str">
        <f aca="true">IF(OR($A52="",$L52=""),"",$L52-TODAY())</f>
        <v/>
      </c>
      <c r="V52" s="42" t="str">
        <f aca="true">IF($A52="","",IF($S52=1,"Approved",IF(AND($L52&lt;&gt;"",TODAY()&gt;$L52),"Overdue",IF(AND($L52&lt;&gt;"",$L52-TODAY()&lt;=Cfg_DocWindow),"Due Soon",IF($I52="Not Started","Not Started","On Track")))))</f>
        <v/>
      </c>
      <c r="W52" s="42" t="str">
        <f aca="false">IF($A52="","",IF(AND($S52=0,$O52&gt;0),$O52+ROW()/1000000,""))</f>
        <v/>
      </c>
    </row>
    <row r="53" customFormat="false" ht="15" hidden="false" customHeight="false" outlineLevel="0" collapsed="false">
      <c r="A53" s="41"/>
      <c r="B53" s="41"/>
      <c r="C53" s="41"/>
      <c r="D53" s="41"/>
      <c r="E53" s="41"/>
      <c r="F53" s="41"/>
      <c r="G53" s="41"/>
      <c r="H53" s="41"/>
      <c r="I53" s="41"/>
      <c r="J53" s="41"/>
      <c r="K53" s="43" t="str">
        <f aca="false">IF($L53="","",$L53-Cfg_ReviewDays)</f>
        <v/>
      </c>
      <c r="L53" s="43" t="str">
        <f aca="false">IF($A53="","",IFERROR(Ctrl_PlannedStart-INDEX(Cfg_LeadDays,MATCH($A53,Cfg_LeadType,0)),""))</f>
        <v/>
      </c>
      <c r="M53" s="38"/>
      <c r="N53" s="38"/>
      <c r="O53" s="44" t="str">
        <f aca="true">IF($A53="","",IF($N53&lt;&gt;"",MAX(0,$N53-$L53),IF(AND($L53&lt;&gt;"",TODAY()&gt;$L53),TODAY()-$L53,0)))</f>
        <v/>
      </c>
      <c r="P53" s="41"/>
      <c r="Q53" s="41"/>
      <c r="S53" s="40" t="str">
        <f aca="false">IF($A53="","",IFERROR(INDEX(Cfg_WfApproved,MATCH($I53,Cfg_WfList,0)),0))</f>
        <v/>
      </c>
      <c r="T53" s="39" t="str">
        <f aca="false">IF($A53="","",IFERROR(INDEX(Cfg_WfPct,MATCH($I53,Cfg_WfList,0)),0))</f>
        <v/>
      </c>
      <c r="U53" s="44" t="str">
        <f aca="true">IF(OR($A53="",$L53=""),"",$L53-TODAY())</f>
        <v/>
      </c>
      <c r="V53" s="42" t="str">
        <f aca="true">IF($A53="","",IF($S53=1,"Approved",IF(AND($L53&lt;&gt;"",TODAY()&gt;$L53),"Overdue",IF(AND($L53&lt;&gt;"",$L53-TODAY()&lt;=Cfg_DocWindow),"Due Soon",IF($I53="Not Started","Not Started","On Track")))))</f>
        <v/>
      </c>
      <c r="W53" s="42" t="str">
        <f aca="false">IF($A53="","",IF(AND($S53=0,$O53&gt;0),$O53+ROW()/1000000,""))</f>
        <v/>
      </c>
    </row>
    <row r="54" customFormat="false" ht="15" hidden="false" customHeight="false" outlineLevel="0" collapsed="false">
      <c r="A54" s="41"/>
      <c r="B54" s="41"/>
      <c r="C54" s="41"/>
      <c r="D54" s="41"/>
      <c r="E54" s="41"/>
      <c r="F54" s="41"/>
      <c r="G54" s="41"/>
      <c r="H54" s="41"/>
      <c r="I54" s="41"/>
      <c r="J54" s="41"/>
      <c r="K54" s="43" t="str">
        <f aca="false">IF($L54="","",$L54-Cfg_ReviewDays)</f>
        <v/>
      </c>
      <c r="L54" s="43" t="str">
        <f aca="false">IF($A54="","",IFERROR(Ctrl_PlannedStart-INDEX(Cfg_LeadDays,MATCH($A54,Cfg_LeadType,0)),""))</f>
        <v/>
      </c>
      <c r="M54" s="38"/>
      <c r="N54" s="38"/>
      <c r="O54" s="44" t="str">
        <f aca="true">IF($A54="","",IF($N54&lt;&gt;"",MAX(0,$N54-$L54),IF(AND($L54&lt;&gt;"",TODAY()&gt;$L54),TODAY()-$L54,0)))</f>
        <v/>
      </c>
      <c r="P54" s="41"/>
      <c r="Q54" s="41"/>
      <c r="S54" s="40" t="str">
        <f aca="false">IF($A54="","",IFERROR(INDEX(Cfg_WfApproved,MATCH($I54,Cfg_WfList,0)),0))</f>
        <v/>
      </c>
      <c r="T54" s="39" t="str">
        <f aca="false">IF($A54="","",IFERROR(INDEX(Cfg_WfPct,MATCH($I54,Cfg_WfList,0)),0))</f>
        <v/>
      </c>
      <c r="U54" s="44" t="str">
        <f aca="true">IF(OR($A54="",$L54=""),"",$L54-TODAY())</f>
        <v/>
      </c>
      <c r="V54" s="42" t="str">
        <f aca="true">IF($A54="","",IF($S54=1,"Approved",IF(AND($L54&lt;&gt;"",TODAY()&gt;$L54),"Overdue",IF(AND($L54&lt;&gt;"",$L54-TODAY()&lt;=Cfg_DocWindow),"Due Soon",IF($I54="Not Started","Not Started","On Track")))))</f>
        <v/>
      </c>
      <c r="W54" s="42" t="str">
        <f aca="false">IF($A54="","",IF(AND($S54=0,$O54&gt;0),$O54+ROW()/1000000,""))</f>
        <v/>
      </c>
    </row>
    <row r="55" customFormat="false" ht="15" hidden="false" customHeight="false" outlineLevel="0" collapsed="false">
      <c r="A55" s="41"/>
      <c r="B55" s="41"/>
      <c r="C55" s="41"/>
      <c r="D55" s="41"/>
      <c r="E55" s="41"/>
      <c r="F55" s="41"/>
      <c r="G55" s="41"/>
      <c r="H55" s="41"/>
      <c r="I55" s="41"/>
      <c r="J55" s="41"/>
      <c r="K55" s="43" t="str">
        <f aca="false">IF($L55="","",$L55-Cfg_ReviewDays)</f>
        <v/>
      </c>
      <c r="L55" s="43" t="str">
        <f aca="false">IF($A55="","",IFERROR(Ctrl_PlannedStart-INDEX(Cfg_LeadDays,MATCH($A55,Cfg_LeadType,0)),""))</f>
        <v/>
      </c>
      <c r="M55" s="38"/>
      <c r="N55" s="38"/>
      <c r="O55" s="44" t="str">
        <f aca="true">IF($A55="","",IF($N55&lt;&gt;"",MAX(0,$N55-$L55),IF(AND($L55&lt;&gt;"",TODAY()&gt;$L55),TODAY()-$L55,0)))</f>
        <v/>
      </c>
      <c r="P55" s="41"/>
      <c r="Q55" s="41"/>
      <c r="S55" s="40" t="str">
        <f aca="false">IF($A55="","",IFERROR(INDEX(Cfg_WfApproved,MATCH($I55,Cfg_WfList,0)),0))</f>
        <v/>
      </c>
      <c r="T55" s="39" t="str">
        <f aca="false">IF($A55="","",IFERROR(INDEX(Cfg_WfPct,MATCH($I55,Cfg_WfList,0)),0))</f>
        <v/>
      </c>
      <c r="U55" s="44" t="str">
        <f aca="true">IF(OR($A55="",$L55=""),"",$L55-TODAY())</f>
        <v/>
      </c>
      <c r="V55" s="42" t="str">
        <f aca="true">IF($A55="","",IF($S55=1,"Approved",IF(AND($L55&lt;&gt;"",TODAY()&gt;$L55),"Overdue",IF(AND($L55&lt;&gt;"",$L55-TODAY()&lt;=Cfg_DocWindow),"Due Soon",IF($I55="Not Started","Not Started","On Track")))))</f>
        <v/>
      </c>
      <c r="W55" s="42" t="str">
        <f aca="false">IF($A55="","",IF(AND($S55=0,$O55&gt;0),$O55+ROW()/1000000,""))</f>
        <v/>
      </c>
    </row>
    <row r="56" customFormat="false" ht="15" hidden="false" customHeight="false" outlineLevel="0" collapsed="false">
      <c r="A56" s="41"/>
      <c r="B56" s="41"/>
      <c r="C56" s="41"/>
      <c r="D56" s="41"/>
      <c r="E56" s="41"/>
      <c r="F56" s="41"/>
      <c r="G56" s="41"/>
      <c r="H56" s="41"/>
      <c r="I56" s="41"/>
      <c r="J56" s="41"/>
      <c r="K56" s="43" t="str">
        <f aca="false">IF($L56="","",$L56-Cfg_ReviewDays)</f>
        <v/>
      </c>
      <c r="L56" s="43" t="str">
        <f aca="false">IF($A56="","",IFERROR(Ctrl_PlannedStart-INDEX(Cfg_LeadDays,MATCH($A56,Cfg_LeadType,0)),""))</f>
        <v/>
      </c>
      <c r="M56" s="38"/>
      <c r="N56" s="38"/>
      <c r="O56" s="44" t="str">
        <f aca="true">IF($A56="","",IF($N56&lt;&gt;"",MAX(0,$N56-$L56),IF(AND($L56&lt;&gt;"",TODAY()&gt;$L56),TODAY()-$L56,0)))</f>
        <v/>
      </c>
      <c r="P56" s="41"/>
      <c r="Q56" s="41"/>
      <c r="S56" s="40" t="str">
        <f aca="false">IF($A56="","",IFERROR(INDEX(Cfg_WfApproved,MATCH($I56,Cfg_WfList,0)),0))</f>
        <v/>
      </c>
      <c r="T56" s="39" t="str">
        <f aca="false">IF($A56="","",IFERROR(INDEX(Cfg_WfPct,MATCH($I56,Cfg_WfList,0)),0))</f>
        <v/>
      </c>
      <c r="U56" s="44" t="str">
        <f aca="true">IF(OR($A56="",$L56=""),"",$L56-TODAY())</f>
        <v/>
      </c>
      <c r="V56" s="42" t="str">
        <f aca="true">IF($A56="","",IF($S56=1,"Approved",IF(AND($L56&lt;&gt;"",TODAY()&gt;$L56),"Overdue",IF(AND($L56&lt;&gt;"",$L56-TODAY()&lt;=Cfg_DocWindow),"Due Soon",IF($I56="Not Started","Not Started","On Track")))))</f>
        <v/>
      </c>
      <c r="W56" s="42" t="str">
        <f aca="false">IF($A56="","",IF(AND($S56=0,$O56&gt;0),$O56+ROW()/1000000,""))</f>
        <v/>
      </c>
    </row>
    <row r="57" customFormat="false" ht="15" hidden="false" customHeight="false" outlineLevel="0" collapsed="false">
      <c r="A57" s="41"/>
      <c r="B57" s="41"/>
      <c r="C57" s="41"/>
      <c r="D57" s="41"/>
      <c r="E57" s="41"/>
      <c r="F57" s="41"/>
      <c r="G57" s="41"/>
      <c r="H57" s="41"/>
      <c r="I57" s="41"/>
      <c r="J57" s="41"/>
      <c r="K57" s="43" t="str">
        <f aca="false">IF($L57="","",$L57-Cfg_ReviewDays)</f>
        <v/>
      </c>
      <c r="L57" s="43" t="str">
        <f aca="false">IF($A57="","",IFERROR(Ctrl_PlannedStart-INDEX(Cfg_LeadDays,MATCH($A57,Cfg_LeadType,0)),""))</f>
        <v/>
      </c>
      <c r="M57" s="38"/>
      <c r="N57" s="38"/>
      <c r="O57" s="44" t="str">
        <f aca="true">IF($A57="","",IF($N57&lt;&gt;"",MAX(0,$N57-$L57),IF(AND($L57&lt;&gt;"",TODAY()&gt;$L57),TODAY()-$L57,0)))</f>
        <v/>
      </c>
      <c r="P57" s="41"/>
      <c r="Q57" s="41"/>
      <c r="S57" s="40" t="str">
        <f aca="false">IF($A57="","",IFERROR(INDEX(Cfg_WfApproved,MATCH($I57,Cfg_WfList,0)),0))</f>
        <v/>
      </c>
      <c r="T57" s="39" t="str">
        <f aca="false">IF($A57="","",IFERROR(INDEX(Cfg_WfPct,MATCH($I57,Cfg_WfList,0)),0))</f>
        <v/>
      </c>
      <c r="U57" s="44" t="str">
        <f aca="true">IF(OR($A57="",$L57=""),"",$L57-TODAY())</f>
        <v/>
      </c>
      <c r="V57" s="42" t="str">
        <f aca="true">IF($A57="","",IF($S57=1,"Approved",IF(AND($L57&lt;&gt;"",TODAY()&gt;$L57),"Overdue",IF(AND($L57&lt;&gt;"",$L57-TODAY()&lt;=Cfg_DocWindow),"Due Soon",IF($I57="Not Started","Not Started","On Track")))))</f>
        <v/>
      </c>
      <c r="W57" s="42" t="str">
        <f aca="false">IF($A57="","",IF(AND($S57=0,$O57&gt;0),$O57+ROW()/1000000,""))</f>
        <v/>
      </c>
    </row>
    <row r="58" customFormat="false" ht="15" hidden="false" customHeight="false" outlineLevel="0" collapsed="false">
      <c r="A58" s="41"/>
      <c r="B58" s="41"/>
      <c r="C58" s="41"/>
      <c r="D58" s="41"/>
      <c r="E58" s="41"/>
      <c r="F58" s="41"/>
      <c r="G58" s="41"/>
      <c r="H58" s="41"/>
      <c r="I58" s="41"/>
      <c r="J58" s="41"/>
      <c r="K58" s="43" t="str">
        <f aca="false">IF($L58="","",$L58-Cfg_ReviewDays)</f>
        <v/>
      </c>
      <c r="L58" s="43" t="str">
        <f aca="false">IF($A58="","",IFERROR(Ctrl_PlannedStart-INDEX(Cfg_LeadDays,MATCH($A58,Cfg_LeadType,0)),""))</f>
        <v/>
      </c>
      <c r="M58" s="38"/>
      <c r="N58" s="38"/>
      <c r="O58" s="44" t="str">
        <f aca="true">IF($A58="","",IF($N58&lt;&gt;"",MAX(0,$N58-$L58),IF(AND($L58&lt;&gt;"",TODAY()&gt;$L58),TODAY()-$L58,0)))</f>
        <v/>
      </c>
      <c r="P58" s="41"/>
      <c r="Q58" s="41"/>
      <c r="S58" s="40" t="str">
        <f aca="false">IF($A58="","",IFERROR(INDEX(Cfg_WfApproved,MATCH($I58,Cfg_WfList,0)),0))</f>
        <v/>
      </c>
      <c r="T58" s="39" t="str">
        <f aca="false">IF($A58="","",IFERROR(INDEX(Cfg_WfPct,MATCH($I58,Cfg_WfList,0)),0))</f>
        <v/>
      </c>
      <c r="U58" s="44" t="str">
        <f aca="true">IF(OR($A58="",$L58=""),"",$L58-TODAY())</f>
        <v/>
      </c>
      <c r="V58" s="42" t="str">
        <f aca="true">IF($A58="","",IF($S58=1,"Approved",IF(AND($L58&lt;&gt;"",TODAY()&gt;$L58),"Overdue",IF(AND($L58&lt;&gt;"",$L58-TODAY()&lt;=Cfg_DocWindow),"Due Soon",IF($I58="Not Started","Not Started","On Track")))))</f>
        <v/>
      </c>
      <c r="W58" s="42" t="str">
        <f aca="false">IF($A58="","",IF(AND($S58=0,$O58&gt;0),$O58+ROW()/1000000,""))</f>
        <v/>
      </c>
    </row>
    <row r="59" customFormat="false" ht="15" hidden="false" customHeight="false" outlineLevel="0" collapsed="false">
      <c r="A59" s="41"/>
      <c r="B59" s="41"/>
      <c r="C59" s="41"/>
      <c r="D59" s="41"/>
      <c r="E59" s="41"/>
      <c r="F59" s="41"/>
      <c r="G59" s="41"/>
      <c r="H59" s="41"/>
      <c r="I59" s="41"/>
      <c r="J59" s="41"/>
      <c r="K59" s="43" t="str">
        <f aca="false">IF($L59="","",$L59-Cfg_ReviewDays)</f>
        <v/>
      </c>
      <c r="L59" s="43" t="str">
        <f aca="false">IF($A59="","",IFERROR(Ctrl_PlannedStart-INDEX(Cfg_LeadDays,MATCH($A59,Cfg_LeadType,0)),""))</f>
        <v/>
      </c>
      <c r="M59" s="38"/>
      <c r="N59" s="38"/>
      <c r="O59" s="44" t="str">
        <f aca="true">IF($A59="","",IF($N59&lt;&gt;"",MAX(0,$N59-$L59),IF(AND($L59&lt;&gt;"",TODAY()&gt;$L59),TODAY()-$L59,0)))</f>
        <v/>
      </c>
      <c r="P59" s="41"/>
      <c r="Q59" s="41"/>
      <c r="S59" s="40" t="str">
        <f aca="false">IF($A59="","",IFERROR(INDEX(Cfg_WfApproved,MATCH($I59,Cfg_WfList,0)),0))</f>
        <v/>
      </c>
      <c r="T59" s="39" t="str">
        <f aca="false">IF($A59="","",IFERROR(INDEX(Cfg_WfPct,MATCH($I59,Cfg_WfList,0)),0))</f>
        <v/>
      </c>
      <c r="U59" s="44" t="str">
        <f aca="true">IF(OR($A59="",$L59=""),"",$L59-TODAY())</f>
        <v/>
      </c>
      <c r="V59" s="42" t="str">
        <f aca="true">IF($A59="","",IF($S59=1,"Approved",IF(AND($L59&lt;&gt;"",TODAY()&gt;$L59),"Overdue",IF(AND($L59&lt;&gt;"",$L59-TODAY()&lt;=Cfg_DocWindow),"Due Soon",IF($I59="Not Started","Not Started","On Track")))))</f>
        <v/>
      </c>
      <c r="W59" s="42" t="str">
        <f aca="false">IF($A59="","",IF(AND($S59=0,$O59&gt;0),$O59+ROW()/1000000,""))</f>
        <v/>
      </c>
    </row>
    <row r="60" customFormat="false" ht="15" hidden="false" customHeight="false" outlineLevel="0" collapsed="false">
      <c r="A60" s="41"/>
      <c r="B60" s="41"/>
      <c r="C60" s="41"/>
      <c r="D60" s="41"/>
      <c r="E60" s="41"/>
      <c r="F60" s="41"/>
      <c r="G60" s="41"/>
      <c r="H60" s="41"/>
      <c r="I60" s="41"/>
      <c r="J60" s="41"/>
      <c r="K60" s="43" t="str">
        <f aca="false">IF($L60="","",$L60-Cfg_ReviewDays)</f>
        <v/>
      </c>
      <c r="L60" s="43" t="str">
        <f aca="false">IF($A60="","",IFERROR(Ctrl_PlannedStart-INDEX(Cfg_LeadDays,MATCH($A60,Cfg_LeadType,0)),""))</f>
        <v/>
      </c>
      <c r="M60" s="38"/>
      <c r="N60" s="38"/>
      <c r="O60" s="44" t="str">
        <f aca="true">IF($A60="","",IF($N60&lt;&gt;"",MAX(0,$N60-$L60),IF(AND($L60&lt;&gt;"",TODAY()&gt;$L60),TODAY()-$L60,0)))</f>
        <v/>
      </c>
      <c r="P60" s="41"/>
      <c r="Q60" s="41"/>
      <c r="S60" s="40" t="str">
        <f aca="false">IF($A60="","",IFERROR(INDEX(Cfg_WfApproved,MATCH($I60,Cfg_WfList,0)),0))</f>
        <v/>
      </c>
      <c r="T60" s="39" t="str">
        <f aca="false">IF($A60="","",IFERROR(INDEX(Cfg_WfPct,MATCH($I60,Cfg_WfList,0)),0))</f>
        <v/>
      </c>
      <c r="U60" s="44" t="str">
        <f aca="true">IF(OR($A60="",$L60=""),"",$L60-TODAY())</f>
        <v/>
      </c>
      <c r="V60" s="42" t="str">
        <f aca="true">IF($A60="","",IF($S60=1,"Approved",IF(AND($L60&lt;&gt;"",TODAY()&gt;$L60),"Overdue",IF(AND($L60&lt;&gt;"",$L60-TODAY()&lt;=Cfg_DocWindow),"Due Soon",IF($I60="Not Started","Not Started","On Track")))))</f>
        <v/>
      </c>
      <c r="W60" s="42" t="str">
        <f aca="false">IF($A60="","",IF(AND($S60=0,$O60&gt;0),$O60+ROW()/1000000,""))</f>
        <v/>
      </c>
    </row>
    <row r="61" customFormat="false" ht="15" hidden="false" customHeight="false" outlineLevel="0" collapsed="false">
      <c r="A61" s="41"/>
      <c r="B61" s="41"/>
      <c r="C61" s="41"/>
      <c r="D61" s="41"/>
      <c r="E61" s="41"/>
      <c r="F61" s="41"/>
      <c r="G61" s="41"/>
      <c r="H61" s="41"/>
      <c r="I61" s="41"/>
      <c r="J61" s="41"/>
      <c r="K61" s="43" t="str">
        <f aca="false">IF($L61="","",$L61-Cfg_ReviewDays)</f>
        <v/>
      </c>
      <c r="L61" s="43" t="str">
        <f aca="false">IF($A61="","",IFERROR(Ctrl_PlannedStart-INDEX(Cfg_LeadDays,MATCH($A61,Cfg_LeadType,0)),""))</f>
        <v/>
      </c>
      <c r="M61" s="38"/>
      <c r="N61" s="38"/>
      <c r="O61" s="44" t="str">
        <f aca="true">IF($A61="","",IF($N61&lt;&gt;"",MAX(0,$N61-$L61),IF(AND($L61&lt;&gt;"",TODAY()&gt;$L61),TODAY()-$L61,0)))</f>
        <v/>
      </c>
      <c r="P61" s="41"/>
      <c r="Q61" s="41"/>
      <c r="S61" s="40" t="str">
        <f aca="false">IF($A61="","",IFERROR(INDEX(Cfg_WfApproved,MATCH($I61,Cfg_WfList,0)),0))</f>
        <v/>
      </c>
      <c r="T61" s="39" t="str">
        <f aca="false">IF($A61="","",IFERROR(INDEX(Cfg_WfPct,MATCH($I61,Cfg_WfList,0)),0))</f>
        <v/>
      </c>
      <c r="U61" s="44" t="str">
        <f aca="true">IF(OR($A61="",$L61=""),"",$L61-TODAY())</f>
        <v/>
      </c>
      <c r="V61" s="42" t="str">
        <f aca="true">IF($A61="","",IF($S61=1,"Approved",IF(AND($L61&lt;&gt;"",TODAY()&gt;$L61),"Overdue",IF(AND($L61&lt;&gt;"",$L61-TODAY()&lt;=Cfg_DocWindow),"Due Soon",IF($I61="Not Started","Not Started","On Track")))))</f>
        <v/>
      </c>
      <c r="W61" s="42" t="str">
        <f aca="false">IF($A61="","",IF(AND($S61=0,$O61&gt;0),$O61+ROW()/1000000,""))</f>
        <v/>
      </c>
    </row>
    <row r="62" customFormat="false" ht="15" hidden="false" customHeight="false" outlineLevel="0" collapsed="false">
      <c r="A62" s="41"/>
      <c r="B62" s="41"/>
      <c r="C62" s="41"/>
      <c r="D62" s="41"/>
      <c r="E62" s="41"/>
      <c r="F62" s="41"/>
      <c r="G62" s="41"/>
      <c r="H62" s="41"/>
      <c r="I62" s="41"/>
      <c r="J62" s="41"/>
      <c r="K62" s="43" t="str">
        <f aca="false">IF($L62="","",$L62-Cfg_ReviewDays)</f>
        <v/>
      </c>
      <c r="L62" s="43" t="str">
        <f aca="false">IF($A62="","",IFERROR(Ctrl_PlannedStart-INDEX(Cfg_LeadDays,MATCH($A62,Cfg_LeadType,0)),""))</f>
        <v/>
      </c>
      <c r="M62" s="38"/>
      <c r="N62" s="38"/>
      <c r="O62" s="44" t="str">
        <f aca="true">IF($A62="","",IF($N62&lt;&gt;"",MAX(0,$N62-$L62),IF(AND($L62&lt;&gt;"",TODAY()&gt;$L62),TODAY()-$L62,0)))</f>
        <v/>
      </c>
      <c r="P62" s="41"/>
      <c r="Q62" s="41"/>
      <c r="S62" s="40" t="str">
        <f aca="false">IF($A62="","",IFERROR(INDEX(Cfg_WfApproved,MATCH($I62,Cfg_WfList,0)),0))</f>
        <v/>
      </c>
      <c r="T62" s="39" t="str">
        <f aca="false">IF($A62="","",IFERROR(INDEX(Cfg_WfPct,MATCH($I62,Cfg_WfList,0)),0))</f>
        <v/>
      </c>
      <c r="U62" s="44" t="str">
        <f aca="true">IF(OR($A62="",$L62=""),"",$L62-TODAY())</f>
        <v/>
      </c>
      <c r="V62" s="42" t="str">
        <f aca="true">IF($A62="","",IF($S62=1,"Approved",IF(AND($L62&lt;&gt;"",TODAY()&gt;$L62),"Overdue",IF(AND($L62&lt;&gt;"",$L62-TODAY()&lt;=Cfg_DocWindow),"Due Soon",IF($I62="Not Started","Not Started","On Track")))))</f>
        <v/>
      </c>
      <c r="W62" s="42" t="str">
        <f aca="false">IF($A62="","",IF(AND($S62=0,$O62&gt;0),$O62+ROW()/1000000,""))</f>
        <v/>
      </c>
    </row>
    <row r="63" customFormat="false" ht="15" hidden="false" customHeight="false" outlineLevel="0" collapsed="false">
      <c r="A63" s="41"/>
      <c r="B63" s="41"/>
      <c r="C63" s="41"/>
      <c r="D63" s="41"/>
      <c r="E63" s="41"/>
      <c r="F63" s="41"/>
      <c r="G63" s="41"/>
      <c r="H63" s="41"/>
      <c r="I63" s="41"/>
      <c r="J63" s="41"/>
      <c r="K63" s="43" t="str">
        <f aca="false">IF($L63="","",$L63-Cfg_ReviewDays)</f>
        <v/>
      </c>
      <c r="L63" s="43" t="str">
        <f aca="false">IF($A63="","",IFERROR(Ctrl_PlannedStart-INDEX(Cfg_LeadDays,MATCH($A63,Cfg_LeadType,0)),""))</f>
        <v/>
      </c>
      <c r="M63" s="38"/>
      <c r="N63" s="38"/>
      <c r="O63" s="44" t="str">
        <f aca="true">IF($A63="","",IF($N63&lt;&gt;"",MAX(0,$N63-$L63),IF(AND($L63&lt;&gt;"",TODAY()&gt;$L63),TODAY()-$L63,0)))</f>
        <v/>
      </c>
      <c r="P63" s="41"/>
      <c r="Q63" s="41"/>
      <c r="S63" s="40" t="str">
        <f aca="false">IF($A63="","",IFERROR(INDEX(Cfg_WfApproved,MATCH($I63,Cfg_WfList,0)),0))</f>
        <v/>
      </c>
      <c r="T63" s="39" t="str">
        <f aca="false">IF($A63="","",IFERROR(INDEX(Cfg_WfPct,MATCH($I63,Cfg_WfList,0)),0))</f>
        <v/>
      </c>
      <c r="U63" s="44" t="str">
        <f aca="true">IF(OR($A63="",$L63=""),"",$L63-TODAY())</f>
        <v/>
      </c>
      <c r="V63" s="42" t="str">
        <f aca="true">IF($A63="","",IF($S63=1,"Approved",IF(AND($L63&lt;&gt;"",TODAY()&gt;$L63),"Overdue",IF(AND($L63&lt;&gt;"",$L63-TODAY()&lt;=Cfg_DocWindow),"Due Soon",IF($I63="Not Started","Not Started","On Track")))))</f>
        <v/>
      </c>
      <c r="W63" s="42" t="str">
        <f aca="false">IF($A63="","",IF(AND($S63=0,$O63&gt;0),$O63+ROW()/1000000,""))</f>
        <v/>
      </c>
    </row>
    <row r="64" customFormat="false" ht="15" hidden="false" customHeight="false" outlineLevel="0" collapsed="false">
      <c r="A64" s="41"/>
      <c r="B64" s="41"/>
      <c r="C64" s="41"/>
      <c r="D64" s="41"/>
      <c r="E64" s="41"/>
      <c r="F64" s="41"/>
      <c r="G64" s="41"/>
      <c r="H64" s="41"/>
      <c r="I64" s="41"/>
      <c r="J64" s="41"/>
      <c r="K64" s="43" t="str">
        <f aca="false">IF($L64="","",$L64-Cfg_ReviewDays)</f>
        <v/>
      </c>
      <c r="L64" s="43" t="str">
        <f aca="false">IF($A64="","",IFERROR(Ctrl_PlannedStart-INDEX(Cfg_LeadDays,MATCH($A64,Cfg_LeadType,0)),""))</f>
        <v/>
      </c>
      <c r="M64" s="38"/>
      <c r="N64" s="38"/>
      <c r="O64" s="44" t="str">
        <f aca="true">IF($A64="","",IF($N64&lt;&gt;"",MAX(0,$N64-$L64),IF(AND($L64&lt;&gt;"",TODAY()&gt;$L64),TODAY()-$L64,0)))</f>
        <v/>
      </c>
      <c r="P64" s="41"/>
      <c r="Q64" s="41"/>
      <c r="S64" s="40" t="str">
        <f aca="false">IF($A64="","",IFERROR(INDEX(Cfg_WfApproved,MATCH($I64,Cfg_WfList,0)),0))</f>
        <v/>
      </c>
      <c r="T64" s="39" t="str">
        <f aca="false">IF($A64="","",IFERROR(INDEX(Cfg_WfPct,MATCH($I64,Cfg_WfList,0)),0))</f>
        <v/>
      </c>
      <c r="U64" s="44" t="str">
        <f aca="true">IF(OR($A64="",$L64=""),"",$L64-TODAY())</f>
        <v/>
      </c>
      <c r="V64" s="42" t="str">
        <f aca="true">IF($A64="","",IF($S64=1,"Approved",IF(AND($L64&lt;&gt;"",TODAY()&gt;$L64),"Overdue",IF(AND($L64&lt;&gt;"",$L64-TODAY()&lt;=Cfg_DocWindow),"Due Soon",IF($I64="Not Started","Not Started","On Track")))))</f>
        <v/>
      </c>
      <c r="W64" s="42" t="str">
        <f aca="false">IF($A64="","",IF(AND($S64=0,$O64&gt;0),$O64+ROW()/1000000,""))</f>
        <v/>
      </c>
    </row>
    <row r="65" customFormat="false" ht="15" hidden="false" customHeight="false" outlineLevel="0" collapsed="false">
      <c r="A65" s="41"/>
      <c r="B65" s="41"/>
      <c r="C65" s="41"/>
      <c r="D65" s="41"/>
      <c r="E65" s="41"/>
      <c r="F65" s="41"/>
      <c r="G65" s="41"/>
      <c r="H65" s="41"/>
      <c r="I65" s="41"/>
      <c r="J65" s="41"/>
      <c r="K65" s="43" t="str">
        <f aca="false">IF($L65="","",$L65-Cfg_ReviewDays)</f>
        <v/>
      </c>
      <c r="L65" s="43" t="str">
        <f aca="false">IF($A65="","",IFERROR(Ctrl_PlannedStart-INDEX(Cfg_LeadDays,MATCH($A65,Cfg_LeadType,0)),""))</f>
        <v/>
      </c>
      <c r="M65" s="38"/>
      <c r="N65" s="38"/>
      <c r="O65" s="44" t="str">
        <f aca="true">IF($A65="","",IF($N65&lt;&gt;"",MAX(0,$N65-$L65),IF(AND($L65&lt;&gt;"",TODAY()&gt;$L65),TODAY()-$L65,0)))</f>
        <v/>
      </c>
      <c r="P65" s="41"/>
      <c r="Q65" s="41"/>
      <c r="S65" s="40" t="str">
        <f aca="false">IF($A65="","",IFERROR(INDEX(Cfg_WfApproved,MATCH($I65,Cfg_WfList,0)),0))</f>
        <v/>
      </c>
      <c r="T65" s="39" t="str">
        <f aca="false">IF($A65="","",IFERROR(INDEX(Cfg_WfPct,MATCH($I65,Cfg_WfList,0)),0))</f>
        <v/>
      </c>
      <c r="U65" s="44" t="str">
        <f aca="true">IF(OR($A65="",$L65=""),"",$L65-TODAY())</f>
        <v/>
      </c>
      <c r="V65" s="42" t="str">
        <f aca="true">IF($A65="","",IF($S65=1,"Approved",IF(AND($L65&lt;&gt;"",TODAY()&gt;$L65),"Overdue",IF(AND($L65&lt;&gt;"",$L65-TODAY()&lt;=Cfg_DocWindow),"Due Soon",IF($I65="Not Started","Not Started","On Track")))))</f>
        <v/>
      </c>
      <c r="W65" s="42" t="str">
        <f aca="false">IF($A65="","",IF(AND($S65=0,$O65&gt;0),$O65+ROW()/1000000,""))</f>
        <v/>
      </c>
    </row>
    <row r="66" customFormat="false" ht="15" hidden="false" customHeight="false" outlineLevel="0" collapsed="false">
      <c r="A66" s="41"/>
      <c r="B66" s="41"/>
      <c r="C66" s="41"/>
      <c r="D66" s="41"/>
      <c r="E66" s="41"/>
      <c r="F66" s="41"/>
      <c r="G66" s="41"/>
      <c r="H66" s="41"/>
      <c r="I66" s="41"/>
      <c r="J66" s="41"/>
      <c r="K66" s="43" t="str">
        <f aca="false">IF($L66="","",$L66-Cfg_ReviewDays)</f>
        <v/>
      </c>
      <c r="L66" s="43" t="str">
        <f aca="false">IF($A66="","",IFERROR(Ctrl_PlannedStart-INDEX(Cfg_LeadDays,MATCH($A66,Cfg_LeadType,0)),""))</f>
        <v/>
      </c>
      <c r="M66" s="38"/>
      <c r="N66" s="38"/>
      <c r="O66" s="44" t="str">
        <f aca="true">IF($A66="","",IF($N66&lt;&gt;"",MAX(0,$N66-$L66),IF(AND($L66&lt;&gt;"",TODAY()&gt;$L66),TODAY()-$L66,0)))</f>
        <v/>
      </c>
      <c r="P66" s="41"/>
      <c r="Q66" s="41"/>
      <c r="S66" s="40" t="str">
        <f aca="false">IF($A66="","",IFERROR(INDEX(Cfg_WfApproved,MATCH($I66,Cfg_WfList,0)),0))</f>
        <v/>
      </c>
      <c r="T66" s="39" t="str">
        <f aca="false">IF($A66="","",IFERROR(INDEX(Cfg_WfPct,MATCH($I66,Cfg_WfList,0)),0))</f>
        <v/>
      </c>
      <c r="U66" s="44" t="str">
        <f aca="true">IF(OR($A66="",$L66=""),"",$L66-TODAY())</f>
        <v/>
      </c>
      <c r="V66" s="42" t="str">
        <f aca="true">IF($A66="","",IF($S66=1,"Approved",IF(AND($L66&lt;&gt;"",TODAY()&gt;$L66),"Overdue",IF(AND($L66&lt;&gt;"",$L66-TODAY()&lt;=Cfg_DocWindow),"Due Soon",IF($I66="Not Started","Not Started","On Track")))))</f>
        <v/>
      </c>
      <c r="W66" s="42" t="str">
        <f aca="false">IF($A66="","",IF(AND($S66=0,$O66&gt;0),$O66+ROW()/1000000,""))</f>
        <v/>
      </c>
    </row>
    <row r="67" customFormat="false" ht="15" hidden="false" customHeight="false" outlineLevel="0" collapsed="false">
      <c r="A67" s="41"/>
      <c r="B67" s="41"/>
      <c r="C67" s="41"/>
      <c r="D67" s="41"/>
      <c r="E67" s="41"/>
      <c r="F67" s="41"/>
      <c r="G67" s="41"/>
      <c r="H67" s="41"/>
      <c r="I67" s="41"/>
      <c r="J67" s="41"/>
      <c r="K67" s="43" t="str">
        <f aca="false">IF($L67="","",$L67-Cfg_ReviewDays)</f>
        <v/>
      </c>
      <c r="L67" s="43" t="str">
        <f aca="false">IF($A67="","",IFERROR(Ctrl_PlannedStart-INDEX(Cfg_LeadDays,MATCH($A67,Cfg_LeadType,0)),""))</f>
        <v/>
      </c>
      <c r="M67" s="38"/>
      <c r="N67" s="38"/>
      <c r="O67" s="44" t="str">
        <f aca="true">IF($A67="","",IF($N67&lt;&gt;"",MAX(0,$N67-$L67),IF(AND($L67&lt;&gt;"",TODAY()&gt;$L67),TODAY()-$L67,0)))</f>
        <v/>
      </c>
      <c r="P67" s="41"/>
      <c r="Q67" s="41"/>
      <c r="S67" s="40" t="str">
        <f aca="false">IF($A67="","",IFERROR(INDEX(Cfg_WfApproved,MATCH($I67,Cfg_WfList,0)),0))</f>
        <v/>
      </c>
      <c r="T67" s="39" t="str">
        <f aca="false">IF($A67="","",IFERROR(INDEX(Cfg_WfPct,MATCH($I67,Cfg_WfList,0)),0))</f>
        <v/>
      </c>
      <c r="U67" s="44" t="str">
        <f aca="true">IF(OR($A67="",$L67=""),"",$L67-TODAY())</f>
        <v/>
      </c>
      <c r="V67" s="42" t="str">
        <f aca="true">IF($A67="","",IF($S67=1,"Approved",IF(AND($L67&lt;&gt;"",TODAY()&gt;$L67),"Overdue",IF(AND($L67&lt;&gt;"",$L67-TODAY()&lt;=Cfg_DocWindow),"Due Soon",IF($I67="Not Started","Not Started","On Track")))))</f>
        <v/>
      </c>
      <c r="W67" s="42" t="str">
        <f aca="false">IF($A67="","",IF(AND($S67=0,$O67&gt;0),$O67+ROW()/1000000,""))</f>
        <v/>
      </c>
    </row>
    <row r="68" customFormat="false" ht="15" hidden="false" customHeight="false" outlineLevel="0" collapsed="false">
      <c r="A68" s="41"/>
      <c r="B68" s="41"/>
      <c r="C68" s="41"/>
      <c r="D68" s="41"/>
      <c r="E68" s="41"/>
      <c r="F68" s="41"/>
      <c r="G68" s="41"/>
      <c r="H68" s="41"/>
      <c r="I68" s="41"/>
      <c r="J68" s="41"/>
      <c r="K68" s="43" t="str">
        <f aca="false">IF($L68="","",$L68-Cfg_ReviewDays)</f>
        <v/>
      </c>
      <c r="L68" s="43" t="str">
        <f aca="false">IF($A68="","",IFERROR(Ctrl_PlannedStart-INDEX(Cfg_LeadDays,MATCH($A68,Cfg_LeadType,0)),""))</f>
        <v/>
      </c>
      <c r="M68" s="38"/>
      <c r="N68" s="38"/>
      <c r="O68" s="44" t="str">
        <f aca="true">IF($A68="","",IF($N68&lt;&gt;"",MAX(0,$N68-$L68),IF(AND($L68&lt;&gt;"",TODAY()&gt;$L68),TODAY()-$L68,0)))</f>
        <v/>
      </c>
      <c r="P68" s="41"/>
      <c r="Q68" s="41"/>
      <c r="S68" s="40" t="str">
        <f aca="false">IF($A68="","",IFERROR(INDEX(Cfg_WfApproved,MATCH($I68,Cfg_WfList,0)),0))</f>
        <v/>
      </c>
      <c r="T68" s="39" t="str">
        <f aca="false">IF($A68="","",IFERROR(INDEX(Cfg_WfPct,MATCH($I68,Cfg_WfList,0)),0))</f>
        <v/>
      </c>
      <c r="U68" s="44" t="str">
        <f aca="true">IF(OR($A68="",$L68=""),"",$L68-TODAY())</f>
        <v/>
      </c>
      <c r="V68" s="42" t="str">
        <f aca="true">IF($A68="","",IF($S68=1,"Approved",IF(AND($L68&lt;&gt;"",TODAY()&gt;$L68),"Overdue",IF(AND($L68&lt;&gt;"",$L68-TODAY()&lt;=Cfg_DocWindow),"Due Soon",IF($I68="Not Started","Not Started","On Track")))))</f>
        <v/>
      </c>
      <c r="W68" s="42" t="str">
        <f aca="false">IF($A68="","",IF(AND($S68=0,$O68&gt;0),$O68+ROW()/1000000,""))</f>
        <v/>
      </c>
    </row>
    <row r="69" customFormat="false" ht="15" hidden="false" customHeight="false" outlineLevel="0" collapsed="false">
      <c r="A69" s="41"/>
      <c r="B69" s="41"/>
      <c r="C69" s="41"/>
      <c r="D69" s="41"/>
      <c r="E69" s="41"/>
      <c r="F69" s="41"/>
      <c r="G69" s="41"/>
      <c r="H69" s="41"/>
      <c r="I69" s="41"/>
      <c r="J69" s="41"/>
      <c r="K69" s="43" t="str">
        <f aca="false">IF($L69="","",$L69-Cfg_ReviewDays)</f>
        <v/>
      </c>
      <c r="L69" s="43" t="str">
        <f aca="false">IF($A69="","",IFERROR(Ctrl_PlannedStart-INDEX(Cfg_LeadDays,MATCH($A69,Cfg_LeadType,0)),""))</f>
        <v/>
      </c>
      <c r="M69" s="38"/>
      <c r="N69" s="38"/>
      <c r="O69" s="44" t="str">
        <f aca="true">IF($A69="","",IF($N69&lt;&gt;"",MAX(0,$N69-$L69),IF(AND($L69&lt;&gt;"",TODAY()&gt;$L69),TODAY()-$L69,0)))</f>
        <v/>
      </c>
      <c r="P69" s="41"/>
      <c r="Q69" s="41"/>
      <c r="S69" s="40" t="str">
        <f aca="false">IF($A69="","",IFERROR(INDEX(Cfg_WfApproved,MATCH($I69,Cfg_WfList,0)),0))</f>
        <v/>
      </c>
      <c r="T69" s="39" t="str">
        <f aca="false">IF($A69="","",IFERROR(INDEX(Cfg_WfPct,MATCH($I69,Cfg_WfList,0)),0))</f>
        <v/>
      </c>
      <c r="U69" s="44" t="str">
        <f aca="true">IF(OR($A69="",$L69=""),"",$L69-TODAY())</f>
        <v/>
      </c>
      <c r="V69" s="42" t="str">
        <f aca="true">IF($A69="","",IF($S69=1,"Approved",IF(AND($L69&lt;&gt;"",TODAY()&gt;$L69),"Overdue",IF(AND($L69&lt;&gt;"",$L69-TODAY()&lt;=Cfg_DocWindow),"Due Soon",IF($I69="Not Started","Not Started","On Track")))))</f>
        <v/>
      </c>
      <c r="W69" s="42" t="str">
        <f aca="false">IF($A69="","",IF(AND($S69=0,$O69&gt;0),$O69+ROW()/1000000,""))</f>
        <v/>
      </c>
    </row>
    <row r="70" customFormat="false" ht="15" hidden="false" customHeight="false" outlineLevel="0" collapsed="false">
      <c r="A70" s="41"/>
      <c r="B70" s="41"/>
      <c r="C70" s="41"/>
      <c r="D70" s="41"/>
      <c r="E70" s="41"/>
      <c r="F70" s="41"/>
      <c r="G70" s="41"/>
      <c r="H70" s="41"/>
      <c r="I70" s="41"/>
      <c r="J70" s="41"/>
      <c r="K70" s="43" t="str">
        <f aca="false">IF($L70="","",$L70-Cfg_ReviewDays)</f>
        <v/>
      </c>
      <c r="L70" s="43" t="str">
        <f aca="false">IF($A70="","",IFERROR(Ctrl_PlannedStart-INDEX(Cfg_LeadDays,MATCH($A70,Cfg_LeadType,0)),""))</f>
        <v/>
      </c>
      <c r="M70" s="38"/>
      <c r="N70" s="38"/>
      <c r="O70" s="44" t="str">
        <f aca="true">IF($A70="","",IF($N70&lt;&gt;"",MAX(0,$N70-$L70),IF(AND($L70&lt;&gt;"",TODAY()&gt;$L70),TODAY()-$L70,0)))</f>
        <v/>
      </c>
      <c r="P70" s="41"/>
      <c r="Q70" s="41"/>
      <c r="S70" s="40" t="str">
        <f aca="false">IF($A70="","",IFERROR(INDEX(Cfg_WfApproved,MATCH($I70,Cfg_WfList,0)),0))</f>
        <v/>
      </c>
      <c r="T70" s="39" t="str">
        <f aca="false">IF($A70="","",IFERROR(INDEX(Cfg_WfPct,MATCH($I70,Cfg_WfList,0)),0))</f>
        <v/>
      </c>
      <c r="U70" s="44" t="str">
        <f aca="true">IF(OR($A70="",$L70=""),"",$L70-TODAY())</f>
        <v/>
      </c>
      <c r="V70" s="42" t="str">
        <f aca="true">IF($A70="","",IF($S70=1,"Approved",IF(AND($L70&lt;&gt;"",TODAY()&gt;$L70),"Overdue",IF(AND($L70&lt;&gt;"",$L70-TODAY()&lt;=Cfg_DocWindow),"Due Soon",IF($I70="Not Started","Not Started","On Track")))))</f>
        <v/>
      </c>
      <c r="W70" s="42" t="str">
        <f aca="false">IF($A70="","",IF(AND($S70=0,$O70&gt;0),$O70+ROW()/1000000,""))</f>
        <v/>
      </c>
    </row>
    <row r="71" customFormat="false" ht="15" hidden="false" customHeight="false" outlineLevel="0" collapsed="false">
      <c r="A71" s="41"/>
      <c r="B71" s="41"/>
      <c r="C71" s="41"/>
      <c r="D71" s="41"/>
      <c r="E71" s="41"/>
      <c r="F71" s="41"/>
      <c r="G71" s="41"/>
      <c r="H71" s="41"/>
      <c r="I71" s="41"/>
      <c r="J71" s="41"/>
      <c r="K71" s="43" t="str">
        <f aca="false">IF($L71="","",$L71-Cfg_ReviewDays)</f>
        <v/>
      </c>
      <c r="L71" s="43" t="str">
        <f aca="false">IF($A71="","",IFERROR(Ctrl_PlannedStart-INDEX(Cfg_LeadDays,MATCH($A71,Cfg_LeadType,0)),""))</f>
        <v/>
      </c>
      <c r="M71" s="38"/>
      <c r="N71" s="38"/>
      <c r="O71" s="44" t="str">
        <f aca="true">IF($A71="","",IF($N71&lt;&gt;"",MAX(0,$N71-$L71),IF(AND($L71&lt;&gt;"",TODAY()&gt;$L71),TODAY()-$L71,0)))</f>
        <v/>
      </c>
      <c r="P71" s="41"/>
      <c r="Q71" s="41"/>
      <c r="S71" s="40" t="str">
        <f aca="false">IF($A71="","",IFERROR(INDEX(Cfg_WfApproved,MATCH($I71,Cfg_WfList,0)),0))</f>
        <v/>
      </c>
      <c r="T71" s="39" t="str">
        <f aca="false">IF($A71="","",IFERROR(INDEX(Cfg_WfPct,MATCH($I71,Cfg_WfList,0)),0))</f>
        <v/>
      </c>
      <c r="U71" s="44" t="str">
        <f aca="true">IF(OR($A71="",$L71=""),"",$L71-TODAY())</f>
        <v/>
      </c>
      <c r="V71" s="42" t="str">
        <f aca="true">IF($A71="","",IF($S71=1,"Approved",IF(AND($L71&lt;&gt;"",TODAY()&gt;$L71),"Overdue",IF(AND($L71&lt;&gt;"",$L71-TODAY()&lt;=Cfg_DocWindow),"Due Soon",IF($I71="Not Started","Not Started","On Track")))))</f>
        <v/>
      </c>
      <c r="W71" s="42" t="str">
        <f aca="false">IF($A71="","",IF(AND($S71=0,$O71&gt;0),$O71+ROW()/1000000,""))</f>
        <v/>
      </c>
    </row>
    <row r="72" customFormat="false" ht="15" hidden="false" customHeight="false" outlineLevel="0" collapsed="false">
      <c r="A72" s="41"/>
      <c r="B72" s="41"/>
      <c r="C72" s="41"/>
      <c r="D72" s="41"/>
      <c r="E72" s="41"/>
      <c r="F72" s="41"/>
      <c r="G72" s="41"/>
      <c r="H72" s="41"/>
      <c r="I72" s="41"/>
      <c r="J72" s="41"/>
      <c r="K72" s="43" t="str">
        <f aca="false">IF($L72="","",$L72-Cfg_ReviewDays)</f>
        <v/>
      </c>
      <c r="L72" s="43" t="str">
        <f aca="false">IF($A72="","",IFERROR(Ctrl_PlannedStart-INDEX(Cfg_LeadDays,MATCH($A72,Cfg_LeadType,0)),""))</f>
        <v/>
      </c>
      <c r="M72" s="38"/>
      <c r="N72" s="38"/>
      <c r="O72" s="44" t="str">
        <f aca="true">IF($A72="","",IF($N72&lt;&gt;"",MAX(0,$N72-$L72),IF(AND($L72&lt;&gt;"",TODAY()&gt;$L72),TODAY()-$L72,0)))</f>
        <v/>
      </c>
      <c r="P72" s="41"/>
      <c r="Q72" s="41"/>
      <c r="S72" s="40" t="str">
        <f aca="false">IF($A72="","",IFERROR(INDEX(Cfg_WfApproved,MATCH($I72,Cfg_WfList,0)),0))</f>
        <v/>
      </c>
      <c r="T72" s="39" t="str">
        <f aca="false">IF($A72="","",IFERROR(INDEX(Cfg_WfPct,MATCH($I72,Cfg_WfList,0)),0))</f>
        <v/>
      </c>
      <c r="U72" s="44" t="str">
        <f aca="true">IF(OR($A72="",$L72=""),"",$L72-TODAY())</f>
        <v/>
      </c>
      <c r="V72" s="42" t="str">
        <f aca="true">IF($A72="","",IF($S72=1,"Approved",IF(AND($L72&lt;&gt;"",TODAY()&gt;$L72),"Overdue",IF(AND($L72&lt;&gt;"",$L72-TODAY()&lt;=Cfg_DocWindow),"Due Soon",IF($I72="Not Started","Not Started","On Track")))))</f>
        <v/>
      </c>
      <c r="W72" s="42" t="str">
        <f aca="false">IF($A72="","",IF(AND($S72=0,$O72&gt;0),$O72+ROW()/1000000,""))</f>
        <v/>
      </c>
    </row>
    <row r="73" customFormat="false" ht="15" hidden="false" customHeight="false" outlineLevel="0" collapsed="false">
      <c r="A73" s="41"/>
      <c r="B73" s="41"/>
      <c r="C73" s="41"/>
      <c r="D73" s="41"/>
      <c r="E73" s="41"/>
      <c r="F73" s="41"/>
      <c r="G73" s="41"/>
      <c r="H73" s="41"/>
      <c r="I73" s="41"/>
      <c r="J73" s="41"/>
      <c r="K73" s="43" t="str">
        <f aca="false">IF($L73="","",$L73-Cfg_ReviewDays)</f>
        <v/>
      </c>
      <c r="L73" s="43" t="str">
        <f aca="false">IF($A73="","",IFERROR(Ctrl_PlannedStart-INDEX(Cfg_LeadDays,MATCH($A73,Cfg_LeadType,0)),""))</f>
        <v/>
      </c>
      <c r="M73" s="38"/>
      <c r="N73" s="38"/>
      <c r="O73" s="44" t="str">
        <f aca="true">IF($A73="","",IF($N73&lt;&gt;"",MAX(0,$N73-$L73),IF(AND($L73&lt;&gt;"",TODAY()&gt;$L73),TODAY()-$L73,0)))</f>
        <v/>
      </c>
      <c r="P73" s="41"/>
      <c r="Q73" s="41"/>
      <c r="S73" s="40" t="str">
        <f aca="false">IF($A73="","",IFERROR(INDEX(Cfg_WfApproved,MATCH($I73,Cfg_WfList,0)),0))</f>
        <v/>
      </c>
      <c r="T73" s="39" t="str">
        <f aca="false">IF($A73="","",IFERROR(INDEX(Cfg_WfPct,MATCH($I73,Cfg_WfList,0)),0))</f>
        <v/>
      </c>
      <c r="U73" s="44" t="str">
        <f aca="true">IF(OR($A73="",$L73=""),"",$L73-TODAY())</f>
        <v/>
      </c>
      <c r="V73" s="42" t="str">
        <f aca="true">IF($A73="","",IF($S73=1,"Approved",IF(AND($L73&lt;&gt;"",TODAY()&gt;$L73),"Overdue",IF(AND($L73&lt;&gt;"",$L73-TODAY()&lt;=Cfg_DocWindow),"Due Soon",IF($I73="Not Started","Not Started","On Track")))))</f>
        <v/>
      </c>
      <c r="W73" s="42" t="str">
        <f aca="false">IF($A73="","",IF(AND($S73=0,$O73&gt;0),$O73+ROW()/1000000,""))</f>
        <v/>
      </c>
    </row>
    <row r="74" customFormat="false" ht="15" hidden="false" customHeight="false" outlineLevel="0" collapsed="false">
      <c r="A74" s="41"/>
      <c r="B74" s="41"/>
      <c r="C74" s="41"/>
      <c r="D74" s="41"/>
      <c r="E74" s="41"/>
      <c r="F74" s="41"/>
      <c r="G74" s="41"/>
      <c r="H74" s="41"/>
      <c r="I74" s="41"/>
      <c r="J74" s="41"/>
      <c r="K74" s="43" t="str">
        <f aca="false">IF($L74="","",$L74-Cfg_ReviewDays)</f>
        <v/>
      </c>
      <c r="L74" s="43" t="str">
        <f aca="false">IF($A74="","",IFERROR(Ctrl_PlannedStart-INDEX(Cfg_LeadDays,MATCH($A74,Cfg_LeadType,0)),""))</f>
        <v/>
      </c>
      <c r="M74" s="38"/>
      <c r="N74" s="38"/>
      <c r="O74" s="44" t="str">
        <f aca="true">IF($A74="","",IF($N74&lt;&gt;"",MAX(0,$N74-$L74),IF(AND($L74&lt;&gt;"",TODAY()&gt;$L74),TODAY()-$L74,0)))</f>
        <v/>
      </c>
      <c r="P74" s="41"/>
      <c r="Q74" s="41"/>
      <c r="S74" s="40" t="str">
        <f aca="false">IF($A74="","",IFERROR(INDEX(Cfg_WfApproved,MATCH($I74,Cfg_WfList,0)),0))</f>
        <v/>
      </c>
      <c r="T74" s="39" t="str">
        <f aca="false">IF($A74="","",IFERROR(INDEX(Cfg_WfPct,MATCH($I74,Cfg_WfList,0)),0))</f>
        <v/>
      </c>
      <c r="U74" s="44" t="str">
        <f aca="true">IF(OR($A74="",$L74=""),"",$L74-TODAY())</f>
        <v/>
      </c>
      <c r="V74" s="42" t="str">
        <f aca="true">IF($A74="","",IF($S74=1,"Approved",IF(AND($L74&lt;&gt;"",TODAY()&gt;$L74),"Overdue",IF(AND($L74&lt;&gt;"",$L74-TODAY()&lt;=Cfg_DocWindow),"Due Soon",IF($I74="Not Started","Not Started","On Track")))))</f>
        <v/>
      </c>
      <c r="W74" s="42" t="str">
        <f aca="false">IF($A74="","",IF(AND($S74=0,$O74&gt;0),$O74+ROW()/1000000,""))</f>
        <v/>
      </c>
    </row>
    <row r="75" customFormat="false" ht="15" hidden="false" customHeight="false" outlineLevel="0" collapsed="false">
      <c r="A75" s="41"/>
      <c r="B75" s="41"/>
      <c r="C75" s="41"/>
      <c r="D75" s="41"/>
      <c r="E75" s="41"/>
      <c r="F75" s="41"/>
      <c r="G75" s="41"/>
      <c r="H75" s="41"/>
      <c r="I75" s="41"/>
      <c r="J75" s="41"/>
      <c r="K75" s="43" t="str">
        <f aca="false">IF($L75="","",$L75-Cfg_ReviewDays)</f>
        <v/>
      </c>
      <c r="L75" s="43" t="str">
        <f aca="false">IF($A75="","",IFERROR(Ctrl_PlannedStart-INDEX(Cfg_LeadDays,MATCH($A75,Cfg_LeadType,0)),""))</f>
        <v/>
      </c>
      <c r="M75" s="38"/>
      <c r="N75" s="38"/>
      <c r="O75" s="44" t="str">
        <f aca="true">IF($A75="","",IF($N75&lt;&gt;"",MAX(0,$N75-$L75),IF(AND($L75&lt;&gt;"",TODAY()&gt;$L75),TODAY()-$L75,0)))</f>
        <v/>
      </c>
      <c r="P75" s="41"/>
      <c r="Q75" s="41"/>
      <c r="S75" s="40" t="str">
        <f aca="false">IF($A75="","",IFERROR(INDEX(Cfg_WfApproved,MATCH($I75,Cfg_WfList,0)),0))</f>
        <v/>
      </c>
      <c r="T75" s="39" t="str">
        <f aca="false">IF($A75="","",IFERROR(INDEX(Cfg_WfPct,MATCH($I75,Cfg_WfList,0)),0))</f>
        <v/>
      </c>
      <c r="U75" s="44" t="str">
        <f aca="true">IF(OR($A75="",$L75=""),"",$L75-TODAY())</f>
        <v/>
      </c>
      <c r="V75" s="42" t="str">
        <f aca="true">IF($A75="","",IF($S75=1,"Approved",IF(AND($L75&lt;&gt;"",TODAY()&gt;$L75),"Overdue",IF(AND($L75&lt;&gt;"",$L75-TODAY()&lt;=Cfg_DocWindow),"Due Soon",IF($I75="Not Started","Not Started","On Track")))))</f>
        <v/>
      </c>
      <c r="W75" s="42" t="str">
        <f aca="false">IF($A75="","",IF(AND($S75=0,$O75&gt;0),$O75+ROW()/1000000,""))</f>
        <v/>
      </c>
    </row>
    <row r="76" customFormat="false" ht="15" hidden="false" customHeight="false" outlineLevel="0" collapsed="false">
      <c r="A76" s="41"/>
      <c r="B76" s="41"/>
      <c r="C76" s="41"/>
      <c r="D76" s="41"/>
      <c r="E76" s="41"/>
      <c r="F76" s="41"/>
      <c r="G76" s="41"/>
      <c r="H76" s="41"/>
      <c r="I76" s="41"/>
      <c r="J76" s="41"/>
      <c r="K76" s="43" t="str">
        <f aca="false">IF($L76="","",$L76-Cfg_ReviewDays)</f>
        <v/>
      </c>
      <c r="L76" s="43" t="str">
        <f aca="false">IF($A76="","",IFERROR(Ctrl_PlannedStart-INDEX(Cfg_LeadDays,MATCH($A76,Cfg_LeadType,0)),""))</f>
        <v/>
      </c>
      <c r="M76" s="38"/>
      <c r="N76" s="38"/>
      <c r="O76" s="44" t="str">
        <f aca="true">IF($A76="","",IF($N76&lt;&gt;"",MAX(0,$N76-$L76),IF(AND($L76&lt;&gt;"",TODAY()&gt;$L76),TODAY()-$L76,0)))</f>
        <v/>
      </c>
      <c r="P76" s="41"/>
      <c r="Q76" s="41"/>
      <c r="S76" s="40" t="str">
        <f aca="false">IF($A76="","",IFERROR(INDEX(Cfg_WfApproved,MATCH($I76,Cfg_WfList,0)),0))</f>
        <v/>
      </c>
      <c r="T76" s="39" t="str">
        <f aca="false">IF($A76="","",IFERROR(INDEX(Cfg_WfPct,MATCH($I76,Cfg_WfList,0)),0))</f>
        <v/>
      </c>
      <c r="U76" s="44" t="str">
        <f aca="true">IF(OR($A76="",$L76=""),"",$L76-TODAY())</f>
        <v/>
      </c>
      <c r="V76" s="42" t="str">
        <f aca="true">IF($A76="","",IF($S76=1,"Approved",IF(AND($L76&lt;&gt;"",TODAY()&gt;$L76),"Overdue",IF(AND($L76&lt;&gt;"",$L76-TODAY()&lt;=Cfg_DocWindow),"Due Soon",IF($I76="Not Started","Not Started","On Track")))))</f>
        <v/>
      </c>
      <c r="W76" s="42" t="str">
        <f aca="false">IF($A76="","",IF(AND($S76=0,$O76&gt;0),$O76+ROW()/1000000,""))</f>
        <v/>
      </c>
    </row>
    <row r="77" customFormat="false" ht="15" hidden="false" customHeight="false" outlineLevel="0" collapsed="false">
      <c r="A77" s="41"/>
      <c r="B77" s="41"/>
      <c r="C77" s="41"/>
      <c r="D77" s="41"/>
      <c r="E77" s="41"/>
      <c r="F77" s="41"/>
      <c r="G77" s="41"/>
      <c r="H77" s="41"/>
      <c r="I77" s="41"/>
      <c r="J77" s="41"/>
      <c r="K77" s="43" t="str">
        <f aca="false">IF($L77="","",$L77-Cfg_ReviewDays)</f>
        <v/>
      </c>
      <c r="L77" s="43" t="str">
        <f aca="false">IF($A77="","",IFERROR(Ctrl_PlannedStart-INDEX(Cfg_LeadDays,MATCH($A77,Cfg_LeadType,0)),""))</f>
        <v/>
      </c>
      <c r="M77" s="38"/>
      <c r="N77" s="38"/>
      <c r="O77" s="44" t="str">
        <f aca="true">IF($A77="","",IF($N77&lt;&gt;"",MAX(0,$N77-$L77),IF(AND($L77&lt;&gt;"",TODAY()&gt;$L77),TODAY()-$L77,0)))</f>
        <v/>
      </c>
      <c r="P77" s="41"/>
      <c r="Q77" s="41"/>
      <c r="S77" s="40" t="str">
        <f aca="false">IF($A77="","",IFERROR(INDEX(Cfg_WfApproved,MATCH($I77,Cfg_WfList,0)),0))</f>
        <v/>
      </c>
      <c r="T77" s="39" t="str">
        <f aca="false">IF($A77="","",IFERROR(INDEX(Cfg_WfPct,MATCH($I77,Cfg_WfList,0)),0))</f>
        <v/>
      </c>
      <c r="U77" s="44" t="str">
        <f aca="true">IF(OR($A77="",$L77=""),"",$L77-TODAY())</f>
        <v/>
      </c>
      <c r="V77" s="42" t="str">
        <f aca="true">IF($A77="","",IF($S77=1,"Approved",IF(AND($L77&lt;&gt;"",TODAY()&gt;$L77),"Overdue",IF(AND($L77&lt;&gt;"",$L77-TODAY()&lt;=Cfg_DocWindow),"Due Soon",IF($I77="Not Started","Not Started","On Track")))))</f>
        <v/>
      </c>
      <c r="W77" s="42" t="str">
        <f aca="false">IF($A77="","",IF(AND($S77=0,$O77&gt;0),$O77+ROW()/1000000,""))</f>
        <v/>
      </c>
    </row>
    <row r="78" customFormat="false" ht="15" hidden="false" customHeight="false" outlineLevel="0" collapsed="false">
      <c r="A78" s="41"/>
      <c r="B78" s="41"/>
      <c r="C78" s="41"/>
      <c r="D78" s="41"/>
      <c r="E78" s="41"/>
      <c r="F78" s="41"/>
      <c r="G78" s="41"/>
      <c r="H78" s="41"/>
      <c r="I78" s="41"/>
      <c r="J78" s="41"/>
      <c r="K78" s="43" t="str">
        <f aca="false">IF($L78="","",$L78-Cfg_ReviewDays)</f>
        <v/>
      </c>
      <c r="L78" s="43" t="str">
        <f aca="false">IF($A78="","",IFERROR(Ctrl_PlannedStart-INDEX(Cfg_LeadDays,MATCH($A78,Cfg_LeadType,0)),""))</f>
        <v/>
      </c>
      <c r="M78" s="38"/>
      <c r="N78" s="38"/>
      <c r="O78" s="44" t="str">
        <f aca="true">IF($A78="","",IF($N78&lt;&gt;"",MAX(0,$N78-$L78),IF(AND($L78&lt;&gt;"",TODAY()&gt;$L78),TODAY()-$L78,0)))</f>
        <v/>
      </c>
      <c r="P78" s="41"/>
      <c r="Q78" s="41"/>
      <c r="S78" s="40" t="str">
        <f aca="false">IF($A78="","",IFERROR(INDEX(Cfg_WfApproved,MATCH($I78,Cfg_WfList,0)),0))</f>
        <v/>
      </c>
      <c r="T78" s="39" t="str">
        <f aca="false">IF($A78="","",IFERROR(INDEX(Cfg_WfPct,MATCH($I78,Cfg_WfList,0)),0))</f>
        <v/>
      </c>
      <c r="U78" s="44" t="str">
        <f aca="true">IF(OR($A78="",$L78=""),"",$L78-TODAY())</f>
        <v/>
      </c>
      <c r="V78" s="42" t="str">
        <f aca="true">IF($A78="","",IF($S78=1,"Approved",IF(AND($L78&lt;&gt;"",TODAY()&gt;$L78),"Overdue",IF(AND($L78&lt;&gt;"",$L78-TODAY()&lt;=Cfg_DocWindow),"Due Soon",IF($I78="Not Started","Not Started","On Track")))))</f>
        <v/>
      </c>
      <c r="W78" s="42" t="str">
        <f aca="false">IF($A78="","",IF(AND($S78=0,$O78&gt;0),$O78+ROW()/1000000,""))</f>
        <v/>
      </c>
    </row>
    <row r="79" customFormat="false" ht="15" hidden="false" customHeight="false" outlineLevel="0" collapsed="false">
      <c r="A79" s="41"/>
      <c r="B79" s="41"/>
      <c r="C79" s="41"/>
      <c r="D79" s="41"/>
      <c r="E79" s="41"/>
      <c r="F79" s="41"/>
      <c r="G79" s="41"/>
      <c r="H79" s="41"/>
      <c r="I79" s="41"/>
      <c r="J79" s="41"/>
      <c r="K79" s="43" t="str">
        <f aca="false">IF($L79="","",$L79-Cfg_ReviewDays)</f>
        <v/>
      </c>
      <c r="L79" s="43" t="str">
        <f aca="false">IF($A79="","",IFERROR(Ctrl_PlannedStart-INDEX(Cfg_LeadDays,MATCH($A79,Cfg_LeadType,0)),""))</f>
        <v/>
      </c>
      <c r="M79" s="38"/>
      <c r="N79" s="38"/>
      <c r="O79" s="44" t="str">
        <f aca="true">IF($A79="","",IF($N79&lt;&gt;"",MAX(0,$N79-$L79),IF(AND($L79&lt;&gt;"",TODAY()&gt;$L79),TODAY()-$L79,0)))</f>
        <v/>
      </c>
      <c r="P79" s="41"/>
      <c r="Q79" s="41"/>
      <c r="S79" s="40" t="str">
        <f aca="false">IF($A79="","",IFERROR(INDEX(Cfg_WfApproved,MATCH($I79,Cfg_WfList,0)),0))</f>
        <v/>
      </c>
      <c r="T79" s="39" t="str">
        <f aca="false">IF($A79="","",IFERROR(INDEX(Cfg_WfPct,MATCH($I79,Cfg_WfList,0)),0))</f>
        <v/>
      </c>
      <c r="U79" s="44" t="str">
        <f aca="true">IF(OR($A79="",$L79=""),"",$L79-TODAY())</f>
        <v/>
      </c>
      <c r="V79" s="42" t="str">
        <f aca="true">IF($A79="","",IF($S79=1,"Approved",IF(AND($L79&lt;&gt;"",TODAY()&gt;$L79),"Overdue",IF(AND($L79&lt;&gt;"",$L79-TODAY()&lt;=Cfg_DocWindow),"Due Soon",IF($I79="Not Started","Not Started","On Track")))))</f>
        <v/>
      </c>
      <c r="W79" s="42" t="str">
        <f aca="false">IF($A79="","",IF(AND($S79=0,$O79&gt;0),$O79+ROW()/1000000,""))</f>
        <v/>
      </c>
    </row>
    <row r="80" customFormat="false" ht="15" hidden="false" customHeight="false" outlineLevel="0" collapsed="false">
      <c r="A80" s="41"/>
      <c r="B80" s="41"/>
      <c r="C80" s="41"/>
      <c r="D80" s="41"/>
      <c r="E80" s="41"/>
      <c r="F80" s="41"/>
      <c r="G80" s="41"/>
      <c r="H80" s="41"/>
      <c r="I80" s="41"/>
      <c r="J80" s="41"/>
      <c r="K80" s="43" t="str">
        <f aca="false">IF($L80="","",$L80-Cfg_ReviewDays)</f>
        <v/>
      </c>
      <c r="L80" s="43" t="str">
        <f aca="false">IF($A80="","",IFERROR(Ctrl_PlannedStart-INDEX(Cfg_LeadDays,MATCH($A80,Cfg_LeadType,0)),""))</f>
        <v/>
      </c>
      <c r="M80" s="38"/>
      <c r="N80" s="38"/>
      <c r="O80" s="44" t="str">
        <f aca="true">IF($A80="","",IF($N80&lt;&gt;"",MAX(0,$N80-$L80),IF(AND($L80&lt;&gt;"",TODAY()&gt;$L80),TODAY()-$L80,0)))</f>
        <v/>
      </c>
      <c r="P80" s="41"/>
      <c r="Q80" s="41"/>
      <c r="S80" s="40" t="str">
        <f aca="false">IF($A80="","",IFERROR(INDEX(Cfg_WfApproved,MATCH($I80,Cfg_WfList,0)),0))</f>
        <v/>
      </c>
      <c r="T80" s="39" t="str">
        <f aca="false">IF($A80="","",IFERROR(INDEX(Cfg_WfPct,MATCH($I80,Cfg_WfList,0)),0))</f>
        <v/>
      </c>
      <c r="U80" s="44" t="str">
        <f aca="true">IF(OR($A80="",$L80=""),"",$L80-TODAY())</f>
        <v/>
      </c>
      <c r="V80" s="42" t="str">
        <f aca="true">IF($A80="","",IF($S80=1,"Approved",IF(AND($L80&lt;&gt;"",TODAY()&gt;$L80),"Overdue",IF(AND($L80&lt;&gt;"",$L80-TODAY()&lt;=Cfg_DocWindow),"Due Soon",IF($I80="Not Started","Not Started","On Track")))))</f>
        <v/>
      </c>
      <c r="W80" s="42" t="str">
        <f aca="false">IF($A80="","",IF(AND($S80=0,$O80&gt;0),$O80+ROW()/1000000,""))</f>
        <v/>
      </c>
    </row>
    <row r="81" customFormat="false" ht="15" hidden="false" customHeight="false" outlineLevel="0" collapsed="false">
      <c r="A81" s="41"/>
      <c r="B81" s="41"/>
      <c r="C81" s="41"/>
      <c r="D81" s="41"/>
      <c r="E81" s="41"/>
      <c r="F81" s="41"/>
      <c r="G81" s="41"/>
      <c r="H81" s="41"/>
      <c r="I81" s="41"/>
      <c r="J81" s="41"/>
      <c r="K81" s="43" t="str">
        <f aca="false">IF($L81="","",$L81-Cfg_ReviewDays)</f>
        <v/>
      </c>
      <c r="L81" s="43" t="str">
        <f aca="false">IF($A81="","",IFERROR(Ctrl_PlannedStart-INDEX(Cfg_LeadDays,MATCH($A81,Cfg_LeadType,0)),""))</f>
        <v/>
      </c>
      <c r="M81" s="38"/>
      <c r="N81" s="38"/>
      <c r="O81" s="44" t="str">
        <f aca="true">IF($A81="","",IF($N81&lt;&gt;"",MAX(0,$N81-$L81),IF(AND($L81&lt;&gt;"",TODAY()&gt;$L81),TODAY()-$L81,0)))</f>
        <v/>
      </c>
      <c r="P81" s="41"/>
      <c r="Q81" s="41"/>
      <c r="S81" s="40" t="str">
        <f aca="false">IF($A81="","",IFERROR(INDEX(Cfg_WfApproved,MATCH($I81,Cfg_WfList,0)),0))</f>
        <v/>
      </c>
      <c r="T81" s="39" t="str">
        <f aca="false">IF($A81="","",IFERROR(INDEX(Cfg_WfPct,MATCH($I81,Cfg_WfList,0)),0))</f>
        <v/>
      </c>
      <c r="U81" s="44" t="str">
        <f aca="true">IF(OR($A81="",$L81=""),"",$L81-TODAY())</f>
        <v/>
      </c>
      <c r="V81" s="42" t="str">
        <f aca="true">IF($A81="","",IF($S81=1,"Approved",IF(AND($L81&lt;&gt;"",TODAY()&gt;$L81),"Overdue",IF(AND($L81&lt;&gt;"",$L81-TODAY()&lt;=Cfg_DocWindow),"Due Soon",IF($I81="Not Started","Not Started","On Track")))))</f>
        <v/>
      </c>
      <c r="W81" s="42" t="str">
        <f aca="false">IF($A81="","",IF(AND($S81=0,$O81&gt;0),$O81+ROW()/1000000,""))</f>
        <v/>
      </c>
    </row>
    <row r="82" customFormat="false" ht="15" hidden="false" customHeight="false" outlineLevel="0" collapsed="false">
      <c r="A82" s="41"/>
      <c r="B82" s="41"/>
      <c r="C82" s="41"/>
      <c r="D82" s="41"/>
      <c r="E82" s="41"/>
      <c r="F82" s="41"/>
      <c r="G82" s="41"/>
      <c r="H82" s="41"/>
      <c r="I82" s="41"/>
      <c r="J82" s="41"/>
      <c r="K82" s="43" t="str">
        <f aca="false">IF($L82="","",$L82-Cfg_ReviewDays)</f>
        <v/>
      </c>
      <c r="L82" s="43" t="str">
        <f aca="false">IF($A82="","",IFERROR(Ctrl_PlannedStart-INDEX(Cfg_LeadDays,MATCH($A82,Cfg_LeadType,0)),""))</f>
        <v/>
      </c>
      <c r="M82" s="38"/>
      <c r="N82" s="38"/>
      <c r="O82" s="44" t="str">
        <f aca="true">IF($A82="","",IF($N82&lt;&gt;"",MAX(0,$N82-$L82),IF(AND($L82&lt;&gt;"",TODAY()&gt;$L82),TODAY()-$L82,0)))</f>
        <v/>
      </c>
      <c r="P82" s="41"/>
      <c r="Q82" s="41"/>
      <c r="S82" s="40" t="str">
        <f aca="false">IF($A82="","",IFERROR(INDEX(Cfg_WfApproved,MATCH($I82,Cfg_WfList,0)),0))</f>
        <v/>
      </c>
      <c r="T82" s="39" t="str">
        <f aca="false">IF($A82="","",IFERROR(INDEX(Cfg_WfPct,MATCH($I82,Cfg_WfList,0)),0))</f>
        <v/>
      </c>
      <c r="U82" s="44" t="str">
        <f aca="true">IF(OR($A82="",$L82=""),"",$L82-TODAY())</f>
        <v/>
      </c>
      <c r="V82" s="42" t="str">
        <f aca="true">IF($A82="","",IF($S82=1,"Approved",IF(AND($L82&lt;&gt;"",TODAY()&gt;$L82),"Overdue",IF(AND($L82&lt;&gt;"",$L82-TODAY()&lt;=Cfg_DocWindow),"Due Soon",IF($I82="Not Started","Not Started","On Track")))))</f>
        <v/>
      </c>
      <c r="W82" s="42" t="str">
        <f aca="false">IF($A82="","",IF(AND($S82=0,$O82&gt;0),$O82+ROW()/1000000,""))</f>
        <v/>
      </c>
    </row>
    <row r="83" customFormat="false" ht="15" hidden="false" customHeight="false" outlineLevel="0" collapsed="false">
      <c r="A83" s="41"/>
      <c r="B83" s="41"/>
      <c r="C83" s="41"/>
      <c r="D83" s="41"/>
      <c r="E83" s="41"/>
      <c r="F83" s="41"/>
      <c r="G83" s="41"/>
      <c r="H83" s="41"/>
      <c r="I83" s="41"/>
      <c r="J83" s="41"/>
      <c r="K83" s="43" t="str">
        <f aca="false">IF($L83="","",$L83-Cfg_ReviewDays)</f>
        <v/>
      </c>
      <c r="L83" s="43" t="str">
        <f aca="false">IF($A83="","",IFERROR(Ctrl_PlannedStart-INDEX(Cfg_LeadDays,MATCH($A83,Cfg_LeadType,0)),""))</f>
        <v/>
      </c>
      <c r="M83" s="38"/>
      <c r="N83" s="38"/>
      <c r="O83" s="44" t="str">
        <f aca="true">IF($A83="","",IF($N83&lt;&gt;"",MAX(0,$N83-$L83),IF(AND($L83&lt;&gt;"",TODAY()&gt;$L83),TODAY()-$L83,0)))</f>
        <v/>
      </c>
      <c r="P83" s="41"/>
      <c r="Q83" s="41"/>
      <c r="S83" s="40" t="str">
        <f aca="false">IF($A83="","",IFERROR(INDEX(Cfg_WfApproved,MATCH($I83,Cfg_WfList,0)),0))</f>
        <v/>
      </c>
      <c r="T83" s="39" t="str">
        <f aca="false">IF($A83="","",IFERROR(INDEX(Cfg_WfPct,MATCH($I83,Cfg_WfList,0)),0))</f>
        <v/>
      </c>
      <c r="U83" s="44" t="str">
        <f aca="true">IF(OR($A83="",$L83=""),"",$L83-TODAY())</f>
        <v/>
      </c>
      <c r="V83" s="42" t="str">
        <f aca="true">IF($A83="","",IF($S83=1,"Approved",IF(AND($L83&lt;&gt;"",TODAY()&gt;$L83),"Overdue",IF(AND($L83&lt;&gt;"",$L83-TODAY()&lt;=Cfg_DocWindow),"Due Soon",IF($I83="Not Started","Not Started","On Track")))))</f>
        <v/>
      </c>
      <c r="W83" s="42" t="str">
        <f aca="false">IF($A83="","",IF(AND($S83=0,$O83&gt;0),$O83+ROW()/1000000,""))</f>
        <v/>
      </c>
    </row>
    <row r="84" customFormat="false" ht="15" hidden="false" customHeight="false" outlineLevel="0" collapsed="false">
      <c r="A84" s="41"/>
      <c r="B84" s="41"/>
      <c r="C84" s="41"/>
      <c r="D84" s="41"/>
      <c r="E84" s="41"/>
      <c r="F84" s="41"/>
      <c r="G84" s="41"/>
      <c r="H84" s="41"/>
      <c r="I84" s="41"/>
      <c r="J84" s="41"/>
      <c r="K84" s="43" t="str">
        <f aca="false">IF($L84="","",$L84-Cfg_ReviewDays)</f>
        <v/>
      </c>
      <c r="L84" s="43" t="str">
        <f aca="false">IF($A84="","",IFERROR(Ctrl_PlannedStart-INDEX(Cfg_LeadDays,MATCH($A84,Cfg_LeadType,0)),""))</f>
        <v/>
      </c>
      <c r="M84" s="38"/>
      <c r="N84" s="38"/>
      <c r="O84" s="44" t="str">
        <f aca="true">IF($A84="","",IF($N84&lt;&gt;"",MAX(0,$N84-$L84),IF(AND($L84&lt;&gt;"",TODAY()&gt;$L84),TODAY()-$L84,0)))</f>
        <v/>
      </c>
      <c r="P84" s="41"/>
      <c r="Q84" s="41"/>
      <c r="S84" s="40" t="str">
        <f aca="false">IF($A84="","",IFERROR(INDEX(Cfg_WfApproved,MATCH($I84,Cfg_WfList,0)),0))</f>
        <v/>
      </c>
      <c r="T84" s="39" t="str">
        <f aca="false">IF($A84="","",IFERROR(INDEX(Cfg_WfPct,MATCH($I84,Cfg_WfList,0)),0))</f>
        <v/>
      </c>
      <c r="U84" s="44" t="str">
        <f aca="true">IF(OR($A84="",$L84=""),"",$L84-TODAY())</f>
        <v/>
      </c>
      <c r="V84" s="42" t="str">
        <f aca="true">IF($A84="","",IF($S84=1,"Approved",IF(AND($L84&lt;&gt;"",TODAY()&gt;$L84),"Overdue",IF(AND($L84&lt;&gt;"",$L84-TODAY()&lt;=Cfg_DocWindow),"Due Soon",IF($I84="Not Started","Not Started","On Track")))))</f>
        <v/>
      </c>
      <c r="W84" s="42" t="str">
        <f aca="false">IF($A84="","",IF(AND($S84=0,$O84&gt;0),$O84+ROW()/1000000,""))</f>
        <v/>
      </c>
    </row>
    <row r="85" customFormat="false" ht="15" hidden="false" customHeight="false" outlineLevel="0" collapsed="false">
      <c r="A85" s="41"/>
      <c r="B85" s="41"/>
      <c r="C85" s="41"/>
      <c r="D85" s="41"/>
      <c r="E85" s="41"/>
      <c r="F85" s="41"/>
      <c r="G85" s="41"/>
      <c r="H85" s="41"/>
      <c r="I85" s="41"/>
      <c r="J85" s="41"/>
      <c r="K85" s="43" t="str">
        <f aca="false">IF($L85="","",$L85-Cfg_ReviewDays)</f>
        <v/>
      </c>
      <c r="L85" s="43" t="str">
        <f aca="false">IF($A85="","",IFERROR(Ctrl_PlannedStart-INDEX(Cfg_LeadDays,MATCH($A85,Cfg_LeadType,0)),""))</f>
        <v/>
      </c>
      <c r="M85" s="38"/>
      <c r="N85" s="38"/>
      <c r="O85" s="44" t="str">
        <f aca="true">IF($A85="","",IF($N85&lt;&gt;"",MAX(0,$N85-$L85),IF(AND($L85&lt;&gt;"",TODAY()&gt;$L85),TODAY()-$L85,0)))</f>
        <v/>
      </c>
      <c r="P85" s="41"/>
      <c r="Q85" s="41"/>
      <c r="S85" s="40" t="str">
        <f aca="false">IF($A85="","",IFERROR(INDEX(Cfg_WfApproved,MATCH($I85,Cfg_WfList,0)),0))</f>
        <v/>
      </c>
      <c r="T85" s="39" t="str">
        <f aca="false">IF($A85="","",IFERROR(INDEX(Cfg_WfPct,MATCH($I85,Cfg_WfList,0)),0))</f>
        <v/>
      </c>
      <c r="U85" s="44" t="str">
        <f aca="true">IF(OR($A85="",$L85=""),"",$L85-TODAY())</f>
        <v/>
      </c>
      <c r="V85" s="42" t="str">
        <f aca="true">IF($A85="","",IF($S85=1,"Approved",IF(AND($L85&lt;&gt;"",TODAY()&gt;$L85),"Overdue",IF(AND($L85&lt;&gt;"",$L85-TODAY()&lt;=Cfg_DocWindow),"Due Soon",IF($I85="Not Started","Not Started","On Track")))))</f>
        <v/>
      </c>
      <c r="W85" s="42" t="str">
        <f aca="false">IF($A85="","",IF(AND($S85=0,$O85&gt;0),$O85+ROW()/1000000,""))</f>
        <v/>
      </c>
    </row>
    <row r="86" customFormat="false" ht="15" hidden="false" customHeight="false" outlineLevel="0" collapsed="false">
      <c r="A86" s="41"/>
      <c r="B86" s="41"/>
      <c r="C86" s="41"/>
      <c r="D86" s="41"/>
      <c r="E86" s="41"/>
      <c r="F86" s="41"/>
      <c r="G86" s="41"/>
      <c r="H86" s="41"/>
      <c r="I86" s="41"/>
      <c r="J86" s="41"/>
      <c r="K86" s="43" t="str">
        <f aca="false">IF($L86="","",$L86-Cfg_ReviewDays)</f>
        <v/>
      </c>
      <c r="L86" s="43" t="str">
        <f aca="false">IF($A86="","",IFERROR(Ctrl_PlannedStart-INDEX(Cfg_LeadDays,MATCH($A86,Cfg_LeadType,0)),""))</f>
        <v/>
      </c>
      <c r="M86" s="38"/>
      <c r="N86" s="38"/>
      <c r="O86" s="44" t="str">
        <f aca="true">IF($A86="","",IF($N86&lt;&gt;"",MAX(0,$N86-$L86),IF(AND($L86&lt;&gt;"",TODAY()&gt;$L86),TODAY()-$L86,0)))</f>
        <v/>
      </c>
      <c r="P86" s="41"/>
      <c r="Q86" s="41"/>
      <c r="S86" s="40" t="str">
        <f aca="false">IF($A86="","",IFERROR(INDEX(Cfg_WfApproved,MATCH($I86,Cfg_WfList,0)),0))</f>
        <v/>
      </c>
      <c r="T86" s="39" t="str">
        <f aca="false">IF($A86="","",IFERROR(INDEX(Cfg_WfPct,MATCH($I86,Cfg_WfList,0)),0))</f>
        <v/>
      </c>
      <c r="U86" s="44" t="str">
        <f aca="true">IF(OR($A86="",$L86=""),"",$L86-TODAY())</f>
        <v/>
      </c>
      <c r="V86" s="42" t="str">
        <f aca="true">IF($A86="","",IF($S86=1,"Approved",IF(AND($L86&lt;&gt;"",TODAY()&gt;$L86),"Overdue",IF(AND($L86&lt;&gt;"",$L86-TODAY()&lt;=Cfg_DocWindow),"Due Soon",IF($I86="Not Started","Not Started","On Track")))))</f>
        <v/>
      </c>
      <c r="W86" s="42" t="str">
        <f aca="false">IF($A86="","",IF(AND($S86=0,$O86&gt;0),$O86+ROW()/1000000,""))</f>
        <v/>
      </c>
    </row>
    <row r="87" customFormat="false" ht="15" hidden="false" customHeight="false" outlineLevel="0" collapsed="false">
      <c r="A87" s="41"/>
      <c r="B87" s="41"/>
      <c r="C87" s="41"/>
      <c r="D87" s="41"/>
      <c r="E87" s="41"/>
      <c r="F87" s="41"/>
      <c r="G87" s="41"/>
      <c r="H87" s="41"/>
      <c r="I87" s="41"/>
      <c r="J87" s="41"/>
      <c r="K87" s="43" t="str">
        <f aca="false">IF($L87="","",$L87-Cfg_ReviewDays)</f>
        <v/>
      </c>
      <c r="L87" s="43" t="str">
        <f aca="false">IF($A87="","",IFERROR(Ctrl_PlannedStart-INDEX(Cfg_LeadDays,MATCH($A87,Cfg_LeadType,0)),""))</f>
        <v/>
      </c>
      <c r="M87" s="38"/>
      <c r="N87" s="38"/>
      <c r="O87" s="44" t="str">
        <f aca="true">IF($A87="","",IF($N87&lt;&gt;"",MAX(0,$N87-$L87),IF(AND($L87&lt;&gt;"",TODAY()&gt;$L87),TODAY()-$L87,0)))</f>
        <v/>
      </c>
      <c r="P87" s="41"/>
      <c r="Q87" s="41"/>
      <c r="S87" s="40" t="str">
        <f aca="false">IF($A87="","",IFERROR(INDEX(Cfg_WfApproved,MATCH($I87,Cfg_WfList,0)),0))</f>
        <v/>
      </c>
      <c r="T87" s="39" t="str">
        <f aca="false">IF($A87="","",IFERROR(INDEX(Cfg_WfPct,MATCH($I87,Cfg_WfList,0)),0))</f>
        <v/>
      </c>
      <c r="U87" s="44" t="str">
        <f aca="true">IF(OR($A87="",$L87=""),"",$L87-TODAY())</f>
        <v/>
      </c>
      <c r="V87" s="42" t="str">
        <f aca="true">IF($A87="","",IF($S87=1,"Approved",IF(AND($L87&lt;&gt;"",TODAY()&gt;$L87),"Overdue",IF(AND($L87&lt;&gt;"",$L87-TODAY()&lt;=Cfg_DocWindow),"Due Soon",IF($I87="Not Started","Not Started","On Track")))))</f>
        <v/>
      </c>
      <c r="W87" s="42" t="str">
        <f aca="false">IF($A87="","",IF(AND($S87=0,$O87&gt;0),$O87+ROW()/1000000,""))</f>
        <v/>
      </c>
    </row>
    <row r="88" customFormat="false" ht="15" hidden="false" customHeight="false" outlineLevel="0" collapsed="false">
      <c r="A88" s="41"/>
      <c r="B88" s="41"/>
      <c r="C88" s="41"/>
      <c r="D88" s="41"/>
      <c r="E88" s="41"/>
      <c r="F88" s="41"/>
      <c r="G88" s="41"/>
      <c r="H88" s="41"/>
      <c r="I88" s="41"/>
      <c r="J88" s="41"/>
      <c r="K88" s="43" t="str">
        <f aca="false">IF($L88="","",$L88-Cfg_ReviewDays)</f>
        <v/>
      </c>
      <c r="L88" s="43" t="str">
        <f aca="false">IF($A88="","",IFERROR(Ctrl_PlannedStart-INDEX(Cfg_LeadDays,MATCH($A88,Cfg_LeadType,0)),""))</f>
        <v/>
      </c>
      <c r="M88" s="38"/>
      <c r="N88" s="38"/>
      <c r="O88" s="44" t="str">
        <f aca="true">IF($A88="","",IF($N88&lt;&gt;"",MAX(0,$N88-$L88),IF(AND($L88&lt;&gt;"",TODAY()&gt;$L88),TODAY()-$L88,0)))</f>
        <v/>
      </c>
      <c r="P88" s="41"/>
      <c r="Q88" s="41"/>
      <c r="S88" s="40" t="str">
        <f aca="false">IF($A88="","",IFERROR(INDEX(Cfg_WfApproved,MATCH($I88,Cfg_WfList,0)),0))</f>
        <v/>
      </c>
      <c r="T88" s="39" t="str">
        <f aca="false">IF($A88="","",IFERROR(INDEX(Cfg_WfPct,MATCH($I88,Cfg_WfList,0)),0))</f>
        <v/>
      </c>
      <c r="U88" s="44" t="str">
        <f aca="true">IF(OR($A88="",$L88=""),"",$L88-TODAY())</f>
        <v/>
      </c>
      <c r="V88" s="42" t="str">
        <f aca="true">IF($A88="","",IF($S88=1,"Approved",IF(AND($L88&lt;&gt;"",TODAY()&gt;$L88),"Overdue",IF(AND($L88&lt;&gt;"",$L88-TODAY()&lt;=Cfg_DocWindow),"Due Soon",IF($I88="Not Started","Not Started","On Track")))))</f>
        <v/>
      </c>
      <c r="W88" s="42" t="str">
        <f aca="false">IF($A88="","",IF(AND($S88=0,$O88&gt;0),$O88+ROW()/1000000,""))</f>
        <v/>
      </c>
    </row>
    <row r="89" customFormat="false" ht="15" hidden="false" customHeight="false" outlineLevel="0" collapsed="false">
      <c r="A89" s="41"/>
      <c r="B89" s="41"/>
      <c r="C89" s="41"/>
      <c r="D89" s="41"/>
      <c r="E89" s="41"/>
      <c r="F89" s="41"/>
      <c r="G89" s="41"/>
      <c r="H89" s="41"/>
      <c r="I89" s="41"/>
      <c r="J89" s="41"/>
      <c r="K89" s="43" t="str">
        <f aca="false">IF($L89="","",$L89-Cfg_ReviewDays)</f>
        <v/>
      </c>
      <c r="L89" s="43" t="str">
        <f aca="false">IF($A89="","",IFERROR(Ctrl_PlannedStart-INDEX(Cfg_LeadDays,MATCH($A89,Cfg_LeadType,0)),""))</f>
        <v/>
      </c>
      <c r="M89" s="38"/>
      <c r="N89" s="38"/>
      <c r="O89" s="44" t="str">
        <f aca="true">IF($A89="","",IF($N89&lt;&gt;"",MAX(0,$N89-$L89),IF(AND($L89&lt;&gt;"",TODAY()&gt;$L89),TODAY()-$L89,0)))</f>
        <v/>
      </c>
      <c r="P89" s="41"/>
      <c r="Q89" s="41"/>
      <c r="S89" s="40" t="str">
        <f aca="false">IF($A89="","",IFERROR(INDEX(Cfg_WfApproved,MATCH($I89,Cfg_WfList,0)),0))</f>
        <v/>
      </c>
      <c r="T89" s="39" t="str">
        <f aca="false">IF($A89="","",IFERROR(INDEX(Cfg_WfPct,MATCH($I89,Cfg_WfList,0)),0))</f>
        <v/>
      </c>
      <c r="U89" s="44" t="str">
        <f aca="true">IF(OR($A89="",$L89=""),"",$L89-TODAY())</f>
        <v/>
      </c>
      <c r="V89" s="42" t="str">
        <f aca="true">IF($A89="","",IF($S89=1,"Approved",IF(AND($L89&lt;&gt;"",TODAY()&gt;$L89),"Overdue",IF(AND($L89&lt;&gt;"",$L89-TODAY()&lt;=Cfg_DocWindow),"Due Soon",IF($I89="Not Started","Not Started","On Track")))))</f>
        <v/>
      </c>
      <c r="W89" s="42" t="str">
        <f aca="false">IF($A89="","",IF(AND($S89=0,$O89&gt;0),$O89+ROW()/1000000,""))</f>
        <v/>
      </c>
    </row>
    <row r="90" customFormat="false" ht="15" hidden="false" customHeight="false" outlineLevel="0" collapsed="false">
      <c r="A90" s="41"/>
      <c r="B90" s="41"/>
      <c r="C90" s="41"/>
      <c r="D90" s="41"/>
      <c r="E90" s="41"/>
      <c r="F90" s="41"/>
      <c r="G90" s="41"/>
      <c r="H90" s="41"/>
      <c r="I90" s="41"/>
      <c r="J90" s="41"/>
      <c r="K90" s="43" t="str">
        <f aca="false">IF($L90="","",$L90-Cfg_ReviewDays)</f>
        <v/>
      </c>
      <c r="L90" s="43" t="str">
        <f aca="false">IF($A90="","",IFERROR(Ctrl_PlannedStart-INDEX(Cfg_LeadDays,MATCH($A90,Cfg_LeadType,0)),""))</f>
        <v/>
      </c>
      <c r="M90" s="38"/>
      <c r="N90" s="38"/>
      <c r="O90" s="44" t="str">
        <f aca="true">IF($A90="","",IF($N90&lt;&gt;"",MAX(0,$N90-$L90),IF(AND($L90&lt;&gt;"",TODAY()&gt;$L90),TODAY()-$L90,0)))</f>
        <v/>
      </c>
      <c r="P90" s="41"/>
      <c r="Q90" s="41"/>
      <c r="S90" s="40" t="str">
        <f aca="false">IF($A90="","",IFERROR(INDEX(Cfg_WfApproved,MATCH($I90,Cfg_WfList,0)),0))</f>
        <v/>
      </c>
      <c r="T90" s="39" t="str">
        <f aca="false">IF($A90="","",IFERROR(INDEX(Cfg_WfPct,MATCH($I90,Cfg_WfList,0)),0))</f>
        <v/>
      </c>
      <c r="U90" s="44" t="str">
        <f aca="true">IF(OR($A90="",$L90=""),"",$L90-TODAY())</f>
        <v/>
      </c>
      <c r="V90" s="42" t="str">
        <f aca="true">IF($A90="","",IF($S90=1,"Approved",IF(AND($L90&lt;&gt;"",TODAY()&gt;$L90),"Overdue",IF(AND($L90&lt;&gt;"",$L90-TODAY()&lt;=Cfg_DocWindow),"Due Soon",IF($I90="Not Started","Not Started","On Track")))))</f>
        <v/>
      </c>
      <c r="W90" s="42" t="str">
        <f aca="false">IF($A90="","",IF(AND($S90=0,$O90&gt;0),$O90+ROW()/1000000,""))</f>
        <v/>
      </c>
    </row>
    <row r="91" customFormat="false" ht="15" hidden="false" customHeight="false" outlineLevel="0" collapsed="false">
      <c r="A91" s="41"/>
      <c r="B91" s="41"/>
      <c r="C91" s="41"/>
      <c r="D91" s="41"/>
      <c r="E91" s="41"/>
      <c r="F91" s="41"/>
      <c r="G91" s="41"/>
      <c r="H91" s="41"/>
      <c r="I91" s="41"/>
      <c r="J91" s="41"/>
      <c r="K91" s="43" t="str">
        <f aca="false">IF($L91="","",$L91-Cfg_ReviewDays)</f>
        <v/>
      </c>
      <c r="L91" s="43" t="str">
        <f aca="false">IF($A91="","",IFERROR(Ctrl_PlannedStart-INDEX(Cfg_LeadDays,MATCH($A91,Cfg_LeadType,0)),""))</f>
        <v/>
      </c>
      <c r="M91" s="38"/>
      <c r="N91" s="38"/>
      <c r="O91" s="44" t="str">
        <f aca="true">IF($A91="","",IF($N91&lt;&gt;"",MAX(0,$N91-$L91),IF(AND($L91&lt;&gt;"",TODAY()&gt;$L91),TODAY()-$L91,0)))</f>
        <v/>
      </c>
      <c r="P91" s="41"/>
      <c r="Q91" s="41"/>
      <c r="S91" s="40" t="str">
        <f aca="false">IF($A91="","",IFERROR(INDEX(Cfg_WfApproved,MATCH($I91,Cfg_WfList,0)),0))</f>
        <v/>
      </c>
      <c r="T91" s="39" t="str">
        <f aca="false">IF($A91="","",IFERROR(INDEX(Cfg_WfPct,MATCH($I91,Cfg_WfList,0)),0))</f>
        <v/>
      </c>
      <c r="U91" s="44" t="str">
        <f aca="true">IF(OR($A91="",$L91=""),"",$L91-TODAY())</f>
        <v/>
      </c>
      <c r="V91" s="42" t="str">
        <f aca="true">IF($A91="","",IF($S91=1,"Approved",IF(AND($L91&lt;&gt;"",TODAY()&gt;$L91),"Overdue",IF(AND($L91&lt;&gt;"",$L91-TODAY()&lt;=Cfg_DocWindow),"Due Soon",IF($I91="Not Started","Not Started","On Track")))))</f>
        <v/>
      </c>
      <c r="W91" s="42" t="str">
        <f aca="false">IF($A91="","",IF(AND($S91=0,$O91&gt;0),$O91+ROW()/1000000,""))</f>
        <v/>
      </c>
    </row>
    <row r="92" customFormat="false" ht="15" hidden="false" customHeight="false" outlineLevel="0" collapsed="false">
      <c r="A92" s="41"/>
      <c r="B92" s="41"/>
      <c r="C92" s="41"/>
      <c r="D92" s="41"/>
      <c r="E92" s="41"/>
      <c r="F92" s="41"/>
      <c r="G92" s="41"/>
      <c r="H92" s="41"/>
      <c r="I92" s="41"/>
      <c r="J92" s="41"/>
      <c r="K92" s="43" t="str">
        <f aca="false">IF($L92="","",$L92-Cfg_ReviewDays)</f>
        <v/>
      </c>
      <c r="L92" s="43" t="str">
        <f aca="false">IF($A92="","",IFERROR(Ctrl_PlannedStart-INDEX(Cfg_LeadDays,MATCH($A92,Cfg_LeadType,0)),""))</f>
        <v/>
      </c>
      <c r="M92" s="38"/>
      <c r="N92" s="38"/>
      <c r="O92" s="44" t="str">
        <f aca="true">IF($A92="","",IF($N92&lt;&gt;"",MAX(0,$N92-$L92),IF(AND($L92&lt;&gt;"",TODAY()&gt;$L92),TODAY()-$L92,0)))</f>
        <v/>
      </c>
      <c r="P92" s="41"/>
      <c r="Q92" s="41"/>
      <c r="S92" s="40" t="str">
        <f aca="false">IF($A92="","",IFERROR(INDEX(Cfg_WfApproved,MATCH($I92,Cfg_WfList,0)),0))</f>
        <v/>
      </c>
      <c r="T92" s="39" t="str">
        <f aca="false">IF($A92="","",IFERROR(INDEX(Cfg_WfPct,MATCH($I92,Cfg_WfList,0)),0))</f>
        <v/>
      </c>
      <c r="U92" s="44" t="str">
        <f aca="true">IF(OR($A92="",$L92=""),"",$L92-TODAY())</f>
        <v/>
      </c>
      <c r="V92" s="42" t="str">
        <f aca="true">IF($A92="","",IF($S92=1,"Approved",IF(AND($L92&lt;&gt;"",TODAY()&gt;$L92),"Overdue",IF(AND($L92&lt;&gt;"",$L92-TODAY()&lt;=Cfg_DocWindow),"Due Soon",IF($I92="Not Started","Not Started","On Track")))))</f>
        <v/>
      </c>
      <c r="W92" s="42" t="str">
        <f aca="false">IF($A92="","",IF(AND($S92=0,$O92&gt;0),$O92+ROW()/1000000,""))</f>
        <v/>
      </c>
    </row>
    <row r="93" customFormat="false" ht="15" hidden="false" customHeight="false" outlineLevel="0" collapsed="false">
      <c r="A93" s="41"/>
      <c r="B93" s="41"/>
      <c r="C93" s="41"/>
      <c r="D93" s="41"/>
      <c r="E93" s="41"/>
      <c r="F93" s="41"/>
      <c r="G93" s="41"/>
      <c r="H93" s="41"/>
      <c r="I93" s="41"/>
      <c r="J93" s="41"/>
      <c r="K93" s="43" t="str">
        <f aca="false">IF($L93="","",$L93-Cfg_ReviewDays)</f>
        <v/>
      </c>
      <c r="L93" s="43" t="str">
        <f aca="false">IF($A93="","",IFERROR(Ctrl_PlannedStart-INDEX(Cfg_LeadDays,MATCH($A93,Cfg_LeadType,0)),""))</f>
        <v/>
      </c>
      <c r="M93" s="38"/>
      <c r="N93" s="38"/>
      <c r="O93" s="44" t="str">
        <f aca="true">IF($A93="","",IF($N93&lt;&gt;"",MAX(0,$N93-$L93),IF(AND($L93&lt;&gt;"",TODAY()&gt;$L93),TODAY()-$L93,0)))</f>
        <v/>
      </c>
      <c r="P93" s="41"/>
      <c r="Q93" s="41"/>
      <c r="S93" s="40" t="str">
        <f aca="false">IF($A93="","",IFERROR(INDEX(Cfg_WfApproved,MATCH($I93,Cfg_WfList,0)),0))</f>
        <v/>
      </c>
      <c r="T93" s="39" t="str">
        <f aca="false">IF($A93="","",IFERROR(INDEX(Cfg_WfPct,MATCH($I93,Cfg_WfList,0)),0))</f>
        <v/>
      </c>
      <c r="U93" s="44" t="str">
        <f aca="true">IF(OR($A93="",$L93=""),"",$L93-TODAY())</f>
        <v/>
      </c>
      <c r="V93" s="42" t="str">
        <f aca="true">IF($A93="","",IF($S93=1,"Approved",IF(AND($L93&lt;&gt;"",TODAY()&gt;$L93),"Overdue",IF(AND($L93&lt;&gt;"",$L93-TODAY()&lt;=Cfg_DocWindow),"Due Soon",IF($I93="Not Started","Not Started","On Track")))))</f>
        <v/>
      </c>
      <c r="W93" s="42" t="str">
        <f aca="false">IF($A93="","",IF(AND($S93=0,$O93&gt;0),$O93+ROW()/1000000,""))</f>
        <v/>
      </c>
    </row>
    <row r="94" customFormat="false" ht="15" hidden="false" customHeight="false" outlineLevel="0" collapsed="false">
      <c r="A94" s="41"/>
      <c r="B94" s="41"/>
      <c r="C94" s="41"/>
      <c r="D94" s="41"/>
      <c r="E94" s="41"/>
      <c r="F94" s="41"/>
      <c r="G94" s="41"/>
      <c r="H94" s="41"/>
      <c r="I94" s="41"/>
      <c r="J94" s="41"/>
      <c r="K94" s="43" t="str">
        <f aca="false">IF($L94="","",$L94-Cfg_ReviewDays)</f>
        <v/>
      </c>
      <c r="L94" s="43" t="str">
        <f aca="false">IF($A94="","",IFERROR(Ctrl_PlannedStart-INDEX(Cfg_LeadDays,MATCH($A94,Cfg_LeadType,0)),""))</f>
        <v/>
      </c>
      <c r="M94" s="38"/>
      <c r="N94" s="38"/>
      <c r="O94" s="44" t="str">
        <f aca="true">IF($A94="","",IF($N94&lt;&gt;"",MAX(0,$N94-$L94),IF(AND($L94&lt;&gt;"",TODAY()&gt;$L94),TODAY()-$L94,0)))</f>
        <v/>
      </c>
      <c r="P94" s="41"/>
      <c r="Q94" s="41"/>
      <c r="S94" s="40" t="str">
        <f aca="false">IF($A94="","",IFERROR(INDEX(Cfg_WfApproved,MATCH($I94,Cfg_WfList,0)),0))</f>
        <v/>
      </c>
      <c r="T94" s="39" t="str">
        <f aca="false">IF($A94="","",IFERROR(INDEX(Cfg_WfPct,MATCH($I94,Cfg_WfList,0)),0))</f>
        <v/>
      </c>
      <c r="U94" s="44" t="str">
        <f aca="true">IF(OR($A94="",$L94=""),"",$L94-TODAY())</f>
        <v/>
      </c>
      <c r="V94" s="42" t="str">
        <f aca="true">IF($A94="","",IF($S94=1,"Approved",IF(AND($L94&lt;&gt;"",TODAY()&gt;$L94),"Overdue",IF(AND($L94&lt;&gt;"",$L94-TODAY()&lt;=Cfg_DocWindow),"Due Soon",IF($I94="Not Started","Not Started","On Track")))))</f>
        <v/>
      </c>
      <c r="W94" s="42" t="str">
        <f aca="false">IF($A94="","",IF(AND($S94=0,$O94&gt;0),$O94+ROW()/1000000,""))</f>
        <v/>
      </c>
    </row>
    <row r="95" customFormat="false" ht="15" hidden="false" customHeight="false" outlineLevel="0" collapsed="false">
      <c r="A95" s="41"/>
      <c r="B95" s="41"/>
      <c r="C95" s="41"/>
      <c r="D95" s="41"/>
      <c r="E95" s="41"/>
      <c r="F95" s="41"/>
      <c r="G95" s="41"/>
      <c r="H95" s="41"/>
      <c r="I95" s="41"/>
      <c r="J95" s="41"/>
      <c r="K95" s="43" t="str">
        <f aca="false">IF($L95="","",$L95-Cfg_ReviewDays)</f>
        <v/>
      </c>
      <c r="L95" s="43" t="str">
        <f aca="false">IF($A95="","",IFERROR(Ctrl_PlannedStart-INDEX(Cfg_LeadDays,MATCH($A95,Cfg_LeadType,0)),""))</f>
        <v/>
      </c>
      <c r="M95" s="38"/>
      <c r="N95" s="38"/>
      <c r="O95" s="44" t="str">
        <f aca="true">IF($A95="","",IF($N95&lt;&gt;"",MAX(0,$N95-$L95),IF(AND($L95&lt;&gt;"",TODAY()&gt;$L95),TODAY()-$L95,0)))</f>
        <v/>
      </c>
      <c r="P95" s="41"/>
      <c r="Q95" s="41"/>
      <c r="S95" s="40" t="str">
        <f aca="false">IF($A95="","",IFERROR(INDEX(Cfg_WfApproved,MATCH($I95,Cfg_WfList,0)),0))</f>
        <v/>
      </c>
      <c r="T95" s="39" t="str">
        <f aca="false">IF($A95="","",IFERROR(INDEX(Cfg_WfPct,MATCH($I95,Cfg_WfList,0)),0))</f>
        <v/>
      </c>
      <c r="U95" s="44" t="str">
        <f aca="true">IF(OR($A95="",$L95=""),"",$L95-TODAY())</f>
        <v/>
      </c>
      <c r="V95" s="42" t="str">
        <f aca="true">IF($A95="","",IF($S95=1,"Approved",IF(AND($L95&lt;&gt;"",TODAY()&gt;$L95),"Overdue",IF(AND($L95&lt;&gt;"",$L95-TODAY()&lt;=Cfg_DocWindow),"Due Soon",IF($I95="Not Started","Not Started","On Track")))))</f>
        <v/>
      </c>
      <c r="W95" s="42" t="str">
        <f aca="false">IF($A95="","",IF(AND($S95=0,$O95&gt;0),$O95+ROW()/1000000,""))</f>
        <v/>
      </c>
    </row>
    <row r="96" customFormat="false" ht="15" hidden="false" customHeight="false" outlineLevel="0" collapsed="false">
      <c r="A96" s="41"/>
      <c r="B96" s="41"/>
      <c r="C96" s="41"/>
      <c r="D96" s="41"/>
      <c r="E96" s="41"/>
      <c r="F96" s="41"/>
      <c r="G96" s="41"/>
      <c r="H96" s="41"/>
      <c r="I96" s="41"/>
      <c r="J96" s="41"/>
      <c r="K96" s="43" t="str">
        <f aca="false">IF($L96="","",$L96-Cfg_ReviewDays)</f>
        <v/>
      </c>
      <c r="L96" s="43" t="str">
        <f aca="false">IF($A96="","",IFERROR(Ctrl_PlannedStart-INDEX(Cfg_LeadDays,MATCH($A96,Cfg_LeadType,0)),""))</f>
        <v/>
      </c>
      <c r="M96" s="38"/>
      <c r="N96" s="38"/>
      <c r="O96" s="44" t="str">
        <f aca="true">IF($A96="","",IF($N96&lt;&gt;"",MAX(0,$N96-$L96),IF(AND($L96&lt;&gt;"",TODAY()&gt;$L96),TODAY()-$L96,0)))</f>
        <v/>
      </c>
      <c r="P96" s="41"/>
      <c r="Q96" s="41"/>
      <c r="S96" s="40" t="str">
        <f aca="false">IF($A96="","",IFERROR(INDEX(Cfg_WfApproved,MATCH($I96,Cfg_WfList,0)),0))</f>
        <v/>
      </c>
      <c r="T96" s="39" t="str">
        <f aca="false">IF($A96="","",IFERROR(INDEX(Cfg_WfPct,MATCH($I96,Cfg_WfList,0)),0))</f>
        <v/>
      </c>
      <c r="U96" s="44" t="str">
        <f aca="true">IF(OR($A96="",$L96=""),"",$L96-TODAY())</f>
        <v/>
      </c>
      <c r="V96" s="42" t="str">
        <f aca="true">IF($A96="","",IF($S96=1,"Approved",IF(AND($L96&lt;&gt;"",TODAY()&gt;$L96),"Overdue",IF(AND($L96&lt;&gt;"",$L96-TODAY()&lt;=Cfg_DocWindow),"Due Soon",IF($I96="Not Started","Not Started","On Track")))))</f>
        <v/>
      </c>
      <c r="W96" s="42" t="str">
        <f aca="false">IF($A96="","",IF(AND($S96=0,$O96&gt;0),$O96+ROW()/1000000,""))</f>
        <v/>
      </c>
    </row>
    <row r="97" customFormat="false" ht="15" hidden="false" customHeight="false" outlineLevel="0" collapsed="false">
      <c r="A97" s="41"/>
      <c r="B97" s="41"/>
      <c r="C97" s="41"/>
      <c r="D97" s="41"/>
      <c r="E97" s="41"/>
      <c r="F97" s="41"/>
      <c r="G97" s="41"/>
      <c r="H97" s="41"/>
      <c r="I97" s="41"/>
      <c r="J97" s="41"/>
      <c r="K97" s="43" t="str">
        <f aca="false">IF($L97="","",$L97-Cfg_ReviewDays)</f>
        <v/>
      </c>
      <c r="L97" s="43" t="str">
        <f aca="false">IF($A97="","",IFERROR(Ctrl_PlannedStart-INDEX(Cfg_LeadDays,MATCH($A97,Cfg_LeadType,0)),""))</f>
        <v/>
      </c>
      <c r="M97" s="38"/>
      <c r="N97" s="38"/>
      <c r="O97" s="44" t="str">
        <f aca="true">IF($A97="","",IF($N97&lt;&gt;"",MAX(0,$N97-$L97),IF(AND($L97&lt;&gt;"",TODAY()&gt;$L97),TODAY()-$L97,0)))</f>
        <v/>
      </c>
      <c r="P97" s="41"/>
      <c r="Q97" s="41"/>
      <c r="S97" s="40" t="str">
        <f aca="false">IF($A97="","",IFERROR(INDEX(Cfg_WfApproved,MATCH($I97,Cfg_WfList,0)),0))</f>
        <v/>
      </c>
      <c r="T97" s="39" t="str">
        <f aca="false">IF($A97="","",IFERROR(INDEX(Cfg_WfPct,MATCH($I97,Cfg_WfList,0)),0))</f>
        <v/>
      </c>
      <c r="U97" s="44" t="str">
        <f aca="true">IF(OR($A97="",$L97=""),"",$L97-TODAY())</f>
        <v/>
      </c>
      <c r="V97" s="42" t="str">
        <f aca="true">IF($A97="","",IF($S97=1,"Approved",IF(AND($L97&lt;&gt;"",TODAY()&gt;$L97),"Overdue",IF(AND($L97&lt;&gt;"",$L97-TODAY()&lt;=Cfg_DocWindow),"Due Soon",IF($I97="Not Started","Not Started","On Track")))))</f>
        <v/>
      </c>
      <c r="W97" s="42" t="str">
        <f aca="false">IF($A97="","",IF(AND($S97=0,$O97&gt;0),$O97+ROW()/1000000,""))</f>
        <v/>
      </c>
    </row>
    <row r="98" customFormat="false" ht="15" hidden="false" customHeight="false" outlineLevel="0" collapsed="false">
      <c r="A98" s="41"/>
      <c r="B98" s="41"/>
      <c r="C98" s="41"/>
      <c r="D98" s="41"/>
      <c r="E98" s="41"/>
      <c r="F98" s="41"/>
      <c r="G98" s="41"/>
      <c r="H98" s="41"/>
      <c r="I98" s="41"/>
      <c r="J98" s="41"/>
      <c r="K98" s="43" t="str">
        <f aca="false">IF($L98="","",$L98-Cfg_ReviewDays)</f>
        <v/>
      </c>
      <c r="L98" s="43" t="str">
        <f aca="false">IF($A98="","",IFERROR(Ctrl_PlannedStart-INDEX(Cfg_LeadDays,MATCH($A98,Cfg_LeadType,0)),""))</f>
        <v/>
      </c>
      <c r="M98" s="38"/>
      <c r="N98" s="38"/>
      <c r="O98" s="44" t="str">
        <f aca="true">IF($A98="","",IF($N98&lt;&gt;"",MAX(0,$N98-$L98),IF(AND($L98&lt;&gt;"",TODAY()&gt;$L98),TODAY()-$L98,0)))</f>
        <v/>
      </c>
      <c r="P98" s="41"/>
      <c r="Q98" s="41"/>
      <c r="S98" s="40" t="str">
        <f aca="false">IF($A98="","",IFERROR(INDEX(Cfg_WfApproved,MATCH($I98,Cfg_WfList,0)),0))</f>
        <v/>
      </c>
      <c r="T98" s="39" t="str">
        <f aca="false">IF($A98="","",IFERROR(INDEX(Cfg_WfPct,MATCH($I98,Cfg_WfList,0)),0))</f>
        <v/>
      </c>
      <c r="U98" s="44" t="str">
        <f aca="true">IF(OR($A98="",$L98=""),"",$L98-TODAY())</f>
        <v/>
      </c>
      <c r="V98" s="42" t="str">
        <f aca="true">IF($A98="","",IF($S98=1,"Approved",IF(AND($L98&lt;&gt;"",TODAY()&gt;$L98),"Overdue",IF(AND($L98&lt;&gt;"",$L98-TODAY()&lt;=Cfg_DocWindow),"Due Soon",IF($I98="Not Started","Not Started","On Track")))))</f>
        <v/>
      </c>
      <c r="W98" s="42" t="str">
        <f aca="false">IF($A98="","",IF(AND($S98=0,$O98&gt;0),$O98+ROW()/1000000,""))</f>
        <v/>
      </c>
    </row>
    <row r="99" customFormat="false" ht="15" hidden="false" customHeight="false" outlineLevel="0" collapsed="false">
      <c r="A99" s="41"/>
      <c r="B99" s="41"/>
      <c r="C99" s="41"/>
      <c r="D99" s="41"/>
      <c r="E99" s="41"/>
      <c r="F99" s="41"/>
      <c r="G99" s="41"/>
      <c r="H99" s="41"/>
      <c r="I99" s="41"/>
      <c r="J99" s="41"/>
      <c r="K99" s="43" t="str">
        <f aca="false">IF($L99="","",$L99-Cfg_ReviewDays)</f>
        <v/>
      </c>
      <c r="L99" s="43" t="str">
        <f aca="false">IF($A99="","",IFERROR(Ctrl_PlannedStart-INDEX(Cfg_LeadDays,MATCH($A99,Cfg_LeadType,0)),""))</f>
        <v/>
      </c>
      <c r="M99" s="38"/>
      <c r="N99" s="38"/>
      <c r="O99" s="44" t="str">
        <f aca="true">IF($A99="","",IF($N99&lt;&gt;"",MAX(0,$N99-$L99),IF(AND($L99&lt;&gt;"",TODAY()&gt;$L99),TODAY()-$L99,0)))</f>
        <v/>
      </c>
      <c r="P99" s="41"/>
      <c r="Q99" s="41"/>
      <c r="S99" s="40" t="str">
        <f aca="false">IF($A99="","",IFERROR(INDEX(Cfg_WfApproved,MATCH($I99,Cfg_WfList,0)),0))</f>
        <v/>
      </c>
      <c r="T99" s="39" t="str">
        <f aca="false">IF($A99="","",IFERROR(INDEX(Cfg_WfPct,MATCH($I99,Cfg_WfList,0)),0))</f>
        <v/>
      </c>
      <c r="U99" s="44" t="str">
        <f aca="true">IF(OR($A99="",$L99=""),"",$L99-TODAY())</f>
        <v/>
      </c>
      <c r="V99" s="42" t="str">
        <f aca="true">IF($A99="","",IF($S99=1,"Approved",IF(AND($L99&lt;&gt;"",TODAY()&gt;$L99),"Overdue",IF(AND($L99&lt;&gt;"",$L99-TODAY()&lt;=Cfg_DocWindow),"Due Soon",IF($I99="Not Started","Not Started","On Track")))))</f>
        <v/>
      </c>
      <c r="W99" s="42" t="str">
        <f aca="false">IF($A99="","",IF(AND($S99=0,$O99&gt;0),$O99+ROW()/1000000,""))</f>
        <v/>
      </c>
    </row>
    <row r="100" customFormat="false" ht="15" hidden="false" customHeight="false" outlineLevel="0" collapsed="false">
      <c r="A100" s="41"/>
      <c r="B100" s="41"/>
      <c r="C100" s="41"/>
      <c r="D100" s="41"/>
      <c r="E100" s="41"/>
      <c r="F100" s="41"/>
      <c r="G100" s="41"/>
      <c r="H100" s="41"/>
      <c r="I100" s="41"/>
      <c r="J100" s="41"/>
      <c r="K100" s="43" t="str">
        <f aca="false">IF($L100="","",$L100-Cfg_ReviewDays)</f>
        <v/>
      </c>
      <c r="L100" s="43" t="str">
        <f aca="false">IF($A100="","",IFERROR(Ctrl_PlannedStart-INDEX(Cfg_LeadDays,MATCH($A100,Cfg_LeadType,0)),""))</f>
        <v/>
      </c>
      <c r="M100" s="38"/>
      <c r="N100" s="38"/>
      <c r="O100" s="44" t="str">
        <f aca="true">IF($A100="","",IF($N100&lt;&gt;"",MAX(0,$N100-$L100),IF(AND($L100&lt;&gt;"",TODAY()&gt;$L100),TODAY()-$L100,0)))</f>
        <v/>
      </c>
      <c r="P100" s="41"/>
      <c r="Q100" s="41"/>
      <c r="S100" s="40" t="str">
        <f aca="false">IF($A100="","",IFERROR(INDEX(Cfg_WfApproved,MATCH($I100,Cfg_WfList,0)),0))</f>
        <v/>
      </c>
      <c r="T100" s="39" t="str">
        <f aca="false">IF($A100="","",IFERROR(INDEX(Cfg_WfPct,MATCH($I100,Cfg_WfList,0)),0))</f>
        <v/>
      </c>
      <c r="U100" s="44" t="str">
        <f aca="true">IF(OR($A100="",$L100=""),"",$L100-TODAY())</f>
        <v/>
      </c>
      <c r="V100" s="42" t="str">
        <f aca="true">IF($A100="","",IF($S100=1,"Approved",IF(AND($L100&lt;&gt;"",TODAY()&gt;$L100),"Overdue",IF(AND($L100&lt;&gt;"",$L100-TODAY()&lt;=Cfg_DocWindow),"Due Soon",IF($I100="Not Started","Not Started","On Track")))))</f>
        <v/>
      </c>
      <c r="W100" s="42" t="str">
        <f aca="false">IF($A100="","",IF(AND($S100=0,$O100&gt;0),$O100+ROW()/1000000,""))</f>
        <v/>
      </c>
    </row>
    <row r="101" customFormat="false" ht="15" hidden="false" customHeight="false" outlineLevel="0" collapsed="false">
      <c r="A101" s="41"/>
      <c r="B101" s="41"/>
      <c r="C101" s="41"/>
      <c r="D101" s="41"/>
      <c r="E101" s="41"/>
      <c r="F101" s="41"/>
      <c r="G101" s="41"/>
      <c r="H101" s="41"/>
      <c r="I101" s="41"/>
      <c r="J101" s="41"/>
      <c r="K101" s="43" t="str">
        <f aca="false">IF($L101="","",$L101-Cfg_ReviewDays)</f>
        <v/>
      </c>
      <c r="L101" s="43" t="str">
        <f aca="false">IF($A101="","",IFERROR(Ctrl_PlannedStart-INDEX(Cfg_LeadDays,MATCH($A101,Cfg_LeadType,0)),""))</f>
        <v/>
      </c>
      <c r="M101" s="38"/>
      <c r="N101" s="38"/>
      <c r="O101" s="44" t="str">
        <f aca="true">IF($A101="","",IF($N101&lt;&gt;"",MAX(0,$N101-$L101),IF(AND($L101&lt;&gt;"",TODAY()&gt;$L101),TODAY()-$L101,0)))</f>
        <v/>
      </c>
      <c r="P101" s="41"/>
      <c r="Q101" s="41"/>
      <c r="S101" s="40" t="str">
        <f aca="false">IF($A101="","",IFERROR(INDEX(Cfg_WfApproved,MATCH($I101,Cfg_WfList,0)),0))</f>
        <v/>
      </c>
      <c r="T101" s="39" t="str">
        <f aca="false">IF($A101="","",IFERROR(INDEX(Cfg_WfPct,MATCH($I101,Cfg_WfList,0)),0))</f>
        <v/>
      </c>
      <c r="U101" s="44" t="str">
        <f aca="true">IF(OR($A101="",$L101=""),"",$L101-TODAY())</f>
        <v/>
      </c>
      <c r="V101" s="42" t="str">
        <f aca="true">IF($A101="","",IF($S101=1,"Approved",IF(AND($L101&lt;&gt;"",TODAY()&gt;$L101),"Overdue",IF(AND($L101&lt;&gt;"",$L101-TODAY()&lt;=Cfg_DocWindow),"Due Soon",IF($I101="Not Started","Not Started","On Track")))))</f>
        <v/>
      </c>
      <c r="W101" s="42" t="str">
        <f aca="false">IF($A101="","",IF(AND($S101=0,$O101&gt;0),$O101+ROW()/1000000,""))</f>
        <v/>
      </c>
    </row>
    <row r="102" customFormat="false" ht="15" hidden="false" customHeight="false" outlineLevel="0" collapsed="false">
      <c r="A102" s="41"/>
      <c r="B102" s="41"/>
      <c r="C102" s="41"/>
      <c r="D102" s="41"/>
      <c r="E102" s="41"/>
      <c r="F102" s="41"/>
      <c r="G102" s="41"/>
      <c r="H102" s="41"/>
      <c r="I102" s="41"/>
      <c r="J102" s="41"/>
      <c r="K102" s="43" t="str">
        <f aca="false">IF($L102="","",$L102-Cfg_ReviewDays)</f>
        <v/>
      </c>
      <c r="L102" s="43" t="str">
        <f aca="false">IF($A102="","",IFERROR(Ctrl_PlannedStart-INDEX(Cfg_LeadDays,MATCH($A102,Cfg_LeadType,0)),""))</f>
        <v/>
      </c>
      <c r="M102" s="38"/>
      <c r="N102" s="38"/>
      <c r="O102" s="44" t="str">
        <f aca="true">IF($A102="","",IF($N102&lt;&gt;"",MAX(0,$N102-$L102),IF(AND($L102&lt;&gt;"",TODAY()&gt;$L102),TODAY()-$L102,0)))</f>
        <v/>
      </c>
      <c r="P102" s="41"/>
      <c r="Q102" s="41"/>
      <c r="S102" s="40" t="str">
        <f aca="false">IF($A102="","",IFERROR(INDEX(Cfg_WfApproved,MATCH($I102,Cfg_WfList,0)),0))</f>
        <v/>
      </c>
      <c r="T102" s="39" t="str">
        <f aca="false">IF($A102="","",IFERROR(INDEX(Cfg_WfPct,MATCH($I102,Cfg_WfList,0)),0))</f>
        <v/>
      </c>
      <c r="U102" s="44" t="str">
        <f aca="true">IF(OR($A102="",$L102=""),"",$L102-TODAY())</f>
        <v/>
      </c>
      <c r="V102" s="42" t="str">
        <f aca="true">IF($A102="","",IF($S102=1,"Approved",IF(AND($L102&lt;&gt;"",TODAY()&gt;$L102),"Overdue",IF(AND($L102&lt;&gt;"",$L102-TODAY()&lt;=Cfg_DocWindow),"Due Soon",IF($I102="Not Started","Not Started","On Track")))))</f>
        <v/>
      </c>
      <c r="W102" s="42" t="str">
        <f aca="false">IF($A102="","",IF(AND($S102=0,$O102&gt;0),$O102+ROW()/1000000,""))</f>
        <v/>
      </c>
    </row>
    <row r="103" customFormat="false" ht="15" hidden="false" customHeight="false" outlineLevel="0" collapsed="false">
      <c r="A103" s="41"/>
      <c r="B103" s="41"/>
      <c r="C103" s="41"/>
      <c r="D103" s="41"/>
      <c r="E103" s="41"/>
      <c r="F103" s="41"/>
      <c r="G103" s="41"/>
      <c r="H103" s="41"/>
      <c r="I103" s="41"/>
      <c r="J103" s="41"/>
      <c r="K103" s="43" t="str">
        <f aca="false">IF($L103="","",$L103-Cfg_ReviewDays)</f>
        <v/>
      </c>
      <c r="L103" s="43" t="str">
        <f aca="false">IF($A103="","",IFERROR(Ctrl_PlannedStart-INDEX(Cfg_LeadDays,MATCH($A103,Cfg_LeadType,0)),""))</f>
        <v/>
      </c>
      <c r="M103" s="38"/>
      <c r="N103" s="38"/>
      <c r="O103" s="44" t="str">
        <f aca="true">IF($A103="","",IF($N103&lt;&gt;"",MAX(0,$N103-$L103),IF(AND($L103&lt;&gt;"",TODAY()&gt;$L103),TODAY()-$L103,0)))</f>
        <v/>
      </c>
      <c r="P103" s="41"/>
      <c r="Q103" s="41"/>
      <c r="S103" s="40" t="str">
        <f aca="false">IF($A103="","",IFERROR(INDEX(Cfg_WfApproved,MATCH($I103,Cfg_WfList,0)),0))</f>
        <v/>
      </c>
      <c r="T103" s="39" t="str">
        <f aca="false">IF($A103="","",IFERROR(INDEX(Cfg_WfPct,MATCH($I103,Cfg_WfList,0)),0))</f>
        <v/>
      </c>
      <c r="U103" s="44" t="str">
        <f aca="true">IF(OR($A103="",$L103=""),"",$L103-TODAY())</f>
        <v/>
      </c>
      <c r="V103" s="42" t="str">
        <f aca="true">IF($A103="","",IF($S103=1,"Approved",IF(AND($L103&lt;&gt;"",TODAY()&gt;$L103),"Overdue",IF(AND($L103&lt;&gt;"",$L103-TODAY()&lt;=Cfg_DocWindow),"Due Soon",IF($I103="Not Started","Not Started","On Track")))))</f>
        <v/>
      </c>
      <c r="W103" s="42" t="str">
        <f aca="false">IF($A103="","",IF(AND($S103=0,$O103&gt;0),$O103+ROW()/1000000,""))</f>
        <v/>
      </c>
    </row>
    <row r="104" customFormat="false" ht="15" hidden="false" customHeight="false" outlineLevel="0" collapsed="false">
      <c r="A104" s="41"/>
      <c r="B104" s="41"/>
      <c r="C104" s="41"/>
      <c r="D104" s="41"/>
      <c r="E104" s="41"/>
      <c r="F104" s="41"/>
      <c r="G104" s="41"/>
      <c r="H104" s="41"/>
      <c r="I104" s="41"/>
      <c r="J104" s="41"/>
      <c r="K104" s="43" t="str">
        <f aca="false">IF($L104="","",$L104-Cfg_ReviewDays)</f>
        <v/>
      </c>
      <c r="L104" s="43" t="str">
        <f aca="false">IF($A104="","",IFERROR(Ctrl_PlannedStart-INDEX(Cfg_LeadDays,MATCH($A104,Cfg_LeadType,0)),""))</f>
        <v/>
      </c>
      <c r="M104" s="38"/>
      <c r="N104" s="38"/>
      <c r="O104" s="44" t="str">
        <f aca="true">IF($A104="","",IF($N104&lt;&gt;"",MAX(0,$N104-$L104),IF(AND($L104&lt;&gt;"",TODAY()&gt;$L104),TODAY()-$L104,0)))</f>
        <v/>
      </c>
      <c r="P104" s="41"/>
      <c r="Q104" s="41"/>
      <c r="S104" s="40" t="str">
        <f aca="false">IF($A104="","",IFERROR(INDEX(Cfg_WfApproved,MATCH($I104,Cfg_WfList,0)),0))</f>
        <v/>
      </c>
      <c r="T104" s="39" t="str">
        <f aca="false">IF($A104="","",IFERROR(INDEX(Cfg_WfPct,MATCH($I104,Cfg_WfList,0)),0))</f>
        <v/>
      </c>
      <c r="U104" s="44" t="str">
        <f aca="true">IF(OR($A104="",$L104=""),"",$L104-TODAY())</f>
        <v/>
      </c>
      <c r="V104" s="42" t="str">
        <f aca="true">IF($A104="","",IF($S104=1,"Approved",IF(AND($L104&lt;&gt;"",TODAY()&gt;$L104),"Overdue",IF(AND($L104&lt;&gt;"",$L104-TODAY()&lt;=Cfg_DocWindow),"Due Soon",IF($I104="Not Started","Not Started","On Track")))))</f>
        <v/>
      </c>
      <c r="W104" s="42" t="str">
        <f aca="false">IF($A104="","",IF(AND($S104=0,$O104&gt;0),$O104+ROW()/1000000,""))</f>
        <v/>
      </c>
    </row>
    <row r="105" customFormat="false" ht="15" hidden="false" customHeight="false" outlineLevel="0" collapsed="false">
      <c r="A105" s="41"/>
      <c r="B105" s="41"/>
      <c r="C105" s="41"/>
      <c r="D105" s="41"/>
      <c r="E105" s="41"/>
      <c r="F105" s="41"/>
      <c r="G105" s="41"/>
      <c r="H105" s="41"/>
      <c r="I105" s="41"/>
      <c r="J105" s="41"/>
      <c r="K105" s="43" t="str">
        <f aca="false">IF($L105="","",$L105-Cfg_ReviewDays)</f>
        <v/>
      </c>
      <c r="L105" s="43" t="str">
        <f aca="false">IF($A105="","",IFERROR(Ctrl_PlannedStart-INDEX(Cfg_LeadDays,MATCH($A105,Cfg_LeadType,0)),""))</f>
        <v/>
      </c>
      <c r="M105" s="38"/>
      <c r="N105" s="38"/>
      <c r="O105" s="44" t="str">
        <f aca="true">IF($A105="","",IF($N105&lt;&gt;"",MAX(0,$N105-$L105),IF(AND($L105&lt;&gt;"",TODAY()&gt;$L105),TODAY()-$L105,0)))</f>
        <v/>
      </c>
      <c r="P105" s="41"/>
      <c r="Q105" s="41"/>
      <c r="S105" s="40" t="str">
        <f aca="false">IF($A105="","",IFERROR(INDEX(Cfg_WfApproved,MATCH($I105,Cfg_WfList,0)),0))</f>
        <v/>
      </c>
      <c r="T105" s="39" t="str">
        <f aca="false">IF($A105="","",IFERROR(INDEX(Cfg_WfPct,MATCH($I105,Cfg_WfList,0)),0))</f>
        <v/>
      </c>
      <c r="U105" s="44" t="str">
        <f aca="true">IF(OR($A105="",$L105=""),"",$L105-TODAY())</f>
        <v/>
      </c>
      <c r="V105" s="42" t="str">
        <f aca="true">IF($A105="","",IF($S105=1,"Approved",IF(AND($L105&lt;&gt;"",TODAY()&gt;$L105),"Overdue",IF(AND($L105&lt;&gt;"",$L105-TODAY()&lt;=Cfg_DocWindow),"Due Soon",IF($I105="Not Started","Not Started","On Track")))))</f>
        <v/>
      </c>
      <c r="W105" s="42" t="str">
        <f aca="false">IF($A105="","",IF(AND($S105=0,$O105&gt;0),$O105+ROW()/1000000,""))</f>
        <v/>
      </c>
    </row>
    <row r="106" customFormat="false" ht="15" hidden="false" customHeight="false" outlineLevel="0" collapsed="false">
      <c r="A106" s="41"/>
      <c r="B106" s="41"/>
      <c r="C106" s="41"/>
      <c r="D106" s="41"/>
      <c r="E106" s="41"/>
      <c r="F106" s="41"/>
      <c r="G106" s="41"/>
      <c r="H106" s="41"/>
      <c r="I106" s="41"/>
      <c r="J106" s="41"/>
      <c r="K106" s="43" t="str">
        <f aca="false">IF($L106="","",$L106-Cfg_ReviewDays)</f>
        <v/>
      </c>
      <c r="L106" s="43" t="str">
        <f aca="false">IF($A106="","",IFERROR(Ctrl_PlannedStart-INDEX(Cfg_LeadDays,MATCH($A106,Cfg_LeadType,0)),""))</f>
        <v/>
      </c>
      <c r="M106" s="38"/>
      <c r="N106" s="38"/>
      <c r="O106" s="44" t="str">
        <f aca="true">IF($A106="","",IF($N106&lt;&gt;"",MAX(0,$N106-$L106),IF(AND($L106&lt;&gt;"",TODAY()&gt;$L106),TODAY()-$L106,0)))</f>
        <v/>
      </c>
      <c r="P106" s="41"/>
      <c r="Q106" s="41"/>
      <c r="S106" s="40" t="str">
        <f aca="false">IF($A106="","",IFERROR(INDEX(Cfg_WfApproved,MATCH($I106,Cfg_WfList,0)),0))</f>
        <v/>
      </c>
      <c r="T106" s="39" t="str">
        <f aca="false">IF($A106="","",IFERROR(INDEX(Cfg_WfPct,MATCH($I106,Cfg_WfList,0)),0))</f>
        <v/>
      </c>
      <c r="U106" s="44" t="str">
        <f aca="true">IF(OR($A106="",$L106=""),"",$L106-TODAY())</f>
        <v/>
      </c>
      <c r="V106" s="42" t="str">
        <f aca="true">IF($A106="","",IF($S106=1,"Approved",IF(AND($L106&lt;&gt;"",TODAY()&gt;$L106),"Overdue",IF(AND($L106&lt;&gt;"",$L106-TODAY()&lt;=Cfg_DocWindow),"Due Soon",IF($I106="Not Started","Not Started","On Track")))))</f>
        <v/>
      </c>
      <c r="W106" s="42" t="str">
        <f aca="false">IF($A106="","",IF(AND($S106=0,$O106&gt;0),$O106+ROW()/1000000,""))</f>
        <v/>
      </c>
    </row>
    <row r="107" customFormat="false" ht="15" hidden="false" customHeight="false" outlineLevel="0" collapsed="false">
      <c r="A107" s="41"/>
      <c r="B107" s="41"/>
      <c r="C107" s="41"/>
      <c r="D107" s="41"/>
      <c r="E107" s="41"/>
      <c r="F107" s="41"/>
      <c r="G107" s="41"/>
      <c r="H107" s="41"/>
      <c r="I107" s="41"/>
      <c r="J107" s="41"/>
      <c r="K107" s="43" t="str">
        <f aca="false">IF($L107="","",$L107-Cfg_ReviewDays)</f>
        <v/>
      </c>
      <c r="L107" s="43" t="str">
        <f aca="false">IF($A107="","",IFERROR(Ctrl_PlannedStart-INDEX(Cfg_LeadDays,MATCH($A107,Cfg_LeadType,0)),""))</f>
        <v/>
      </c>
      <c r="M107" s="38"/>
      <c r="N107" s="38"/>
      <c r="O107" s="44" t="str">
        <f aca="true">IF($A107="","",IF($N107&lt;&gt;"",MAX(0,$N107-$L107),IF(AND($L107&lt;&gt;"",TODAY()&gt;$L107),TODAY()-$L107,0)))</f>
        <v/>
      </c>
      <c r="P107" s="41"/>
      <c r="Q107" s="41"/>
      <c r="S107" s="40" t="str">
        <f aca="false">IF($A107="","",IFERROR(INDEX(Cfg_WfApproved,MATCH($I107,Cfg_WfList,0)),0))</f>
        <v/>
      </c>
      <c r="T107" s="39" t="str">
        <f aca="false">IF($A107="","",IFERROR(INDEX(Cfg_WfPct,MATCH($I107,Cfg_WfList,0)),0))</f>
        <v/>
      </c>
      <c r="U107" s="44" t="str">
        <f aca="true">IF(OR($A107="",$L107=""),"",$L107-TODAY())</f>
        <v/>
      </c>
      <c r="V107" s="42" t="str">
        <f aca="true">IF($A107="","",IF($S107=1,"Approved",IF(AND($L107&lt;&gt;"",TODAY()&gt;$L107),"Overdue",IF(AND($L107&lt;&gt;"",$L107-TODAY()&lt;=Cfg_DocWindow),"Due Soon",IF($I107="Not Started","Not Started","On Track")))))</f>
        <v/>
      </c>
      <c r="W107" s="42" t="str">
        <f aca="false">IF($A107="","",IF(AND($S107=0,$O107&gt;0),$O107+ROW()/1000000,""))</f>
        <v/>
      </c>
    </row>
    <row r="108" customFormat="false" ht="15" hidden="false" customHeight="false" outlineLevel="0" collapsed="false">
      <c r="A108" s="41"/>
      <c r="B108" s="41"/>
      <c r="C108" s="41"/>
      <c r="D108" s="41"/>
      <c r="E108" s="41"/>
      <c r="F108" s="41"/>
      <c r="G108" s="41"/>
      <c r="H108" s="41"/>
      <c r="I108" s="41"/>
      <c r="J108" s="41"/>
      <c r="K108" s="43" t="str">
        <f aca="false">IF($L108="","",$L108-Cfg_ReviewDays)</f>
        <v/>
      </c>
      <c r="L108" s="43" t="str">
        <f aca="false">IF($A108="","",IFERROR(Ctrl_PlannedStart-INDEX(Cfg_LeadDays,MATCH($A108,Cfg_LeadType,0)),""))</f>
        <v/>
      </c>
      <c r="M108" s="38"/>
      <c r="N108" s="38"/>
      <c r="O108" s="44" t="str">
        <f aca="true">IF($A108="","",IF($N108&lt;&gt;"",MAX(0,$N108-$L108),IF(AND($L108&lt;&gt;"",TODAY()&gt;$L108),TODAY()-$L108,0)))</f>
        <v/>
      </c>
      <c r="P108" s="41"/>
      <c r="Q108" s="41"/>
      <c r="S108" s="40" t="str">
        <f aca="false">IF($A108="","",IFERROR(INDEX(Cfg_WfApproved,MATCH($I108,Cfg_WfList,0)),0))</f>
        <v/>
      </c>
      <c r="T108" s="39" t="str">
        <f aca="false">IF($A108="","",IFERROR(INDEX(Cfg_WfPct,MATCH($I108,Cfg_WfList,0)),0))</f>
        <v/>
      </c>
      <c r="U108" s="44" t="str">
        <f aca="true">IF(OR($A108="",$L108=""),"",$L108-TODAY())</f>
        <v/>
      </c>
      <c r="V108" s="42" t="str">
        <f aca="true">IF($A108="","",IF($S108=1,"Approved",IF(AND($L108&lt;&gt;"",TODAY()&gt;$L108),"Overdue",IF(AND($L108&lt;&gt;"",$L108-TODAY()&lt;=Cfg_DocWindow),"Due Soon",IF($I108="Not Started","Not Started","On Track")))))</f>
        <v/>
      </c>
      <c r="W108" s="42" t="str">
        <f aca="false">IF($A108="","",IF(AND($S108=0,$O108&gt;0),$O108+ROW()/1000000,""))</f>
        <v/>
      </c>
    </row>
    <row r="109" customFormat="false" ht="15" hidden="false" customHeight="false" outlineLevel="0" collapsed="false">
      <c r="A109" s="41"/>
      <c r="B109" s="41"/>
      <c r="C109" s="41"/>
      <c r="D109" s="41"/>
      <c r="E109" s="41"/>
      <c r="F109" s="41"/>
      <c r="G109" s="41"/>
      <c r="H109" s="41"/>
      <c r="I109" s="41"/>
      <c r="J109" s="41"/>
      <c r="K109" s="43" t="str">
        <f aca="false">IF($L109="","",$L109-Cfg_ReviewDays)</f>
        <v/>
      </c>
      <c r="L109" s="43" t="str">
        <f aca="false">IF($A109="","",IFERROR(Ctrl_PlannedStart-INDEX(Cfg_LeadDays,MATCH($A109,Cfg_LeadType,0)),""))</f>
        <v/>
      </c>
      <c r="M109" s="38"/>
      <c r="N109" s="38"/>
      <c r="O109" s="44" t="str">
        <f aca="true">IF($A109="","",IF($N109&lt;&gt;"",MAX(0,$N109-$L109),IF(AND($L109&lt;&gt;"",TODAY()&gt;$L109),TODAY()-$L109,0)))</f>
        <v/>
      </c>
      <c r="P109" s="41"/>
      <c r="Q109" s="41"/>
      <c r="S109" s="40" t="str">
        <f aca="false">IF($A109="","",IFERROR(INDEX(Cfg_WfApproved,MATCH($I109,Cfg_WfList,0)),0))</f>
        <v/>
      </c>
      <c r="T109" s="39" t="str">
        <f aca="false">IF($A109="","",IFERROR(INDEX(Cfg_WfPct,MATCH($I109,Cfg_WfList,0)),0))</f>
        <v/>
      </c>
      <c r="U109" s="44" t="str">
        <f aca="true">IF(OR($A109="",$L109=""),"",$L109-TODAY())</f>
        <v/>
      </c>
      <c r="V109" s="42" t="str">
        <f aca="true">IF($A109="","",IF($S109=1,"Approved",IF(AND($L109&lt;&gt;"",TODAY()&gt;$L109),"Overdue",IF(AND($L109&lt;&gt;"",$L109-TODAY()&lt;=Cfg_DocWindow),"Due Soon",IF($I109="Not Started","Not Started","On Track")))))</f>
        <v/>
      </c>
      <c r="W109" s="42" t="str">
        <f aca="false">IF($A109="","",IF(AND($S109=0,$O109&gt;0),$O109+ROW()/1000000,""))</f>
        <v/>
      </c>
    </row>
    <row r="110" customFormat="false" ht="15" hidden="false" customHeight="false" outlineLevel="0" collapsed="false">
      <c r="A110" s="41"/>
      <c r="B110" s="41"/>
      <c r="C110" s="41"/>
      <c r="D110" s="41"/>
      <c r="E110" s="41"/>
      <c r="F110" s="41"/>
      <c r="G110" s="41"/>
      <c r="H110" s="41"/>
      <c r="I110" s="41"/>
      <c r="J110" s="41"/>
      <c r="K110" s="43" t="str">
        <f aca="false">IF($L110="","",$L110-Cfg_ReviewDays)</f>
        <v/>
      </c>
      <c r="L110" s="43" t="str">
        <f aca="false">IF($A110="","",IFERROR(Ctrl_PlannedStart-INDEX(Cfg_LeadDays,MATCH($A110,Cfg_LeadType,0)),""))</f>
        <v/>
      </c>
      <c r="M110" s="38"/>
      <c r="N110" s="38"/>
      <c r="O110" s="44" t="str">
        <f aca="true">IF($A110="","",IF($N110&lt;&gt;"",MAX(0,$N110-$L110),IF(AND($L110&lt;&gt;"",TODAY()&gt;$L110),TODAY()-$L110,0)))</f>
        <v/>
      </c>
      <c r="P110" s="41"/>
      <c r="Q110" s="41"/>
      <c r="S110" s="40" t="str">
        <f aca="false">IF($A110="","",IFERROR(INDEX(Cfg_WfApproved,MATCH($I110,Cfg_WfList,0)),0))</f>
        <v/>
      </c>
      <c r="T110" s="39" t="str">
        <f aca="false">IF($A110="","",IFERROR(INDEX(Cfg_WfPct,MATCH($I110,Cfg_WfList,0)),0))</f>
        <v/>
      </c>
      <c r="U110" s="44" t="str">
        <f aca="true">IF(OR($A110="",$L110=""),"",$L110-TODAY())</f>
        <v/>
      </c>
      <c r="V110" s="42" t="str">
        <f aca="true">IF($A110="","",IF($S110=1,"Approved",IF(AND($L110&lt;&gt;"",TODAY()&gt;$L110),"Overdue",IF(AND($L110&lt;&gt;"",$L110-TODAY()&lt;=Cfg_DocWindow),"Due Soon",IF($I110="Not Started","Not Started","On Track")))))</f>
        <v/>
      </c>
      <c r="W110" s="42" t="str">
        <f aca="false">IF($A110="","",IF(AND($S110=0,$O110&gt;0),$O110+ROW()/1000000,""))</f>
        <v/>
      </c>
    </row>
    <row r="111" customFormat="false" ht="15" hidden="false" customHeight="false" outlineLevel="0" collapsed="false">
      <c r="A111" s="41"/>
      <c r="B111" s="41"/>
      <c r="C111" s="41"/>
      <c r="D111" s="41"/>
      <c r="E111" s="41"/>
      <c r="F111" s="41"/>
      <c r="G111" s="41"/>
      <c r="H111" s="41"/>
      <c r="I111" s="41"/>
      <c r="J111" s="41"/>
      <c r="K111" s="43" t="str">
        <f aca="false">IF($L111="","",$L111-Cfg_ReviewDays)</f>
        <v/>
      </c>
      <c r="L111" s="43" t="str">
        <f aca="false">IF($A111="","",IFERROR(Ctrl_PlannedStart-INDEX(Cfg_LeadDays,MATCH($A111,Cfg_LeadType,0)),""))</f>
        <v/>
      </c>
      <c r="M111" s="38"/>
      <c r="N111" s="38"/>
      <c r="O111" s="44" t="str">
        <f aca="true">IF($A111="","",IF($N111&lt;&gt;"",MAX(0,$N111-$L111),IF(AND($L111&lt;&gt;"",TODAY()&gt;$L111),TODAY()-$L111,0)))</f>
        <v/>
      </c>
      <c r="P111" s="41"/>
      <c r="Q111" s="41"/>
      <c r="S111" s="40" t="str">
        <f aca="false">IF($A111="","",IFERROR(INDEX(Cfg_WfApproved,MATCH($I111,Cfg_WfList,0)),0))</f>
        <v/>
      </c>
      <c r="T111" s="39" t="str">
        <f aca="false">IF($A111="","",IFERROR(INDEX(Cfg_WfPct,MATCH($I111,Cfg_WfList,0)),0))</f>
        <v/>
      </c>
      <c r="U111" s="44" t="str">
        <f aca="true">IF(OR($A111="",$L111=""),"",$L111-TODAY())</f>
        <v/>
      </c>
      <c r="V111" s="42" t="str">
        <f aca="true">IF($A111="","",IF($S111=1,"Approved",IF(AND($L111&lt;&gt;"",TODAY()&gt;$L111),"Overdue",IF(AND($L111&lt;&gt;"",$L111-TODAY()&lt;=Cfg_DocWindow),"Due Soon",IF($I111="Not Started","Not Started","On Track")))))</f>
        <v/>
      </c>
      <c r="W111" s="42" t="str">
        <f aca="false">IF($A111="","",IF(AND($S111=0,$O111&gt;0),$O111+ROW()/1000000,""))</f>
        <v/>
      </c>
    </row>
    <row r="112" customFormat="false" ht="15" hidden="false" customHeight="false" outlineLevel="0" collapsed="false">
      <c r="A112" s="41"/>
      <c r="B112" s="41"/>
      <c r="C112" s="41"/>
      <c r="D112" s="41"/>
      <c r="E112" s="41"/>
      <c r="F112" s="41"/>
      <c r="G112" s="41"/>
      <c r="H112" s="41"/>
      <c r="I112" s="41"/>
      <c r="J112" s="41"/>
      <c r="K112" s="43" t="str">
        <f aca="false">IF($L112="","",$L112-Cfg_ReviewDays)</f>
        <v/>
      </c>
      <c r="L112" s="43" t="str">
        <f aca="false">IF($A112="","",IFERROR(Ctrl_PlannedStart-INDEX(Cfg_LeadDays,MATCH($A112,Cfg_LeadType,0)),""))</f>
        <v/>
      </c>
      <c r="M112" s="38"/>
      <c r="N112" s="38"/>
      <c r="O112" s="44" t="str">
        <f aca="true">IF($A112="","",IF($N112&lt;&gt;"",MAX(0,$N112-$L112),IF(AND($L112&lt;&gt;"",TODAY()&gt;$L112),TODAY()-$L112,0)))</f>
        <v/>
      </c>
      <c r="P112" s="41"/>
      <c r="Q112" s="41"/>
      <c r="S112" s="40" t="str">
        <f aca="false">IF($A112="","",IFERROR(INDEX(Cfg_WfApproved,MATCH($I112,Cfg_WfList,0)),0))</f>
        <v/>
      </c>
      <c r="T112" s="39" t="str">
        <f aca="false">IF($A112="","",IFERROR(INDEX(Cfg_WfPct,MATCH($I112,Cfg_WfList,0)),0))</f>
        <v/>
      </c>
      <c r="U112" s="44" t="str">
        <f aca="true">IF(OR($A112="",$L112=""),"",$L112-TODAY())</f>
        <v/>
      </c>
      <c r="V112" s="42" t="str">
        <f aca="true">IF($A112="","",IF($S112=1,"Approved",IF(AND($L112&lt;&gt;"",TODAY()&gt;$L112),"Overdue",IF(AND($L112&lt;&gt;"",$L112-TODAY()&lt;=Cfg_DocWindow),"Due Soon",IF($I112="Not Started","Not Started","On Track")))))</f>
        <v/>
      </c>
      <c r="W112" s="42" t="str">
        <f aca="false">IF($A112="","",IF(AND($S112=0,$O112&gt;0),$O112+ROW()/1000000,""))</f>
        <v/>
      </c>
    </row>
    <row r="113" customFormat="false" ht="15" hidden="false" customHeight="false" outlineLevel="0" collapsed="false">
      <c r="A113" s="41"/>
      <c r="B113" s="41"/>
      <c r="C113" s="41"/>
      <c r="D113" s="41"/>
      <c r="E113" s="41"/>
      <c r="F113" s="41"/>
      <c r="G113" s="41"/>
      <c r="H113" s="41"/>
      <c r="I113" s="41"/>
      <c r="J113" s="41"/>
      <c r="K113" s="43" t="str">
        <f aca="false">IF($L113="","",$L113-Cfg_ReviewDays)</f>
        <v/>
      </c>
      <c r="L113" s="43" t="str">
        <f aca="false">IF($A113="","",IFERROR(Ctrl_PlannedStart-INDEX(Cfg_LeadDays,MATCH($A113,Cfg_LeadType,0)),""))</f>
        <v/>
      </c>
      <c r="M113" s="38"/>
      <c r="N113" s="38"/>
      <c r="O113" s="44" t="str">
        <f aca="true">IF($A113="","",IF($N113&lt;&gt;"",MAX(0,$N113-$L113),IF(AND($L113&lt;&gt;"",TODAY()&gt;$L113),TODAY()-$L113,0)))</f>
        <v/>
      </c>
      <c r="P113" s="41"/>
      <c r="Q113" s="41"/>
      <c r="S113" s="40" t="str">
        <f aca="false">IF($A113="","",IFERROR(INDEX(Cfg_WfApproved,MATCH($I113,Cfg_WfList,0)),0))</f>
        <v/>
      </c>
      <c r="T113" s="39" t="str">
        <f aca="false">IF($A113="","",IFERROR(INDEX(Cfg_WfPct,MATCH($I113,Cfg_WfList,0)),0))</f>
        <v/>
      </c>
      <c r="U113" s="44" t="str">
        <f aca="true">IF(OR($A113="",$L113=""),"",$L113-TODAY())</f>
        <v/>
      </c>
      <c r="V113" s="42" t="str">
        <f aca="true">IF($A113="","",IF($S113=1,"Approved",IF(AND($L113&lt;&gt;"",TODAY()&gt;$L113),"Overdue",IF(AND($L113&lt;&gt;"",$L113-TODAY()&lt;=Cfg_DocWindow),"Due Soon",IF($I113="Not Started","Not Started","On Track")))))</f>
        <v/>
      </c>
      <c r="W113" s="42" t="str">
        <f aca="false">IF($A113="","",IF(AND($S113=0,$O113&gt;0),$O113+ROW()/1000000,""))</f>
        <v/>
      </c>
    </row>
    <row r="114" customFormat="false" ht="15" hidden="false" customHeight="false" outlineLevel="0" collapsed="false">
      <c r="A114" s="41"/>
      <c r="B114" s="41"/>
      <c r="C114" s="41"/>
      <c r="D114" s="41"/>
      <c r="E114" s="41"/>
      <c r="F114" s="41"/>
      <c r="G114" s="41"/>
      <c r="H114" s="41"/>
      <c r="I114" s="41"/>
      <c r="J114" s="41"/>
      <c r="K114" s="43" t="str">
        <f aca="false">IF($L114="","",$L114-Cfg_ReviewDays)</f>
        <v/>
      </c>
      <c r="L114" s="43" t="str">
        <f aca="false">IF($A114="","",IFERROR(Ctrl_PlannedStart-INDEX(Cfg_LeadDays,MATCH($A114,Cfg_LeadType,0)),""))</f>
        <v/>
      </c>
      <c r="M114" s="38"/>
      <c r="N114" s="38"/>
      <c r="O114" s="44" t="str">
        <f aca="true">IF($A114="","",IF($N114&lt;&gt;"",MAX(0,$N114-$L114),IF(AND($L114&lt;&gt;"",TODAY()&gt;$L114),TODAY()-$L114,0)))</f>
        <v/>
      </c>
      <c r="P114" s="41"/>
      <c r="Q114" s="41"/>
      <c r="S114" s="40" t="str">
        <f aca="false">IF($A114="","",IFERROR(INDEX(Cfg_WfApproved,MATCH($I114,Cfg_WfList,0)),0))</f>
        <v/>
      </c>
      <c r="T114" s="39" t="str">
        <f aca="false">IF($A114="","",IFERROR(INDEX(Cfg_WfPct,MATCH($I114,Cfg_WfList,0)),0))</f>
        <v/>
      </c>
      <c r="U114" s="44" t="str">
        <f aca="true">IF(OR($A114="",$L114=""),"",$L114-TODAY())</f>
        <v/>
      </c>
      <c r="V114" s="42" t="str">
        <f aca="true">IF($A114="","",IF($S114=1,"Approved",IF(AND($L114&lt;&gt;"",TODAY()&gt;$L114),"Overdue",IF(AND($L114&lt;&gt;"",$L114-TODAY()&lt;=Cfg_DocWindow),"Due Soon",IF($I114="Not Started","Not Started","On Track")))))</f>
        <v/>
      </c>
      <c r="W114" s="42" t="str">
        <f aca="false">IF($A114="","",IF(AND($S114=0,$O114&gt;0),$O114+ROW()/1000000,""))</f>
        <v/>
      </c>
    </row>
    <row r="115" customFormat="false" ht="15" hidden="false" customHeight="false" outlineLevel="0" collapsed="false">
      <c r="A115" s="41"/>
      <c r="B115" s="41"/>
      <c r="C115" s="41"/>
      <c r="D115" s="41"/>
      <c r="E115" s="41"/>
      <c r="F115" s="41"/>
      <c r="G115" s="41"/>
      <c r="H115" s="41"/>
      <c r="I115" s="41"/>
      <c r="J115" s="41"/>
      <c r="K115" s="43" t="str">
        <f aca="false">IF($L115="","",$L115-Cfg_ReviewDays)</f>
        <v/>
      </c>
      <c r="L115" s="43" t="str">
        <f aca="false">IF($A115="","",IFERROR(Ctrl_PlannedStart-INDEX(Cfg_LeadDays,MATCH($A115,Cfg_LeadType,0)),""))</f>
        <v/>
      </c>
      <c r="M115" s="38"/>
      <c r="N115" s="38"/>
      <c r="O115" s="44" t="str">
        <f aca="true">IF($A115="","",IF($N115&lt;&gt;"",MAX(0,$N115-$L115),IF(AND($L115&lt;&gt;"",TODAY()&gt;$L115),TODAY()-$L115,0)))</f>
        <v/>
      </c>
      <c r="P115" s="41"/>
      <c r="Q115" s="41"/>
      <c r="S115" s="40" t="str">
        <f aca="false">IF($A115="","",IFERROR(INDEX(Cfg_WfApproved,MATCH($I115,Cfg_WfList,0)),0))</f>
        <v/>
      </c>
      <c r="T115" s="39" t="str">
        <f aca="false">IF($A115="","",IFERROR(INDEX(Cfg_WfPct,MATCH($I115,Cfg_WfList,0)),0))</f>
        <v/>
      </c>
      <c r="U115" s="44" t="str">
        <f aca="true">IF(OR($A115="",$L115=""),"",$L115-TODAY())</f>
        <v/>
      </c>
      <c r="V115" s="42" t="str">
        <f aca="true">IF($A115="","",IF($S115=1,"Approved",IF(AND($L115&lt;&gt;"",TODAY()&gt;$L115),"Overdue",IF(AND($L115&lt;&gt;"",$L115-TODAY()&lt;=Cfg_DocWindow),"Due Soon",IF($I115="Not Started","Not Started","On Track")))))</f>
        <v/>
      </c>
      <c r="W115" s="42" t="str">
        <f aca="false">IF($A115="","",IF(AND($S115=0,$O115&gt;0),$O115+ROW()/1000000,""))</f>
        <v/>
      </c>
    </row>
    <row r="116" customFormat="false" ht="15" hidden="false" customHeight="false" outlineLevel="0" collapsed="false">
      <c r="A116" s="41"/>
      <c r="B116" s="41"/>
      <c r="C116" s="41"/>
      <c r="D116" s="41"/>
      <c r="E116" s="41"/>
      <c r="F116" s="41"/>
      <c r="G116" s="41"/>
      <c r="H116" s="41"/>
      <c r="I116" s="41"/>
      <c r="J116" s="41"/>
      <c r="K116" s="43" t="str">
        <f aca="false">IF($L116="","",$L116-Cfg_ReviewDays)</f>
        <v/>
      </c>
      <c r="L116" s="43" t="str">
        <f aca="false">IF($A116="","",IFERROR(Ctrl_PlannedStart-INDEX(Cfg_LeadDays,MATCH($A116,Cfg_LeadType,0)),""))</f>
        <v/>
      </c>
      <c r="M116" s="38"/>
      <c r="N116" s="38"/>
      <c r="O116" s="44" t="str">
        <f aca="true">IF($A116="","",IF($N116&lt;&gt;"",MAX(0,$N116-$L116),IF(AND($L116&lt;&gt;"",TODAY()&gt;$L116),TODAY()-$L116,0)))</f>
        <v/>
      </c>
      <c r="P116" s="41"/>
      <c r="Q116" s="41"/>
      <c r="S116" s="40" t="str">
        <f aca="false">IF($A116="","",IFERROR(INDEX(Cfg_WfApproved,MATCH($I116,Cfg_WfList,0)),0))</f>
        <v/>
      </c>
      <c r="T116" s="39" t="str">
        <f aca="false">IF($A116="","",IFERROR(INDEX(Cfg_WfPct,MATCH($I116,Cfg_WfList,0)),0))</f>
        <v/>
      </c>
      <c r="U116" s="44" t="str">
        <f aca="true">IF(OR($A116="",$L116=""),"",$L116-TODAY())</f>
        <v/>
      </c>
      <c r="V116" s="42" t="str">
        <f aca="true">IF($A116="","",IF($S116=1,"Approved",IF(AND($L116&lt;&gt;"",TODAY()&gt;$L116),"Overdue",IF(AND($L116&lt;&gt;"",$L116-TODAY()&lt;=Cfg_DocWindow),"Due Soon",IF($I116="Not Started","Not Started","On Track")))))</f>
        <v/>
      </c>
      <c r="W116" s="42" t="str">
        <f aca="false">IF($A116="","",IF(AND($S116=0,$O116&gt;0),$O116+ROW()/1000000,""))</f>
        <v/>
      </c>
    </row>
    <row r="117" customFormat="false" ht="15" hidden="false" customHeight="false" outlineLevel="0" collapsed="false">
      <c r="A117" s="41"/>
      <c r="B117" s="41"/>
      <c r="C117" s="41"/>
      <c r="D117" s="41"/>
      <c r="E117" s="41"/>
      <c r="F117" s="41"/>
      <c r="G117" s="41"/>
      <c r="H117" s="41"/>
      <c r="I117" s="41"/>
      <c r="J117" s="41"/>
      <c r="K117" s="43" t="str">
        <f aca="false">IF($L117="","",$L117-Cfg_ReviewDays)</f>
        <v/>
      </c>
      <c r="L117" s="43" t="str">
        <f aca="false">IF($A117="","",IFERROR(Ctrl_PlannedStart-INDEX(Cfg_LeadDays,MATCH($A117,Cfg_LeadType,0)),""))</f>
        <v/>
      </c>
      <c r="M117" s="38"/>
      <c r="N117" s="38"/>
      <c r="O117" s="44" t="str">
        <f aca="true">IF($A117="","",IF($N117&lt;&gt;"",MAX(0,$N117-$L117),IF(AND($L117&lt;&gt;"",TODAY()&gt;$L117),TODAY()-$L117,0)))</f>
        <v/>
      </c>
      <c r="P117" s="41"/>
      <c r="Q117" s="41"/>
      <c r="S117" s="40" t="str">
        <f aca="false">IF($A117="","",IFERROR(INDEX(Cfg_WfApproved,MATCH($I117,Cfg_WfList,0)),0))</f>
        <v/>
      </c>
      <c r="T117" s="39" t="str">
        <f aca="false">IF($A117="","",IFERROR(INDEX(Cfg_WfPct,MATCH($I117,Cfg_WfList,0)),0))</f>
        <v/>
      </c>
      <c r="U117" s="44" t="str">
        <f aca="true">IF(OR($A117="",$L117=""),"",$L117-TODAY())</f>
        <v/>
      </c>
      <c r="V117" s="42" t="str">
        <f aca="true">IF($A117="","",IF($S117=1,"Approved",IF(AND($L117&lt;&gt;"",TODAY()&gt;$L117),"Overdue",IF(AND($L117&lt;&gt;"",$L117-TODAY()&lt;=Cfg_DocWindow),"Due Soon",IF($I117="Not Started","Not Started","On Track")))))</f>
        <v/>
      </c>
      <c r="W117" s="42" t="str">
        <f aca="false">IF($A117="","",IF(AND($S117=0,$O117&gt;0),$O117+ROW()/1000000,""))</f>
        <v/>
      </c>
    </row>
    <row r="118" customFormat="false" ht="15" hidden="false" customHeight="false" outlineLevel="0" collapsed="false">
      <c r="A118" s="41"/>
      <c r="B118" s="41"/>
      <c r="C118" s="41"/>
      <c r="D118" s="41"/>
      <c r="E118" s="41"/>
      <c r="F118" s="41"/>
      <c r="G118" s="41"/>
      <c r="H118" s="41"/>
      <c r="I118" s="41"/>
      <c r="J118" s="41"/>
      <c r="K118" s="43" t="str">
        <f aca="false">IF($L118="","",$L118-Cfg_ReviewDays)</f>
        <v/>
      </c>
      <c r="L118" s="43" t="str">
        <f aca="false">IF($A118="","",IFERROR(Ctrl_PlannedStart-INDEX(Cfg_LeadDays,MATCH($A118,Cfg_LeadType,0)),""))</f>
        <v/>
      </c>
      <c r="M118" s="38"/>
      <c r="N118" s="38"/>
      <c r="O118" s="44" t="str">
        <f aca="true">IF($A118="","",IF($N118&lt;&gt;"",MAX(0,$N118-$L118),IF(AND($L118&lt;&gt;"",TODAY()&gt;$L118),TODAY()-$L118,0)))</f>
        <v/>
      </c>
      <c r="P118" s="41"/>
      <c r="Q118" s="41"/>
      <c r="S118" s="40" t="str">
        <f aca="false">IF($A118="","",IFERROR(INDEX(Cfg_WfApproved,MATCH($I118,Cfg_WfList,0)),0))</f>
        <v/>
      </c>
      <c r="T118" s="39" t="str">
        <f aca="false">IF($A118="","",IFERROR(INDEX(Cfg_WfPct,MATCH($I118,Cfg_WfList,0)),0))</f>
        <v/>
      </c>
      <c r="U118" s="44" t="str">
        <f aca="true">IF(OR($A118="",$L118=""),"",$L118-TODAY())</f>
        <v/>
      </c>
      <c r="V118" s="42" t="str">
        <f aca="true">IF($A118="","",IF($S118=1,"Approved",IF(AND($L118&lt;&gt;"",TODAY()&gt;$L118),"Overdue",IF(AND($L118&lt;&gt;"",$L118-TODAY()&lt;=Cfg_DocWindow),"Due Soon",IF($I118="Not Started","Not Started","On Track")))))</f>
        <v/>
      </c>
      <c r="W118" s="42" t="str">
        <f aca="false">IF($A118="","",IF(AND($S118=0,$O118&gt;0),$O118+ROW()/1000000,""))</f>
        <v/>
      </c>
    </row>
    <row r="119" customFormat="false" ht="15" hidden="false" customHeight="false" outlineLevel="0" collapsed="false">
      <c r="A119" s="41"/>
      <c r="B119" s="41"/>
      <c r="C119" s="41"/>
      <c r="D119" s="41"/>
      <c r="E119" s="41"/>
      <c r="F119" s="41"/>
      <c r="G119" s="41"/>
      <c r="H119" s="41"/>
      <c r="I119" s="41"/>
      <c r="J119" s="41"/>
      <c r="K119" s="43" t="str">
        <f aca="false">IF($L119="","",$L119-Cfg_ReviewDays)</f>
        <v/>
      </c>
      <c r="L119" s="43" t="str">
        <f aca="false">IF($A119="","",IFERROR(Ctrl_PlannedStart-INDEX(Cfg_LeadDays,MATCH($A119,Cfg_LeadType,0)),""))</f>
        <v/>
      </c>
      <c r="M119" s="38"/>
      <c r="N119" s="38"/>
      <c r="O119" s="44" t="str">
        <f aca="true">IF($A119="","",IF($N119&lt;&gt;"",MAX(0,$N119-$L119),IF(AND($L119&lt;&gt;"",TODAY()&gt;$L119),TODAY()-$L119,0)))</f>
        <v/>
      </c>
      <c r="P119" s="41"/>
      <c r="Q119" s="41"/>
      <c r="S119" s="40" t="str">
        <f aca="false">IF($A119="","",IFERROR(INDEX(Cfg_WfApproved,MATCH($I119,Cfg_WfList,0)),0))</f>
        <v/>
      </c>
      <c r="T119" s="39" t="str">
        <f aca="false">IF($A119="","",IFERROR(INDEX(Cfg_WfPct,MATCH($I119,Cfg_WfList,0)),0))</f>
        <v/>
      </c>
      <c r="U119" s="44" t="str">
        <f aca="true">IF(OR($A119="",$L119=""),"",$L119-TODAY())</f>
        <v/>
      </c>
      <c r="V119" s="42" t="str">
        <f aca="true">IF($A119="","",IF($S119=1,"Approved",IF(AND($L119&lt;&gt;"",TODAY()&gt;$L119),"Overdue",IF(AND($L119&lt;&gt;"",$L119-TODAY()&lt;=Cfg_DocWindow),"Due Soon",IF($I119="Not Started","Not Started","On Track")))))</f>
        <v/>
      </c>
      <c r="W119" s="42" t="str">
        <f aca="false">IF($A119="","",IF(AND($S119=0,$O119&gt;0),$O119+ROW()/1000000,""))</f>
        <v/>
      </c>
    </row>
    <row r="120" customFormat="false" ht="15" hidden="false" customHeight="false" outlineLevel="0" collapsed="false">
      <c r="A120" s="41"/>
      <c r="B120" s="41"/>
      <c r="C120" s="41"/>
      <c r="D120" s="41"/>
      <c r="E120" s="41"/>
      <c r="F120" s="41"/>
      <c r="G120" s="41"/>
      <c r="H120" s="41"/>
      <c r="I120" s="41"/>
      <c r="J120" s="41"/>
      <c r="K120" s="43" t="str">
        <f aca="false">IF($L120="","",$L120-Cfg_ReviewDays)</f>
        <v/>
      </c>
      <c r="L120" s="43" t="str">
        <f aca="false">IF($A120="","",IFERROR(Ctrl_PlannedStart-INDEX(Cfg_LeadDays,MATCH($A120,Cfg_LeadType,0)),""))</f>
        <v/>
      </c>
      <c r="M120" s="38"/>
      <c r="N120" s="38"/>
      <c r="O120" s="44" t="str">
        <f aca="true">IF($A120="","",IF($N120&lt;&gt;"",MAX(0,$N120-$L120),IF(AND($L120&lt;&gt;"",TODAY()&gt;$L120),TODAY()-$L120,0)))</f>
        <v/>
      </c>
      <c r="P120" s="41"/>
      <c r="Q120" s="41"/>
      <c r="S120" s="40" t="str">
        <f aca="false">IF($A120="","",IFERROR(INDEX(Cfg_WfApproved,MATCH($I120,Cfg_WfList,0)),0))</f>
        <v/>
      </c>
      <c r="T120" s="39" t="str">
        <f aca="false">IF($A120="","",IFERROR(INDEX(Cfg_WfPct,MATCH($I120,Cfg_WfList,0)),0))</f>
        <v/>
      </c>
      <c r="U120" s="44" t="str">
        <f aca="true">IF(OR($A120="",$L120=""),"",$L120-TODAY())</f>
        <v/>
      </c>
      <c r="V120" s="42" t="str">
        <f aca="true">IF($A120="","",IF($S120=1,"Approved",IF(AND($L120&lt;&gt;"",TODAY()&gt;$L120),"Overdue",IF(AND($L120&lt;&gt;"",$L120-TODAY()&lt;=Cfg_DocWindow),"Due Soon",IF($I120="Not Started","Not Started","On Track")))))</f>
        <v/>
      </c>
      <c r="W120" s="42" t="str">
        <f aca="false">IF($A120="","",IF(AND($S120=0,$O120&gt;0),$O120+ROW()/1000000,""))</f>
        <v/>
      </c>
    </row>
    <row r="121" customFormat="false" ht="15" hidden="false" customHeight="false" outlineLevel="0" collapsed="false">
      <c r="A121" s="41"/>
      <c r="B121" s="41"/>
      <c r="C121" s="41"/>
      <c r="D121" s="41"/>
      <c r="E121" s="41"/>
      <c r="F121" s="41"/>
      <c r="G121" s="41"/>
      <c r="H121" s="41"/>
      <c r="I121" s="41"/>
      <c r="J121" s="41"/>
      <c r="K121" s="43" t="str">
        <f aca="false">IF($L121="","",$L121-Cfg_ReviewDays)</f>
        <v/>
      </c>
      <c r="L121" s="43" t="str">
        <f aca="false">IF($A121="","",IFERROR(Ctrl_PlannedStart-INDEX(Cfg_LeadDays,MATCH($A121,Cfg_LeadType,0)),""))</f>
        <v/>
      </c>
      <c r="M121" s="38"/>
      <c r="N121" s="38"/>
      <c r="O121" s="44" t="str">
        <f aca="true">IF($A121="","",IF($N121&lt;&gt;"",MAX(0,$N121-$L121),IF(AND($L121&lt;&gt;"",TODAY()&gt;$L121),TODAY()-$L121,0)))</f>
        <v/>
      </c>
      <c r="P121" s="41"/>
      <c r="Q121" s="41"/>
      <c r="S121" s="40" t="str">
        <f aca="false">IF($A121="","",IFERROR(INDEX(Cfg_WfApproved,MATCH($I121,Cfg_WfList,0)),0))</f>
        <v/>
      </c>
      <c r="T121" s="39" t="str">
        <f aca="false">IF($A121="","",IFERROR(INDEX(Cfg_WfPct,MATCH($I121,Cfg_WfList,0)),0))</f>
        <v/>
      </c>
      <c r="U121" s="44" t="str">
        <f aca="true">IF(OR($A121="",$L121=""),"",$L121-TODAY())</f>
        <v/>
      </c>
      <c r="V121" s="42" t="str">
        <f aca="true">IF($A121="","",IF($S121=1,"Approved",IF(AND($L121&lt;&gt;"",TODAY()&gt;$L121),"Overdue",IF(AND($L121&lt;&gt;"",$L121-TODAY()&lt;=Cfg_DocWindow),"Due Soon",IF($I121="Not Started","Not Started","On Track")))))</f>
        <v/>
      </c>
      <c r="W121" s="42" t="str">
        <f aca="false">IF($A121="","",IF(AND($S121=0,$O121&gt;0),$O121+ROW()/1000000,""))</f>
        <v/>
      </c>
    </row>
    <row r="122" customFormat="false" ht="15" hidden="false" customHeight="false" outlineLevel="0" collapsed="false">
      <c r="A122" s="41"/>
      <c r="B122" s="41"/>
      <c r="C122" s="41"/>
      <c r="D122" s="41"/>
      <c r="E122" s="41"/>
      <c r="F122" s="41"/>
      <c r="G122" s="41"/>
      <c r="H122" s="41"/>
      <c r="I122" s="41"/>
      <c r="J122" s="41"/>
      <c r="K122" s="43" t="str">
        <f aca="false">IF($L122="","",$L122-Cfg_ReviewDays)</f>
        <v/>
      </c>
      <c r="L122" s="43" t="str">
        <f aca="false">IF($A122="","",IFERROR(Ctrl_PlannedStart-INDEX(Cfg_LeadDays,MATCH($A122,Cfg_LeadType,0)),""))</f>
        <v/>
      </c>
      <c r="M122" s="38"/>
      <c r="N122" s="38"/>
      <c r="O122" s="44" t="str">
        <f aca="true">IF($A122="","",IF($N122&lt;&gt;"",MAX(0,$N122-$L122),IF(AND($L122&lt;&gt;"",TODAY()&gt;$L122),TODAY()-$L122,0)))</f>
        <v/>
      </c>
      <c r="P122" s="41"/>
      <c r="Q122" s="41"/>
      <c r="S122" s="40" t="str">
        <f aca="false">IF($A122="","",IFERROR(INDEX(Cfg_WfApproved,MATCH($I122,Cfg_WfList,0)),0))</f>
        <v/>
      </c>
      <c r="T122" s="39" t="str">
        <f aca="false">IF($A122="","",IFERROR(INDEX(Cfg_WfPct,MATCH($I122,Cfg_WfList,0)),0))</f>
        <v/>
      </c>
      <c r="U122" s="44" t="str">
        <f aca="true">IF(OR($A122="",$L122=""),"",$L122-TODAY())</f>
        <v/>
      </c>
      <c r="V122" s="42" t="str">
        <f aca="true">IF($A122="","",IF($S122=1,"Approved",IF(AND($L122&lt;&gt;"",TODAY()&gt;$L122),"Overdue",IF(AND($L122&lt;&gt;"",$L122-TODAY()&lt;=Cfg_DocWindow),"Due Soon",IF($I122="Not Started","Not Started","On Track")))))</f>
        <v/>
      </c>
      <c r="W122" s="42" t="str">
        <f aca="false">IF($A122="","",IF(AND($S122=0,$O122&gt;0),$O122+ROW()/1000000,""))</f>
        <v/>
      </c>
    </row>
    <row r="123" customFormat="false" ht="15" hidden="false" customHeight="false" outlineLevel="0" collapsed="false">
      <c r="A123" s="41"/>
      <c r="B123" s="41"/>
      <c r="C123" s="41"/>
      <c r="D123" s="41"/>
      <c r="E123" s="41"/>
      <c r="F123" s="41"/>
      <c r="G123" s="41"/>
      <c r="H123" s="41"/>
      <c r="I123" s="41"/>
      <c r="J123" s="41"/>
      <c r="K123" s="43" t="str">
        <f aca="false">IF($L123="","",$L123-Cfg_ReviewDays)</f>
        <v/>
      </c>
      <c r="L123" s="43" t="str">
        <f aca="false">IF($A123="","",IFERROR(Ctrl_PlannedStart-INDEX(Cfg_LeadDays,MATCH($A123,Cfg_LeadType,0)),""))</f>
        <v/>
      </c>
      <c r="M123" s="38"/>
      <c r="N123" s="38"/>
      <c r="O123" s="44" t="str">
        <f aca="true">IF($A123="","",IF($N123&lt;&gt;"",MAX(0,$N123-$L123),IF(AND($L123&lt;&gt;"",TODAY()&gt;$L123),TODAY()-$L123,0)))</f>
        <v/>
      </c>
      <c r="P123" s="41"/>
      <c r="Q123" s="41"/>
      <c r="S123" s="40" t="str">
        <f aca="false">IF($A123="","",IFERROR(INDEX(Cfg_WfApproved,MATCH($I123,Cfg_WfList,0)),0))</f>
        <v/>
      </c>
      <c r="T123" s="39" t="str">
        <f aca="false">IF($A123="","",IFERROR(INDEX(Cfg_WfPct,MATCH($I123,Cfg_WfList,0)),0))</f>
        <v/>
      </c>
      <c r="U123" s="44" t="str">
        <f aca="true">IF(OR($A123="",$L123=""),"",$L123-TODAY())</f>
        <v/>
      </c>
      <c r="V123" s="42" t="str">
        <f aca="true">IF($A123="","",IF($S123=1,"Approved",IF(AND($L123&lt;&gt;"",TODAY()&gt;$L123),"Overdue",IF(AND($L123&lt;&gt;"",$L123-TODAY()&lt;=Cfg_DocWindow),"Due Soon",IF($I123="Not Started","Not Started","On Track")))))</f>
        <v/>
      </c>
      <c r="W123" s="42" t="str">
        <f aca="false">IF($A123="","",IF(AND($S123=0,$O123&gt;0),$O123+ROW()/1000000,""))</f>
        <v/>
      </c>
    </row>
    <row r="124" customFormat="false" ht="15" hidden="false" customHeight="false" outlineLevel="0" collapsed="false">
      <c r="A124" s="41"/>
      <c r="B124" s="41"/>
      <c r="C124" s="41"/>
      <c r="D124" s="41"/>
      <c r="E124" s="41"/>
      <c r="F124" s="41"/>
      <c r="G124" s="41"/>
      <c r="H124" s="41"/>
      <c r="I124" s="41"/>
      <c r="J124" s="41"/>
      <c r="K124" s="43" t="str">
        <f aca="false">IF($L124="","",$L124-Cfg_ReviewDays)</f>
        <v/>
      </c>
      <c r="L124" s="43" t="str">
        <f aca="false">IF($A124="","",IFERROR(Ctrl_PlannedStart-INDEX(Cfg_LeadDays,MATCH($A124,Cfg_LeadType,0)),""))</f>
        <v/>
      </c>
      <c r="M124" s="38"/>
      <c r="N124" s="38"/>
      <c r="O124" s="44" t="str">
        <f aca="true">IF($A124="","",IF($N124&lt;&gt;"",MAX(0,$N124-$L124),IF(AND($L124&lt;&gt;"",TODAY()&gt;$L124),TODAY()-$L124,0)))</f>
        <v/>
      </c>
      <c r="P124" s="41"/>
      <c r="Q124" s="41"/>
      <c r="S124" s="40" t="str">
        <f aca="false">IF($A124="","",IFERROR(INDEX(Cfg_WfApproved,MATCH($I124,Cfg_WfList,0)),0))</f>
        <v/>
      </c>
      <c r="T124" s="39" t="str">
        <f aca="false">IF($A124="","",IFERROR(INDEX(Cfg_WfPct,MATCH($I124,Cfg_WfList,0)),0))</f>
        <v/>
      </c>
      <c r="U124" s="44" t="str">
        <f aca="true">IF(OR($A124="",$L124=""),"",$L124-TODAY())</f>
        <v/>
      </c>
      <c r="V124" s="42" t="str">
        <f aca="true">IF($A124="","",IF($S124=1,"Approved",IF(AND($L124&lt;&gt;"",TODAY()&gt;$L124),"Overdue",IF(AND($L124&lt;&gt;"",$L124-TODAY()&lt;=Cfg_DocWindow),"Due Soon",IF($I124="Not Started","Not Started","On Track")))))</f>
        <v/>
      </c>
      <c r="W124" s="42" t="str">
        <f aca="false">IF($A124="","",IF(AND($S124=0,$O124&gt;0),$O124+ROW()/1000000,""))</f>
        <v/>
      </c>
    </row>
    <row r="125" customFormat="false" ht="15" hidden="false" customHeight="false" outlineLevel="0" collapsed="false">
      <c r="A125" s="41"/>
      <c r="B125" s="41"/>
      <c r="C125" s="41"/>
      <c r="D125" s="41"/>
      <c r="E125" s="41"/>
      <c r="F125" s="41"/>
      <c r="G125" s="41"/>
      <c r="H125" s="41"/>
      <c r="I125" s="41"/>
      <c r="J125" s="41"/>
      <c r="K125" s="43" t="str">
        <f aca="false">IF($L125="","",$L125-Cfg_ReviewDays)</f>
        <v/>
      </c>
      <c r="L125" s="43" t="str">
        <f aca="false">IF($A125="","",IFERROR(Ctrl_PlannedStart-INDEX(Cfg_LeadDays,MATCH($A125,Cfg_LeadType,0)),""))</f>
        <v/>
      </c>
      <c r="M125" s="38"/>
      <c r="N125" s="38"/>
      <c r="O125" s="44" t="str">
        <f aca="true">IF($A125="","",IF($N125&lt;&gt;"",MAX(0,$N125-$L125),IF(AND($L125&lt;&gt;"",TODAY()&gt;$L125),TODAY()-$L125,0)))</f>
        <v/>
      </c>
      <c r="P125" s="41"/>
      <c r="Q125" s="41"/>
      <c r="S125" s="40" t="str">
        <f aca="false">IF($A125="","",IFERROR(INDEX(Cfg_WfApproved,MATCH($I125,Cfg_WfList,0)),0))</f>
        <v/>
      </c>
      <c r="T125" s="39" t="str">
        <f aca="false">IF($A125="","",IFERROR(INDEX(Cfg_WfPct,MATCH($I125,Cfg_WfList,0)),0))</f>
        <v/>
      </c>
      <c r="U125" s="44" t="str">
        <f aca="true">IF(OR($A125="",$L125=""),"",$L125-TODAY())</f>
        <v/>
      </c>
      <c r="V125" s="42" t="str">
        <f aca="true">IF($A125="","",IF($S125=1,"Approved",IF(AND($L125&lt;&gt;"",TODAY()&gt;$L125),"Overdue",IF(AND($L125&lt;&gt;"",$L125-TODAY()&lt;=Cfg_DocWindow),"Due Soon",IF($I125="Not Started","Not Started","On Track")))))</f>
        <v/>
      </c>
      <c r="W125" s="42" t="str">
        <f aca="false">IF($A125="","",IF(AND($S125=0,$O125&gt;0),$O125+ROW()/1000000,""))</f>
        <v/>
      </c>
    </row>
    <row r="126" customFormat="false" ht="15" hidden="false" customHeight="false" outlineLevel="0" collapsed="false">
      <c r="A126" s="41"/>
      <c r="B126" s="41"/>
      <c r="C126" s="41"/>
      <c r="D126" s="41"/>
      <c r="E126" s="41"/>
      <c r="F126" s="41"/>
      <c r="G126" s="41"/>
      <c r="H126" s="41"/>
      <c r="I126" s="41"/>
      <c r="J126" s="41"/>
      <c r="K126" s="43" t="str">
        <f aca="false">IF($L126="","",$L126-Cfg_ReviewDays)</f>
        <v/>
      </c>
      <c r="L126" s="43" t="str">
        <f aca="false">IF($A126="","",IFERROR(Ctrl_PlannedStart-INDEX(Cfg_LeadDays,MATCH($A126,Cfg_LeadType,0)),""))</f>
        <v/>
      </c>
      <c r="M126" s="38"/>
      <c r="N126" s="38"/>
      <c r="O126" s="44" t="str">
        <f aca="true">IF($A126="","",IF($N126&lt;&gt;"",MAX(0,$N126-$L126),IF(AND($L126&lt;&gt;"",TODAY()&gt;$L126),TODAY()-$L126,0)))</f>
        <v/>
      </c>
      <c r="P126" s="41"/>
      <c r="Q126" s="41"/>
      <c r="S126" s="40" t="str">
        <f aca="false">IF($A126="","",IFERROR(INDEX(Cfg_WfApproved,MATCH($I126,Cfg_WfList,0)),0))</f>
        <v/>
      </c>
      <c r="T126" s="39" t="str">
        <f aca="false">IF($A126="","",IFERROR(INDEX(Cfg_WfPct,MATCH($I126,Cfg_WfList,0)),0))</f>
        <v/>
      </c>
      <c r="U126" s="44" t="str">
        <f aca="true">IF(OR($A126="",$L126=""),"",$L126-TODAY())</f>
        <v/>
      </c>
      <c r="V126" s="42" t="str">
        <f aca="true">IF($A126="","",IF($S126=1,"Approved",IF(AND($L126&lt;&gt;"",TODAY()&gt;$L126),"Overdue",IF(AND($L126&lt;&gt;"",$L126-TODAY()&lt;=Cfg_DocWindow),"Due Soon",IF($I126="Not Started","Not Started","On Track")))))</f>
        <v/>
      </c>
      <c r="W126" s="42" t="str">
        <f aca="false">IF($A126="","",IF(AND($S126=0,$O126&gt;0),$O126+ROW()/1000000,""))</f>
        <v/>
      </c>
    </row>
    <row r="127" customFormat="false" ht="15" hidden="false" customHeight="false" outlineLevel="0" collapsed="false">
      <c r="A127" s="41"/>
      <c r="B127" s="41"/>
      <c r="C127" s="41"/>
      <c r="D127" s="41"/>
      <c r="E127" s="41"/>
      <c r="F127" s="41"/>
      <c r="G127" s="41"/>
      <c r="H127" s="41"/>
      <c r="I127" s="41"/>
      <c r="J127" s="41"/>
      <c r="K127" s="43" t="str">
        <f aca="false">IF($L127="","",$L127-Cfg_ReviewDays)</f>
        <v/>
      </c>
      <c r="L127" s="43" t="str">
        <f aca="false">IF($A127="","",IFERROR(Ctrl_PlannedStart-INDEX(Cfg_LeadDays,MATCH($A127,Cfg_LeadType,0)),""))</f>
        <v/>
      </c>
      <c r="M127" s="38"/>
      <c r="N127" s="38"/>
      <c r="O127" s="44" t="str">
        <f aca="true">IF($A127="","",IF($N127&lt;&gt;"",MAX(0,$N127-$L127),IF(AND($L127&lt;&gt;"",TODAY()&gt;$L127),TODAY()-$L127,0)))</f>
        <v/>
      </c>
      <c r="P127" s="41"/>
      <c r="Q127" s="41"/>
      <c r="S127" s="40" t="str">
        <f aca="false">IF($A127="","",IFERROR(INDEX(Cfg_WfApproved,MATCH($I127,Cfg_WfList,0)),0))</f>
        <v/>
      </c>
      <c r="T127" s="39" t="str">
        <f aca="false">IF($A127="","",IFERROR(INDEX(Cfg_WfPct,MATCH($I127,Cfg_WfList,0)),0))</f>
        <v/>
      </c>
      <c r="U127" s="44" t="str">
        <f aca="true">IF(OR($A127="",$L127=""),"",$L127-TODAY())</f>
        <v/>
      </c>
      <c r="V127" s="42" t="str">
        <f aca="true">IF($A127="","",IF($S127=1,"Approved",IF(AND($L127&lt;&gt;"",TODAY()&gt;$L127),"Overdue",IF(AND($L127&lt;&gt;"",$L127-TODAY()&lt;=Cfg_DocWindow),"Due Soon",IF($I127="Not Started","Not Started","On Track")))))</f>
        <v/>
      </c>
      <c r="W127" s="42" t="str">
        <f aca="false">IF($A127="","",IF(AND($S127=0,$O127&gt;0),$O127+ROW()/1000000,""))</f>
        <v/>
      </c>
    </row>
    <row r="128" customFormat="false" ht="15" hidden="false" customHeight="false" outlineLevel="0" collapsed="false">
      <c r="A128" s="41"/>
      <c r="B128" s="41"/>
      <c r="C128" s="41"/>
      <c r="D128" s="41"/>
      <c r="E128" s="41"/>
      <c r="F128" s="41"/>
      <c r="G128" s="41"/>
      <c r="H128" s="41"/>
      <c r="I128" s="41"/>
      <c r="J128" s="41"/>
      <c r="K128" s="43" t="str">
        <f aca="false">IF($L128="","",$L128-Cfg_ReviewDays)</f>
        <v/>
      </c>
      <c r="L128" s="43" t="str">
        <f aca="false">IF($A128="","",IFERROR(Ctrl_PlannedStart-INDEX(Cfg_LeadDays,MATCH($A128,Cfg_LeadType,0)),""))</f>
        <v/>
      </c>
      <c r="M128" s="38"/>
      <c r="N128" s="38"/>
      <c r="O128" s="44" t="str">
        <f aca="true">IF($A128="","",IF($N128&lt;&gt;"",MAX(0,$N128-$L128),IF(AND($L128&lt;&gt;"",TODAY()&gt;$L128),TODAY()-$L128,0)))</f>
        <v/>
      </c>
      <c r="P128" s="41"/>
      <c r="Q128" s="41"/>
      <c r="S128" s="40" t="str">
        <f aca="false">IF($A128="","",IFERROR(INDEX(Cfg_WfApproved,MATCH($I128,Cfg_WfList,0)),0))</f>
        <v/>
      </c>
      <c r="T128" s="39" t="str">
        <f aca="false">IF($A128="","",IFERROR(INDEX(Cfg_WfPct,MATCH($I128,Cfg_WfList,0)),0))</f>
        <v/>
      </c>
      <c r="U128" s="44" t="str">
        <f aca="true">IF(OR($A128="",$L128=""),"",$L128-TODAY())</f>
        <v/>
      </c>
      <c r="V128" s="42" t="str">
        <f aca="true">IF($A128="","",IF($S128=1,"Approved",IF(AND($L128&lt;&gt;"",TODAY()&gt;$L128),"Overdue",IF(AND($L128&lt;&gt;"",$L128-TODAY()&lt;=Cfg_DocWindow),"Due Soon",IF($I128="Not Started","Not Started","On Track")))))</f>
        <v/>
      </c>
      <c r="W128" s="42" t="str">
        <f aca="false">IF($A128="","",IF(AND($S128=0,$O128&gt;0),$O128+ROW()/1000000,""))</f>
        <v/>
      </c>
    </row>
    <row r="129" customFormat="false" ht="15" hidden="false" customHeight="false" outlineLevel="0" collapsed="false">
      <c r="A129" s="41"/>
      <c r="B129" s="41"/>
      <c r="C129" s="41"/>
      <c r="D129" s="41"/>
      <c r="E129" s="41"/>
      <c r="F129" s="41"/>
      <c r="G129" s="41"/>
      <c r="H129" s="41"/>
      <c r="I129" s="41"/>
      <c r="J129" s="41"/>
      <c r="K129" s="43" t="str">
        <f aca="false">IF($L129="","",$L129-Cfg_ReviewDays)</f>
        <v/>
      </c>
      <c r="L129" s="43" t="str">
        <f aca="false">IF($A129="","",IFERROR(Ctrl_PlannedStart-INDEX(Cfg_LeadDays,MATCH($A129,Cfg_LeadType,0)),""))</f>
        <v/>
      </c>
      <c r="M129" s="38"/>
      <c r="N129" s="38"/>
      <c r="O129" s="44" t="str">
        <f aca="true">IF($A129="","",IF($N129&lt;&gt;"",MAX(0,$N129-$L129),IF(AND($L129&lt;&gt;"",TODAY()&gt;$L129),TODAY()-$L129,0)))</f>
        <v/>
      </c>
      <c r="P129" s="41"/>
      <c r="Q129" s="41"/>
      <c r="S129" s="40" t="str">
        <f aca="false">IF($A129="","",IFERROR(INDEX(Cfg_WfApproved,MATCH($I129,Cfg_WfList,0)),0))</f>
        <v/>
      </c>
      <c r="T129" s="39" t="str">
        <f aca="false">IF($A129="","",IFERROR(INDEX(Cfg_WfPct,MATCH($I129,Cfg_WfList,0)),0))</f>
        <v/>
      </c>
      <c r="U129" s="44" t="str">
        <f aca="true">IF(OR($A129="",$L129=""),"",$L129-TODAY())</f>
        <v/>
      </c>
      <c r="V129" s="42" t="str">
        <f aca="true">IF($A129="","",IF($S129=1,"Approved",IF(AND($L129&lt;&gt;"",TODAY()&gt;$L129),"Overdue",IF(AND($L129&lt;&gt;"",$L129-TODAY()&lt;=Cfg_DocWindow),"Due Soon",IF($I129="Not Started","Not Started","On Track")))))</f>
        <v/>
      </c>
      <c r="W129" s="42" t="str">
        <f aca="false">IF($A129="","",IF(AND($S129=0,$O129&gt;0),$O129+ROW()/1000000,""))</f>
        <v/>
      </c>
    </row>
    <row r="130" customFormat="false" ht="15" hidden="false" customHeight="false" outlineLevel="0" collapsed="false">
      <c r="A130" s="41"/>
      <c r="B130" s="41"/>
      <c r="C130" s="41"/>
      <c r="D130" s="41"/>
      <c r="E130" s="41"/>
      <c r="F130" s="41"/>
      <c r="G130" s="41"/>
      <c r="H130" s="41"/>
      <c r="I130" s="41"/>
      <c r="J130" s="41"/>
      <c r="K130" s="43" t="str">
        <f aca="false">IF($L130="","",$L130-Cfg_ReviewDays)</f>
        <v/>
      </c>
      <c r="L130" s="43" t="str">
        <f aca="false">IF($A130="","",IFERROR(Ctrl_PlannedStart-INDEX(Cfg_LeadDays,MATCH($A130,Cfg_LeadType,0)),""))</f>
        <v/>
      </c>
      <c r="M130" s="38"/>
      <c r="N130" s="38"/>
      <c r="O130" s="44" t="str">
        <f aca="true">IF($A130="","",IF($N130&lt;&gt;"",MAX(0,$N130-$L130),IF(AND($L130&lt;&gt;"",TODAY()&gt;$L130),TODAY()-$L130,0)))</f>
        <v/>
      </c>
      <c r="P130" s="41"/>
      <c r="Q130" s="41"/>
      <c r="S130" s="40" t="str">
        <f aca="false">IF($A130="","",IFERROR(INDEX(Cfg_WfApproved,MATCH($I130,Cfg_WfList,0)),0))</f>
        <v/>
      </c>
      <c r="T130" s="39" t="str">
        <f aca="false">IF($A130="","",IFERROR(INDEX(Cfg_WfPct,MATCH($I130,Cfg_WfList,0)),0))</f>
        <v/>
      </c>
      <c r="U130" s="44" t="str">
        <f aca="true">IF(OR($A130="",$L130=""),"",$L130-TODAY())</f>
        <v/>
      </c>
      <c r="V130" s="42" t="str">
        <f aca="true">IF($A130="","",IF($S130=1,"Approved",IF(AND($L130&lt;&gt;"",TODAY()&gt;$L130),"Overdue",IF(AND($L130&lt;&gt;"",$L130-TODAY()&lt;=Cfg_DocWindow),"Due Soon",IF($I130="Not Started","Not Started","On Track")))))</f>
        <v/>
      </c>
      <c r="W130" s="42" t="str">
        <f aca="false">IF($A130="","",IF(AND($S130=0,$O130&gt;0),$O130+ROW()/1000000,""))</f>
        <v/>
      </c>
    </row>
    <row r="131" customFormat="false" ht="15" hidden="false" customHeight="false" outlineLevel="0" collapsed="false">
      <c r="A131" s="41"/>
      <c r="B131" s="41"/>
      <c r="C131" s="41"/>
      <c r="D131" s="41"/>
      <c r="E131" s="41"/>
      <c r="F131" s="41"/>
      <c r="G131" s="41"/>
      <c r="H131" s="41"/>
      <c r="I131" s="41"/>
      <c r="J131" s="41"/>
      <c r="K131" s="43" t="str">
        <f aca="false">IF($L131="","",$L131-Cfg_ReviewDays)</f>
        <v/>
      </c>
      <c r="L131" s="43" t="str">
        <f aca="false">IF($A131="","",IFERROR(Ctrl_PlannedStart-INDEX(Cfg_LeadDays,MATCH($A131,Cfg_LeadType,0)),""))</f>
        <v/>
      </c>
      <c r="M131" s="38"/>
      <c r="N131" s="38"/>
      <c r="O131" s="44" t="str">
        <f aca="true">IF($A131="","",IF($N131&lt;&gt;"",MAX(0,$N131-$L131),IF(AND($L131&lt;&gt;"",TODAY()&gt;$L131),TODAY()-$L131,0)))</f>
        <v/>
      </c>
      <c r="P131" s="41"/>
      <c r="Q131" s="41"/>
      <c r="S131" s="40" t="str">
        <f aca="false">IF($A131="","",IFERROR(INDEX(Cfg_WfApproved,MATCH($I131,Cfg_WfList,0)),0))</f>
        <v/>
      </c>
      <c r="T131" s="39" t="str">
        <f aca="false">IF($A131="","",IFERROR(INDEX(Cfg_WfPct,MATCH($I131,Cfg_WfList,0)),0))</f>
        <v/>
      </c>
      <c r="U131" s="44" t="str">
        <f aca="true">IF(OR($A131="",$L131=""),"",$L131-TODAY())</f>
        <v/>
      </c>
      <c r="V131" s="42" t="str">
        <f aca="true">IF($A131="","",IF($S131=1,"Approved",IF(AND($L131&lt;&gt;"",TODAY()&gt;$L131),"Overdue",IF(AND($L131&lt;&gt;"",$L131-TODAY()&lt;=Cfg_DocWindow),"Due Soon",IF($I131="Not Started","Not Started","On Track")))))</f>
        <v/>
      </c>
      <c r="W131" s="42" t="str">
        <f aca="false">IF($A131="","",IF(AND($S131=0,$O131&gt;0),$O131+ROW()/1000000,""))</f>
        <v/>
      </c>
    </row>
    <row r="132" customFormat="false" ht="15" hidden="false" customHeight="false" outlineLevel="0" collapsed="false">
      <c r="A132" s="41"/>
      <c r="B132" s="41"/>
      <c r="C132" s="41"/>
      <c r="D132" s="41"/>
      <c r="E132" s="41"/>
      <c r="F132" s="41"/>
      <c r="G132" s="41"/>
      <c r="H132" s="41"/>
      <c r="I132" s="41"/>
      <c r="J132" s="41"/>
      <c r="K132" s="43" t="str">
        <f aca="false">IF($L132="","",$L132-Cfg_ReviewDays)</f>
        <v/>
      </c>
      <c r="L132" s="43" t="str">
        <f aca="false">IF($A132="","",IFERROR(Ctrl_PlannedStart-INDEX(Cfg_LeadDays,MATCH($A132,Cfg_LeadType,0)),""))</f>
        <v/>
      </c>
      <c r="M132" s="38"/>
      <c r="N132" s="38"/>
      <c r="O132" s="44" t="str">
        <f aca="true">IF($A132="","",IF($N132&lt;&gt;"",MAX(0,$N132-$L132),IF(AND($L132&lt;&gt;"",TODAY()&gt;$L132),TODAY()-$L132,0)))</f>
        <v/>
      </c>
      <c r="P132" s="41"/>
      <c r="Q132" s="41"/>
      <c r="S132" s="40" t="str">
        <f aca="false">IF($A132="","",IFERROR(INDEX(Cfg_WfApproved,MATCH($I132,Cfg_WfList,0)),0))</f>
        <v/>
      </c>
      <c r="T132" s="39" t="str">
        <f aca="false">IF($A132="","",IFERROR(INDEX(Cfg_WfPct,MATCH($I132,Cfg_WfList,0)),0))</f>
        <v/>
      </c>
      <c r="U132" s="44" t="str">
        <f aca="true">IF(OR($A132="",$L132=""),"",$L132-TODAY())</f>
        <v/>
      </c>
      <c r="V132" s="42" t="str">
        <f aca="true">IF($A132="","",IF($S132=1,"Approved",IF(AND($L132&lt;&gt;"",TODAY()&gt;$L132),"Overdue",IF(AND($L132&lt;&gt;"",$L132-TODAY()&lt;=Cfg_DocWindow),"Due Soon",IF($I132="Not Started","Not Started","On Track")))))</f>
        <v/>
      </c>
      <c r="W132" s="42" t="str">
        <f aca="false">IF($A132="","",IF(AND($S132=0,$O132&gt;0),$O132+ROW()/1000000,""))</f>
        <v/>
      </c>
    </row>
    <row r="133" customFormat="false" ht="15" hidden="false" customHeight="false" outlineLevel="0" collapsed="false">
      <c r="A133" s="41"/>
      <c r="B133" s="41"/>
      <c r="C133" s="41"/>
      <c r="D133" s="41"/>
      <c r="E133" s="41"/>
      <c r="F133" s="41"/>
      <c r="G133" s="41"/>
      <c r="H133" s="41"/>
      <c r="I133" s="41"/>
      <c r="J133" s="41"/>
      <c r="K133" s="43" t="str">
        <f aca="false">IF($L133="","",$L133-Cfg_ReviewDays)</f>
        <v/>
      </c>
      <c r="L133" s="43" t="str">
        <f aca="false">IF($A133="","",IFERROR(Ctrl_PlannedStart-INDEX(Cfg_LeadDays,MATCH($A133,Cfg_LeadType,0)),""))</f>
        <v/>
      </c>
      <c r="M133" s="38"/>
      <c r="N133" s="38"/>
      <c r="O133" s="44" t="str">
        <f aca="true">IF($A133="","",IF($N133&lt;&gt;"",MAX(0,$N133-$L133),IF(AND($L133&lt;&gt;"",TODAY()&gt;$L133),TODAY()-$L133,0)))</f>
        <v/>
      </c>
      <c r="P133" s="41"/>
      <c r="Q133" s="41"/>
      <c r="S133" s="40" t="str">
        <f aca="false">IF($A133="","",IFERROR(INDEX(Cfg_WfApproved,MATCH($I133,Cfg_WfList,0)),0))</f>
        <v/>
      </c>
      <c r="T133" s="39" t="str">
        <f aca="false">IF($A133="","",IFERROR(INDEX(Cfg_WfPct,MATCH($I133,Cfg_WfList,0)),0))</f>
        <v/>
      </c>
      <c r="U133" s="44" t="str">
        <f aca="true">IF(OR($A133="",$L133=""),"",$L133-TODAY())</f>
        <v/>
      </c>
      <c r="V133" s="42" t="str">
        <f aca="true">IF($A133="","",IF($S133=1,"Approved",IF(AND($L133&lt;&gt;"",TODAY()&gt;$L133),"Overdue",IF(AND($L133&lt;&gt;"",$L133-TODAY()&lt;=Cfg_DocWindow),"Due Soon",IF($I133="Not Started","Not Started","On Track")))))</f>
        <v/>
      </c>
      <c r="W133" s="42" t="str">
        <f aca="false">IF($A133="","",IF(AND($S133=0,$O133&gt;0),$O133+ROW()/1000000,""))</f>
        <v/>
      </c>
    </row>
    <row r="134" customFormat="false" ht="15" hidden="false" customHeight="false" outlineLevel="0" collapsed="false">
      <c r="A134" s="41"/>
      <c r="B134" s="41"/>
      <c r="C134" s="41"/>
      <c r="D134" s="41"/>
      <c r="E134" s="41"/>
      <c r="F134" s="41"/>
      <c r="G134" s="41"/>
      <c r="H134" s="41"/>
      <c r="I134" s="41"/>
      <c r="J134" s="41"/>
      <c r="K134" s="43" t="str">
        <f aca="false">IF($L134="","",$L134-Cfg_ReviewDays)</f>
        <v/>
      </c>
      <c r="L134" s="43" t="str">
        <f aca="false">IF($A134="","",IFERROR(Ctrl_PlannedStart-INDEX(Cfg_LeadDays,MATCH($A134,Cfg_LeadType,0)),""))</f>
        <v/>
      </c>
      <c r="M134" s="38"/>
      <c r="N134" s="38"/>
      <c r="O134" s="44" t="str">
        <f aca="true">IF($A134="","",IF($N134&lt;&gt;"",MAX(0,$N134-$L134),IF(AND($L134&lt;&gt;"",TODAY()&gt;$L134),TODAY()-$L134,0)))</f>
        <v/>
      </c>
      <c r="P134" s="41"/>
      <c r="Q134" s="41"/>
      <c r="S134" s="40" t="str">
        <f aca="false">IF($A134="","",IFERROR(INDEX(Cfg_WfApproved,MATCH($I134,Cfg_WfList,0)),0))</f>
        <v/>
      </c>
      <c r="T134" s="39" t="str">
        <f aca="false">IF($A134="","",IFERROR(INDEX(Cfg_WfPct,MATCH($I134,Cfg_WfList,0)),0))</f>
        <v/>
      </c>
      <c r="U134" s="44" t="str">
        <f aca="true">IF(OR($A134="",$L134=""),"",$L134-TODAY())</f>
        <v/>
      </c>
      <c r="V134" s="42" t="str">
        <f aca="true">IF($A134="","",IF($S134=1,"Approved",IF(AND($L134&lt;&gt;"",TODAY()&gt;$L134),"Overdue",IF(AND($L134&lt;&gt;"",$L134-TODAY()&lt;=Cfg_DocWindow),"Due Soon",IF($I134="Not Started","Not Started","On Track")))))</f>
        <v/>
      </c>
      <c r="W134" s="42" t="str">
        <f aca="false">IF($A134="","",IF(AND($S134=0,$O134&gt;0),$O134+ROW()/1000000,""))</f>
        <v/>
      </c>
    </row>
    <row r="135" customFormat="false" ht="15" hidden="false" customHeight="false" outlineLevel="0" collapsed="false">
      <c r="A135" s="41"/>
      <c r="B135" s="41"/>
      <c r="C135" s="41"/>
      <c r="D135" s="41"/>
      <c r="E135" s="41"/>
      <c r="F135" s="41"/>
      <c r="G135" s="41"/>
      <c r="H135" s="41"/>
      <c r="I135" s="41"/>
      <c r="J135" s="41"/>
      <c r="K135" s="43" t="str">
        <f aca="false">IF($L135="","",$L135-Cfg_ReviewDays)</f>
        <v/>
      </c>
      <c r="L135" s="43" t="str">
        <f aca="false">IF($A135="","",IFERROR(Ctrl_PlannedStart-INDEX(Cfg_LeadDays,MATCH($A135,Cfg_LeadType,0)),""))</f>
        <v/>
      </c>
      <c r="M135" s="38"/>
      <c r="N135" s="38"/>
      <c r="O135" s="44" t="str">
        <f aca="true">IF($A135="","",IF($N135&lt;&gt;"",MAX(0,$N135-$L135),IF(AND($L135&lt;&gt;"",TODAY()&gt;$L135),TODAY()-$L135,0)))</f>
        <v/>
      </c>
      <c r="P135" s="41"/>
      <c r="Q135" s="41"/>
      <c r="S135" s="40" t="str">
        <f aca="false">IF($A135="","",IFERROR(INDEX(Cfg_WfApproved,MATCH($I135,Cfg_WfList,0)),0))</f>
        <v/>
      </c>
      <c r="T135" s="39" t="str">
        <f aca="false">IF($A135="","",IFERROR(INDEX(Cfg_WfPct,MATCH($I135,Cfg_WfList,0)),0))</f>
        <v/>
      </c>
      <c r="U135" s="44" t="str">
        <f aca="true">IF(OR($A135="",$L135=""),"",$L135-TODAY())</f>
        <v/>
      </c>
      <c r="V135" s="42" t="str">
        <f aca="true">IF($A135="","",IF($S135=1,"Approved",IF(AND($L135&lt;&gt;"",TODAY()&gt;$L135),"Overdue",IF(AND($L135&lt;&gt;"",$L135-TODAY()&lt;=Cfg_DocWindow),"Due Soon",IF($I135="Not Started","Not Started","On Track")))))</f>
        <v/>
      </c>
      <c r="W135" s="42" t="str">
        <f aca="false">IF($A135="","",IF(AND($S135=0,$O135&gt;0),$O135+ROW()/1000000,""))</f>
        <v/>
      </c>
    </row>
    <row r="136" customFormat="false" ht="15" hidden="false" customHeight="false" outlineLevel="0" collapsed="false">
      <c r="A136" s="41"/>
      <c r="B136" s="41"/>
      <c r="C136" s="41"/>
      <c r="D136" s="41"/>
      <c r="E136" s="41"/>
      <c r="F136" s="41"/>
      <c r="G136" s="41"/>
      <c r="H136" s="41"/>
      <c r="I136" s="41"/>
      <c r="J136" s="41"/>
      <c r="K136" s="43" t="str">
        <f aca="false">IF($L136="","",$L136-Cfg_ReviewDays)</f>
        <v/>
      </c>
      <c r="L136" s="43" t="str">
        <f aca="false">IF($A136="","",IFERROR(Ctrl_PlannedStart-INDEX(Cfg_LeadDays,MATCH($A136,Cfg_LeadType,0)),""))</f>
        <v/>
      </c>
      <c r="M136" s="38"/>
      <c r="N136" s="38"/>
      <c r="O136" s="44" t="str">
        <f aca="true">IF($A136="","",IF($N136&lt;&gt;"",MAX(0,$N136-$L136),IF(AND($L136&lt;&gt;"",TODAY()&gt;$L136),TODAY()-$L136,0)))</f>
        <v/>
      </c>
      <c r="P136" s="41"/>
      <c r="Q136" s="41"/>
      <c r="S136" s="40" t="str">
        <f aca="false">IF($A136="","",IFERROR(INDEX(Cfg_WfApproved,MATCH($I136,Cfg_WfList,0)),0))</f>
        <v/>
      </c>
      <c r="T136" s="39" t="str">
        <f aca="false">IF($A136="","",IFERROR(INDEX(Cfg_WfPct,MATCH($I136,Cfg_WfList,0)),0))</f>
        <v/>
      </c>
      <c r="U136" s="44" t="str">
        <f aca="true">IF(OR($A136="",$L136=""),"",$L136-TODAY())</f>
        <v/>
      </c>
      <c r="V136" s="42" t="str">
        <f aca="true">IF($A136="","",IF($S136=1,"Approved",IF(AND($L136&lt;&gt;"",TODAY()&gt;$L136),"Overdue",IF(AND($L136&lt;&gt;"",$L136-TODAY()&lt;=Cfg_DocWindow),"Due Soon",IF($I136="Not Started","Not Started","On Track")))))</f>
        <v/>
      </c>
      <c r="W136" s="42" t="str">
        <f aca="false">IF($A136="","",IF(AND($S136=0,$O136&gt;0),$O136+ROW()/1000000,""))</f>
        <v/>
      </c>
    </row>
    <row r="137" customFormat="false" ht="15" hidden="false" customHeight="false" outlineLevel="0" collapsed="false">
      <c r="A137" s="41"/>
      <c r="B137" s="41"/>
      <c r="C137" s="41"/>
      <c r="D137" s="41"/>
      <c r="E137" s="41"/>
      <c r="F137" s="41"/>
      <c r="G137" s="41"/>
      <c r="H137" s="41"/>
      <c r="I137" s="41"/>
      <c r="J137" s="41"/>
      <c r="K137" s="43" t="str">
        <f aca="false">IF($L137="","",$L137-Cfg_ReviewDays)</f>
        <v/>
      </c>
      <c r="L137" s="43" t="str">
        <f aca="false">IF($A137="","",IFERROR(Ctrl_PlannedStart-INDEX(Cfg_LeadDays,MATCH($A137,Cfg_LeadType,0)),""))</f>
        <v/>
      </c>
      <c r="M137" s="38"/>
      <c r="N137" s="38"/>
      <c r="O137" s="44" t="str">
        <f aca="true">IF($A137="","",IF($N137&lt;&gt;"",MAX(0,$N137-$L137),IF(AND($L137&lt;&gt;"",TODAY()&gt;$L137),TODAY()-$L137,0)))</f>
        <v/>
      </c>
      <c r="P137" s="41"/>
      <c r="Q137" s="41"/>
      <c r="S137" s="40" t="str">
        <f aca="false">IF($A137="","",IFERROR(INDEX(Cfg_WfApproved,MATCH($I137,Cfg_WfList,0)),0))</f>
        <v/>
      </c>
      <c r="T137" s="39" t="str">
        <f aca="false">IF($A137="","",IFERROR(INDEX(Cfg_WfPct,MATCH($I137,Cfg_WfList,0)),0))</f>
        <v/>
      </c>
      <c r="U137" s="44" t="str">
        <f aca="true">IF(OR($A137="",$L137=""),"",$L137-TODAY())</f>
        <v/>
      </c>
      <c r="V137" s="42" t="str">
        <f aca="true">IF($A137="","",IF($S137=1,"Approved",IF(AND($L137&lt;&gt;"",TODAY()&gt;$L137),"Overdue",IF(AND($L137&lt;&gt;"",$L137-TODAY()&lt;=Cfg_DocWindow),"Due Soon",IF($I137="Not Started","Not Started","On Track")))))</f>
        <v/>
      </c>
      <c r="W137" s="42" t="str">
        <f aca="false">IF($A137="","",IF(AND($S137=0,$O137&gt;0),$O137+ROW()/1000000,""))</f>
        <v/>
      </c>
    </row>
    <row r="138" customFormat="false" ht="15" hidden="false" customHeight="false" outlineLevel="0" collapsed="false">
      <c r="A138" s="41"/>
      <c r="B138" s="41"/>
      <c r="C138" s="41"/>
      <c r="D138" s="41"/>
      <c r="E138" s="41"/>
      <c r="F138" s="41"/>
      <c r="G138" s="41"/>
      <c r="H138" s="41"/>
      <c r="I138" s="41"/>
      <c r="J138" s="41"/>
      <c r="K138" s="43" t="str">
        <f aca="false">IF($L138="","",$L138-Cfg_ReviewDays)</f>
        <v/>
      </c>
      <c r="L138" s="43" t="str">
        <f aca="false">IF($A138="","",IFERROR(Ctrl_PlannedStart-INDEX(Cfg_LeadDays,MATCH($A138,Cfg_LeadType,0)),""))</f>
        <v/>
      </c>
      <c r="M138" s="38"/>
      <c r="N138" s="38"/>
      <c r="O138" s="44" t="str">
        <f aca="true">IF($A138="","",IF($N138&lt;&gt;"",MAX(0,$N138-$L138),IF(AND($L138&lt;&gt;"",TODAY()&gt;$L138),TODAY()-$L138,0)))</f>
        <v/>
      </c>
      <c r="P138" s="41"/>
      <c r="Q138" s="41"/>
      <c r="S138" s="40" t="str">
        <f aca="false">IF($A138="","",IFERROR(INDEX(Cfg_WfApproved,MATCH($I138,Cfg_WfList,0)),0))</f>
        <v/>
      </c>
      <c r="T138" s="39" t="str">
        <f aca="false">IF($A138="","",IFERROR(INDEX(Cfg_WfPct,MATCH($I138,Cfg_WfList,0)),0))</f>
        <v/>
      </c>
      <c r="U138" s="44" t="str">
        <f aca="true">IF(OR($A138="",$L138=""),"",$L138-TODAY())</f>
        <v/>
      </c>
      <c r="V138" s="42" t="str">
        <f aca="true">IF($A138="","",IF($S138=1,"Approved",IF(AND($L138&lt;&gt;"",TODAY()&gt;$L138),"Overdue",IF(AND($L138&lt;&gt;"",$L138-TODAY()&lt;=Cfg_DocWindow),"Due Soon",IF($I138="Not Started","Not Started","On Track")))))</f>
        <v/>
      </c>
      <c r="W138" s="42" t="str">
        <f aca="false">IF($A138="","",IF(AND($S138=0,$O138&gt;0),$O138+ROW()/1000000,""))</f>
        <v/>
      </c>
    </row>
    <row r="139" customFormat="false" ht="15" hidden="false" customHeight="false" outlineLevel="0" collapsed="false">
      <c r="A139" s="41"/>
      <c r="B139" s="41"/>
      <c r="C139" s="41"/>
      <c r="D139" s="41"/>
      <c r="E139" s="41"/>
      <c r="F139" s="41"/>
      <c r="G139" s="41"/>
      <c r="H139" s="41"/>
      <c r="I139" s="41"/>
      <c r="J139" s="41"/>
      <c r="K139" s="43" t="str">
        <f aca="false">IF($L139="","",$L139-Cfg_ReviewDays)</f>
        <v/>
      </c>
      <c r="L139" s="43" t="str">
        <f aca="false">IF($A139="","",IFERROR(Ctrl_PlannedStart-INDEX(Cfg_LeadDays,MATCH($A139,Cfg_LeadType,0)),""))</f>
        <v/>
      </c>
      <c r="M139" s="38"/>
      <c r="N139" s="38"/>
      <c r="O139" s="44" t="str">
        <f aca="true">IF($A139="","",IF($N139&lt;&gt;"",MAX(0,$N139-$L139),IF(AND($L139&lt;&gt;"",TODAY()&gt;$L139),TODAY()-$L139,0)))</f>
        <v/>
      </c>
      <c r="P139" s="41"/>
      <c r="Q139" s="41"/>
      <c r="S139" s="40" t="str">
        <f aca="false">IF($A139="","",IFERROR(INDEX(Cfg_WfApproved,MATCH($I139,Cfg_WfList,0)),0))</f>
        <v/>
      </c>
      <c r="T139" s="39" t="str">
        <f aca="false">IF($A139="","",IFERROR(INDEX(Cfg_WfPct,MATCH($I139,Cfg_WfList,0)),0))</f>
        <v/>
      </c>
      <c r="U139" s="44" t="str">
        <f aca="true">IF(OR($A139="",$L139=""),"",$L139-TODAY())</f>
        <v/>
      </c>
      <c r="V139" s="42" t="str">
        <f aca="true">IF($A139="","",IF($S139=1,"Approved",IF(AND($L139&lt;&gt;"",TODAY()&gt;$L139),"Overdue",IF(AND($L139&lt;&gt;"",$L139-TODAY()&lt;=Cfg_DocWindow),"Due Soon",IF($I139="Not Started","Not Started","On Track")))))</f>
        <v/>
      </c>
      <c r="W139" s="42" t="str">
        <f aca="false">IF($A139="","",IF(AND($S139=0,$O139&gt;0),$O139+ROW()/1000000,""))</f>
        <v/>
      </c>
    </row>
    <row r="140" customFormat="false" ht="15" hidden="false" customHeight="false" outlineLevel="0" collapsed="false">
      <c r="A140" s="41"/>
      <c r="B140" s="41"/>
      <c r="C140" s="41"/>
      <c r="D140" s="41"/>
      <c r="E140" s="41"/>
      <c r="F140" s="41"/>
      <c r="G140" s="41"/>
      <c r="H140" s="41"/>
      <c r="I140" s="41"/>
      <c r="J140" s="41"/>
      <c r="K140" s="43" t="str">
        <f aca="false">IF($L140="","",$L140-Cfg_ReviewDays)</f>
        <v/>
      </c>
      <c r="L140" s="43" t="str">
        <f aca="false">IF($A140="","",IFERROR(Ctrl_PlannedStart-INDEX(Cfg_LeadDays,MATCH($A140,Cfg_LeadType,0)),""))</f>
        <v/>
      </c>
      <c r="M140" s="38"/>
      <c r="N140" s="38"/>
      <c r="O140" s="44" t="str">
        <f aca="true">IF($A140="","",IF($N140&lt;&gt;"",MAX(0,$N140-$L140),IF(AND($L140&lt;&gt;"",TODAY()&gt;$L140),TODAY()-$L140,0)))</f>
        <v/>
      </c>
      <c r="P140" s="41"/>
      <c r="Q140" s="41"/>
      <c r="S140" s="40" t="str">
        <f aca="false">IF($A140="","",IFERROR(INDEX(Cfg_WfApproved,MATCH($I140,Cfg_WfList,0)),0))</f>
        <v/>
      </c>
      <c r="T140" s="39" t="str">
        <f aca="false">IF($A140="","",IFERROR(INDEX(Cfg_WfPct,MATCH($I140,Cfg_WfList,0)),0))</f>
        <v/>
      </c>
      <c r="U140" s="44" t="str">
        <f aca="true">IF(OR($A140="",$L140=""),"",$L140-TODAY())</f>
        <v/>
      </c>
      <c r="V140" s="42" t="str">
        <f aca="true">IF($A140="","",IF($S140=1,"Approved",IF(AND($L140&lt;&gt;"",TODAY()&gt;$L140),"Overdue",IF(AND($L140&lt;&gt;"",$L140-TODAY()&lt;=Cfg_DocWindow),"Due Soon",IF($I140="Not Started","Not Started","On Track")))))</f>
        <v/>
      </c>
      <c r="W140" s="42" t="str">
        <f aca="false">IF($A140="","",IF(AND($S140=0,$O140&gt;0),$O140+ROW()/1000000,""))</f>
        <v/>
      </c>
    </row>
    <row r="141" customFormat="false" ht="15" hidden="false" customHeight="false" outlineLevel="0" collapsed="false">
      <c r="A141" s="41"/>
      <c r="B141" s="41"/>
      <c r="C141" s="41"/>
      <c r="D141" s="41"/>
      <c r="E141" s="41"/>
      <c r="F141" s="41"/>
      <c r="G141" s="41"/>
      <c r="H141" s="41"/>
      <c r="I141" s="41"/>
      <c r="J141" s="41"/>
      <c r="K141" s="43" t="str">
        <f aca="false">IF($L141="","",$L141-Cfg_ReviewDays)</f>
        <v/>
      </c>
      <c r="L141" s="43" t="str">
        <f aca="false">IF($A141="","",IFERROR(Ctrl_PlannedStart-INDEX(Cfg_LeadDays,MATCH($A141,Cfg_LeadType,0)),""))</f>
        <v/>
      </c>
      <c r="M141" s="38"/>
      <c r="N141" s="38"/>
      <c r="O141" s="44" t="str">
        <f aca="true">IF($A141="","",IF($N141&lt;&gt;"",MAX(0,$N141-$L141),IF(AND($L141&lt;&gt;"",TODAY()&gt;$L141),TODAY()-$L141,0)))</f>
        <v/>
      </c>
      <c r="P141" s="41"/>
      <c r="Q141" s="41"/>
      <c r="S141" s="40" t="str">
        <f aca="false">IF($A141="","",IFERROR(INDEX(Cfg_WfApproved,MATCH($I141,Cfg_WfList,0)),0))</f>
        <v/>
      </c>
      <c r="T141" s="39" t="str">
        <f aca="false">IF($A141="","",IFERROR(INDEX(Cfg_WfPct,MATCH($I141,Cfg_WfList,0)),0))</f>
        <v/>
      </c>
      <c r="U141" s="44" t="str">
        <f aca="true">IF(OR($A141="",$L141=""),"",$L141-TODAY())</f>
        <v/>
      </c>
      <c r="V141" s="42" t="str">
        <f aca="true">IF($A141="","",IF($S141=1,"Approved",IF(AND($L141&lt;&gt;"",TODAY()&gt;$L141),"Overdue",IF(AND($L141&lt;&gt;"",$L141-TODAY()&lt;=Cfg_DocWindow),"Due Soon",IF($I141="Not Started","Not Started","On Track")))))</f>
        <v/>
      </c>
      <c r="W141" s="42" t="str">
        <f aca="false">IF($A141="","",IF(AND($S141=0,$O141&gt;0),$O141+ROW()/1000000,""))</f>
        <v/>
      </c>
    </row>
    <row r="142" customFormat="false" ht="15" hidden="false" customHeight="false" outlineLevel="0" collapsed="false">
      <c r="A142" s="41"/>
      <c r="B142" s="41"/>
      <c r="C142" s="41"/>
      <c r="D142" s="41"/>
      <c r="E142" s="41"/>
      <c r="F142" s="41"/>
      <c r="G142" s="41"/>
      <c r="H142" s="41"/>
      <c r="I142" s="41"/>
      <c r="J142" s="41"/>
      <c r="K142" s="43" t="str">
        <f aca="false">IF($L142="","",$L142-Cfg_ReviewDays)</f>
        <v/>
      </c>
      <c r="L142" s="43" t="str">
        <f aca="false">IF($A142="","",IFERROR(Ctrl_PlannedStart-INDEX(Cfg_LeadDays,MATCH($A142,Cfg_LeadType,0)),""))</f>
        <v/>
      </c>
      <c r="M142" s="38"/>
      <c r="N142" s="38"/>
      <c r="O142" s="44" t="str">
        <f aca="true">IF($A142="","",IF($N142&lt;&gt;"",MAX(0,$N142-$L142),IF(AND($L142&lt;&gt;"",TODAY()&gt;$L142),TODAY()-$L142,0)))</f>
        <v/>
      </c>
      <c r="P142" s="41"/>
      <c r="Q142" s="41"/>
      <c r="S142" s="40" t="str">
        <f aca="false">IF($A142="","",IFERROR(INDEX(Cfg_WfApproved,MATCH($I142,Cfg_WfList,0)),0))</f>
        <v/>
      </c>
      <c r="T142" s="39" t="str">
        <f aca="false">IF($A142="","",IFERROR(INDEX(Cfg_WfPct,MATCH($I142,Cfg_WfList,0)),0))</f>
        <v/>
      </c>
      <c r="U142" s="44" t="str">
        <f aca="true">IF(OR($A142="",$L142=""),"",$L142-TODAY())</f>
        <v/>
      </c>
      <c r="V142" s="42" t="str">
        <f aca="true">IF($A142="","",IF($S142=1,"Approved",IF(AND($L142&lt;&gt;"",TODAY()&gt;$L142),"Overdue",IF(AND($L142&lt;&gt;"",$L142-TODAY()&lt;=Cfg_DocWindow),"Due Soon",IF($I142="Not Started","Not Started","On Track")))))</f>
        <v/>
      </c>
      <c r="W142" s="42" t="str">
        <f aca="false">IF($A142="","",IF(AND($S142=0,$O142&gt;0),$O142+ROW()/1000000,""))</f>
        <v/>
      </c>
    </row>
    <row r="143" customFormat="false" ht="15" hidden="false" customHeight="false" outlineLevel="0" collapsed="false">
      <c r="A143" s="41"/>
      <c r="B143" s="41"/>
      <c r="C143" s="41"/>
      <c r="D143" s="41"/>
      <c r="E143" s="41"/>
      <c r="F143" s="41"/>
      <c r="G143" s="41"/>
      <c r="H143" s="41"/>
      <c r="I143" s="41"/>
      <c r="J143" s="41"/>
      <c r="K143" s="43" t="str">
        <f aca="false">IF($L143="","",$L143-Cfg_ReviewDays)</f>
        <v/>
      </c>
      <c r="L143" s="43" t="str">
        <f aca="false">IF($A143="","",IFERROR(Ctrl_PlannedStart-INDEX(Cfg_LeadDays,MATCH($A143,Cfg_LeadType,0)),""))</f>
        <v/>
      </c>
      <c r="M143" s="38"/>
      <c r="N143" s="38"/>
      <c r="O143" s="44" t="str">
        <f aca="true">IF($A143="","",IF($N143&lt;&gt;"",MAX(0,$N143-$L143),IF(AND($L143&lt;&gt;"",TODAY()&gt;$L143),TODAY()-$L143,0)))</f>
        <v/>
      </c>
      <c r="P143" s="41"/>
      <c r="Q143" s="41"/>
      <c r="S143" s="40" t="str">
        <f aca="false">IF($A143="","",IFERROR(INDEX(Cfg_WfApproved,MATCH($I143,Cfg_WfList,0)),0))</f>
        <v/>
      </c>
      <c r="T143" s="39" t="str">
        <f aca="false">IF($A143="","",IFERROR(INDEX(Cfg_WfPct,MATCH($I143,Cfg_WfList,0)),0))</f>
        <v/>
      </c>
      <c r="U143" s="44" t="str">
        <f aca="true">IF(OR($A143="",$L143=""),"",$L143-TODAY())</f>
        <v/>
      </c>
      <c r="V143" s="42" t="str">
        <f aca="true">IF($A143="","",IF($S143=1,"Approved",IF(AND($L143&lt;&gt;"",TODAY()&gt;$L143),"Overdue",IF(AND($L143&lt;&gt;"",$L143-TODAY()&lt;=Cfg_DocWindow),"Due Soon",IF($I143="Not Started","Not Started","On Track")))))</f>
        <v/>
      </c>
      <c r="W143" s="42" t="str">
        <f aca="false">IF($A143="","",IF(AND($S143=0,$O143&gt;0),$O143+ROW()/1000000,""))</f>
        <v/>
      </c>
    </row>
    <row r="144" customFormat="false" ht="15" hidden="false" customHeight="false" outlineLevel="0" collapsed="false">
      <c r="A144" s="41"/>
      <c r="B144" s="41"/>
      <c r="C144" s="41"/>
      <c r="D144" s="41"/>
      <c r="E144" s="41"/>
      <c r="F144" s="41"/>
      <c r="G144" s="41"/>
      <c r="H144" s="41"/>
      <c r="I144" s="41"/>
      <c r="J144" s="41"/>
      <c r="K144" s="43" t="str">
        <f aca="false">IF($L144="","",$L144-Cfg_ReviewDays)</f>
        <v/>
      </c>
      <c r="L144" s="43" t="str">
        <f aca="false">IF($A144="","",IFERROR(Ctrl_PlannedStart-INDEX(Cfg_LeadDays,MATCH($A144,Cfg_LeadType,0)),""))</f>
        <v/>
      </c>
      <c r="M144" s="38"/>
      <c r="N144" s="38"/>
      <c r="O144" s="44" t="str">
        <f aca="true">IF($A144="","",IF($N144&lt;&gt;"",MAX(0,$N144-$L144),IF(AND($L144&lt;&gt;"",TODAY()&gt;$L144),TODAY()-$L144,0)))</f>
        <v/>
      </c>
      <c r="P144" s="41"/>
      <c r="Q144" s="41"/>
      <c r="S144" s="40" t="str">
        <f aca="false">IF($A144="","",IFERROR(INDEX(Cfg_WfApproved,MATCH($I144,Cfg_WfList,0)),0))</f>
        <v/>
      </c>
      <c r="T144" s="39" t="str">
        <f aca="false">IF($A144="","",IFERROR(INDEX(Cfg_WfPct,MATCH($I144,Cfg_WfList,0)),0))</f>
        <v/>
      </c>
      <c r="U144" s="44" t="str">
        <f aca="true">IF(OR($A144="",$L144=""),"",$L144-TODAY())</f>
        <v/>
      </c>
      <c r="V144" s="42" t="str">
        <f aca="true">IF($A144="","",IF($S144=1,"Approved",IF(AND($L144&lt;&gt;"",TODAY()&gt;$L144),"Overdue",IF(AND($L144&lt;&gt;"",$L144-TODAY()&lt;=Cfg_DocWindow),"Due Soon",IF($I144="Not Started","Not Started","On Track")))))</f>
        <v/>
      </c>
      <c r="W144" s="42" t="str">
        <f aca="false">IF($A144="","",IF(AND($S144=0,$O144&gt;0),$O144+ROW()/1000000,""))</f>
        <v/>
      </c>
    </row>
    <row r="145" customFormat="false" ht="15" hidden="false" customHeight="false" outlineLevel="0" collapsed="false">
      <c r="A145" s="41"/>
      <c r="B145" s="41"/>
      <c r="C145" s="41"/>
      <c r="D145" s="41"/>
      <c r="E145" s="41"/>
      <c r="F145" s="41"/>
      <c r="G145" s="41"/>
      <c r="H145" s="41"/>
      <c r="I145" s="41"/>
      <c r="J145" s="41"/>
      <c r="K145" s="43" t="str">
        <f aca="false">IF($L145="","",$L145-Cfg_ReviewDays)</f>
        <v/>
      </c>
      <c r="L145" s="43" t="str">
        <f aca="false">IF($A145="","",IFERROR(Ctrl_PlannedStart-INDEX(Cfg_LeadDays,MATCH($A145,Cfg_LeadType,0)),""))</f>
        <v/>
      </c>
      <c r="M145" s="38"/>
      <c r="N145" s="38"/>
      <c r="O145" s="44" t="str">
        <f aca="true">IF($A145="","",IF($N145&lt;&gt;"",MAX(0,$N145-$L145),IF(AND($L145&lt;&gt;"",TODAY()&gt;$L145),TODAY()-$L145,0)))</f>
        <v/>
      </c>
      <c r="P145" s="41"/>
      <c r="Q145" s="41"/>
      <c r="S145" s="40" t="str">
        <f aca="false">IF($A145="","",IFERROR(INDEX(Cfg_WfApproved,MATCH($I145,Cfg_WfList,0)),0))</f>
        <v/>
      </c>
      <c r="T145" s="39" t="str">
        <f aca="false">IF($A145="","",IFERROR(INDEX(Cfg_WfPct,MATCH($I145,Cfg_WfList,0)),0))</f>
        <v/>
      </c>
      <c r="U145" s="44" t="str">
        <f aca="true">IF(OR($A145="",$L145=""),"",$L145-TODAY())</f>
        <v/>
      </c>
      <c r="V145" s="42" t="str">
        <f aca="true">IF($A145="","",IF($S145=1,"Approved",IF(AND($L145&lt;&gt;"",TODAY()&gt;$L145),"Overdue",IF(AND($L145&lt;&gt;"",$L145-TODAY()&lt;=Cfg_DocWindow),"Due Soon",IF($I145="Not Started","Not Started","On Track")))))</f>
        <v/>
      </c>
      <c r="W145" s="42" t="str">
        <f aca="false">IF($A145="","",IF(AND($S145=0,$O145&gt;0),$O145+ROW()/1000000,""))</f>
        <v/>
      </c>
    </row>
    <row r="146" customFormat="false" ht="15" hidden="false" customHeight="false" outlineLevel="0" collapsed="false">
      <c r="A146" s="41"/>
      <c r="B146" s="41"/>
      <c r="C146" s="41"/>
      <c r="D146" s="41"/>
      <c r="E146" s="41"/>
      <c r="F146" s="41"/>
      <c r="G146" s="41"/>
      <c r="H146" s="41"/>
      <c r="I146" s="41"/>
      <c r="J146" s="41"/>
      <c r="K146" s="43" t="str">
        <f aca="false">IF($L146="","",$L146-Cfg_ReviewDays)</f>
        <v/>
      </c>
      <c r="L146" s="43" t="str">
        <f aca="false">IF($A146="","",IFERROR(Ctrl_PlannedStart-INDEX(Cfg_LeadDays,MATCH($A146,Cfg_LeadType,0)),""))</f>
        <v/>
      </c>
      <c r="M146" s="38"/>
      <c r="N146" s="38"/>
      <c r="O146" s="44" t="str">
        <f aca="true">IF($A146="","",IF($N146&lt;&gt;"",MAX(0,$N146-$L146),IF(AND($L146&lt;&gt;"",TODAY()&gt;$L146),TODAY()-$L146,0)))</f>
        <v/>
      </c>
      <c r="P146" s="41"/>
      <c r="Q146" s="41"/>
      <c r="S146" s="40" t="str">
        <f aca="false">IF($A146="","",IFERROR(INDEX(Cfg_WfApproved,MATCH($I146,Cfg_WfList,0)),0))</f>
        <v/>
      </c>
      <c r="T146" s="39" t="str">
        <f aca="false">IF($A146="","",IFERROR(INDEX(Cfg_WfPct,MATCH($I146,Cfg_WfList,0)),0))</f>
        <v/>
      </c>
      <c r="U146" s="44" t="str">
        <f aca="true">IF(OR($A146="",$L146=""),"",$L146-TODAY())</f>
        <v/>
      </c>
      <c r="V146" s="42" t="str">
        <f aca="true">IF($A146="","",IF($S146=1,"Approved",IF(AND($L146&lt;&gt;"",TODAY()&gt;$L146),"Overdue",IF(AND($L146&lt;&gt;"",$L146-TODAY()&lt;=Cfg_DocWindow),"Due Soon",IF($I146="Not Started","Not Started","On Track")))))</f>
        <v/>
      </c>
      <c r="W146" s="42" t="str">
        <f aca="false">IF($A146="","",IF(AND($S146=0,$O146&gt;0),$O146+ROW()/1000000,""))</f>
        <v/>
      </c>
    </row>
    <row r="147" customFormat="false" ht="15" hidden="false" customHeight="false" outlineLevel="0" collapsed="false">
      <c r="A147" s="41"/>
      <c r="B147" s="41"/>
      <c r="C147" s="41"/>
      <c r="D147" s="41"/>
      <c r="E147" s="41"/>
      <c r="F147" s="41"/>
      <c r="G147" s="41"/>
      <c r="H147" s="41"/>
      <c r="I147" s="41"/>
      <c r="J147" s="41"/>
      <c r="K147" s="43" t="str">
        <f aca="false">IF($L147="","",$L147-Cfg_ReviewDays)</f>
        <v/>
      </c>
      <c r="L147" s="43" t="str">
        <f aca="false">IF($A147="","",IFERROR(Ctrl_PlannedStart-INDEX(Cfg_LeadDays,MATCH($A147,Cfg_LeadType,0)),""))</f>
        <v/>
      </c>
      <c r="M147" s="38"/>
      <c r="N147" s="38"/>
      <c r="O147" s="44" t="str">
        <f aca="true">IF($A147="","",IF($N147&lt;&gt;"",MAX(0,$N147-$L147),IF(AND($L147&lt;&gt;"",TODAY()&gt;$L147),TODAY()-$L147,0)))</f>
        <v/>
      </c>
      <c r="P147" s="41"/>
      <c r="Q147" s="41"/>
      <c r="S147" s="40" t="str">
        <f aca="false">IF($A147="","",IFERROR(INDEX(Cfg_WfApproved,MATCH($I147,Cfg_WfList,0)),0))</f>
        <v/>
      </c>
      <c r="T147" s="39" t="str">
        <f aca="false">IF($A147="","",IFERROR(INDEX(Cfg_WfPct,MATCH($I147,Cfg_WfList,0)),0))</f>
        <v/>
      </c>
      <c r="U147" s="44" t="str">
        <f aca="true">IF(OR($A147="",$L147=""),"",$L147-TODAY())</f>
        <v/>
      </c>
      <c r="V147" s="42" t="str">
        <f aca="true">IF($A147="","",IF($S147=1,"Approved",IF(AND($L147&lt;&gt;"",TODAY()&gt;$L147),"Overdue",IF(AND($L147&lt;&gt;"",$L147-TODAY()&lt;=Cfg_DocWindow),"Due Soon",IF($I147="Not Started","Not Started","On Track")))))</f>
        <v/>
      </c>
      <c r="W147" s="42" t="str">
        <f aca="false">IF($A147="","",IF(AND($S147=0,$O147&gt;0),$O147+ROW()/1000000,""))</f>
        <v/>
      </c>
    </row>
    <row r="148" customFormat="false" ht="15" hidden="false" customHeight="false" outlineLevel="0" collapsed="false">
      <c r="A148" s="41"/>
      <c r="B148" s="41"/>
      <c r="C148" s="41"/>
      <c r="D148" s="41"/>
      <c r="E148" s="41"/>
      <c r="F148" s="41"/>
      <c r="G148" s="41"/>
      <c r="H148" s="41"/>
      <c r="I148" s="41"/>
      <c r="J148" s="41"/>
      <c r="K148" s="43" t="str">
        <f aca="false">IF($L148="","",$L148-Cfg_ReviewDays)</f>
        <v/>
      </c>
      <c r="L148" s="43" t="str">
        <f aca="false">IF($A148="","",IFERROR(Ctrl_PlannedStart-INDEX(Cfg_LeadDays,MATCH($A148,Cfg_LeadType,0)),""))</f>
        <v/>
      </c>
      <c r="M148" s="38"/>
      <c r="N148" s="38"/>
      <c r="O148" s="44" t="str">
        <f aca="true">IF($A148="","",IF($N148&lt;&gt;"",MAX(0,$N148-$L148),IF(AND($L148&lt;&gt;"",TODAY()&gt;$L148),TODAY()-$L148,0)))</f>
        <v/>
      </c>
      <c r="P148" s="41"/>
      <c r="Q148" s="41"/>
      <c r="S148" s="40" t="str">
        <f aca="false">IF($A148="","",IFERROR(INDEX(Cfg_WfApproved,MATCH($I148,Cfg_WfList,0)),0))</f>
        <v/>
      </c>
      <c r="T148" s="39" t="str">
        <f aca="false">IF($A148="","",IFERROR(INDEX(Cfg_WfPct,MATCH($I148,Cfg_WfList,0)),0))</f>
        <v/>
      </c>
      <c r="U148" s="44" t="str">
        <f aca="true">IF(OR($A148="",$L148=""),"",$L148-TODAY())</f>
        <v/>
      </c>
      <c r="V148" s="42" t="str">
        <f aca="true">IF($A148="","",IF($S148=1,"Approved",IF(AND($L148&lt;&gt;"",TODAY()&gt;$L148),"Overdue",IF(AND($L148&lt;&gt;"",$L148-TODAY()&lt;=Cfg_DocWindow),"Due Soon",IF($I148="Not Started","Not Started","On Track")))))</f>
        <v/>
      </c>
      <c r="W148" s="42" t="str">
        <f aca="false">IF($A148="","",IF(AND($S148=0,$O148&gt;0),$O148+ROW()/1000000,""))</f>
        <v/>
      </c>
    </row>
    <row r="149" customFormat="false" ht="15" hidden="false" customHeight="false" outlineLevel="0" collapsed="false">
      <c r="A149" s="41"/>
      <c r="B149" s="41"/>
      <c r="C149" s="41"/>
      <c r="D149" s="41"/>
      <c r="E149" s="41"/>
      <c r="F149" s="41"/>
      <c r="G149" s="41"/>
      <c r="H149" s="41"/>
      <c r="I149" s="41"/>
      <c r="J149" s="41"/>
      <c r="K149" s="43" t="str">
        <f aca="false">IF($L149="","",$L149-Cfg_ReviewDays)</f>
        <v/>
      </c>
      <c r="L149" s="43" t="str">
        <f aca="false">IF($A149="","",IFERROR(Ctrl_PlannedStart-INDEX(Cfg_LeadDays,MATCH($A149,Cfg_LeadType,0)),""))</f>
        <v/>
      </c>
      <c r="M149" s="38"/>
      <c r="N149" s="38"/>
      <c r="O149" s="44" t="str">
        <f aca="true">IF($A149="","",IF($N149&lt;&gt;"",MAX(0,$N149-$L149),IF(AND($L149&lt;&gt;"",TODAY()&gt;$L149),TODAY()-$L149,0)))</f>
        <v/>
      </c>
      <c r="P149" s="41"/>
      <c r="Q149" s="41"/>
      <c r="S149" s="40" t="str">
        <f aca="false">IF($A149="","",IFERROR(INDEX(Cfg_WfApproved,MATCH($I149,Cfg_WfList,0)),0))</f>
        <v/>
      </c>
      <c r="T149" s="39" t="str">
        <f aca="false">IF($A149="","",IFERROR(INDEX(Cfg_WfPct,MATCH($I149,Cfg_WfList,0)),0))</f>
        <v/>
      </c>
      <c r="U149" s="44" t="str">
        <f aca="true">IF(OR($A149="",$L149=""),"",$L149-TODAY())</f>
        <v/>
      </c>
      <c r="V149" s="42" t="str">
        <f aca="true">IF($A149="","",IF($S149=1,"Approved",IF(AND($L149&lt;&gt;"",TODAY()&gt;$L149),"Overdue",IF(AND($L149&lt;&gt;"",$L149-TODAY()&lt;=Cfg_DocWindow),"Due Soon",IF($I149="Not Started","Not Started","On Track")))))</f>
        <v/>
      </c>
      <c r="W149" s="42" t="str">
        <f aca="false">IF($A149="","",IF(AND($S149=0,$O149&gt;0),$O149+ROW()/1000000,""))</f>
        <v/>
      </c>
    </row>
    <row r="150" customFormat="false" ht="15" hidden="false" customHeight="false" outlineLevel="0" collapsed="false">
      <c r="A150" s="41"/>
      <c r="B150" s="41"/>
      <c r="C150" s="41"/>
      <c r="D150" s="41"/>
      <c r="E150" s="41"/>
      <c r="F150" s="41"/>
      <c r="G150" s="41"/>
      <c r="H150" s="41"/>
      <c r="I150" s="41"/>
      <c r="J150" s="41"/>
      <c r="K150" s="43" t="str">
        <f aca="false">IF($L150="","",$L150-Cfg_ReviewDays)</f>
        <v/>
      </c>
      <c r="L150" s="43" t="str">
        <f aca="false">IF($A150="","",IFERROR(Ctrl_PlannedStart-INDEX(Cfg_LeadDays,MATCH($A150,Cfg_LeadType,0)),""))</f>
        <v/>
      </c>
      <c r="M150" s="38"/>
      <c r="N150" s="38"/>
      <c r="O150" s="44" t="str">
        <f aca="true">IF($A150="","",IF($N150&lt;&gt;"",MAX(0,$N150-$L150),IF(AND($L150&lt;&gt;"",TODAY()&gt;$L150),TODAY()-$L150,0)))</f>
        <v/>
      </c>
      <c r="P150" s="41"/>
      <c r="Q150" s="41"/>
      <c r="S150" s="40" t="str">
        <f aca="false">IF($A150="","",IFERROR(INDEX(Cfg_WfApproved,MATCH($I150,Cfg_WfList,0)),0))</f>
        <v/>
      </c>
      <c r="T150" s="39" t="str">
        <f aca="false">IF($A150="","",IFERROR(INDEX(Cfg_WfPct,MATCH($I150,Cfg_WfList,0)),0))</f>
        <v/>
      </c>
      <c r="U150" s="44" t="str">
        <f aca="true">IF(OR($A150="",$L150=""),"",$L150-TODAY())</f>
        <v/>
      </c>
      <c r="V150" s="42" t="str">
        <f aca="true">IF($A150="","",IF($S150=1,"Approved",IF(AND($L150&lt;&gt;"",TODAY()&gt;$L150),"Overdue",IF(AND($L150&lt;&gt;"",$L150-TODAY()&lt;=Cfg_DocWindow),"Due Soon",IF($I150="Not Started","Not Started","On Track")))))</f>
        <v/>
      </c>
      <c r="W150" s="42" t="str">
        <f aca="false">IF($A150="","",IF(AND($S150=0,$O150&gt;0),$O150+ROW()/1000000,""))</f>
        <v/>
      </c>
    </row>
    <row r="151" customFormat="false" ht="15" hidden="false" customHeight="false" outlineLevel="0" collapsed="false">
      <c r="A151" s="41"/>
      <c r="B151" s="41"/>
      <c r="C151" s="41"/>
      <c r="D151" s="41"/>
      <c r="E151" s="41"/>
      <c r="F151" s="41"/>
      <c r="G151" s="41"/>
      <c r="H151" s="41"/>
      <c r="I151" s="41"/>
      <c r="J151" s="41"/>
      <c r="K151" s="43" t="str">
        <f aca="false">IF($L151="","",$L151-Cfg_ReviewDays)</f>
        <v/>
      </c>
      <c r="L151" s="43" t="str">
        <f aca="false">IF($A151="","",IFERROR(Ctrl_PlannedStart-INDEX(Cfg_LeadDays,MATCH($A151,Cfg_LeadType,0)),""))</f>
        <v/>
      </c>
      <c r="M151" s="38"/>
      <c r="N151" s="38"/>
      <c r="O151" s="44" t="str">
        <f aca="true">IF($A151="","",IF($N151&lt;&gt;"",MAX(0,$N151-$L151),IF(AND($L151&lt;&gt;"",TODAY()&gt;$L151),TODAY()-$L151,0)))</f>
        <v/>
      </c>
      <c r="P151" s="41"/>
      <c r="Q151" s="41"/>
      <c r="S151" s="40" t="str">
        <f aca="false">IF($A151="","",IFERROR(INDEX(Cfg_WfApproved,MATCH($I151,Cfg_WfList,0)),0))</f>
        <v/>
      </c>
      <c r="T151" s="39" t="str">
        <f aca="false">IF($A151="","",IFERROR(INDEX(Cfg_WfPct,MATCH($I151,Cfg_WfList,0)),0))</f>
        <v/>
      </c>
      <c r="U151" s="44" t="str">
        <f aca="true">IF(OR($A151="",$L151=""),"",$L151-TODAY())</f>
        <v/>
      </c>
      <c r="V151" s="42" t="str">
        <f aca="true">IF($A151="","",IF($S151=1,"Approved",IF(AND($L151&lt;&gt;"",TODAY()&gt;$L151),"Overdue",IF(AND($L151&lt;&gt;"",$L151-TODAY()&lt;=Cfg_DocWindow),"Due Soon",IF($I151="Not Started","Not Started","On Track")))))</f>
        <v/>
      </c>
      <c r="W151" s="42" t="str">
        <f aca="false">IF($A151="","",IF(AND($S151=0,$O151&gt;0),$O151+ROW()/1000000,""))</f>
        <v/>
      </c>
    </row>
    <row r="152" customFormat="false" ht="15" hidden="false" customHeight="false" outlineLevel="0" collapsed="false">
      <c r="A152" s="41"/>
      <c r="B152" s="41"/>
      <c r="C152" s="41"/>
      <c r="D152" s="41"/>
      <c r="E152" s="41"/>
      <c r="F152" s="41"/>
      <c r="G152" s="41"/>
      <c r="H152" s="41"/>
      <c r="I152" s="41"/>
      <c r="J152" s="41"/>
      <c r="K152" s="43" t="str">
        <f aca="false">IF($L152="","",$L152-Cfg_ReviewDays)</f>
        <v/>
      </c>
      <c r="L152" s="43" t="str">
        <f aca="false">IF($A152="","",IFERROR(Ctrl_PlannedStart-INDEX(Cfg_LeadDays,MATCH($A152,Cfg_LeadType,0)),""))</f>
        <v/>
      </c>
      <c r="M152" s="38"/>
      <c r="N152" s="38"/>
      <c r="O152" s="44" t="str">
        <f aca="true">IF($A152="","",IF($N152&lt;&gt;"",MAX(0,$N152-$L152),IF(AND($L152&lt;&gt;"",TODAY()&gt;$L152),TODAY()-$L152,0)))</f>
        <v/>
      </c>
      <c r="P152" s="41"/>
      <c r="Q152" s="41"/>
      <c r="S152" s="40" t="str">
        <f aca="false">IF($A152="","",IFERROR(INDEX(Cfg_WfApproved,MATCH($I152,Cfg_WfList,0)),0))</f>
        <v/>
      </c>
      <c r="T152" s="39" t="str">
        <f aca="false">IF($A152="","",IFERROR(INDEX(Cfg_WfPct,MATCH($I152,Cfg_WfList,0)),0))</f>
        <v/>
      </c>
      <c r="U152" s="44" t="str">
        <f aca="true">IF(OR($A152="",$L152=""),"",$L152-TODAY())</f>
        <v/>
      </c>
      <c r="V152" s="42" t="str">
        <f aca="true">IF($A152="","",IF($S152=1,"Approved",IF(AND($L152&lt;&gt;"",TODAY()&gt;$L152),"Overdue",IF(AND($L152&lt;&gt;"",$L152-TODAY()&lt;=Cfg_DocWindow),"Due Soon",IF($I152="Not Started","Not Started","On Track")))))</f>
        <v/>
      </c>
      <c r="W152" s="42" t="str">
        <f aca="false">IF($A152="","",IF(AND($S152=0,$O152&gt;0),$O152+ROW()/1000000,""))</f>
        <v/>
      </c>
    </row>
    <row r="153" customFormat="false" ht="15" hidden="false" customHeight="false" outlineLevel="0" collapsed="false">
      <c r="A153" s="41"/>
      <c r="B153" s="41"/>
      <c r="C153" s="41"/>
      <c r="D153" s="41"/>
      <c r="E153" s="41"/>
      <c r="F153" s="41"/>
      <c r="G153" s="41"/>
      <c r="H153" s="41"/>
      <c r="I153" s="41"/>
      <c r="J153" s="41"/>
      <c r="K153" s="43" t="str">
        <f aca="false">IF($L153="","",$L153-Cfg_ReviewDays)</f>
        <v/>
      </c>
      <c r="L153" s="43" t="str">
        <f aca="false">IF($A153="","",IFERROR(Ctrl_PlannedStart-INDEX(Cfg_LeadDays,MATCH($A153,Cfg_LeadType,0)),""))</f>
        <v/>
      </c>
      <c r="M153" s="38"/>
      <c r="N153" s="38"/>
      <c r="O153" s="44" t="str">
        <f aca="true">IF($A153="","",IF($N153&lt;&gt;"",MAX(0,$N153-$L153),IF(AND($L153&lt;&gt;"",TODAY()&gt;$L153),TODAY()-$L153,0)))</f>
        <v/>
      </c>
      <c r="P153" s="41"/>
      <c r="Q153" s="41"/>
      <c r="S153" s="40" t="str">
        <f aca="false">IF($A153="","",IFERROR(INDEX(Cfg_WfApproved,MATCH($I153,Cfg_WfList,0)),0))</f>
        <v/>
      </c>
      <c r="T153" s="39" t="str">
        <f aca="false">IF($A153="","",IFERROR(INDEX(Cfg_WfPct,MATCH($I153,Cfg_WfList,0)),0))</f>
        <v/>
      </c>
      <c r="U153" s="44" t="str">
        <f aca="true">IF(OR($A153="",$L153=""),"",$L153-TODAY())</f>
        <v/>
      </c>
      <c r="V153" s="42" t="str">
        <f aca="true">IF($A153="","",IF($S153=1,"Approved",IF(AND($L153&lt;&gt;"",TODAY()&gt;$L153),"Overdue",IF(AND($L153&lt;&gt;"",$L153-TODAY()&lt;=Cfg_DocWindow),"Due Soon",IF($I153="Not Started","Not Started","On Track")))))</f>
        <v/>
      </c>
      <c r="W153" s="42" t="str">
        <f aca="false">IF($A153="","",IF(AND($S153=0,$O153&gt;0),$O153+ROW()/1000000,""))</f>
        <v/>
      </c>
    </row>
  </sheetData>
  <autoFilter ref="A3:Q153"/>
  <conditionalFormatting sqref="I4:I153">
    <cfRule type="expression" priority="2" aboveAverage="0" equalAverage="0" bottom="0" percent="0" rank="0" text="" dxfId="8">
      <formula>$I4="Not Started"</formula>
    </cfRule>
    <cfRule type="expression" priority="3" aboveAverage="0" equalAverage="0" bottom="0" percent="0" rank="0" text="" dxfId="9">
      <formula>$I4="Draft"</formula>
    </cfRule>
    <cfRule type="expression" priority="4" aboveAverage="0" equalAverage="0" bottom="0" percent="0" rank="0" text="" dxfId="10">
      <formula>OR($I4="Internal Review",$I4="Submitted",$I4="Under Review",$I4="Resubmitted")</formula>
    </cfRule>
    <cfRule type="expression" priority="5" aboveAverage="0" equalAverage="0" bottom="0" percent="0" rank="0" text="" dxfId="11">
      <formula>$I4="Comments Received"</formula>
    </cfRule>
    <cfRule type="expression" priority="6" aboveAverage="0" equalAverage="0" bottom="0" percent="0" rank="0" text="" dxfId="6">
      <formula>$I4="Rework"</formula>
    </cfRule>
    <cfRule type="expression" priority="7" aboveAverage="0" equalAverage="0" bottom="0" percent="0" rank="0" text="" dxfId="12">
      <formula>OR($I4="Approved",$I4="Released",$I4="Implemented")</formula>
    </cfRule>
    <cfRule type="expression" priority="8" aboveAverage="0" equalAverage="0" bottom="0" percent="0" rank="0" text="" dxfId="13">
      <formula>$I4="Closed"</formula>
    </cfRule>
  </conditionalFormatting>
  <conditionalFormatting sqref="A4:Q153">
    <cfRule type="expression" priority="9" aboveAverage="0" equalAverage="0" bottom="0" percent="0" rank="0" text="" dxfId="6">
      <formula>AND($A4&lt;&gt;"",$V4="Overdue")</formula>
    </cfRule>
    <cfRule type="expression" priority="10" aboveAverage="0" equalAverage="0" bottom="0" percent="0" rank="0" text="" dxfId="10">
      <formula>AND($A4&lt;&gt;"",$V4="Due Soon")</formula>
    </cfRule>
  </conditionalFormatting>
  <dataValidations count="8">
    <dataValidation allowBlank="true" errorStyle="stop" operator="between" showDropDown="false" showErrorMessage="false" showInputMessage="false" sqref="A4:A153" type="list">
      <formula1>Cfg_DocType</formula1>
      <formula2>0</formula2>
    </dataValidation>
    <dataValidation allowBlank="true" errorStyle="stop" operator="between" showDropDown="false" showErrorMessage="false" showInputMessage="false" sqref="B4:B153" type="list">
      <formula1>Sc_IDList</formula1>
      <formula2>0</formula2>
    </dataValidation>
    <dataValidation allowBlank="true" errorStyle="stop" operator="between" showDropDown="false" showErrorMessage="false" showInputMessage="false" sqref="C4:C153" type="list">
      <formula1>Eq_NameList</formula1>
      <formula2>0</formula2>
    </dataValidation>
    <dataValidation allowBlank="true" errorStyle="stop" operator="between" showDropDown="false" showErrorMessage="false" showInputMessage="false" sqref="I4:I153" type="list">
      <formula1>Cfg_WorkflowStatus</formula1>
      <formula2>0</formula2>
    </dataValidation>
    <dataValidation allowBlank="true" errorStyle="stop" operator="between" showDropDown="false" showErrorMessage="false" showInputMessage="false" sqref="J4:J153" type="list">
      <formula1>Cfg_Gate</formula1>
      <formula2>0</formula2>
    </dataValidation>
    <dataValidation allowBlank="true" errorStyle="stop" operator="between" showDropDown="false" showErrorMessage="false" showInputMessage="false" sqref="P4:P153" type="list">
      <formula1>Cfg_Criticality</formula1>
      <formula2>0</formula2>
    </dataValidation>
    <dataValidation allowBlank="true" errorStyle="stop" operator="between" showDropDown="false" showErrorMessage="false" showInputMessage="false" sqref="G4:G153" type="list">
      <formula1>Cfg_Personnel</formula1>
      <formula2>0</formula2>
    </dataValidation>
    <dataValidation allowBlank="true" errorStyle="stop" operator="between" showDropDown="false" showErrorMessage="false" showInputMessage="false" sqref="H4:H15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S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4"/>
    <col collapsed="false" customWidth="true" hidden="false" outlineLevel="0" max="4" min="4" style="0" width="12"/>
    <col collapsed="false" customWidth="true" hidden="false" outlineLevel="0" max="5" min="5" style="0" width="26"/>
    <col collapsed="false" customWidth="true" hidden="false" outlineLevel="0" max="6" min="6" style="0" width="22"/>
    <col collapsed="false" customWidth="true" hidden="false" outlineLevel="0" max="8" min="7" style="0" width="15"/>
    <col collapsed="false" customWidth="true" hidden="false" outlineLevel="0" max="10" min="9" style="0" width="13"/>
    <col collapsed="false" customWidth="true" hidden="false" outlineLevel="0" max="11" min="11" style="0" width="14"/>
    <col collapsed="false" customWidth="true" hidden="false" outlineLevel="0" max="12" min="12" style="0" width="11"/>
    <col collapsed="false" customWidth="true" hidden="false" outlineLevel="0" max="13" min="13" style="0" width="20"/>
    <col collapsed="false" customWidth="true" hidden="false" outlineLevel="0" max="14" min="14" style="0" width="13"/>
    <col collapsed="false" customWidth="true" hidden="false" outlineLevel="0" max="15" min="15" style="0" width="34"/>
    <col collapsed="false" customWidth="true" hidden="true" outlineLevel="0" max="17" min="17" style="0" width="12"/>
    <col collapsed="false" customWidth="true" hidden="true" outlineLevel="0" max="18" min="18" style="0" width="10"/>
    <col collapsed="false" customWidth="true" hidden="true" outlineLevel="0" max="19" min="19" style="0" width="12"/>
  </cols>
  <sheetData>
    <row r="1" customFormat="false" ht="17.35" hidden="false" customHeight="false" outlineLevel="0" collapsed="false">
      <c r="A1" s="1" t="s">
        <v>245</v>
      </c>
    </row>
    <row r="2" customFormat="false" ht="15" hidden="false" customHeight="false" outlineLevel="0" collapsed="false">
      <c r="A2" s="2" t="s">
        <v>246</v>
      </c>
    </row>
    <row r="3" customFormat="false" ht="30" hidden="false" customHeight="true" outlineLevel="0" collapsed="false">
      <c r="A3" s="31" t="s">
        <v>247</v>
      </c>
      <c r="B3" s="31" t="s">
        <v>248</v>
      </c>
      <c r="C3" s="31" t="s">
        <v>249</v>
      </c>
      <c r="D3" s="31" t="s">
        <v>250</v>
      </c>
      <c r="E3" s="31" t="s">
        <v>251</v>
      </c>
      <c r="F3" s="31" t="s">
        <v>252</v>
      </c>
      <c r="G3" s="31" t="s">
        <v>223</v>
      </c>
      <c r="H3" s="31" t="s">
        <v>253</v>
      </c>
      <c r="I3" s="31" t="s">
        <v>254</v>
      </c>
      <c r="J3" s="31" t="s">
        <v>255</v>
      </c>
      <c r="K3" s="31" t="s">
        <v>256</v>
      </c>
      <c r="L3" s="31" t="s">
        <v>257</v>
      </c>
      <c r="M3" s="31" t="s">
        <v>258</v>
      </c>
      <c r="N3" s="31" t="s">
        <v>193</v>
      </c>
      <c r="O3" s="31" t="s">
        <v>199</v>
      </c>
      <c r="Q3" s="31" t="s">
        <v>259</v>
      </c>
      <c r="R3" s="31" t="s">
        <v>42</v>
      </c>
      <c r="S3" s="31" t="s">
        <v>237</v>
      </c>
    </row>
    <row r="4" customFormat="false" ht="15" hidden="false" customHeight="false" outlineLevel="0" collapsed="false">
      <c r="A4" s="36" t="s">
        <v>260</v>
      </c>
      <c r="B4" s="36" t="s">
        <v>261</v>
      </c>
      <c r="C4" s="36" t="s">
        <v>262</v>
      </c>
      <c r="D4" s="36" t="s">
        <v>200</v>
      </c>
      <c r="E4" s="36" t="s">
        <v>213</v>
      </c>
      <c r="F4" s="36" t="s">
        <v>238</v>
      </c>
      <c r="G4" s="36" t="s">
        <v>202</v>
      </c>
      <c r="H4" s="36" t="s">
        <v>241</v>
      </c>
      <c r="I4" s="37" t="n">
        <v>46240</v>
      </c>
      <c r="J4" s="37" t="n">
        <v>46261</v>
      </c>
      <c r="K4" s="38"/>
      <c r="L4" s="36" t="s">
        <v>263</v>
      </c>
      <c r="M4" s="36" t="s">
        <v>264</v>
      </c>
      <c r="N4" s="36" t="s">
        <v>265</v>
      </c>
      <c r="O4" s="36" t="s">
        <v>203</v>
      </c>
      <c r="Q4" s="44" t="n">
        <f aca="true">IF($A4="","",IF(OR($K4&lt;&gt;"",$J4=""),"",$J4-TODAY()))</f>
        <v>7</v>
      </c>
      <c r="R4" s="40" t="n">
        <f aca="true">IF($A4="",0,IF(AND($N4&lt;&gt;"Closed",$K4="",$J4&lt;&gt;"",$J4&lt;TODAY()),1,0))</f>
        <v>0</v>
      </c>
      <c r="S4" s="42" t="str">
        <f aca="true">IF($A4="","",IF($R4=1,(TODAY()-$J4)+ROW()/1000000,""))</f>
        <v/>
      </c>
    </row>
    <row r="5" customFormat="false" ht="15" hidden="false" customHeight="false" outlineLevel="0" collapsed="false">
      <c r="A5" s="41"/>
      <c r="B5" s="41"/>
      <c r="C5" s="41"/>
      <c r="D5" s="41"/>
      <c r="E5" s="41"/>
      <c r="F5" s="41"/>
      <c r="G5" s="41"/>
      <c r="H5" s="41"/>
      <c r="I5" s="38"/>
      <c r="J5" s="38"/>
      <c r="K5" s="38"/>
      <c r="L5" s="41"/>
      <c r="M5" s="41"/>
      <c r="N5" s="41"/>
      <c r="O5" s="41"/>
      <c r="Q5" s="44" t="str">
        <f aca="true">IF($A5="","",IF(OR($K5&lt;&gt;"",$J5=""),"",$J5-TODAY()))</f>
        <v/>
      </c>
      <c r="R5" s="40" t="n">
        <f aca="true">IF($A5="",0,IF(AND($N5&lt;&gt;"Closed",$K5="",$J5&lt;&gt;"",$J5&lt;TODAY()),1,0))</f>
        <v>0</v>
      </c>
      <c r="S5" s="42" t="str">
        <f aca="true">IF($A5="","",IF($R5=1,(TODAY()-$J5)+ROW()/1000000,""))</f>
        <v/>
      </c>
    </row>
    <row r="6" customFormat="false" ht="15" hidden="false" customHeight="false" outlineLevel="0" collapsed="false">
      <c r="A6" s="41"/>
      <c r="B6" s="41"/>
      <c r="C6" s="41"/>
      <c r="D6" s="41"/>
      <c r="E6" s="41"/>
      <c r="F6" s="41"/>
      <c r="G6" s="41"/>
      <c r="H6" s="41"/>
      <c r="I6" s="38"/>
      <c r="J6" s="38"/>
      <c r="K6" s="38"/>
      <c r="L6" s="41"/>
      <c r="M6" s="41"/>
      <c r="N6" s="41"/>
      <c r="O6" s="41"/>
      <c r="Q6" s="44" t="str">
        <f aca="true">IF($A6="","",IF(OR($K6&lt;&gt;"",$J6=""),"",$J6-TODAY()))</f>
        <v/>
      </c>
      <c r="R6" s="40" t="n">
        <f aca="true">IF($A6="",0,IF(AND($N6&lt;&gt;"Closed",$K6="",$J6&lt;&gt;"",$J6&lt;TODAY()),1,0))</f>
        <v>0</v>
      </c>
      <c r="S6" s="42" t="str">
        <f aca="true">IF($A6="","",IF($R6=1,(TODAY()-$J6)+ROW()/1000000,""))</f>
        <v/>
      </c>
    </row>
    <row r="7" customFormat="false" ht="15" hidden="false" customHeight="false" outlineLevel="0" collapsed="false">
      <c r="A7" s="41"/>
      <c r="B7" s="41"/>
      <c r="C7" s="41"/>
      <c r="D7" s="41"/>
      <c r="E7" s="41"/>
      <c r="F7" s="41"/>
      <c r="G7" s="41"/>
      <c r="H7" s="41"/>
      <c r="I7" s="38"/>
      <c r="J7" s="38"/>
      <c r="K7" s="38"/>
      <c r="L7" s="41"/>
      <c r="M7" s="41"/>
      <c r="N7" s="41"/>
      <c r="O7" s="41"/>
      <c r="Q7" s="44" t="str">
        <f aca="true">IF($A7="","",IF(OR($K7&lt;&gt;"",$J7=""),"",$J7-TODAY()))</f>
        <v/>
      </c>
      <c r="R7" s="40" t="n">
        <f aca="true">IF($A7="",0,IF(AND($N7&lt;&gt;"Closed",$K7="",$J7&lt;&gt;"",$J7&lt;TODAY()),1,0))</f>
        <v>0</v>
      </c>
      <c r="S7" s="42" t="str">
        <f aca="true">IF($A7="","",IF($R7=1,(TODAY()-$J7)+ROW()/1000000,""))</f>
        <v/>
      </c>
    </row>
    <row r="8" customFormat="false" ht="15" hidden="false" customHeight="false" outlineLevel="0" collapsed="false">
      <c r="A8" s="41"/>
      <c r="B8" s="41"/>
      <c r="C8" s="41"/>
      <c r="D8" s="41"/>
      <c r="E8" s="41"/>
      <c r="F8" s="41"/>
      <c r="G8" s="41"/>
      <c r="H8" s="41"/>
      <c r="I8" s="38"/>
      <c r="J8" s="38"/>
      <c r="K8" s="38"/>
      <c r="L8" s="41"/>
      <c r="M8" s="41"/>
      <c r="N8" s="41"/>
      <c r="O8" s="41"/>
      <c r="Q8" s="44" t="str">
        <f aca="true">IF($A8="","",IF(OR($K8&lt;&gt;"",$J8=""),"",$J8-TODAY()))</f>
        <v/>
      </c>
      <c r="R8" s="40" t="n">
        <f aca="true">IF($A8="",0,IF(AND($N8&lt;&gt;"Closed",$K8="",$J8&lt;&gt;"",$J8&lt;TODAY()),1,0))</f>
        <v>0</v>
      </c>
      <c r="S8" s="42" t="str">
        <f aca="true">IF($A8="","",IF($R8=1,(TODAY()-$J8)+ROW()/1000000,""))</f>
        <v/>
      </c>
    </row>
    <row r="9" customFormat="false" ht="15" hidden="false" customHeight="false" outlineLevel="0" collapsed="false">
      <c r="A9" s="41"/>
      <c r="B9" s="41"/>
      <c r="C9" s="41"/>
      <c r="D9" s="41"/>
      <c r="E9" s="41"/>
      <c r="F9" s="41"/>
      <c r="G9" s="41"/>
      <c r="H9" s="41"/>
      <c r="I9" s="38"/>
      <c r="J9" s="38"/>
      <c r="K9" s="38"/>
      <c r="L9" s="41"/>
      <c r="M9" s="41"/>
      <c r="N9" s="41"/>
      <c r="O9" s="41"/>
      <c r="Q9" s="44" t="str">
        <f aca="true">IF($A9="","",IF(OR($K9&lt;&gt;"",$J9=""),"",$J9-TODAY()))</f>
        <v/>
      </c>
      <c r="R9" s="40" t="n">
        <f aca="true">IF($A9="",0,IF(AND($N9&lt;&gt;"Closed",$K9="",$J9&lt;&gt;"",$J9&lt;TODAY()),1,0))</f>
        <v>0</v>
      </c>
      <c r="S9" s="42" t="str">
        <f aca="true">IF($A9="","",IF($R9=1,(TODAY()-$J9)+ROW()/1000000,""))</f>
        <v/>
      </c>
    </row>
    <row r="10" customFormat="false" ht="15" hidden="false" customHeight="false" outlineLevel="0" collapsed="false">
      <c r="A10" s="41"/>
      <c r="B10" s="41"/>
      <c r="C10" s="41"/>
      <c r="D10" s="41"/>
      <c r="E10" s="41"/>
      <c r="F10" s="41"/>
      <c r="G10" s="41"/>
      <c r="H10" s="41"/>
      <c r="I10" s="38"/>
      <c r="J10" s="38"/>
      <c r="K10" s="38"/>
      <c r="L10" s="41"/>
      <c r="M10" s="41"/>
      <c r="N10" s="41"/>
      <c r="O10" s="41"/>
      <c r="Q10" s="44" t="str">
        <f aca="true">IF($A10="","",IF(OR($K10&lt;&gt;"",$J10=""),"",$J10-TODAY()))</f>
        <v/>
      </c>
      <c r="R10" s="40" t="n">
        <f aca="true">IF($A10="",0,IF(AND($N10&lt;&gt;"Closed",$K10="",$J10&lt;&gt;"",$J10&lt;TODAY()),1,0))</f>
        <v>0</v>
      </c>
      <c r="S10" s="42" t="str">
        <f aca="true">IF($A10="","",IF($R10=1,(TODAY()-$J10)+ROW()/1000000,""))</f>
        <v/>
      </c>
    </row>
    <row r="11" customFormat="false" ht="15" hidden="false" customHeight="false" outlineLevel="0" collapsed="false">
      <c r="A11" s="41"/>
      <c r="B11" s="41"/>
      <c r="C11" s="41"/>
      <c r="D11" s="41"/>
      <c r="E11" s="41"/>
      <c r="F11" s="41"/>
      <c r="G11" s="41"/>
      <c r="H11" s="41"/>
      <c r="I11" s="38"/>
      <c r="J11" s="38"/>
      <c r="K11" s="38"/>
      <c r="L11" s="41"/>
      <c r="M11" s="41"/>
      <c r="N11" s="41"/>
      <c r="O11" s="41"/>
      <c r="Q11" s="44" t="str">
        <f aca="true">IF($A11="","",IF(OR($K11&lt;&gt;"",$J11=""),"",$J11-TODAY()))</f>
        <v/>
      </c>
      <c r="R11" s="40" t="n">
        <f aca="true">IF($A11="",0,IF(AND($N11&lt;&gt;"Closed",$K11="",$J11&lt;&gt;"",$J11&lt;TODAY()),1,0))</f>
        <v>0</v>
      </c>
      <c r="S11" s="42" t="str">
        <f aca="true">IF($A11="","",IF($R11=1,(TODAY()-$J11)+ROW()/1000000,""))</f>
        <v/>
      </c>
    </row>
    <row r="12" customFormat="false" ht="15" hidden="false" customHeight="false" outlineLevel="0" collapsed="false">
      <c r="A12" s="41"/>
      <c r="B12" s="41"/>
      <c r="C12" s="41"/>
      <c r="D12" s="41"/>
      <c r="E12" s="41"/>
      <c r="F12" s="41"/>
      <c r="G12" s="41"/>
      <c r="H12" s="41"/>
      <c r="I12" s="38"/>
      <c r="J12" s="38"/>
      <c r="K12" s="38"/>
      <c r="L12" s="41"/>
      <c r="M12" s="41"/>
      <c r="N12" s="41"/>
      <c r="O12" s="41"/>
      <c r="Q12" s="44" t="str">
        <f aca="true">IF($A12="","",IF(OR($K12&lt;&gt;"",$J12=""),"",$J12-TODAY()))</f>
        <v/>
      </c>
      <c r="R12" s="40" t="n">
        <f aca="true">IF($A12="",0,IF(AND($N12&lt;&gt;"Closed",$K12="",$J12&lt;&gt;"",$J12&lt;TODAY()),1,0))</f>
        <v>0</v>
      </c>
      <c r="S12" s="42" t="str">
        <f aca="true">IF($A12="","",IF($R12=1,(TODAY()-$J12)+ROW()/1000000,""))</f>
        <v/>
      </c>
    </row>
    <row r="13" customFormat="false" ht="15" hidden="false" customHeight="false" outlineLevel="0" collapsed="false">
      <c r="A13" s="41"/>
      <c r="B13" s="41"/>
      <c r="C13" s="41"/>
      <c r="D13" s="41"/>
      <c r="E13" s="41"/>
      <c r="F13" s="41"/>
      <c r="G13" s="41"/>
      <c r="H13" s="41"/>
      <c r="I13" s="38"/>
      <c r="J13" s="38"/>
      <c r="K13" s="38"/>
      <c r="L13" s="41"/>
      <c r="M13" s="41"/>
      <c r="N13" s="41"/>
      <c r="O13" s="41"/>
      <c r="Q13" s="44" t="str">
        <f aca="true">IF($A13="","",IF(OR($K13&lt;&gt;"",$J13=""),"",$J13-TODAY()))</f>
        <v/>
      </c>
      <c r="R13" s="40" t="n">
        <f aca="true">IF($A13="",0,IF(AND($N13&lt;&gt;"Closed",$K13="",$J13&lt;&gt;"",$J13&lt;TODAY()),1,0))</f>
        <v>0</v>
      </c>
      <c r="S13" s="42" t="str">
        <f aca="true">IF($A13="","",IF($R13=1,(TODAY()-$J13)+ROW()/1000000,""))</f>
        <v/>
      </c>
    </row>
    <row r="14" customFormat="false" ht="15" hidden="false" customHeight="false" outlineLevel="0" collapsed="false">
      <c r="A14" s="41"/>
      <c r="B14" s="41"/>
      <c r="C14" s="41"/>
      <c r="D14" s="41"/>
      <c r="E14" s="41"/>
      <c r="F14" s="41"/>
      <c r="G14" s="41"/>
      <c r="H14" s="41"/>
      <c r="I14" s="38"/>
      <c r="J14" s="38"/>
      <c r="K14" s="38"/>
      <c r="L14" s="41"/>
      <c r="M14" s="41"/>
      <c r="N14" s="41"/>
      <c r="O14" s="41"/>
      <c r="Q14" s="44" t="str">
        <f aca="true">IF($A14="","",IF(OR($K14&lt;&gt;"",$J14=""),"",$J14-TODAY()))</f>
        <v/>
      </c>
      <c r="R14" s="40" t="n">
        <f aca="true">IF($A14="",0,IF(AND($N14&lt;&gt;"Closed",$K14="",$J14&lt;&gt;"",$J14&lt;TODAY()),1,0))</f>
        <v>0</v>
      </c>
      <c r="S14" s="42" t="str">
        <f aca="true">IF($A14="","",IF($R14=1,(TODAY()-$J14)+ROW()/1000000,""))</f>
        <v/>
      </c>
    </row>
    <row r="15" customFormat="false" ht="15" hidden="false" customHeight="false" outlineLevel="0" collapsed="false">
      <c r="A15" s="41"/>
      <c r="B15" s="41"/>
      <c r="C15" s="41"/>
      <c r="D15" s="41"/>
      <c r="E15" s="41"/>
      <c r="F15" s="41"/>
      <c r="G15" s="41"/>
      <c r="H15" s="41"/>
      <c r="I15" s="38"/>
      <c r="J15" s="38"/>
      <c r="K15" s="38"/>
      <c r="L15" s="41"/>
      <c r="M15" s="41"/>
      <c r="N15" s="41"/>
      <c r="O15" s="41"/>
      <c r="Q15" s="44" t="str">
        <f aca="true">IF($A15="","",IF(OR($K15&lt;&gt;"",$J15=""),"",$J15-TODAY()))</f>
        <v/>
      </c>
      <c r="R15" s="40" t="n">
        <f aca="true">IF($A15="",0,IF(AND($N15&lt;&gt;"Closed",$K15="",$J15&lt;&gt;"",$J15&lt;TODAY()),1,0))</f>
        <v>0</v>
      </c>
      <c r="S15" s="42" t="str">
        <f aca="true">IF($A15="","",IF($R15=1,(TODAY()-$J15)+ROW()/1000000,""))</f>
        <v/>
      </c>
    </row>
    <row r="16" customFormat="false" ht="15" hidden="false" customHeight="false" outlineLevel="0" collapsed="false">
      <c r="A16" s="41"/>
      <c r="B16" s="41"/>
      <c r="C16" s="41"/>
      <c r="D16" s="41"/>
      <c r="E16" s="41"/>
      <c r="F16" s="41"/>
      <c r="G16" s="41"/>
      <c r="H16" s="41"/>
      <c r="I16" s="38"/>
      <c r="J16" s="38"/>
      <c r="K16" s="38"/>
      <c r="L16" s="41"/>
      <c r="M16" s="41"/>
      <c r="N16" s="41"/>
      <c r="O16" s="41"/>
      <c r="Q16" s="44" t="str">
        <f aca="true">IF($A16="","",IF(OR($K16&lt;&gt;"",$J16=""),"",$J16-TODAY()))</f>
        <v/>
      </c>
      <c r="R16" s="40" t="n">
        <f aca="true">IF($A16="",0,IF(AND($N16&lt;&gt;"Closed",$K16="",$J16&lt;&gt;"",$J16&lt;TODAY()),1,0))</f>
        <v>0</v>
      </c>
      <c r="S16" s="42" t="str">
        <f aca="true">IF($A16="","",IF($R16=1,(TODAY()-$J16)+ROW()/1000000,""))</f>
        <v/>
      </c>
    </row>
    <row r="17" customFormat="false" ht="15" hidden="false" customHeight="false" outlineLevel="0" collapsed="false">
      <c r="A17" s="41"/>
      <c r="B17" s="41"/>
      <c r="C17" s="41"/>
      <c r="D17" s="41"/>
      <c r="E17" s="41"/>
      <c r="F17" s="41"/>
      <c r="G17" s="41"/>
      <c r="H17" s="41"/>
      <c r="I17" s="38"/>
      <c r="J17" s="38"/>
      <c r="K17" s="38"/>
      <c r="L17" s="41"/>
      <c r="M17" s="41"/>
      <c r="N17" s="41"/>
      <c r="O17" s="41"/>
      <c r="Q17" s="44" t="str">
        <f aca="true">IF($A17="","",IF(OR($K17&lt;&gt;"",$J17=""),"",$J17-TODAY()))</f>
        <v/>
      </c>
      <c r="R17" s="40" t="n">
        <f aca="true">IF($A17="",0,IF(AND($N17&lt;&gt;"Closed",$K17="",$J17&lt;&gt;"",$J17&lt;TODAY()),1,0))</f>
        <v>0</v>
      </c>
      <c r="S17" s="42" t="str">
        <f aca="true">IF($A17="","",IF($R17=1,(TODAY()-$J17)+ROW()/1000000,""))</f>
        <v/>
      </c>
    </row>
    <row r="18" customFormat="false" ht="15" hidden="false" customHeight="false" outlineLevel="0" collapsed="false">
      <c r="A18" s="41"/>
      <c r="B18" s="41"/>
      <c r="C18" s="41"/>
      <c r="D18" s="41"/>
      <c r="E18" s="41"/>
      <c r="F18" s="41"/>
      <c r="G18" s="41"/>
      <c r="H18" s="41"/>
      <c r="I18" s="38"/>
      <c r="J18" s="38"/>
      <c r="K18" s="38"/>
      <c r="L18" s="41"/>
      <c r="M18" s="41"/>
      <c r="N18" s="41"/>
      <c r="O18" s="41"/>
      <c r="Q18" s="44" t="str">
        <f aca="true">IF($A18="","",IF(OR($K18&lt;&gt;"",$J18=""),"",$J18-TODAY()))</f>
        <v/>
      </c>
      <c r="R18" s="40" t="n">
        <f aca="true">IF($A18="",0,IF(AND($N18&lt;&gt;"Closed",$K18="",$J18&lt;&gt;"",$J18&lt;TODAY()),1,0))</f>
        <v>0</v>
      </c>
      <c r="S18" s="42" t="str">
        <f aca="true">IF($A18="","",IF($R18=1,(TODAY()-$J18)+ROW()/1000000,""))</f>
        <v/>
      </c>
    </row>
    <row r="19" customFormat="false" ht="15" hidden="false" customHeight="false" outlineLevel="0" collapsed="false">
      <c r="A19" s="41"/>
      <c r="B19" s="41"/>
      <c r="C19" s="41"/>
      <c r="D19" s="41"/>
      <c r="E19" s="41"/>
      <c r="F19" s="41"/>
      <c r="G19" s="41"/>
      <c r="H19" s="41"/>
      <c r="I19" s="38"/>
      <c r="J19" s="38"/>
      <c r="K19" s="38"/>
      <c r="L19" s="41"/>
      <c r="M19" s="41"/>
      <c r="N19" s="41"/>
      <c r="O19" s="41"/>
      <c r="Q19" s="44" t="str">
        <f aca="true">IF($A19="","",IF(OR($K19&lt;&gt;"",$J19=""),"",$J19-TODAY()))</f>
        <v/>
      </c>
      <c r="R19" s="40" t="n">
        <f aca="true">IF($A19="",0,IF(AND($N19&lt;&gt;"Closed",$K19="",$J19&lt;&gt;"",$J19&lt;TODAY()),1,0))</f>
        <v>0</v>
      </c>
      <c r="S19" s="42" t="str">
        <f aca="true">IF($A19="","",IF($R19=1,(TODAY()-$J19)+ROW()/1000000,""))</f>
        <v/>
      </c>
    </row>
    <row r="20" customFormat="false" ht="15" hidden="false" customHeight="false" outlineLevel="0" collapsed="false">
      <c r="A20" s="41"/>
      <c r="B20" s="41"/>
      <c r="C20" s="41"/>
      <c r="D20" s="41"/>
      <c r="E20" s="41"/>
      <c r="F20" s="41"/>
      <c r="G20" s="41"/>
      <c r="H20" s="41"/>
      <c r="I20" s="38"/>
      <c r="J20" s="38"/>
      <c r="K20" s="38"/>
      <c r="L20" s="41"/>
      <c r="M20" s="41"/>
      <c r="N20" s="41"/>
      <c r="O20" s="41"/>
      <c r="Q20" s="44" t="str">
        <f aca="true">IF($A20="","",IF(OR($K20&lt;&gt;"",$J20=""),"",$J20-TODAY()))</f>
        <v/>
      </c>
      <c r="R20" s="40" t="n">
        <f aca="true">IF($A20="",0,IF(AND($N20&lt;&gt;"Closed",$K20="",$J20&lt;&gt;"",$J20&lt;TODAY()),1,0))</f>
        <v>0</v>
      </c>
      <c r="S20" s="42" t="str">
        <f aca="true">IF($A20="","",IF($R20=1,(TODAY()-$J20)+ROW()/1000000,""))</f>
        <v/>
      </c>
    </row>
    <row r="21" customFormat="false" ht="15" hidden="false" customHeight="false" outlineLevel="0" collapsed="false">
      <c r="A21" s="41"/>
      <c r="B21" s="41"/>
      <c r="C21" s="41"/>
      <c r="D21" s="41"/>
      <c r="E21" s="41"/>
      <c r="F21" s="41"/>
      <c r="G21" s="41"/>
      <c r="H21" s="41"/>
      <c r="I21" s="38"/>
      <c r="J21" s="38"/>
      <c r="K21" s="38"/>
      <c r="L21" s="41"/>
      <c r="M21" s="41"/>
      <c r="N21" s="41"/>
      <c r="O21" s="41"/>
      <c r="Q21" s="44" t="str">
        <f aca="true">IF($A21="","",IF(OR($K21&lt;&gt;"",$J21=""),"",$J21-TODAY()))</f>
        <v/>
      </c>
      <c r="R21" s="40" t="n">
        <f aca="true">IF($A21="",0,IF(AND($N21&lt;&gt;"Closed",$K21="",$J21&lt;&gt;"",$J21&lt;TODAY()),1,0))</f>
        <v>0</v>
      </c>
      <c r="S21" s="42" t="str">
        <f aca="true">IF($A21="","",IF($R21=1,(TODAY()-$J21)+ROW()/1000000,""))</f>
        <v/>
      </c>
    </row>
    <row r="22" customFormat="false" ht="15" hidden="false" customHeight="false" outlineLevel="0" collapsed="false">
      <c r="A22" s="41"/>
      <c r="B22" s="41"/>
      <c r="C22" s="41"/>
      <c r="D22" s="41"/>
      <c r="E22" s="41"/>
      <c r="F22" s="41"/>
      <c r="G22" s="41"/>
      <c r="H22" s="41"/>
      <c r="I22" s="38"/>
      <c r="J22" s="38"/>
      <c r="K22" s="38"/>
      <c r="L22" s="41"/>
      <c r="M22" s="41"/>
      <c r="N22" s="41"/>
      <c r="O22" s="41"/>
      <c r="Q22" s="44" t="str">
        <f aca="true">IF($A22="","",IF(OR($K22&lt;&gt;"",$J22=""),"",$J22-TODAY()))</f>
        <v/>
      </c>
      <c r="R22" s="40" t="n">
        <f aca="true">IF($A22="",0,IF(AND($N22&lt;&gt;"Closed",$K22="",$J22&lt;&gt;"",$J22&lt;TODAY()),1,0))</f>
        <v>0</v>
      </c>
      <c r="S22" s="42" t="str">
        <f aca="true">IF($A22="","",IF($R22=1,(TODAY()-$J22)+ROW()/1000000,""))</f>
        <v/>
      </c>
    </row>
    <row r="23" customFormat="false" ht="15" hidden="false" customHeight="false" outlineLevel="0" collapsed="false">
      <c r="A23" s="41"/>
      <c r="B23" s="41"/>
      <c r="C23" s="41"/>
      <c r="D23" s="41"/>
      <c r="E23" s="41"/>
      <c r="F23" s="41"/>
      <c r="G23" s="41"/>
      <c r="H23" s="41"/>
      <c r="I23" s="38"/>
      <c r="J23" s="38"/>
      <c r="K23" s="38"/>
      <c r="L23" s="41"/>
      <c r="M23" s="41"/>
      <c r="N23" s="41"/>
      <c r="O23" s="41"/>
      <c r="Q23" s="44" t="str">
        <f aca="true">IF($A23="","",IF(OR($K23&lt;&gt;"",$J23=""),"",$J23-TODAY()))</f>
        <v/>
      </c>
      <c r="R23" s="40" t="n">
        <f aca="true">IF($A23="",0,IF(AND($N23&lt;&gt;"Closed",$K23="",$J23&lt;&gt;"",$J23&lt;TODAY()),1,0))</f>
        <v>0</v>
      </c>
      <c r="S23" s="42" t="str">
        <f aca="true">IF($A23="","",IF($R23=1,(TODAY()-$J23)+ROW()/1000000,""))</f>
        <v/>
      </c>
    </row>
    <row r="24" customFormat="false" ht="15" hidden="false" customHeight="false" outlineLevel="0" collapsed="false">
      <c r="A24" s="41"/>
      <c r="B24" s="41"/>
      <c r="C24" s="41"/>
      <c r="D24" s="41"/>
      <c r="E24" s="41"/>
      <c r="F24" s="41"/>
      <c r="G24" s="41"/>
      <c r="H24" s="41"/>
      <c r="I24" s="38"/>
      <c r="J24" s="38"/>
      <c r="K24" s="38"/>
      <c r="L24" s="41"/>
      <c r="M24" s="41"/>
      <c r="N24" s="41"/>
      <c r="O24" s="41"/>
      <c r="Q24" s="44" t="str">
        <f aca="true">IF($A24="","",IF(OR($K24&lt;&gt;"",$J24=""),"",$J24-TODAY()))</f>
        <v/>
      </c>
      <c r="R24" s="40" t="n">
        <f aca="true">IF($A24="",0,IF(AND($N24&lt;&gt;"Closed",$K24="",$J24&lt;&gt;"",$J24&lt;TODAY()),1,0))</f>
        <v>0</v>
      </c>
      <c r="S24" s="42" t="str">
        <f aca="true">IF($A24="","",IF($R24=1,(TODAY()-$J24)+ROW()/1000000,""))</f>
        <v/>
      </c>
    </row>
    <row r="25" customFormat="false" ht="15" hidden="false" customHeight="false" outlineLevel="0" collapsed="false">
      <c r="A25" s="41"/>
      <c r="B25" s="41"/>
      <c r="C25" s="41"/>
      <c r="D25" s="41"/>
      <c r="E25" s="41"/>
      <c r="F25" s="41"/>
      <c r="G25" s="41"/>
      <c r="H25" s="41"/>
      <c r="I25" s="38"/>
      <c r="J25" s="38"/>
      <c r="K25" s="38"/>
      <c r="L25" s="41"/>
      <c r="M25" s="41"/>
      <c r="N25" s="41"/>
      <c r="O25" s="41"/>
      <c r="Q25" s="44" t="str">
        <f aca="true">IF($A25="","",IF(OR($K25&lt;&gt;"",$J25=""),"",$J25-TODAY()))</f>
        <v/>
      </c>
      <c r="R25" s="40" t="n">
        <f aca="true">IF($A25="",0,IF(AND($N25&lt;&gt;"Closed",$K25="",$J25&lt;&gt;"",$J25&lt;TODAY()),1,0))</f>
        <v>0</v>
      </c>
      <c r="S25" s="42" t="str">
        <f aca="true">IF($A25="","",IF($R25=1,(TODAY()-$J25)+ROW()/1000000,""))</f>
        <v/>
      </c>
    </row>
    <row r="26" customFormat="false" ht="15" hidden="false" customHeight="false" outlineLevel="0" collapsed="false">
      <c r="A26" s="41"/>
      <c r="B26" s="41"/>
      <c r="C26" s="41"/>
      <c r="D26" s="41"/>
      <c r="E26" s="41"/>
      <c r="F26" s="41"/>
      <c r="G26" s="41"/>
      <c r="H26" s="41"/>
      <c r="I26" s="38"/>
      <c r="J26" s="38"/>
      <c r="K26" s="38"/>
      <c r="L26" s="41"/>
      <c r="M26" s="41"/>
      <c r="N26" s="41"/>
      <c r="O26" s="41"/>
      <c r="Q26" s="44" t="str">
        <f aca="true">IF($A26="","",IF(OR($K26&lt;&gt;"",$J26=""),"",$J26-TODAY()))</f>
        <v/>
      </c>
      <c r="R26" s="40" t="n">
        <f aca="true">IF($A26="",0,IF(AND($N26&lt;&gt;"Closed",$K26="",$J26&lt;&gt;"",$J26&lt;TODAY()),1,0))</f>
        <v>0</v>
      </c>
      <c r="S26" s="42" t="str">
        <f aca="true">IF($A26="","",IF($R26=1,(TODAY()-$J26)+ROW()/1000000,""))</f>
        <v/>
      </c>
    </row>
    <row r="27" customFormat="false" ht="15" hidden="false" customHeight="false" outlineLevel="0" collapsed="false">
      <c r="A27" s="41"/>
      <c r="B27" s="41"/>
      <c r="C27" s="41"/>
      <c r="D27" s="41"/>
      <c r="E27" s="41"/>
      <c r="F27" s="41"/>
      <c r="G27" s="41"/>
      <c r="H27" s="41"/>
      <c r="I27" s="38"/>
      <c r="J27" s="38"/>
      <c r="K27" s="38"/>
      <c r="L27" s="41"/>
      <c r="M27" s="41"/>
      <c r="N27" s="41"/>
      <c r="O27" s="41"/>
      <c r="Q27" s="44" t="str">
        <f aca="true">IF($A27="","",IF(OR($K27&lt;&gt;"",$J27=""),"",$J27-TODAY()))</f>
        <v/>
      </c>
      <c r="R27" s="40" t="n">
        <f aca="true">IF($A27="",0,IF(AND($N27&lt;&gt;"Closed",$K27="",$J27&lt;&gt;"",$J27&lt;TODAY()),1,0))</f>
        <v>0</v>
      </c>
      <c r="S27" s="42" t="str">
        <f aca="true">IF($A27="","",IF($R27=1,(TODAY()-$J27)+ROW()/1000000,""))</f>
        <v/>
      </c>
    </row>
    <row r="28" customFormat="false" ht="15" hidden="false" customHeight="false" outlineLevel="0" collapsed="false">
      <c r="A28" s="41"/>
      <c r="B28" s="41"/>
      <c r="C28" s="41"/>
      <c r="D28" s="41"/>
      <c r="E28" s="41"/>
      <c r="F28" s="41"/>
      <c r="G28" s="41"/>
      <c r="H28" s="41"/>
      <c r="I28" s="38"/>
      <c r="J28" s="38"/>
      <c r="K28" s="38"/>
      <c r="L28" s="41"/>
      <c r="M28" s="41"/>
      <c r="N28" s="41"/>
      <c r="O28" s="41"/>
      <c r="Q28" s="44" t="str">
        <f aca="true">IF($A28="","",IF(OR($K28&lt;&gt;"",$J28=""),"",$J28-TODAY()))</f>
        <v/>
      </c>
      <c r="R28" s="40" t="n">
        <f aca="true">IF($A28="",0,IF(AND($N28&lt;&gt;"Closed",$K28="",$J28&lt;&gt;"",$J28&lt;TODAY()),1,0))</f>
        <v>0</v>
      </c>
      <c r="S28" s="42" t="str">
        <f aca="true">IF($A28="","",IF($R28=1,(TODAY()-$J28)+ROW()/1000000,""))</f>
        <v/>
      </c>
    </row>
    <row r="29" customFormat="false" ht="15" hidden="false" customHeight="false" outlineLevel="0" collapsed="false">
      <c r="A29" s="41"/>
      <c r="B29" s="41"/>
      <c r="C29" s="41"/>
      <c r="D29" s="41"/>
      <c r="E29" s="41"/>
      <c r="F29" s="41"/>
      <c r="G29" s="41"/>
      <c r="H29" s="41"/>
      <c r="I29" s="38"/>
      <c r="J29" s="38"/>
      <c r="K29" s="38"/>
      <c r="L29" s="41"/>
      <c r="M29" s="41"/>
      <c r="N29" s="41"/>
      <c r="O29" s="41"/>
      <c r="Q29" s="44" t="str">
        <f aca="true">IF($A29="","",IF(OR($K29&lt;&gt;"",$J29=""),"",$J29-TODAY()))</f>
        <v/>
      </c>
      <c r="R29" s="40" t="n">
        <f aca="true">IF($A29="",0,IF(AND($N29&lt;&gt;"Closed",$K29="",$J29&lt;&gt;"",$J29&lt;TODAY()),1,0))</f>
        <v>0</v>
      </c>
      <c r="S29" s="42" t="str">
        <f aca="true">IF($A29="","",IF($R29=1,(TODAY()-$J29)+ROW()/1000000,""))</f>
        <v/>
      </c>
    </row>
    <row r="30" customFormat="false" ht="15" hidden="false" customHeight="false" outlineLevel="0" collapsed="false">
      <c r="A30" s="41"/>
      <c r="B30" s="41"/>
      <c r="C30" s="41"/>
      <c r="D30" s="41"/>
      <c r="E30" s="41"/>
      <c r="F30" s="41"/>
      <c r="G30" s="41"/>
      <c r="H30" s="41"/>
      <c r="I30" s="38"/>
      <c r="J30" s="38"/>
      <c r="K30" s="38"/>
      <c r="L30" s="41"/>
      <c r="M30" s="41"/>
      <c r="N30" s="41"/>
      <c r="O30" s="41"/>
      <c r="Q30" s="44" t="str">
        <f aca="true">IF($A30="","",IF(OR($K30&lt;&gt;"",$J30=""),"",$J30-TODAY()))</f>
        <v/>
      </c>
      <c r="R30" s="40" t="n">
        <f aca="true">IF($A30="",0,IF(AND($N30&lt;&gt;"Closed",$K30="",$J30&lt;&gt;"",$J30&lt;TODAY()),1,0))</f>
        <v>0</v>
      </c>
      <c r="S30" s="42" t="str">
        <f aca="true">IF($A30="","",IF($R30=1,(TODAY()-$J30)+ROW()/1000000,""))</f>
        <v/>
      </c>
    </row>
    <row r="31" customFormat="false" ht="15" hidden="false" customHeight="false" outlineLevel="0" collapsed="false">
      <c r="A31" s="41"/>
      <c r="B31" s="41"/>
      <c r="C31" s="41"/>
      <c r="D31" s="41"/>
      <c r="E31" s="41"/>
      <c r="F31" s="41"/>
      <c r="G31" s="41"/>
      <c r="H31" s="41"/>
      <c r="I31" s="38"/>
      <c r="J31" s="38"/>
      <c r="K31" s="38"/>
      <c r="L31" s="41"/>
      <c r="M31" s="41"/>
      <c r="N31" s="41"/>
      <c r="O31" s="41"/>
      <c r="Q31" s="44" t="str">
        <f aca="true">IF($A31="","",IF(OR($K31&lt;&gt;"",$J31=""),"",$J31-TODAY()))</f>
        <v/>
      </c>
      <c r="R31" s="40" t="n">
        <f aca="true">IF($A31="",0,IF(AND($N31&lt;&gt;"Closed",$K31="",$J31&lt;&gt;"",$J31&lt;TODAY()),1,0))</f>
        <v>0</v>
      </c>
      <c r="S31" s="42" t="str">
        <f aca="true">IF($A31="","",IF($R31=1,(TODAY()-$J31)+ROW()/1000000,""))</f>
        <v/>
      </c>
    </row>
    <row r="32" customFormat="false" ht="15" hidden="false" customHeight="false" outlineLevel="0" collapsed="false">
      <c r="A32" s="41"/>
      <c r="B32" s="41"/>
      <c r="C32" s="41"/>
      <c r="D32" s="41"/>
      <c r="E32" s="41"/>
      <c r="F32" s="41"/>
      <c r="G32" s="41"/>
      <c r="H32" s="41"/>
      <c r="I32" s="38"/>
      <c r="J32" s="38"/>
      <c r="K32" s="38"/>
      <c r="L32" s="41"/>
      <c r="M32" s="41"/>
      <c r="N32" s="41"/>
      <c r="O32" s="41"/>
      <c r="Q32" s="44" t="str">
        <f aca="true">IF($A32="","",IF(OR($K32&lt;&gt;"",$J32=""),"",$J32-TODAY()))</f>
        <v/>
      </c>
      <c r="R32" s="40" t="n">
        <f aca="true">IF($A32="",0,IF(AND($N32&lt;&gt;"Closed",$K32="",$J32&lt;&gt;"",$J32&lt;TODAY()),1,0))</f>
        <v>0</v>
      </c>
      <c r="S32" s="42" t="str">
        <f aca="true">IF($A32="","",IF($R32=1,(TODAY()-$J32)+ROW()/1000000,""))</f>
        <v/>
      </c>
    </row>
    <row r="33" customFormat="false" ht="15" hidden="false" customHeight="false" outlineLevel="0" collapsed="false">
      <c r="A33" s="41"/>
      <c r="B33" s="41"/>
      <c r="C33" s="41"/>
      <c r="D33" s="41"/>
      <c r="E33" s="41"/>
      <c r="F33" s="41"/>
      <c r="G33" s="41"/>
      <c r="H33" s="41"/>
      <c r="I33" s="38"/>
      <c r="J33" s="38"/>
      <c r="K33" s="38"/>
      <c r="L33" s="41"/>
      <c r="M33" s="41"/>
      <c r="N33" s="41"/>
      <c r="O33" s="41"/>
      <c r="Q33" s="44" t="str">
        <f aca="true">IF($A33="","",IF(OR($K33&lt;&gt;"",$J33=""),"",$J33-TODAY()))</f>
        <v/>
      </c>
      <c r="R33" s="40" t="n">
        <f aca="true">IF($A33="",0,IF(AND($N33&lt;&gt;"Closed",$K33="",$J33&lt;&gt;"",$J33&lt;TODAY()),1,0))</f>
        <v>0</v>
      </c>
      <c r="S33" s="42" t="str">
        <f aca="true">IF($A33="","",IF($R33=1,(TODAY()-$J33)+ROW()/1000000,""))</f>
        <v/>
      </c>
    </row>
    <row r="34" customFormat="false" ht="15" hidden="false" customHeight="false" outlineLevel="0" collapsed="false">
      <c r="A34" s="41"/>
      <c r="B34" s="41"/>
      <c r="C34" s="41"/>
      <c r="D34" s="41"/>
      <c r="E34" s="41"/>
      <c r="F34" s="41"/>
      <c r="G34" s="41"/>
      <c r="H34" s="41"/>
      <c r="I34" s="38"/>
      <c r="J34" s="38"/>
      <c r="K34" s="38"/>
      <c r="L34" s="41"/>
      <c r="M34" s="41"/>
      <c r="N34" s="41"/>
      <c r="O34" s="41"/>
      <c r="Q34" s="44" t="str">
        <f aca="true">IF($A34="","",IF(OR($K34&lt;&gt;"",$J34=""),"",$J34-TODAY()))</f>
        <v/>
      </c>
      <c r="R34" s="40" t="n">
        <f aca="true">IF($A34="",0,IF(AND($N34&lt;&gt;"Closed",$K34="",$J34&lt;&gt;"",$J34&lt;TODAY()),1,0))</f>
        <v>0</v>
      </c>
      <c r="S34" s="42" t="str">
        <f aca="true">IF($A34="","",IF($R34=1,(TODAY()-$J34)+ROW()/1000000,""))</f>
        <v/>
      </c>
    </row>
    <row r="35" customFormat="false" ht="15" hidden="false" customHeight="false" outlineLevel="0" collapsed="false">
      <c r="A35" s="41"/>
      <c r="B35" s="41"/>
      <c r="C35" s="41"/>
      <c r="D35" s="41"/>
      <c r="E35" s="41"/>
      <c r="F35" s="41"/>
      <c r="G35" s="41"/>
      <c r="H35" s="41"/>
      <c r="I35" s="38"/>
      <c r="J35" s="38"/>
      <c r="K35" s="38"/>
      <c r="L35" s="41"/>
      <c r="M35" s="41"/>
      <c r="N35" s="41"/>
      <c r="O35" s="41"/>
      <c r="Q35" s="44" t="str">
        <f aca="true">IF($A35="","",IF(OR($K35&lt;&gt;"",$J35=""),"",$J35-TODAY()))</f>
        <v/>
      </c>
      <c r="R35" s="40" t="n">
        <f aca="true">IF($A35="",0,IF(AND($N35&lt;&gt;"Closed",$K35="",$J35&lt;&gt;"",$J35&lt;TODAY()),1,0))</f>
        <v>0</v>
      </c>
      <c r="S35" s="42" t="str">
        <f aca="true">IF($A35="","",IF($R35=1,(TODAY()-$J35)+ROW()/1000000,""))</f>
        <v/>
      </c>
    </row>
    <row r="36" customFormat="false" ht="15" hidden="false" customHeight="false" outlineLevel="0" collapsed="false">
      <c r="A36" s="41"/>
      <c r="B36" s="41"/>
      <c r="C36" s="41"/>
      <c r="D36" s="41"/>
      <c r="E36" s="41"/>
      <c r="F36" s="41"/>
      <c r="G36" s="41"/>
      <c r="H36" s="41"/>
      <c r="I36" s="38"/>
      <c r="J36" s="38"/>
      <c r="K36" s="38"/>
      <c r="L36" s="41"/>
      <c r="M36" s="41"/>
      <c r="N36" s="41"/>
      <c r="O36" s="41"/>
      <c r="Q36" s="44" t="str">
        <f aca="true">IF($A36="","",IF(OR($K36&lt;&gt;"",$J36=""),"",$J36-TODAY()))</f>
        <v/>
      </c>
      <c r="R36" s="40" t="n">
        <f aca="true">IF($A36="",0,IF(AND($N36&lt;&gt;"Closed",$K36="",$J36&lt;&gt;"",$J36&lt;TODAY()),1,0))</f>
        <v>0</v>
      </c>
      <c r="S36" s="42" t="str">
        <f aca="true">IF($A36="","",IF($R36=1,(TODAY()-$J36)+ROW()/1000000,""))</f>
        <v/>
      </c>
    </row>
    <row r="37" customFormat="false" ht="15" hidden="false" customHeight="false" outlineLevel="0" collapsed="false">
      <c r="A37" s="41"/>
      <c r="B37" s="41"/>
      <c r="C37" s="41"/>
      <c r="D37" s="41"/>
      <c r="E37" s="41"/>
      <c r="F37" s="41"/>
      <c r="G37" s="41"/>
      <c r="H37" s="41"/>
      <c r="I37" s="38"/>
      <c r="J37" s="38"/>
      <c r="K37" s="38"/>
      <c r="L37" s="41"/>
      <c r="M37" s="41"/>
      <c r="N37" s="41"/>
      <c r="O37" s="41"/>
      <c r="Q37" s="44" t="str">
        <f aca="true">IF($A37="","",IF(OR($K37&lt;&gt;"",$J37=""),"",$J37-TODAY()))</f>
        <v/>
      </c>
      <c r="R37" s="40" t="n">
        <f aca="true">IF($A37="",0,IF(AND($N37&lt;&gt;"Closed",$K37="",$J37&lt;&gt;"",$J37&lt;TODAY()),1,0))</f>
        <v>0</v>
      </c>
      <c r="S37" s="42" t="str">
        <f aca="true">IF($A37="","",IF($R37=1,(TODAY()-$J37)+ROW()/1000000,""))</f>
        <v/>
      </c>
    </row>
    <row r="38" customFormat="false" ht="15" hidden="false" customHeight="false" outlineLevel="0" collapsed="false">
      <c r="A38" s="41"/>
      <c r="B38" s="41"/>
      <c r="C38" s="41"/>
      <c r="D38" s="41"/>
      <c r="E38" s="41"/>
      <c r="F38" s="41"/>
      <c r="G38" s="41"/>
      <c r="H38" s="41"/>
      <c r="I38" s="38"/>
      <c r="J38" s="38"/>
      <c r="K38" s="38"/>
      <c r="L38" s="41"/>
      <c r="M38" s="41"/>
      <c r="N38" s="41"/>
      <c r="O38" s="41"/>
      <c r="Q38" s="44" t="str">
        <f aca="true">IF($A38="","",IF(OR($K38&lt;&gt;"",$J38=""),"",$J38-TODAY()))</f>
        <v/>
      </c>
      <c r="R38" s="40" t="n">
        <f aca="true">IF($A38="",0,IF(AND($N38&lt;&gt;"Closed",$K38="",$J38&lt;&gt;"",$J38&lt;TODAY()),1,0))</f>
        <v>0</v>
      </c>
      <c r="S38" s="42" t="str">
        <f aca="true">IF($A38="","",IF($R38=1,(TODAY()-$J38)+ROW()/1000000,""))</f>
        <v/>
      </c>
    </row>
    <row r="39" customFormat="false" ht="15" hidden="false" customHeight="false" outlineLevel="0" collapsed="false">
      <c r="A39" s="41"/>
      <c r="B39" s="41"/>
      <c r="C39" s="41"/>
      <c r="D39" s="41"/>
      <c r="E39" s="41"/>
      <c r="F39" s="41"/>
      <c r="G39" s="41"/>
      <c r="H39" s="41"/>
      <c r="I39" s="38"/>
      <c r="J39" s="38"/>
      <c r="K39" s="38"/>
      <c r="L39" s="41"/>
      <c r="M39" s="41"/>
      <c r="N39" s="41"/>
      <c r="O39" s="41"/>
      <c r="Q39" s="44" t="str">
        <f aca="true">IF($A39="","",IF(OR($K39&lt;&gt;"",$J39=""),"",$J39-TODAY()))</f>
        <v/>
      </c>
      <c r="R39" s="40" t="n">
        <f aca="true">IF($A39="",0,IF(AND($N39&lt;&gt;"Closed",$K39="",$J39&lt;&gt;"",$J39&lt;TODAY()),1,0))</f>
        <v>0</v>
      </c>
      <c r="S39" s="42" t="str">
        <f aca="true">IF($A39="","",IF($R39=1,(TODAY()-$J39)+ROW()/1000000,""))</f>
        <v/>
      </c>
    </row>
    <row r="40" customFormat="false" ht="15" hidden="false" customHeight="false" outlineLevel="0" collapsed="false">
      <c r="A40" s="41"/>
      <c r="B40" s="41"/>
      <c r="C40" s="41"/>
      <c r="D40" s="41"/>
      <c r="E40" s="41"/>
      <c r="F40" s="41"/>
      <c r="G40" s="41"/>
      <c r="H40" s="41"/>
      <c r="I40" s="38"/>
      <c r="J40" s="38"/>
      <c r="K40" s="38"/>
      <c r="L40" s="41"/>
      <c r="M40" s="41"/>
      <c r="N40" s="41"/>
      <c r="O40" s="41"/>
      <c r="Q40" s="44" t="str">
        <f aca="true">IF($A40="","",IF(OR($K40&lt;&gt;"",$J40=""),"",$J40-TODAY()))</f>
        <v/>
      </c>
      <c r="R40" s="40" t="n">
        <f aca="true">IF($A40="",0,IF(AND($N40&lt;&gt;"Closed",$K40="",$J40&lt;&gt;"",$J40&lt;TODAY()),1,0))</f>
        <v>0</v>
      </c>
      <c r="S40" s="42" t="str">
        <f aca="true">IF($A40="","",IF($R40=1,(TODAY()-$J40)+ROW()/1000000,""))</f>
        <v/>
      </c>
    </row>
    <row r="41" customFormat="false" ht="15" hidden="false" customHeight="false" outlineLevel="0" collapsed="false">
      <c r="A41" s="41"/>
      <c r="B41" s="41"/>
      <c r="C41" s="41"/>
      <c r="D41" s="41"/>
      <c r="E41" s="41"/>
      <c r="F41" s="41"/>
      <c r="G41" s="41"/>
      <c r="H41" s="41"/>
      <c r="I41" s="38"/>
      <c r="J41" s="38"/>
      <c r="K41" s="38"/>
      <c r="L41" s="41"/>
      <c r="M41" s="41"/>
      <c r="N41" s="41"/>
      <c r="O41" s="41"/>
      <c r="Q41" s="44" t="str">
        <f aca="true">IF($A41="","",IF(OR($K41&lt;&gt;"",$J41=""),"",$J41-TODAY()))</f>
        <v/>
      </c>
      <c r="R41" s="40" t="n">
        <f aca="true">IF($A41="",0,IF(AND($N41&lt;&gt;"Closed",$K41="",$J41&lt;&gt;"",$J41&lt;TODAY()),1,0))</f>
        <v>0</v>
      </c>
      <c r="S41" s="42" t="str">
        <f aca="true">IF($A41="","",IF($R41=1,(TODAY()-$J41)+ROW()/1000000,""))</f>
        <v/>
      </c>
    </row>
    <row r="42" customFormat="false" ht="15" hidden="false" customHeight="false" outlineLevel="0" collapsed="false">
      <c r="A42" s="41"/>
      <c r="B42" s="41"/>
      <c r="C42" s="41"/>
      <c r="D42" s="41"/>
      <c r="E42" s="41"/>
      <c r="F42" s="41"/>
      <c r="G42" s="41"/>
      <c r="H42" s="41"/>
      <c r="I42" s="38"/>
      <c r="J42" s="38"/>
      <c r="K42" s="38"/>
      <c r="L42" s="41"/>
      <c r="M42" s="41"/>
      <c r="N42" s="41"/>
      <c r="O42" s="41"/>
      <c r="Q42" s="44" t="str">
        <f aca="true">IF($A42="","",IF(OR($K42&lt;&gt;"",$J42=""),"",$J42-TODAY()))</f>
        <v/>
      </c>
      <c r="R42" s="40" t="n">
        <f aca="true">IF($A42="",0,IF(AND($N42&lt;&gt;"Closed",$K42="",$J42&lt;&gt;"",$J42&lt;TODAY()),1,0))</f>
        <v>0</v>
      </c>
      <c r="S42" s="42" t="str">
        <f aca="true">IF($A42="","",IF($R42=1,(TODAY()-$J42)+ROW()/1000000,""))</f>
        <v/>
      </c>
    </row>
    <row r="43" customFormat="false" ht="15" hidden="false" customHeight="false" outlineLevel="0" collapsed="false">
      <c r="A43" s="41"/>
      <c r="B43" s="41"/>
      <c r="C43" s="41"/>
      <c r="D43" s="41"/>
      <c r="E43" s="41"/>
      <c r="F43" s="41"/>
      <c r="G43" s="41"/>
      <c r="H43" s="41"/>
      <c r="I43" s="38"/>
      <c r="J43" s="38"/>
      <c r="K43" s="38"/>
      <c r="L43" s="41"/>
      <c r="M43" s="41"/>
      <c r="N43" s="41"/>
      <c r="O43" s="41"/>
      <c r="Q43" s="44" t="str">
        <f aca="true">IF($A43="","",IF(OR($K43&lt;&gt;"",$J43=""),"",$J43-TODAY()))</f>
        <v/>
      </c>
      <c r="R43" s="40" t="n">
        <f aca="true">IF($A43="",0,IF(AND($N43&lt;&gt;"Closed",$K43="",$J43&lt;&gt;"",$J43&lt;TODAY()),1,0))</f>
        <v>0</v>
      </c>
      <c r="S43" s="42" t="str">
        <f aca="true">IF($A43="","",IF($R43=1,(TODAY()-$J43)+ROW()/1000000,""))</f>
        <v/>
      </c>
    </row>
    <row r="44" customFormat="false" ht="15" hidden="false" customHeight="false" outlineLevel="0" collapsed="false">
      <c r="A44" s="41"/>
      <c r="B44" s="41"/>
      <c r="C44" s="41"/>
      <c r="D44" s="41"/>
      <c r="E44" s="41"/>
      <c r="F44" s="41"/>
      <c r="G44" s="41"/>
      <c r="H44" s="41"/>
      <c r="I44" s="38"/>
      <c r="J44" s="38"/>
      <c r="K44" s="38"/>
      <c r="L44" s="41"/>
      <c r="M44" s="41"/>
      <c r="N44" s="41"/>
      <c r="O44" s="41"/>
      <c r="Q44" s="44" t="str">
        <f aca="true">IF($A44="","",IF(OR($K44&lt;&gt;"",$J44=""),"",$J44-TODAY()))</f>
        <v/>
      </c>
      <c r="R44" s="40" t="n">
        <f aca="true">IF($A44="",0,IF(AND($N44&lt;&gt;"Closed",$K44="",$J44&lt;&gt;"",$J44&lt;TODAY()),1,0))</f>
        <v>0</v>
      </c>
      <c r="S44" s="42" t="str">
        <f aca="true">IF($A44="","",IF($R44=1,(TODAY()-$J44)+ROW()/1000000,""))</f>
        <v/>
      </c>
    </row>
    <row r="45" customFormat="false" ht="15" hidden="false" customHeight="false" outlineLevel="0" collapsed="false">
      <c r="A45" s="41"/>
      <c r="B45" s="41"/>
      <c r="C45" s="41"/>
      <c r="D45" s="41"/>
      <c r="E45" s="41"/>
      <c r="F45" s="41"/>
      <c r="G45" s="41"/>
      <c r="H45" s="41"/>
      <c r="I45" s="38"/>
      <c r="J45" s="38"/>
      <c r="K45" s="38"/>
      <c r="L45" s="41"/>
      <c r="M45" s="41"/>
      <c r="N45" s="41"/>
      <c r="O45" s="41"/>
      <c r="Q45" s="44" t="str">
        <f aca="true">IF($A45="","",IF(OR($K45&lt;&gt;"",$J45=""),"",$J45-TODAY()))</f>
        <v/>
      </c>
      <c r="R45" s="40" t="n">
        <f aca="true">IF($A45="",0,IF(AND($N45&lt;&gt;"Closed",$K45="",$J45&lt;&gt;"",$J45&lt;TODAY()),1,0))</f>
        <v>0</v>
      </c>
      <c r="S45" s="42" t="str">
        <f aca="true">IF($A45="","",IF($R45=1,(TODAY()-$J45)+ROW()/1000000,""))</f>
        <v/>
      </c>
    </row>
    <row r="46" customFormat="false" ht="15" hidden="false" customHeight="false" outlineLevel="0" collapsed="false">
      <c r="A46" s="41"/>
      <c r="B46" s="41"/>
      <c r="C46" s="41"/>
      <c r="D46" s="41"/>
      <c r="E46" s="41"/>
      <c r="F46" s="41"/>
      <c r="G46" s="41"/>
      <c r="H46" s="41"/>
      <c r="I46" s="38"/>
      <c r="J46" s="38"/>
      <c r="K46" s="38"/>
      <c r="L46" s="41"/>
      <c r="M46" s="41"/>
      <c r="N46" s="41"/>
      <c r="O46" s="41"/>
      <c r="Q46" s="44" t="str">
        <f aca="true">IF($A46="","",IF(OR($K46&lt;&gt;"",$J46=""),"",$J46-TODAY()))</f>
        <v/>
      </c>
      <c r="R46" s="40" t="n">
        <f aca="true">IF($A46="",0,IF(AND($N46&lt;&gt;"Closed",$K46="",$J46&lt;&gt;"",$J46&lt;TODAY()),1,0))</f>
        <v>0</v>
      </c>
      <c r="S46" s="42" t="str">
        <f aca="true">IF($A46="","",IF($R46=1,(TODAY()-$J46)+ROW()/1000000,""))</f>
        <v/>
      </c>
    </row>
    <row r="47" customFormat="false" ht="15" hidden="false" customHeight="false" outlineLevel="0" collapsed="false">
      <c r="A47" s="41"/>
      <c r="B47" s="41"/>
      <c r="C47" s="41"/>
      <c r="D47" s="41"/>
      <c r="E47" s="41"/>
      <c r="F47" s="41"/>
      <c r="G47" s="41"/>
      <c r="H47" s="41"/>
      <c r="I47" s="38"/>
      <c r="J47" s="38"/>
      <c r="K47" s="38"/>
      <c r="L47" s="41"/>
      <c r="M47" s="41"/>
      <c r="N47" s="41"/>
      <c r="O47" s="41"/>
      <c r="Q47" s="44" t="str">
        <f aca="true">IF($A47="","",IF(OR($K47&lt;&gt;"",$J47=""),"",$J47-TODAY()))</f>
        <v/>
      </c>
      <c r="R47" s="40" t="n">
        <f aca="true">IF($A47="",0,IF(AND($N47&lt;&gt;"Closed",$K47="",$J47&lt;&gt;"",$J47&lt;TODAY()),1,0))</f>
        <v>0</v>
      </c>
      <c r="S47" s="42" t="str">
        <f aca="true">IF($A47="","",IF($R47=1,(TODAY()-$J47)+ROW()/1000000,""))</f>
        <v/>
      </c>
    </row>
    <row r="48" customFormat="false" ht="15" hidden="false" customHeight="false" outlineLevel="0" collapsed="false">
      <c r="A48" s="41"/>
      <c r="B48" s="41"/>
      <c r="C48" s="41"/>
      <c r="D48" s="41"/>
      <c r="E48" s="41"/>
      <c r="F48" s="41"/>
      <c r="G48" s="41"/>
      <c r="H48" s="41"/>
      <c r="I48" s="38"/>
      <c r="J48" s="38"/>
      <c r="K48" s="38"/>
      <c r="L48" s="41"/>
      <c r="M48" s="41"/>
      <c r="N48" s="41"/>
      <c r="O48" s="41"/>
      <c r="Q48" s="44" t="str">
        <f aca="true">IF($A48="","",IF(OR($K48&lt;&gt;"",$J48=""),"",$J48-TODAY()))</f>
        <v/>
      </c>
      <c r="R48" s="40" t="n">
        <f aca="true">IF($A48="",0,IF(AND($N48&lt;&gt;"Closed",$K48="",$J48&lt;&gt;"",$J48&lt;TODAY()),1,0))</f>
        <v>0</v>
      </c>
      <c r="S48" s="42" t="str">
        <f aca="true">IF($A48="","",IF($R48=1,(TODAY()-$J48)+ROW()/1000000,""))</f>
        <v/>
      </c>
    </row>
    <row r="49" customFormat="false" ht="15" hidden="false" customHeight="false" outlineLevel="0" collapsed="false">
      <c r="A49" s="41"/>
      <c r="B49" s="41"/>
      <c r="C49" s="41"/>
      <c r="D49" s="41"/>
      <c r="E49" s="41"/>
      <c r="F49" s="41"/>
      <c r="G49" s="41"/>
      <c r="H49" s="41"/>
      <c r="I49" s="38"/>
      <c r="J49" s="38"/>
      <c r="K49" s="38"/>
      <c r="L49" s="41"/>
      <c r="M49" s="41"/>
      <c r="N49" s="41"/>
      <c r="O49" s="41"/>
      <c r="Q49" s="44" t="str">
        <f aca="true">IF($A49="","",IF(OR($K49&lt;&gt;"",$J49=""),"",$J49-TODAY()))</f>
        <v/>
      </c>
      <c r="R49" s="40" t="n">
        <f aca="true">IF($A49="",0,IF(AND($N49&lt;&gt;"Closed",$K49="",$J49&lt;&gt;"",$J49&lt;TODAY()),1,0))</f>
        <v>0</v>
      </c>
      <c r="S49" s="42" t="str">
        <f aca="true">IF($A49="","",IF($R49=1,(TODAY()-$J49)+ROW()/1000000,""))</f>
        <v/>
      </c>
    </row>
    <row r="50" customFormat="false" ht="15" hidden="false" customHeight="false" outlineLevel="0" collapsed="false">
      <c r="A50" s="41"/>
      <c r="B50" s="41"/>
      <c r="C50" s="41"/>
      <c r="D50" s="41"/>
      <c r="E50" s="41"/>
      <c r="F50" s="41"/>
      <c r="G50" s="41"/>
      <c r="H50" s="41"/>
      <c r="I50" s="38"/>
      <c r="J50" s="38"/>
      <c r="K50" s="38"/>
      <c r="L50" s="41"/>
      <c r="M50" s="41"/>
      <c r="N50" s="41"/>
      <c r="O50" s="41"/>
      <c r="Q50" s="44" t="str">
        <f aca="true">IF($A50="","",IF(OR($K50&lt;&gt;"",$J50=""),"",$J50-TODAY()))</f>
        <v/>
      </c>
      <c r="R50" s="40" t="n">
        <f aca="true">IF($A50="",0,IF(AND($N50&lt;&gt;"Closed",$K50="",$J50&lt;&gt;"",$J50&lt;TODAY()),1,0))</f>
        <v>0</v>
      </c>
      <c r="S50" s="42" t="str">
        <f aca="true">IF($A50="","",IF($R50=1,(TODAY()-$J50)+ROW()/1000000,""))</f>
        <v/>
      </c>
    </row>
    <row r="51" customFormat="false" ht="15" hidden="false" customHeight="false" outlineLevel="0" collapsed="false">
      <c r="A51" s="41"/>
      <c r="B51" s="41"/>
      <c r="C51" s="41"/>
      <c r="D51" s="41"/>
      <c r="E51" s="41"/>
      <c r="F51" s="41"/>
      <c r="G51" s="41"/>
      <c r="H51" s="41"/>
      <c r="I51" s="38"/>
      <c r="J51" s="38"/>
      <c r="K51" s="38"/>
      <c r="L51" s="41"/>
      <c r="M51" s="41"/>
      <c r="N51" s="41"/>
      <c r="O51" s="41"/>
      <c r="Q51" s="44" t="str">
        <f aca="true">IF($A51="","",IF(OR($K51&lt;&gt;"",$J51=""),"",$J51-TODAY()))</f>
        <v/>
      </c>
      <c r="R51" s="40" t="n">
        <f aca="true">IF($A51="",0,IF(AND($N51&lt;&gt;"Closed",$K51="",$J51&lt;&gt;"",$J51&lt;TODAY()),1,0))</f>
        <v>0</v>
      </c>
      <c r="S51" s="42" t="str">
        <f aca="true">IF($A51="","",IF($R51=1,(TODAY()-$J51)+ROW()/1000000,""))</f>
        <v/>
      </c>
    </row>
    <row r="52" customFormat="false" ht="15" hidden="false" customHeight="false" outlineLevel="0" collapsed="false">
      <c r="A52" s="41"/>
      <c r="B52" s="41"/>
      <c r="C52" s="41"/>
      <c r="D52" s="41"/>
      <c r="E52" s="41"/>
      <c r="F52" s="41"/>
      <c r="G52" s="41"/>
      <c r="H52" s="41"/>
      <c r="I52" s="38"/>
      <c r="J52" s="38"/>
      <c r="K52" s="38"/>
      <c r="L52" s="41"/>
      <c r="M52" s="41"/>
      <c r="N52" s="41"/>
      <c r="O52" s="41"/>
      <c r="Q52" s="44" t="str">
        <f aca="true">IF($A52="","",IF(OR($K52&lt;&gt;"",$J52=""),"",$J52-TODAY()))</f>
        <v/>
      </c>
      <c r="R52" s="40" t="n">
        <f aca="true">IF($A52="",0,IF(AND($N52&lt;&gt;"Closed",$K52="",$J52&lt;&gt;"",$J52&lt;TODAY()),1,0))</f>
        <v>0</v>
      </c>
      <c r="S52" s="42" t="str">
        <f aca="true">IF($A52="","",IF($R52=1,(TODAY()-$J52)+ROW()/1000000,""))</f>
        <v/>
      </c>
    </row>
    <row r="53" customFormat="false" ht="15" hidden="false" customHeight="false" outlineLevel="0" collapsed="false">
      <c r="A53" s="41"/>
      <c r="B53" s="41"/>
      <c r="C53" s="41"/>
      <c r="D53" s="41"/>
      <c r="E53" s="41"/>
      <c r="F53" s="41"/>
      <c r="G53" s="41"/>
      <c r="H53" s="41"/>
      <c r="I53" s="38"/>
      <c r="J53" s="38"/>
      <c r="K53" s="38"/>
      <c r="L53" s="41"/>
      <c r="M53" s="41"/>
      <c r="N53" s="41"/>
      <c r="O53" s="41"/>
      <c r="Q53" s="44" t="str">
        <f aca="true">IF($A53="","",IF(OR($K53&lt;&gt;"",$J53=""),"",$J53-TODAY()))</f>
        <v/>
      </c>
      <c r="R53" s="40" t="n">
        <f aca="true">IF($A53="",0,IF(AND($N53&lt;&gt;"Closed",$K53="",$J53&lt;&gt;"",$J53&lt;TODAY()),1,0))</f>
        <v>0</v>
      </c>
      <c r="S53" s="42" t="str">
        <f aca="true">IF($A53="","",IF($R53=1,(TODAY()-$J53)+ROW()/1000000,""))</f>
        <v/>
      </c>
    </row>
    <row r="54" customFormat="false" ht="15" hidden="false" customHeight="false" outlineLevel="0" collapsed="false">
      <c r="A54" s="41"/>
      <c r="B54" s="41"/>
      <c r="C54" s="41"/>
      <c r="D54" s="41"/>
      <c r="E54" s="41"/>
      <c r="F54" s="41"/>
      <c r="G54" s="41"/>
      <c r="H54" s="41"/>
      <c r="I54" s="38"/>
      <c r="J54" s="38"/>
      <c r="K54" s="38"/>
      <c r="L54" s="41"/>
      <c r="M54" s="41"/>
      <c r="N54" s="41"/>
      <c r="O54" s="41"/>
      <c r="Q54" s="44" t="str">
        <f aca="true">IF($A54="","",IF(OR($K54&lt;&gt;"",$J54=""),"",$J54-TODAY()))</f>
        <v/>
      </c>
      <c r="R54" s="40" t="n">
        <f aca="true">IF($A54="",0,IF(AND($N54&lt;&gt;"Closed",$K54="",$J54&lt;&gt;"",$J54&lt;TODAY()),1,0))</f>
        <v>0</v>
      </c>
      <c r="S54" s="42" t="str">
        <f aca="true">IF($A54="","",IF($R54=1,(TODAY()-$J54)+ROW()/1000000,""))</f>
        <v/>
      </c>
    </row>
    <row r="55" customFormat="false" ht="15" hidden="false" customHeight="false" outlineLevel="0" collapsed="false">
      <c r="A55" s="41"/>
      <c r="B55" s="41"/>
      <c r="C55" s="41"/>
      <c r="D55" s="41"/>
      <c r="E55" s="41"/>
      <c r="F55" s="41"/>
      <c r="G55" s="41"/>
      <c r="H55" s="41"/>
      <c r="I55" s="38"/>
      <c r="J55" s="38"/>
      <c r="K55" s="38"/>
      <c r="L55" s="41"/>
      <c r="M55" s="41"/>
      <c r="N55" s="41"/>
      <c r="O55" s="41"/>
      <c r="Q55" s="44" t="str">
        <f aca="true">IF($A55="","",IF(OR($K55&lt;&gt;"",$J55=""),"",$J55-TODAY()))</f>
        <v/>
      </c>
      <c r="R55" s="40" t="n">
        <f aca="true">IF($A55="",0,IF(AND($N55&lt;&gt;"Closed",$K55="",$J55&lt;&gt;"",$J55&lt;TODAY()),1,0))</f>
        <v>0</v>
      </c>
      <c r="S55" s="42" t="str">
        <f aca="true">IF($A55="","",IF($R55=1,(TODAY()-$J55)+ROW()/1000000,""))</f>
        <v/>
      </c>
    </row>
    <row r="56" customFormat="false" ht="15" hidden="false" customHeight="false" outlineLevel="0" collapsed="false">
      <c r="A56" s="41"/>
      <c r="B56" s="41"/>
      <c r="C56" s="41"/>
      <c r="D56" s="41"/>
      <c r="E56" s="41"/>
      <c r="F56" s="41"/>
      <c r="G56" s="41"/>
      <c r="H56" s="41"/>
      <c r="I56" s="38"/>
      <c r="J56" s="38"/>
      <c r="K56" s="38"/>
      <c r="L56" s="41"/>
      <c r="M56" s="41"/>
      <c r="N56" s="41"/>
      <c r="O56" s="41"/>
      <c r="Q56" s="44" t="str">
        <f aca="true">IF($A56="","",IF(OR($K56&lt;&gt;"",$J56=""),"",$J56-TODAY()))</f>
        <v/>
      </c>
      <c r="R56" s="40" t="n">
        <f aca="true">IF($A56="",0,IF(AND($N56&lt;&gt;"Closed",$K56="",$J56&lt;&gt;"",$J56&lt;TODAY()),1,0))</f>
        <v>0</v>
      </c>
      <c r="S56" s="42" t="str">
        <f aca="true">IF($A56="","",IF($R56=1,(TODAY()-$J56)+ROW()/1000000,""))</f>
        <v/>
      </c>
    </row>
    <row r="57" customFormat="false" ht="15" hidden="false" customHeight="false" outlineLevel="0" collapsed="false">
      <c r="A57" s="41"/>
      <c r="B57" s="41"/>
      <c r="C57" s="41"/>
      <c r="D57" s="41"/>
      <c r="E57" s="41"/>
      <c r="F57" s="41"/>
      <c r="G57" s="41"/>
      <c r="H57" s="41"/>
      <c r="I57" s="38"/>
      <c r="J57" s="38"/>
      <c r="K57" s="38"/>
      <c r="L57" s="41"/>
      <c r="M57" s="41"/>
      <c r="N57" s="41"/>
      <c r="O57" s="41"/>
      <c r="Q57" s="44" t="str">
        <f aca="true">IF($A57="","",IF(OR($K57&lt;&gt;"",$J57=""),"",$J57-TODAY()))</f>
        <v/>
      </c>
      <c r="R57" s="40" t="n">
        <f aca="true">IF($A57="",0,IF(AND($N57&lt;&gt;"Closed",$K57="",$J57&lt;&gt;"",$J57&lt;TODAY()),1,0))</f>
        <v>0</v>
      </c>
      <c r="S57" s="42" t="str">
        <f aca="true">IF($A57="","",IF($R57=1,(TODAY()-$J57)+ROW()/1000000,""))</f>
        <v/>
      </c>
    </row>
    <row r="58" customFormat="false" ht="15" hidden="false" customHeight="false" outlineLevel="0" collapsed="false">
      <c r="A58" s="41"/>
      <c r="B58" s="41"/>
      <c r="C58" s="41"/>
      <c r="D58" s="41"/>
      <c r="E58" s="41"/>
      <c r="F58" s="41"/>
      <c r="G58" s="41"/>
      <c r="H58" s="41"/>
      <c r="I58" s="38"/>
      <c r="J58" s="38"/>
      <c r="K58" s="38"/>
      <c r="L58" s="41"/>
      <c r="M58" s="41"/>
      <c r="N58" s="41"/>
      <c r="O58" s="41"/>
      <c r="Q58" s="44" t="str">
        <f aca="true">IF($A58="","",IF(OR($K58&lt;&gt;"",$J58=""),"",$J58-TODAY()))</f>
        <v/>
      </c>
      <c r="R58" s="40" t="n">
        <f aca="true">IF($A58="",0,IF(AND($N58&lt;&gt;"Closed",$K58="",$J58&lt;&gt;"",$J58&lt;TODAY()),1,0))</f>
        <v>0</v>
      </c>
      <c r="S58" s="42" t="str">
        <f aca="true">IF($A58="","",IF($R58=1,(TODAY()-$J58)+ROW()/1000000,""))</f>
        <v/>
      </c>
    </row>
    <row r="59" customFormat="false" ht="15" hidden="false" customHeight="false" outlineLevel="0" collapsed="false">
      <c r="A59" s="41"/>
      <c r="B59" s="41"/>
      <c r="C59" s="41"/>
      <c r="D59" s="41"/>
      <c r="E59" s="41"/>
      <c r="F59" s="41"/>
      <c r="G59" s="41"/>
      <c r="H59" s="41"/>
      <c r="I59" s="38"/>
      <c r="J59" s="38"/>
      <c r="K59" s="38"/>
      <c r="L59" s="41"/>
      <c r="M59" s="41"/>
      <c r="N59" s="41"/>
      <c r="O59" s="41"/>
      <c r="Q59" s="44" t="str">
        <f aca="true">IF($A59="","",IF(OR($K59&lt;&gt;"",$J59=""),"",$J59-TODAY()))</f>
        <v/>
      </c>
      <c r="R59" s="40" t="n">
        <f aca="true">IF($A59="",0,IF(AND($N59&lt;&gt;"Closed",$K59="",$J59&lt;&gt;"",$J59&lt;TODAY()),1,0))</f>
        <v>0</v>
      </c>
      <c r="S59" s="42" t="str">
        <f aca="true">IF($A59="","",IF($R59=1,(TODAY()-$J59)+ROW()/1000000,""))</f>
        <v/>
      </c>
    </row>
    <row r="60" customFormat="false" ht="15" hidden="false" customHeight="false" outlineLevel="0" collapsed="false">
      <c r="A60" s="41"/>
      <c r="B60" s="41"/>
      <c r="C60" s="41"/>
      <c r="D60" s="41"/>
      <c r="E60" s="41"/>
      <c r="F60" s="41"/>
      <c r="G60" s="41"/>
      <c r="H60" s="41"/>
      <c r="I60" s="38"/>
      <c r="J60" s="38"/>
      <c r="K60" s="38"/>
      <c r="L60" s="41"/>
      <c r="M60" s="41"/>
      <c r="N60" s="41"/>
      <c r="O60" s="41"/>
      <c r="Q60" s="44" t="str">
        <f aca="true">IF($A60="","",IF(OR($K60&lt;&gt;"",$J60=""),"",$J60-TODAY()))</f>
        <v/>
      </c>
      <c r="R60" s="40" t="n">
        <f aca="true">IF($A60="",0,IF(AND($N60&lt;&gt;"Closed",$K60="",$J60&lt;&gt;"",$J60&lt;TODAY()),1,0))</f>
        <v>0</v>
      </c>
      <c r="S60" s="42" t="str">
        <f aca="true">IF($A60="","",IF($R60=1,(TODAY()-$J60)+ROW()/1000000,""))</f>
        <v/>
      </c>
    </row>
    <row r="61" customFormat="false" ht="15" hidden="false" customHeight="false" outlineLevel="0" collapsed="false">
      <c r="A61" s="41"/>
      <c r="B61" s="41"/>
      <c r="C61" s="41"/>
      <c r="D61" s="41"/>
      <c r="E61" s="41"/>
      <c r="F61" s="41"/>
      <c r="G61" s="41"/>
      <c r="H61" s="41"/>
      <c r="I61" s="38"/>
      <c r="J61" s="38"/>
      <c r="K61" s="38"/>
      <c r="L61" s="41"/>
      <c r="M61" s="41"/>
      <c r="N61" s="41"/>
      <c r="O61" s="41"/>
      <c r="Q61" s="44" t="str">
        <f aca="true">IF($A61="","",IF(OR($K61&lt;&gt;"",$J61=""),"",$J61-TODAY()))</f>
        <v/>
      </c>
      <c r="R61" s="40" t="n">
        <f aca="true">IF($A61="",0,IF(AND($N61&lt;&gt;"Closed",$K61="",$J61&lt;&gt;"",$J61&lt;TODAY()),1,0))</f>
        <v>0</v>
      </c>
      <c r="S61" s="42" t="str">
        <f aca="true">IF($A61="","",IF($R61=1,(TODAY()-$J61)+ROW()/1000000,""))</f>
        <v/>
      </c>
    </row>
    <row r="62" customFormat="false" ht="15" hidden="false" customHeight="false" outlineLevel="0" collapsed="false">
      <c r="A62" s="41"/>
      <c r="B62" s="41"/>
      <c r="C62" s="41"/>
      <c r="D62" s="41"/>
      <c r="E62" s="41"/>
      <c r="F62" s="41"/>
      <c r="G62" s="41"/>
      <c r="H62" s="41"/>
      <c r="I62" s="38"/>
      <c r="J62" s="38"/>
      <c r="K62" s="38"/>
      <c r="L62" s="41"/>
      <c r="M62" s="41"/>
      <c r="N62" s="41"/>
      <c r="O62" s="41"/>
      <c r="Q62" s="44" t="str">
        <f aca="true">IF($A62="","",IF(OR($K62&lt;&gt;"",$J62=""),"",$J62-TODAY()))</f>
        <v/>
      </c>
      <c r="R62" s="40" t="n">
        <f aca="true">IF($A62="",0,IF(AND($N62&lt;&gt;"Closed",$K62="",$J62&lt;&gt;"",$J62&lt;TODAY()),1,0))</f>
        <v>0</v>
      </c>
      <c r="S62" s="42" t="str">
        <f aca="true">IF($A62="","",IF($R62=1,(TODAY()-$J62)+ROW()/1000000,""))</f>
        <v/>
      </c>
    </row>
    <row r="63" customFormat="false" ht="15" hidden="false" customHeight="false" outlineLevel="0" collapsed="false">
      <c r="A63" s="41"/>
      <c r="B63" s="41"/>
      <c r="C63" s="41"/>
      <c r="D63" s="41"/>
      <c r="E63" s="41"/>
      <c r="F63" s="41"/>
      <c r="G63" s="41"/>
      <c r="H63" s="41"/>
      <c r="I63" s="38"/>
      <c r="J63" s="38"/>
      <c r="K63" s="38"/>
      <c r="L63" s="41"/>
      <c r="M63" s="41"/>
      <c r="N63" s="41"/>
      <c r="O63" s="41"/>
      <c r="Q63" s="44" t="str">
        <f aca="true">IF($A63="","",IF(OR($K63&lt;&gt;"",$J63=""),"",$J63-TODAY()))</f>
        <v/>
      </c>
      <c r="R63" s="40" t="n">
        <f aca="true">IF($A63="",0,IF(AND($N63&lt;&gt;"Closed",$K63="",$J63&lt;&gt;"",$J63&lt;TODAY()),1,0))</f>
        <v>0</v>
      </c>
      <c r="S63" s="42" t="str">
        <f aca="true">IF($A63="","",IF($R63=1,(TODAY()-$J63)+ROW()/1000000,""))</f>
        <v/>
      </c>
    </row>
    <row r="64" customFormat="false" ht="15" hidden="false" customHeight="false" outlineLevel="0" collapsed="false">
      <c r="A64" s="41"/>
      <c r="B64" s="41"/>
      <c r="C64" s="41"/>
      <c r="D64" s="41"/>
      <c r="E64" s="41"/>
      <c r="F64" s="41"/>
      <c r="G64" s="41"/>
      <c r="H64" s="41"/>
      <c r="I64" s="38"/>
      <c r="J64" s="38"/>
      <c r="K64" s="38"/>
      <c r="L64" s="41"/>
      <c r="M64" s="41"/>
      <c r="N64" s="41"/>
      <c r="O64" s="41"/>
      <c r="Q64" s="44" t="str">
        <f aca="true">IF($A64="","",IF(OR($K64&lt;&gt;"",$J64=""),"",$J64-TODAY()))</f>
        <v/>
      </c>
      <c r="R64" s="40" t="n">
        <f aca="true">IF($A64="",0,IF(AND($N64&lt;&gt;"Closed",$K64="",$J64&lt;&gt;"",$J64&lt;TODAY()),1,0))</f>
        <v>0</v>
      </c>
      <c r="S64" s="42" t="str">
        <f aca="true">IF($A64="","",IF($R64=1,(TODAY()-$J64)+ROW()/1000000,""))</f>
        <v/>
      </c>
    </row>
    <row r="65" customFormat="false" ht="15" hidden="false" customHeight="false" outlineLevel="0" collapsed="false">
      <c r="A65" s="41"/>
      <c r="B65" s="41"/>
      <c r="C65" s="41"/>
      <c r="D65" s="41"/>
      <c r="E65" s="41"/>
      <c r="F65" s="41"/>
      <c r="G65" s="41"/>
      <c r="H65" s="41"/>
      <c r="I65" s="38"/>
      <c r="J65" s="38"/>
      <c r="K65" s="38"/>
      <c r="L65" s="41"/>
      <c r="M65" s="41"/>
      <c r="N65" s="41"/>
      <c r="O65" s="41"/>
      <c r="Q65" s="44" t="str">
        <f aca="true">IF($A65="","",IF(OR($K65&lt;&gt;"",$J65=""),"",$J65-TODAY()))</f>
        <v/>
      </c>
      <c r="R65" s="40" t="n">
        <f aca="true">IF($A65="",0,IF(AND($N65&lt;&gt;"Closed",$K65="",$J65&lt;&gt;"",$J65&lt;TODAY()),1,0))</f>
        <v>0</v>
      </c>
      <c r="S65" s="42" t="str">
        <f aca="true">IF($A65="","",IF($R65=1,(TODAY()-$J65)+ROW()/1000000,""))</f>
        <v/>
      </c>
    </row>
    <row r="66" customFormat="false" ht="15" hidden="false" customHeight="false" outlineLevel="0" collapsed="false">
      <c r="A66" s="41"/>
      <c r="B66" s="41"/>
      <c r="C66" s="41"/>
      <c r="D66" s="41"/>
      <c r="E66" s="41"/>
      <c r="F66" s="41"/>
      <c r="G66" s="41"/>
      <c r="H66" s="41"/>
      <c r="I66" s="38"/>
      <c r="J66" s="38"/>
      <c r="K66" s="38"/>
      <c r="L66" s="41"/>
      <c r="M66" s="41"/>
      <c r="N66" s="41"/>
      <c r="O66" s="41"/>
      <c r="Q66" s="44" t="str">
        <f aca="true">IF($A66="","",IF(OR($K66&lt;&gt;"",$J66=""),"",$J66-TODAY()))</f>
        <v/>
      </c>
      <c r="R66" s="40" t="n">
        <f aca="true">IF($A66="",0,IF(AND($N66&lt;&gt;"Closed",$K66="",$J66&lt;&gt;"",$J66&lt;TODAY()),1,0))</f>
        <v>0</v>
      </c>
      <c r="S66" s="42" t="str">
        <f aca="true">IF($A66="","",IF($R66=1,(TODAY()-$J66)+ROW()/1000000,""))</f>
        <v/>
      </c>
    </row>
    <row r="67" customFormat="false" ht="15" hidden="false" customHeight="false" outlineLevel="0" collapsed="false">
      <c r="A67" s="41"/>
      <c r="B67" s="41"/>
      <c r="C67" s="41"/>
      <c r="D67" s="41"/>
      <c r="E67" s="41"/>
      <c r="F67" s="41"/>
      <c r="G67" s="41"/>
      <c r="H67" s="41"/>
      <c r="I67" s="38"/>
      <c r="J67" s="38"/>
      <c r="K67" s="38"/>
      <c r="L67" s="41"/>
      <c r="M67" s="41"/>
      <c r="N67" s="41"/>
      <c r="O67" s="41"/>
      <c r="Q67" s="44" t="str">
        <f aca="true">IF($A67="","",IF(OR($K67&lt;&gt;"",$J67=""),"",$J67-TODAY()))</f>
        <v/>
      </c>
      <c r="R67" s="40" t="n">
        <f aca="true">IF($A67="",0,IF(AND($N67&lt;&gt;"Closed",$K67="",$J67&lt;&gt;"",$J67&lt;TODAY()),1,0))</f>
        <v>0</v>
      </c>
      <c r="S67" s="42" t="str">
        <f aca="true">IF($A67="","",IF($R67=1,(TODAY()-$J67)+ROW()/1000000,""))</f>
        <v/>
      </c>
    </row>
    <row r="68" customFormat="false" ht="15" hidden="false" customHeight="false" outlineLevel="0" collapsed="false">
      <c r="A68" s="41"/>
      <c r="B68" s="41"/>
      <c r="C68" s="41"/>
      <c r="D68" s="41"/>
      <c r="E68" s="41"/>
      <c r="F68" s="41"/>
      <c r="G68" s="41"/>
      <c r="H68" s="41"/>
      <c r="I68" s="38"/>
      <c r="J68" s="38"/>
      <c r="K68" s="38"/>
      <c r="L68" s="41"/>
      <c r="M68" s="41"/>
      <c r="N68" s="41"/>
      <c r="O68" s="41"/>
      <c r="Q68" s="44" t="str">
        <f aca="true">IF($A68="","",IF(OR($K68&lt;&gt;"",$J68=""),"",$J68-TODAY()))</f>
        <v/>
      </c>
      <c r="R68" s="40" t="n">
        <f aca="true">IF($A68="",0,IF(AND($N68&lt;&gt;"Closed",$K68="",$J68&lt;&gt;"",$J68&lt;TODAY()),1,0))</f>
        <v>0</v>
      </c>
      <c r="S68" s="42" t="str">
        <f aca="true">IF($A68="","",IF($R68=1,(TODAY()-$J68)+ROW()/1000000,""))</f>
        <v/>
      </c>
    </row>
    <row r="69" customFormat="false" ht="15" hidden="false" customHeight="false" outlineLevel="0" collapsed="false">
      <c r="A69" s="41"/>
      <c r="B69" s="41"/>
      <c r="C69" s="41"/>
      <c r="D69" s="41"/>
      <c r="E69" s="41"/>
      <c r="F69" s="41"/>
      <c r="G69" s="41"/>
      <c r="H69" s="41"/>
      <c r="I69" s="38"/>
      <c r="J69" s="38"/>
      <c r="K69" s="38"/>
      <c r="L69" s="41"/>
      <c r="M69" s="41"/>
      <c r="N69" s="41"/>
      <c r="O69" s="41"/>
      <c r="Q69" s="44" t="str">
        <f aca="true">IF($A69="","",IF(OR($K69&lt;&gt;"",$J69=""),"",$J69-TODAY()))</f>
        <v/>
      </c>
      <c r="R69" s="40" t="n">
        <f aca="true">IF($A69="",0,IF(AND($N69&lt;&gt;"Closed",$K69="",$J69&lt;&gt;"",$J69&lt;TODAY()),1,0))</f>
        <v>0</v>
      </c>
      <c r="S69" s="42" t="str">
        <f aca="true">IF($A69="","",IF($R69=1,(TODAY()-$J69)+ROW()/1000000,""))</f>
        <v/>
      </c>
    </row>
    <row r="70" customFormat="false" ht="15" hidden="false" customHeight="false" outlineLevel="0" collapsed="false">
      <c r="A70" s="41"/>
      <c r="B70" s="41"/>
      <c r="C70" s="41"/>
      <c r="D70" s="41"/>
      <c r="E70" s="41"/>
      <c r="F70" s="41"/>
      <c r="G70" s="41"/>
      <c r="H70" s="41"/>
      <c r="I70" s="38"/>
      <c r="J70" s="38"/>
      <c r="K70" s="38"/>
      <c r="L70" s="41"/>
      <c r="M70" s="41"/>
      <c r="N70" s="41"/>
      <c r="O70" s="41"/>
      <c r="Q70" s="44" t="str">
        <f aca="true">IF($A70="","",IF(OR($K70&lt;&gt;"",$J70=""),"",$J70-TODAY()))</f>
        <v/>
      </c>
      <c r="R70" s="40" t="n">
        <f aca="true">IF($A70="",0,IF(AND($N70&lt;&gt;"Closed",$K70="",$J70&lt;&gt;"",$J70&lt;TODAY()),1,0))</f>
        <v>0</v>
      </c>
      <c r="S70" s="42" t="str">
        <f aca="true">IF($A70="","",IF($R70=1,(TODAY()-$J70)+ROW()/1000000,""))</f>
        <v/>
      </c>
    </row>
    <row r="71" customFormat="false" ht="15" hidden="false" customHeight="false" outlineLevel="0" collapsed="false">
      <c r="A71" s="41"/>
      <c r="B71" s="41"/>
      <c r="C71" s="41"/>
      <c r="D71" s="41"/>
      <c r="E71" s="41"/>
      <c r="F71" s="41"/>
      <c r="G71" s="41"/>
      <c r="H71" s="41"/>
      <c r="I71" s="38"/>
      <c r="J71" s="38"/>
      <c r="K71" s="38"/>
      <c r="L71" s="41"/>
      <c r="M71" s="41"/>
      <c r="N71" s="41"/>
      <c r="O71" s="41"/>
      <c r="Q71" s="44" t="str">
        <f aca="true">IF($A71="","",IF(OR($K71&lt;&gt;"",$J71=""),"",$J71-TODAY()))</f>
        <v/>
      </c>
      <c r="R71" s="40" t="n">
        <f aca="true">IF($A71="",0,IF(AND($N71&lt;&gt;"Closed",$K71="",$J71&lt;&gt;"",$J71&lt;TODAY()),1,0))</f>
        <v>0</v>
      </c>
      <c r="S71" s="42" t="str">
        <f aca="true">IF($A71="","",IF($R71=1,(TODAY()-$J71)+ROW()/1000000,""))</f>
        <v/>
      </c>
    </row>
    <row r="72" customFormat="false" ht="15" hidden="false" customHeight="false" outlineLevel="0" collapsed="false">
      <c r="A72" s="41"/>
      <c r="B72" s="41"/>
      <c r="C72" s="41"/>
      <c r="D72" s="41"/>
      <c r="E72" s="41"/>
      <c r="F72" s="41"/>
      <c r="G72" s="41"/>
      <c r="H72" s="41"/>
      <c r="I72" s="38"/>
      <c r="J72" s="38"/>
      <c r="K72" s="38"/>
      <c r="L72" s="41"/>
      <c r="M72" s="41"/>
      <c r="N72" s="41"/>
      <c r="O72" s="41"/>
      <c r="Q72" s="44" t="str">
        <f aca="true">IF($A72="","",IF(OR($K72&lt;&gt;"",$J72=""),"",$J72-TODAY()))</f>
        <v/>
      </c>
      <c r="R72" s="40" t="n">
        <f aca="true">IF($A72="",0,IF(AND($N72&lt;&gt;"Closed",$K72="",$J72&lt;&gt;"",$J72&lt;TODAY()),1,0))</f>
        <v>0</v>
      </c>
      <c r="S72" s="42" t="str">
        <f aca="true">IF($A72="","",IF($R72=1,(TODAY()-$J72)+ROW()/1000000,""))</f>
        <v/>
      </c>
    </row>
    <row r="73" customFormat="false" ht="15" hidden="false" customHeight="false" outlineLevel="0" collapsed="false">
      <c r="A73" s="41"/>
      <c r="B73" s="41"/>
      <c r="C73" s="41"/>
      <c r="D73" s="41"/>
      <c r="E73" s="41"/>
      <c r="F73" s="41"/>
      <c r="G73" s="41"/>
      <c r="H73" s="41"/>
      <c r="I73" s="38"/>
      <c r="J73" s="38"/>
      <c r="K73" s="38"/>
      <c r="L73" s="41"/>
      <c r="M73" s="41"/>
      <c r="N73" s="41"/>
      <c r="O73" s="41"/>
      <c r="Q73" s="44" t="str">
        <f aca="true">IF($A73="","",IF(OR($K73&lt;&gt;"",$J73=""),"",$J73-TODAY()))</f>
        <v/>
      </c>
      <c r="R73" s="40" t="n">
        <f aca="true">IF($A73="",0,IF(AND($N73&lt;&gt;"Closed",$K73="",$J73&lt;&gt;"",$J73&lt;TODAY()),1,0))</f>
        <v>0</v>
      </c>
      <c r="S73" s="42" t="str">
        <f aca="true">IF($A73="","",IF($R73=1,(TODAY()-$J73)+ROW()/1000000,""))</f>
        <v/>
      </c>
    </row>
    <row r="74" customFormat="false" ht="15" hidden="false" customHeight="false" outlineLevel="0" collapsed="false">
      <c r="A74" s="41"/>
      <c r="B74" s="41"/>
      <c r="C74" s="41"/>
      <c r="D74" s="41"/>
      <c r="E74" s="41"/>
      <c r="F74" s="41"/>
      <c r="G74" s="41"/>
      <c r="H74" s="41"/>
      <c r="I74" s="38"/>
      <c r="J74" s="38"/>
      <c r="K74" s="38"/>
      <c r="L74" s="41"/>
      <c r="M74" s="41"/>
      <c r="N74" s="41"/>
      <c r="O74" s="41"/>
      <c r="Q74" s="44" t="str">
        <f aca="true">IF($A74="","",IF(OR($K74&lt;&gt;"",$J74=""),"",$J74-TODAY()))</f>
        <v/>
      </c>
      <c r="R74" s="40" t="n">
        <f aca="true">IF($A74="",0,IF(AND($N74&lt;&gt;"Closed",$K74="",$J74&lt;&gt;"",$J74&lt;TODAY()),1,0))</f>
        <v>0</v>
      </c>
      <c r="S74" s="42" t="str">
        <f aca="true">IF($A74="","",IF($R74=1,(TODAY()-$J74)+ROW()/1000000,""))</f>
        <v/>
      </c>
    </row>
    <row r="75" customFormat="false" ht="15" hidden="false" customHeight="false" outlineLevel="0" collapsed="false">
      <c r="A75" s="41"/>
      <c r="B75" s="41"/>
      <c r="C75" s="41"/>
      <c r="D75" s="41"/>
      <c r="E75" s="41"/>
      <c r="F75" s="41"/>
      <c r="G75" s="41"/>
      <c r="H75" s="41"/>
      <c r="I75" s="38"/>
      <c r="J75" s="38"/>
      <c r="K75" s="38"/>
      <c r="L75" s="41"/>
      <c r="M75" s="41"/>
      <c r="N75" s="41"/>
      <c r="O75" s="41"/>
      <c r="Q75" s="44" t="str">
        <f aca="true">IF($A75="","",IF(OR($K75&lt;&gt;"",$J75=""),"",$J75-TODAY()))</f>
        <v/>
      </c>
      <c r="R75" s="40" t="n">
        <f aca="true">IF($A75="",0,IF(AND($N75&lt;&gt;"Closed",$K75="",$J75&lt;&gt;"",$J75&lt;TODAY()),1,0))</f>
        <v>0</v>
      </c>
      <c r="S75" s="42" t="str">
        <f aca="true">IF($A75="","",IF($R75=1,(TODAY()-$J75)+ROW()/1000000,""))</f>
        <v/>
      </c>
    </row>
    <row r="76" customFormat="false" ht="15" hidden="false" customHeight="false" outlineLevel="0" collapsed="false">
      <c r="A76" s="41"/>
      <c r="B76" s="41"/>
      <c r="C76" s="41"/>
      <c r="D76" s="41"/>
      <c r="E76" s="41"/>
      <c r="F76" s="41"/>
      <c r="G76" s="41"/>
      <c r="H76" s="41"/>
      <c r="I76" s="38"/>
      <c r="J76" s="38"/>
      <c r="K76" s="38"/>
      <c r="L76" s="41"/>
      <c r="M76" s="41"/>
      <c r="N76" s="41"/>
      <c r="O76" s="41"/>
      <c r="Q76" s="44" t="str">
        <f aca="true">IF($A76="","",IF(OR($K76&lt;&gt;"",$J76=""),"",$J76-TODAY()))</f>
        <v/>
      </c>
      <c r="R76" s="40" t="n">
        <f aca="true">IF($A76="",0,IF(AND($N76&lt;&gt;"Closed",$K76="",$J76&lt;&gt;"",$J76&lt;TODAY()),1,0))</f>
        <v>0</v>
      </c>
      <c r="S76" s="42" t="str">
        <f aca="true">IF($A76="","",IF($R76=1,(TODAY()-$J76)+ROW()/1000000,""))</f>
        <v/>
      </c>
    </row>
    <row r="77" customFormat="false" ht="15" hidden="false" customHeight="false" outlineLevel="0" collapsed="false">
      <c r="A77" s="41"/>
      <c r="B77" s="41"/>
      <c r="C77" s="41"/>
      <c r="D77" s="41"/>
      <c r="E77" s="41"/>
      <c r="F77" s="41"/>
      <c r="G77" s="41"/>
      <c r="H77" s="41"/>
      <c r="I77" s="38"/>
      <c r="J77" s="38"/>
      <c r="K77" s="38"/>
      <c r="L77" s="41"/>
      <c r="M77" s="41"/>
      <c r="N77" s="41"/>
      <c r="O77" s="41"/>
      <c r="Q77" s="44" t="str">
        <f aca="true">IF($A77="","",IF(OR($K77&lt;&gt;"",$J77=""),"",$J77-TODAY()))</f>
        <v/>
      </c>
      <c r="R77" s="40" t="n">
        <f aca="true">IF($A77="",0,IF(AND($N77&lt;&gt;"Closed",$K77="",$J77&lt;&gt;"",$J77&lt;TODAY()),1,0))</f>
        <v>0</v>
      </c>
      <c r="S77" s="42" t="str">
        <f aca="true">IF($A77="","",IF($R77=1,(TODAY()-$J77)+ROW()/1000000,""))</f>
        <v/>
      </c>
    </row>
    <row r="78" customFormat="false" ht="15" hidden="false" customHeight="false" outlineLevel="0" collapsed="false">
      <c r="A78" s="41"/>
      <c r="B78" s="41"/>
      <c r="C78" s="41"/>
      <c r="D78" s="41"/>
      <c r="E78" s="41"/>
      <c r="F78" s="41"/>
      <c r="G78" s="41"/>
      <c r="H78" s="41"/>
      <c r="I78" s="38"/>
      <c r="J78" s="38"/>
      <c r="K78" s="38"/>
      <c r="L78" s="41"/>
      <c r="M78" s="41"/>
      <c r="N78" s="41"/>
      <c r="O78" s="41"/>
      <c r="Q78" s="44" t="str">
        <f aca="true">IF($A78="","",IF(OR($K78&lt;&gt;"",$J78=""),"",$J78-TODAY()))</f>
        <v/>
      </c>
      <c r="R78" s="40" t="n">
        <f aca="true">IF($A78="",0,IF(AND($N78&lt;&gt;"Closed",$K78="",$J78&lt;&gt;"",$J78&lt;TODAY()),1,0))</f>
        <v>0</v>
      </c>
      <c r="S78" s="42" t="str">
        <f aca="true">IF($A78="","",IF($R78=1,(TODAY()-$J78)+ROW()/1000000,""))</f>
        <v/>
      </c>
    </row>
    <row r="79" customFormat="false" ht="15" hidden="false" customHeight="false" outlineLevel="0" collapsed="false">
      <c r="A79" s="41"/>
      <c r="B79" s="41"/>
      <c r="C79" s="41"/>
      <c r="D79" s="41"/>
      <c r="E79" s="41"/>
      <c r="F79" s="41"/>
      <c r="G79" s="41"/>
      <c r="H79" s="41"/>
      <c r="I79" s="38"/>
      <c r="J79" s="38"/>
      <c r="K79" s="38"/>
      <c r="L79" s="41"/>
      <c r="M79" s="41"/>
      <c r="N79" s="41"/>
      <c r="O79" s="41"/>
      <c r="Q79" s="44" t="str">
        <f aca="true">IF($A79="","",IF(OR($K79&lt;&gt;"",$J79=""),"",$J79-TODAY()))</f>
        <v/>
      </c>
      <c r="R79" s="40" t="n">
        <f aca="true">IF($A79="",0,IF(AND($N79&lt;&gt;"Closed",$K79="",$J79&lt;&gt;"",$J79&lt;TODAY()),1,0))</f>
        <v>0</v>
      </c>
      <c r="S79" s="42" t="str">
        <f aca="true">IF($A79="","",IF($R79=1,(TODAY()-$J79)+ROW()/1000000,""))</f>
        <v/>
      </c>
    </row>
    <row r="80" customFormat="false" ht="15" hidden="false" customHeight="false" outlineLevel="0" collapsed="false">
      <c r="A80" s="41"/>
      <c r="B80" s="41"/>
      <c r="C80" s="41"/>
      <c r="D80" s="41"/>
      <c r="E80" s="41"/>
      <c r="F80" s="41"/>
      <c r="G80" s="41"/>
      <c r="H80" s="41"/>
      <c r="I80" s="38"/>
      <c r="J80" s="38"/>
      <c r="K80" s="38"/>
      <c r="L80" s="41"/>
      <c r="M80" s="41"/>
      <c r="N80" s="41"/>
      <c r="O80" s="41"/>
      <c r="Q80" s="44" t="str">
        <f aca="true">IF($A80="","",IF(OR($K80&lt;&gt;"",$J80=""),"",$J80-TODAY()))</f>
        <v/>
      </c>
      <c r="R80" s="40" t="n">
        <f aca="true">IF($A80="",0,IF(AND($N80&lt;&gt;"Closed",$K80="",$J80&lt;&gt;"",$J80&lt;TODAY()),1,0))</f>
        <v>0</v>
      </c>
      <c r="S80" s="42" t="str">
        <f aca="true">IF($A80="","",IF($R80=1,(TODAY()-$J80)+ROW()/1000000,""))</f>
        <v/>
      </c>
    </row>
    <row r="81" customFormat="false" ht="15" hidden="false" customHeight="false" outlineLevel="0" collapsed="false">
      <c r="A81" s="41"/>
      <c r="B81" s="41"/>
      <c r="C81" s="41"/>
      <c r="D81" s="41"/>
      <c r="E81" s="41"/>
      <c r="F81" s="41"/>
      <c r="G81" s="41"/>
      <c r="H81" s="41"/>
      <c r="I81" s="38"/>
      <c r="J81" s="38"/>
      <c r="K81" s="38"/>
      <c r="L81" s="41"/>
      <c r="M81" s="41"/>
      <c r="N81" s="41"/>
      <c r="O81" s="41"/>
      <c r="Q81" s="44" t="str">
        <f aca="true">IF($A81="","",IF(OR($K81&lt;&gt;"",$J81=""),"",$J81-TODAY()))</f>
        <v/>
      </c>
      <c r="R81" s="40" t="n">
        <f aca="true">IF($A81="",0,IF(AND($N81&lt;&gt;"Closed",$K81="",$J81&lt;&gt;"",$J81&lt;TODAY()),1,0))</f>
        <v>0</v>
      </c>
      <c r="S81" s="42" t="str">
        <f aca="true">IF($A81="","",IF($R81=1,(TODAY()-$J81)+ROW()/1000000,""))</f>
        <v/>
      </c>
    </row>
    <row r="82" customFormat="false" ht="15" hidden="false" customHeight="false" outlineLevel="0" collapsed="false">
      <c r="A82" s="41"/>
      <c r="B82" s="41"/>
      <c r="C82" s="41"/>
      <c r="D82" s="41"/>
      <c r="E82" s="41"/>
      <c r="F82" s="41"/>
      <c r="G82" s="41"/>
      <c r="H82" s="41"/>
      <c r="I82" s="38"/>
      <c r="J82" s="38"/>
      <c r="K82" s="38"/>
      <c r="L82" s="41"/>
      <c r="M82" s="41"/>
      <c r="N82" s="41"/>
      <c r="O82" s="41"/>
      <c r="Q82" s="44" t="str">
        <f aca="true">IF($A82="","",IF(OR($K82&lt;&gt;"",$J82=""),"",$J82-TODAY()))</f>
        <v/>
      </c>
      <c r="R82" s="40" t="n">
        <f aca="true">IF($A82="",0,IF(AND($N82&lt;&gt;"Closed",$K82="",$J82&lt;&gt;"",$J82&lt;TODAY()),1,0))</f>
        <v>0</v>
      </c>
      <c r="S82" s="42" t="str">
        <f aca="true">IF($A82="","",IF($R82=1,(TODAY()-$J82)+ROW()/1000000,""))</f>
        <v/>
      </c>
    </row>
    <row r="83" customFormat="false" ht="15" hidden="false" customHeight="false" outlineLevel="0" collapsed="false">
      <c r="A83" s="41"/>
      <c r="B83" s="41"/>
      <c r="C83" s="41"/>
      <c r="D83" s="41"/>
      <c r="E83" s="41"/>
      <c r="F83" s="41"/>
      <c r="G83" s="41"/>
      <c r="H83" s="41"/>
      <c r="I83" s="38"/>
      <c r="J83" s="38"/>
      <c r="K83" s="38"/>
      <c r="L83" s="41"/>
      <c r="M83" s="41"/>
      <c r="N83" s="41"/>
      <c r="O83" s="41"/>
      <c r="Q83" s="44" t="str">
        <f aca="true">IF($A83="","",IF(OR($K83&lt;&gt;"",$J83=""),"",$J83-TODAY()))</f>
        <v/>
      </c>
      <c r="R83" s="40" t="n">
        <f aca="true">IF($A83="",0,IF(AND($N83&lt;&gt;"Closed",$K83="",$J83&lt;&gt;"",$J83&lt;TODAY()),1,0))</f>
        <v>0</v>
      </c>
      <c r="S83" s="42" t="str">
        <f aca="true">IF($A83="","",IF($R83=1,(TODAY()-$J83)+ROW()/1000000,""))</f>
        <v/>
      </c>
    </row>
    <row r="84" customFormat="false" ht="15" hidden="false" customHeight="false" outlineLevel="0" collapsed="false">
      <c r="A84" s="41"/>
      <c r="B84" s="41"/>
      <c r="C84" s="41"/>
      <c r="D84" s="41"/>
      <c r="E84" s="41"/>
      <c r="F84" s="41"/>
      <c r="G84" s="41"/>
      <c r="H84" s="41"/>
      <c r="I84" s="38"/>
      <c r="J84" s="38"/>
      <c r="K84" s="38"/>
      <c r="L84" s="41"/>
      <c r="M84" s="41"/>
      <c r="N84" s="41"/>
      <c r="O84" s="41"/>
      <c r="Q84" s="44" t="str">
        <f aca="true">IF($A84="","",IF(OR($K84&lt;&gt;"",$J84=""),"",$J84-TODAY()))</f>
        <v/>
      </c>
      <c r="R84" s="40" t="n">
        <f aca="true">IF($A84="",0,IF(AND($N84&lt;&gt;"Closed",$K84="",$J84&lt;&gt;"",$J84&lt;TODAY()),1,0))</f>
        <v>0</v>
      </c>
      <c r="S84" s="42" t="str">
        <f aca="true">IF($A84="","",IF($R84=1,(TODAY()-$J84)+ROW()/1000000,""))</f>
        <v/>
      </c>
    </row>
    <row r="85" customFormat="false" ht="15" hidden="false" customHeight="false" outlineLevel="0" collapsed="false">
      <c r="A85" s="41"/>
      <c r="B85" s="41"/>
      <c r="C85" s="41"/>
      <c r="D85" s="41"/>
      <c r="E85" s="41"/>
      <c r="F85" s="41"/>
      <c r="G85" s="41"/>
      <c r="H85" s="41"/>
      <c r="I85" s="38"/>
      <c r="J85" s="38"/>
      <c r="K85" s="38"/>
      <c r="L85" s="41"/>
      <c r="M85" s="41"/>
      <c r="N85" s="41"/>
      <c r="O85" s="41"/>
      <c r="Q85" s="44" t="str">
        <f aca="true">IF($A85="","",IF(OR($K85&lt;&gt;"",$J85=""),"",$J85-TODAY()))</f>
        <v/>
      </c>
      <c r="R85" s="40" t="n">
        <f aca="true">IF($A85="",0,IF(AND($N85&lt;&gt;"Closed",$K85="",$J85&lt;&gt;"",$J85&lt;TODAY()),1,0))</f>
        <v>0</v>
      </c>
      <c r="S85" s="42" t="str">
        <f aca="true">IF($A85="","",IF($R85=1,(TODAY()-$J85)+ROW()/1000000,""))</f>
        <v/>
      </c>
    </row>
    <row r="86" customFormat="false" ht="15" hidden="false" customHeight="false" outlineLevel="0" collapsed="false">
      <c r="A86" s="41"/>
      <c r="B86" s="41"/>
      <c r="C86" s="41"/>
      <c r="D86" s="41"/>
      <c r="E86" s="41"/>
      <c r="F86" s="41"/>
      <c r="G86" s="41"/>
      <c r="H86" s="41"/>
      <c r="I86" s="38"/>
      <c r="J86" s="38"/>
      <c r="K86" s="38"/>
      <c r="L86" s="41"/>
      <c r="M86" s="41"/>
      <c r="N86" s="41"/>
      <c r="O86" s="41"/>
      <c r="Q86" s="44" t="str">
        <f aca="true">IF($A86="","",IF(OR($K86&lt;&gt;"",$J86=""),"",$J86-TODAY()))</f>
        <v/>
      </c>
      <c r="R86" s="40" t="n">
        <f aca="true">IF($A86="",0,IF(AND($N86&lt;&gt;"Closed",$K86="",$J86&lt;&gt;"",$J86&lt;TODAY()),1,0))</f>
        <v>0</v>
      </c>
      <c r="S86" s="42" t="str">
        <f aca="true">IF($A86="","",IF($R86=1,(TODAY()-$J86)+ROW()/1000000,""))</f>
        <v/>
      </c>
    </row>
    <row r="87" customFormat="false" ht="15" hidden="false" customHeight="false" outlineLevel="0" collapsed="false">
      <c r="A87" s="41"/>
      <c r="B87" s="41"/>
      <c r="C87" s="41"/>
      <c r="D87" s="41"/>
      <c r="E87" s="41"/>
      <c r="F87" s="41"/>
      <c r="G87" s="41"/>
      <c r="H87" s="41"/>
      <c r="I87" s="38"/>
      <c r="J87" s="38"/>
      <c r="K87" s="38"/>
      <c r="L87" s="41"/>
      <c r="M87" s="41"/>
      <c r="N87" s="41"/>
      <c r="O87" s="41"/>
      <c r="Q87" s="44" t="str">
        <f aca="true">IF($A87="","",IF(OR($K87&lt;&gt;"",$J87=""),"",$J87-TODAY()))</f>
        <v/>
      </c>
      <c r="R87" s="40" t="n">
        <f aca="true">IF($A87="",0,IF(AND($N87&lt;&gt;"Closed",$K87="",$J87&lt;&gt;"",$J87&lt;TODAY()),1,0))</f>
        <v>0</v>
      </c>
      <c r="S87" s="42" t="str">
        <f aca="true">IF($A87="","",IF($R87=1,(TODAY()-$J87)+ROW()/1000000,""))</f>
        <v/>
      </c>
    </row>
    <row r="88" customFormat="false" ht="15" hidden="false" customHeight="false" outlineLevel="0" collapsed="false">
      <c r="A88" s="41"/>
      <c r="B88" s="41"/>
      <c r="C88" s="41"/>
      <c r="D88" s="41"/>
      <c r="E88" s="41"/>
      <c r="F88" s="41"/>
      <c r="G88" s="41"/>
      <c r="H88" s="41"/>
      <c r="I88" s="38"/>
      <c r="J88" s="38"/>
      <c r="K88" s="38"/>
      <c r="L88" s="41"/>
      <c r="M88" s="41"/>
      <c r="N88" s="41"/>
      <c r="O88" s="41"/>
      <c r="Q88" s="44" t="str">
        <f aca="true">IF($A88="","",IF(OR($K88&lt;&gt;"",$J88=""),"",$J88-TODAY()))</f>
        <v/>
      </c>
      <c r="R88" s="40" t="n">
        <f aca="true">IF($A88="",0,IF(AND($N88&lt;&gt;"Closed",$K88="",$J88&lt;&gt;"",$J88&lt;TODAY()),1,0))</f>
        <v>0</v>
      </c>
      <c r="S88" s="42" t="str">
        <f aca="true">IF($A88="","",IF($R88=1,(TODAY()-$J88)+ROW()/1000000,""))</f>
        <v/>
      </c>
    </row>
    <row r="89" customFormat="false" ht="15" hidden="false" customHeight="false" outlineLevel="0" collapsed="false">
      <c r="A89" s="41"/>
      <c r="B89" s="41"/>
      <c r="C89" s="41"/>
      <c r="D89" s="41"/>
      <c r="E89" s="41"/>
      <c r="F89" s="41"/>
      <c r="G89" s="41"/>
      <c r="H89" s="41"/>
      <c r="I89" s="38"/>
      <c r="J89" s="38"/>
      <c r="K89" s="38"/>
      <c r="L89" s="41"/>
      <c r="M89" s="41"/>
      <c r="N89" s="41"/>
      <c r="O89" s="41"/>
      <c r="Q89" s="44" t="str">
        <f aca="true">IF($A89="","",IF(OR($K89&lt;&gt;"",$J89=""),"",$J89-TODAY()))</f>
        <v/>
      </c>
      <c r="R89" s="40" t="n">
        <f aca="true">IF($A89="",0,IF(AND($N89&lt;&gt;"Closed",$K89="",$J89&lt;&gt;"",$J89&lt;TODAY()),1,0))</f>
        <v>0</v>
      </c>
      <c r="S89" s="42" t="str">
        <f aca="true">IF($A89="","",IF($R89=1,(TODAY()-$J89)+ROW()/1000000,""))</f>
        <v/>
      </c>
    </row>
    <row r="90" customFormat="false" ht="15" hidden="false" customHeight="false" outlineLevel="0" collapsed="false">
      <c r="A90" s="41"/>
      <c r="B90" s="41"/>
      <c r="C90" s="41"/>
      <c r="D90" s="41"/>
      <c r="E90" s="41"/>
      <c r="F90" s="41"/>
      <c r="G90" s="41"/>
      <c r="H90" s="41"/>
      <c r="I90" s="38"/>
      <c r="J90" s="38"/>
      <c r="K90" s="38"/>
      <c r="L90" s="41"/>
      <c r="M90" s="41"/>
      <c r="N90" s="41"/>
      <c r="O90" s="41"/>
      <c r="Q90" s="44" t="str">
        <f aca="true">IF($A90="","",IF(OR($K90&lt;&gt;"",$J90=""),"",$J90-TODAY()))</f>
        <v/>
      </c>
      <c r="R90" s="40" t="n">
        <f aca="true">IF($A90="",0,IF(AND($N90&lt;&gt;"Closed",$K90="",$J90&lt;&gt;"",$J90&lt;TODAY()),1,0))</f>
        <v>0</v>
      </c>
      <c r="S90" s="42" t="str">
        <f aca="true">IF($A90="","",IF($R90=1,(TODAY()-$J90)+ROW()/1000000,""))</f>
        <v/>
      </c>
    </row>
    <row r="91" customFormat="false" ht="15" hidden="false" customHeight="false" outlineLevel="0" collapsed="false">
      <c r="A91" s="41"/>
      <c r="B91" s="41"/>
      <c r="C91" s="41"/>
      <c r="D91" s="41"/>
      <c r="E91" s="41"/>
      <c r="F91" s="41"/>
      <c r="G91" s="41"/>
      <c r="H91" s="41"/>
      <c r="I91" s="38"/>
      <c r="J91" s="38"/>
      <c r="K91" s="38"/>
      <c r="L91" s="41"/>
      <c r="M91" s="41"/>
      <c r="N91" s="41"/>
      <c r="O91" s="41"/>
      <c r="Q91" s="44" t="str">
        <f aca="true">IF($A91="","",IF(OR($K91&lt;&gt;"",$J91=""),"",$J91-TODAY()))</f>
        <v/>
      </c>
      <c r="R91" s="40" t="n">
        <f aca="true">IF($A91="",0,IF(AND($N91&lt;&gt;"Closed",$K91="",$J91&lt;&gt;"",$J91&lt;TODAY()),1,0))</f>
        <v>0</v>
      </c>
      <c r="S91" s="42" t="str">
        <f aca="true">IF($A91="","",IF($R91=1,(TODAY()-$J91)+ROW()/1000000,""))</f>
        <v/>
      </c>
    </row>
    <row r="92" customFormat="false" ht="15" hidden="false" customHeight="false" outlineLevel="0" collapsed="false">
      <c r="A92" s="41"/>
      <c r="B92" s="41"/>
      <c r="C92" s="41"/>
      <c r="D92" s="41"/>
      <c r="E92" s="41"/>
      <c r="F92" s="41"/>
      <c r="G92" s="41"/>
      <c r="H92" s="41"/>
      <c r="I92" s="38"/>
      <c r="J92" s="38"/>
      <c r="K92" s="38"/>
      <c r="L92" s="41"/>
      <c r="M92" s="41"/>
      <c r="N92" s="41"/>
      <c r="O92" s="41"/>
      <c r="Q92" s="44" t="str">
        <f aca="true">IF($A92="","",IF(OR($K92&lt;&gt;"",$J92=""),"",$J92-TODAY()))</f>
        <v/>
      </c>
      <c r="R92" s="40" t="n">
        <f aca="true">IF($A92="",0,IF(AND($N92&lt;&gt;"Closed",$K92="",$J92&lt;&gt;"",$J92&lt;TODAY()),1,0))</f>
        <v>0</v>
      </c>
      <c r="S92" s="42" t="str">
        <f aca="true">IF($A92="","",IF($R92=1,(TODAY()-$J92)+ROW()/1000000,""))</f>
        <v/>
      </c>
    </row>
    <row r="93" customFormat="false" ht="15" hidden="false" customHeight="false" outlineLevel="0" collapsed="false">
      <c r="A93" s="41"/>
      <c r="B93" s="41"/>
      <c r="C93" s="41"/>
      <c r="D93" s="41"/>
      <c r="E93" s="41"/>
      <c r="F93" s="41"/>
      <c r="G93" s="41"/>
      <c r="H93" s="41"/>
      <c r="I93" s="38"/>
      <c r="J93" s="38"/>
      <c r="K93" s="38"/>
      <c r="L93" s="41"/>
      <c r="M93" s="41"/>
      <c r="N93" s="41"/>
      <c r="O93" s="41"/>
      <c r="Q93" s="44" t="str">
        <f aca="true">IF($A93="","",IF(OR($K93&lt;&gt;"",$J93=""),"",$J93-TODAY()))</f>
        <v/>
      </c>
      <c r="R93" s="40" t="n">
        <f aca="true">IF($A93="",0,IF(AND($N93&lt;&gt;"Closed",$K93="",$J93&lt;&gt;"",$J93&lt;TODAY()),1,0))</f>
        <v>0</v>
      </c>
      <c r="S93" s="42" t="str">
        <f aca="true">IF($A93="","",IF($R93=1,(TODAY()-$J93)+ROW()/1000000,""))</f>
        <v/>
      </c>
    </row>
    <row r="94" customFormat="false" ht="15" hidden="false" customHeight="false" outlineLevel="0" collapsed="false">
      <c r="A94" s="41"/>
      <c r="B94" s="41"/>
      <c r="C94" s="41"/>
      <c r="D94" s="41"/>
      <c r="E94" s="41"/>
      <c r="F94" s="41"/>
      <c r="G94" s="41"/>
      <c r="H94" s="41"/>
      <c r="I94" s="38"/>
      <c r="J94" s="38"/>
      <c r="K94" s="38"/>
      <c r="L94" s="41"/>
      <c r="M94" s="41"/>
      <c r="N94" s="41"/>
      <c r="O94" s="41"/>
      <c r="Q94" s="44" t="str">
        <f aca="true">IF($A94="","",IF(OR($K94&lt;&gt;"",$J94=""),"",$J94-TODAY()))</f>
        <v/>
      </c>
      <c r="R94" s="40" t="n">
        <f aca="true">IF($A94="",0,IF(AND($N94&lt;&gt;"Closed",$K94="",$J94&lt;&gt;"",$J94&lt;TODAY()),1,0))</f>
        <v>0</v>
      </c>
      <c r="S94" s="42" t="str">
        <f aca="true">IF($A94="","",IF($R94=1,(TODAY()-$J94)+ROW()/1000000,""))</f>
        <v/>
      </c>
    </row>
    <row r="95" customFormat="false" ht="15" hidden="false" customHeight="false" outlineLevel="0" collapsed="false">
      <c r="A95" s="41"/>
      <c r="B95" s="41"/>
      <c r="C95" s="41"/>
      <c r="D95" s="41"/>
      <c r="E95" s="41"/>
      <c r="F95" s="41"/>
      <c r="G95" s="41"/>
      <c r="H95" s="41"/>
      <c r="I95" s="38"/>
      <c r="J95" s="38"/>
      <c r="K95" s="38"/>
      <c r="L95" s="41"/>
      <c r="M95" s="41"/>
      <c r="N95" s="41"/>
      <c r="O95" s="41"/>
      <c r="Q95" s="44" t="str">
        <f aca="true">IF($A95="","",IF(OR($K95&lt;&gt;"",$J95=""),"",$J95-TODAY()))</f>
        <v/>
      </c>
      <c r="R95" s="40" t="n">
        <f aca="true">IF($A95="",0,IF(AND($N95&lt;&gt;"Closed",$K95="",$J95&lt;&gt;"",$J95&lt;TODAY()),1,0))</f>
        <v>0</v>
      </c>
      <c r="S95" s="42" t="str">
        <f aca="true">IF($A95="","",IF($R95=1,(TODAY()-$J95)+ROW()/1000000,""))</f>
        <v/>
      </c>
    </row>
    <row r="96" customFormat="false" ht="15" hidden="false" customHeight="false" outlineLevel="0" collapsed="false">
      <c r="A96" s="41"/>
      <c r="B96" s="41"/>
      <c r="C96" s="41"/>
      <c r="D96" s="41"/>
      <c r="E96" s="41"/>
      <c r="F96" s="41"/>
      <c r="G96" s="41"/>
      <c r="H96" s="41"/>
      <c r="I96" s="38"/>
      <c r="J96" s="38"/>
      <c r="K96" s="38"/>
      <c r="L96" s="41"/>
      <c r="M96" s="41"/>
      <c r="N96" s="41"/>
      <c r="O96" s="41"/>
      <c r="Q96" s="44" t="str">
        <f aca="true">IF($A96="","",IF(OR($K96&lt;&gt;"",$J96=""),"",$J96-TODAY()))</f>
        <v/>
      </c>
      <c r="R96" s="40" t="n">
        <f aca="true">IF($A96="",0,IF(AND($N96&lt;&gt;"Closed",$K96="",$J96&lt;&gt;"",$J96&lt;TODAY()),1,0))</f>
        <v>0</v>
      </c>
      <c r="S96" s="42" t="str">
        <f aca="true">IF($A96="","",IF($R96=1,(TODAY()-$J96)+ROW()/1000000,""))</f>
        <v/>
      </c>
    </row>
    <row r="97" customFormat="false" ht="15" hidden="false" customHeight="false" outlineLevel="0" collapsed="false">
      <c r="A97" s="41"/>
      <c r="B97" s="41"/>
      <c r="C97" s="41"/>
      <c r="D97" s="41"/>
      <c r="E97" s="41"/>
      <c r="F97" s="41"/>
      <c r="G97" s="41"/>
      <c r="H97" s="41"/>
      <c r="I97" s="38"/>
      <c r="J97" s="38"/>
      <c r="K97" s="38"/>
      <c r="L97" s="41"/>
      <c r="M97" s="41"/>
      <c r="N97" s="41"/>
      <c r="O97" s="41"/>
      <c r="Q97" s="44" t="str">
        <f aca="true">IF($A97="","",IF(OR($K97&lt;&gt;"",$J97=""),"",$J97-TODAY()))</f>
        <v/>
      </c>
      <c r="R97" s="40" t="n">
        <f aca="true">IF($A97="",0,IF(AND($N97&lt;&gt;"Closed",$K97="",$J97&lt;&gt;"",$J97&lt;TODAY()),1,0))</f>
        <v>0</v>
      </c>
      <c r="S97" s="42" t="str">
        <f aca="true">IF($A97="","",IF($R97=1,(TODAY()-$J97)+ROW()/1000000,""))</f>
        <v/>
      </c>
    </row>
    <row r="98" customFormat="false" ht="15" hidden="false" customHeight="false" outlineLevel="0" collapsed="false">
      <c r="A98" s="41"/>
      <c r="B98" s="41"/>
      <c r="C98" s="41"/>
      <c r="D98" s="41"/>
      <c r="E98" s="41"/>
      <c r="F98" s="41"/>
      <c r="G98" s="41"/>
      <c r="H98" s="41"/>
      <c r="I98" s="38"/>
      <c r="J98" s="38"/>
      <c r="K98" s="38"/>
      <c r="L98" s="41"/>
      <c r="M98" s="41"/>
      <c r="N98" s="41"/>
      <c r="O98" s="41"/>
      <c r="Q98" s="44" t="str">
        <f aca="true">IF($A98="","",IF(OR($K98&lt;&gt;"",$J98=""),"",$J98-TODAY()))</f>
        <v/>
      </c>
      <c r="R98" s="40" t="n">
        <f aca="true">IF($A98="",0,IF(AND($N98&lt;&gt;"Closed",$K98="",$J98&lt;&gt;"",$J98&lt;TODAY()),1,0))</f>
        <v>0</v>
      </c>
      <c r="S98" s="42" t="str">
        <f aca="true">IF($A98="","",IF($R98=1,(TODAY()-$J98)+ROW()/1000000,""))</f>
        <v/>
      </c>
    </row>
    <row r="99" customFormat="false" ht="15" hidden="false" customHeight="false" outlineLevel="0" collapsed="false">
      <c r="A99" s="41"/>
      <c r="B99" s="41"/>
      <c r="C99" s="41"/>
      <c r="D99" s="41"/>
      <c r="E99" s="41"/>
      <c r="F99" s="41"/>
      <c r="G99" s="41"/>
      <c r="H99" s="41"/>
      <c r="I99" s="38"/>
      <c r="J99" s="38"/>
      <c r="K99" s="38"/>
      <c r="L99" s="41"/>
      <c r="M99" s="41"/>
      <c r="N99" s="41"/>
      <c r="O99" s="41"/>
      <c r="Q99" s="44" t="str">
        <f aca="true">IF($A99="","",IF(OR($K99&lt;&gt;"",$J99=""),"",$J99-TODAY()))</f>
        <v/>
      </c>
      <c r="R99" s="40" t="n">
        <f aca="true">IF($A99="",0,IF(AND($N99&lt;&gt;"Closed",$K99="",$J99&lt;&gt;"",$J99&lt;TODAY()),1,0))</f>
        <v>0</v>
      </c>
      <c r="S99" s="42" t="str">
        <f aca="true">IF($A99="","",IF($R99=1,(TODAY()-$J99)+ROW()/1000000,""))</f>
        <v/>
      </c>
    </row>
    <row r="100" customFormat="false" ht="15" hidden="false" customHeight="false" outlineLevel="0" collapsed="false">
      <c r="A100" s="41"/>
      <c r="B100" s="41"/>
      <c r="C100" s="41"/>
      <c r="D100" s="41"/>
      <c r="E100" s="41"/>
      <c r="F100" s="41"/>
      <c r="G100" s="41"/>
      <c r="H100" s="41"/>
      <c r="I100" s="38"/>
      <c r="J100" s="38"/>
      <c r="K100" s="38"/>
      <c r="L100" s="41"/>
      <c r="M100" s="41"/>
      <c r="N100" s="41"/>
      <c r="O100" s="41"/>
      <c r="Q100" s="44" t="str">
        <f aca="true">IF($A100="","",IF(OR($K100&lt;&gt;"",$J100=""),"",$J100-TODAY()))</f>
        <v/>
      </c>
      <c r="R100" s="40" t="n">
        <f aca="true">IF($A100="",0,IF(AND($N100&lt;&gt;"Closed",$K100="",$J100&lt;&gt;"",$J100&lt;TODAY()),1,0))</f>
        <v>0</v>
      </c>
      <c r="S100" s="42" t="str">
        <f aca="true">IF($A100="","",IF($R100=1,(TODAY()-$J100)+ROW()/1000000,""))</f>
        <v/>
      </c>
    </row>
    <row r="101" customFormat="false" ht="15" hidden="false" customHeight="false" outlineLevel="0" collapsed="false">
      <c r="A101" s="41"/>
      <c r="B101" s="41"/>
      <c r="C101" s="41"/>
      <c r="D101" s="41"/>
      <c r="E101" s="41"/>
      <c r="F101" s="41"/>
      <c r="G101" s="41"/>
      <c r="H101" s="41"/>
      <c r="I101" s="38"/>
      <c r="J101" s="38"/>
      <c r="K101" s="38"/>
      <c r="L101" s="41"/>
      <c r="M101" s="41"/>
      <c r="N101" s="41"/>
      <c r="O101" s="41"/>
      <c r="Q101" s="44" t="str">
        <f aca="true">IF($A101="","",IF(OR($K101&lt;&gt;"",$J101=""),"",$J101-TODAY()))</f>
        <v/>
      </c>
      <c r="R101" s="40" t="n">
        <f aca="true">IF($A101="",0,IF(AND($N101&lt;&gt;"Closed",$K101="",$J101&lt;&gt;"",$J101&lt;TODAY()),1,0))</f>
        <v>0</v>
      </c>
      <c r="S101" s="42" t="str">
        <f aca="true">IF($A101="","",IF($R101=1,(TODAY()-$J101)+ROW()/1000000,""))</f>
        <v/>
      </c>
    </row>
    <row r="102" customFormat="false" ht="15" hidden="false" customHeight="false" outlineLevel="0" collapsed="false">
      <c r="A102" s="41"/>
      <c r="B102" s="41"/>
      <c r="C102" s="41"/>
      <c r="D102" s="41"/>
      <c r="E102" s="41"/>
      <c r="F102" s="41"/>
      <c r="G102" s="41"/>
      <c r="H102" s="41"/>
      <c r="I102" s="38"/>
      <c r="J102" s="38"/>
      <c r="K102" s="38"/>
      <c r="L102" s="41"/>
      <c r="M102" s="41"/>
      <c r="N102" s="41"/>
      <c r="O102" s="41"/>
      <c r="Q102" s="44" t="str">
        <f aca="true">IF($A102="","",IF(OR($K102&lt;&gt;"",$J102=""),"",$J102-TODAY()))</f>
        <v/>
      </c>
      <c r="R102" s="40" t="n">
        <f aca="true">IF($A102="",0,IF(AND($N102&lt;&gt;"Closed",$K102="",$J102&lt;&gt;"",$J102&lt;TODAY()),1,0))</f>
        <v>0</v>
      </c>
      <c r="S102" s="42" t="str">
        <f aca="true">IF($A102="","",IF($R102=1,(TODAY()-$J102)+ROW()/1000000,""))</f>
        <v/>
      </c>
    </row>
    <row r="103" customFormat="false" ht="15" hidden="false" customHeight="false" outlineLevel="0" collapsed="false">
      <c r="A103" s="41"/>
      <c r="B103" s="41"/>
      <c r="C103" s="41"/>
      <c r="D103" s="41"/>
      <c r="E103" s="41"/>
      <c r="F103" s="41"/>
      <c r="G103" s="41"/>
      <c r="H103" s="41"/>
      <c r="I103" s="38"/>
      <c r="J103" s="38"/>
      <c r="K103" s="38"/>
      <c r="L103" s="41"/>
      <c r="M103" s="41"/>
      <c r="N103" s="41"/>
      <c r="O103" s="41"/>
      <c r="Q103" s="44" t="str">
        <f aca="true">IF($A103="","",IF(OR($K103&lt;&gt;"",$J103=""),"",$J103-TODAY()))</f>
        <v/>
      </c>
      <c r="R103" s="40" t="n">
        <f aca="true">IF($A103="",0,IF(AND($N103&lt;&gt;"Closed",$K103="",$J103&lt;&gt;"",$J103&lt;TODAY()),1,0))</f>
        <v>0</v>
      </c>
      <c r="S103" s="42" t="str">
        <f aca="true">IF($A103="","",IF($R103=1,(TODAY()-$J103)+ROW()/1000000,""))</f>
        <v/>
      </c>
    </row>
  </sheetData>
  <autoFilter ref="A3:O103"/>
  <conditionalFormatting sqref="A4:O103">
    <cfRule type="expression" priority="2" aboveAverage="0" equalAverage="0" bottom="0" percent="0" rank="0" text="" dxfId="14">
      <formula>AND($A4&lt;&gt;"",$L4="Critical",$R4=1)</formula>
    </cfRule>
    <cfRule type="expression" priority="3" aboveAverage="0" equalAverage="0" bottom="0" percent="0" rank="0" text="" dxfId="6">
      <formula>AND($A4&lt;&gt;"",$R4=1)</formula>
    </cfRule>
    <cfRule type="expression" priority="4" aboveAverage="0" equalAverage="0" bottom="0" percent="0" rank="0" text="" dxfId="10">
      <formula>AND($A4&lt;&gt;"",$N4&lt;&gt;"Closed",$Q4&gt;=0,$Q4&lt;=Cfg_ActWindow)</formula>
    </cfRule>
    <cfRule type="expression" priority="5" aboveAverage="0" equalAverage="0" bottom="0" percent="0" rank="0" text="" dxfId="9">
      <formula>AND($A4&lt;&gt;"",$N4="In Progress")</formula>
    </cfRule>
    <cfRule type="expression" priority="6" aboveAverage="0" equalAverage="0" bottom="0" percent="0" rank="0" text="" dxfId="12">
      <formula>AND($A4&lt;&gt;"",$N4="Closed")</formula>
    </cfRule>
    <cfRule type="expression" priority="7" aboveAverage="0" equalAverage="0" bottom="0" percent="0" rank="0" text="" dxfId="8">
      <formula>AND($A4&lt;&gt;"",$N4="Waiting")</formula>
    </cfRule>
  </conditionalFormatting>
  <dataValidations count="9">
    <dataValidation allowBlank="true" errorStyle="stop" operator="between" showDropDown="false" showErrorMessage="false" showInputMessage="false" sqref="C4:C103" type="list">
      <formula1>Cfg_ActionCategory</formula1>
      <formula2>0</formula2>
    </dataValidation>
    <dataValidation allowBlank="true" errorStyle="stop" operator="between" showDropDown="false" showErrorMessage="false" showInputMessage="false" sqref="D4:D103" type="list">
      <formula1>Sc_IDList</formula1>
      <formula2>0</formula2>
    </dataValidation>
    <dataValidation allowBlank="true" errorStyle="stop" operator="between" showDropDown="false" showErrorMessage="false" showInputMessage="false" sqref="E4:E103" type="list">
      <formula1>Eq_NameList</formula1>
      <formula2>0</formula2>
    </dataValidation>
    <dataValidation allowBlank="true" errorStyle="stop" operator="between" showDropDown="false" showErrorMessage="false" showInputMessage="false" sqref="F4:F103" type="list">
      <formula1>Doc_NumberList</formula1>
      <formula2>0</formula2>
    </dataValidation>
    <dataValidation allowBlank="true" errorStyle="stop" operator="between" showDropDown="false" showErrorMessage="false" showInputMessage="false" sqref="L4:L103" type="list">
      <formula1>Cfg_Priority</formula1>
      <formula2>0</formula2>
    </dataValidation>
    <dataValidation allowBlank="true" errorStyle="stop" operator="between" showDropDown="false" showErrorMessage="false" showInputMessage="false" sqref="M4:M103" type="list">
      <formula1>Cfg_YesNo</formula1>
      <formula2>0</formula2>
    </dataValidation>
    <dataValidation allowBlank="true" errorStyle="stop" operator="between" showDropDown="false" showErrorMessage="false" showInputMessage="false" sqref="N4:N103" type="list">
      <formula1>Cfg_ActionStatus</formula1>
      <formula2>0</formula2>
    </dataValidation>
    <dataValidation allowBlank="true" errorStyle="stop" operator="between" showDropDown="false" showErrorMessage="false" showInputMessage="false" sqref="G4:G103" type="list">
      <formula1>Cfg_Personnel</formula1>
      <formula2>0</formula2>
    </dataValidation>
    <dataValidation allowBlank="true" errorStyle="stop" operator="between" showDropDown="false" showErrorMessage="false" showInputMessage="false" sqref="H4:H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34"/>
    <col collapsed="false" customWidth="true" hidden="false" outlineLevel="0" max="6" min="4" style="0" width="15"/>
    <col collapsed="false" customWidth="true" hidden="false" outlineLevel="0" max="7" min="7" style="0" width="17"/>
    <col collapsed="false" customWidth="true" hidden="false" outlineLevel="0" max="8" min="8" style="0" width="16"/>
    <col collapsed="false" customWidth="true" hidden="true" outlineLevel="0" max="9" min="9" style="0" width="12"/>
    <col collapsed="false" customWidth="true" hidden="false" outlineLevel="0" max="10" min="10" style="0" width="17"/>
    <col collapsed="false" customWidth="true" hidden="false" outlineLevel="0" max="11" min="11" style="0" width="20"/>
    <col collapsed="false" customWidth="true" hidden="false" outlineLevel="0" max="12" min="12" style="0" width="12"/>
    <col collapsed="false" customWidth="true" hidden="false" outlineLevel="0" max="13" min="13" style="0" width="4"/>
    <col collapsed="false" customWidth="true" hidden="false" outlineLevel="0" max="16" min="14" style="0" width="12"/>
  </cols>
  <sheetData>
    <row r="1" customFormat="false" ht="17.35" hidden="false" customHeight="false" outlineLevel="0" collapsed="false">
      <c r="B1" s="1" t="s">
        <v>266</v>
      </c>
    </row>
    <row r="2" customFormat="false" ht="15" hidden="false" customHeight="false" outlineLevel="0" collapsed="false">
      <c r="B2" s="2" t="s">
        <v>267</v>
      </c>
    </row>
    <row r="3" customFormat="false" ht="18" hidden="false" customHeight="true" outlineLevel="0" collapsed="false">
      <c r="B3" s="3" t="s">
        <v>268</v>
      </c>
      <c r="C3" s="3"/>
      <c r="D3" s="3"/>
      <c r="E3" s="3"/>
      <c r="F3" s="3"/>
      <c r="G3" s="3"/>
      <c r="H3" s="3"/>
      <c r="I3" s="3"/>
      <c r="J3" s="3"/>
      <c r="K3" s="3"/>
      <c r="L3" s="3"/>
    </row>
    <row r="5" customFormat="false" ht="30" hidden="false" customHeight="true" outlineLevel="0" collapsed="false">
      <c r="B5" s="45" t="n">
        <f aca="false">$L$12</f>
        <v>0.56</v>
      </c>
      <c r="C5" s="45"/>
      <c r="D5" s="45"/>
      <c r="F5" s="18" t="s">
        <v>109</v>
      </c>
      <c r="G5" s="24" t="str">
        <f aca="false">IF($L$12&gt;=Cfg_ThrExcellent,"Excellent",IF($L$12&gt;=Cfg_ThrGood,"Good",IF($L$12&gt;=Cfg_ThrAttention,"Attention Required","Critical")))</f>
        <v>Attention Required</v>
      </c>
      <c r="I5" s="31" t="s">
        <v>269</v>
      </c>
      <c r="J5" s="31" t="s">
        <v>270</v>
      </c>
      <c r="K5" s="31" t="s">
        <v>271</v>
      </c>
      <c r="L5" s="31" t="s">
        <v>272</v>
      </c>
    </row>
    <row r="6" customFormat="false" ht="15" hidden="false" customHeight="false" outlineLevel="0" collapsed="false">
      <c r="B6" s="45"/>
      <c r="C6" s="45"/>
      <c r="D6" s="45"/>
      <c r="F6" s="18" t="s">
        <v>273</v>
      </c>
      <c r="G6" s="24" t="str">
        <f aca="false">IF($L$12&gt;=Cfg_RagGreen,"GREEN",IF($L$12&gt;=Cfg_RagAmber,"AMBER","RED"))</f>
        <v>AMBER</v>
      </c>
      <c r="I6" s="32" t="s">
        <v>274</v>
      </c>
      <c r="J6" s="20" t="n">
        <f aca="false">IFERROR(AVERAGE(Doc_Progress),0)</f>
        <v>0.55</v>
      </c>
      <c r="K6" s="20" t="n">
        <f aca="false">Configuration!$L$30</f>
        <v>0.4</v>
      </c>
      <c r="L6" s="20" t="n">
        <f aca="false">$J6*$K6</f>
        <v>0.22</v>
      </c>
    </row>
    <row r="7" customFormat="false" ht="15" hidden="false" customHeight="false" outlineLevel="0" collapsed="false">
      <c r="B7" s="45"/>
      <c r="C7" s="45"/>
      <c r="D7" s="45"/>
      <c r="F7" s="18" t="s">
        <v>52</v>
      </c>
      <c r="G7" s="20" t="n">
        <f aca="false">IFERROR(AVERAGE(Eq_Readiness),0)</f>
        <v>0.225</v>
      </c>
      <c r="I7" s="32" t="s">
        <v>243</v>
      </c>
      <c r="J7" s="20" t="n">
        <f aca="false">IFERROR(AVERAGE(Eq_Readiness),0)</f>
        <v>0.225</v>
      </c>
      <c r="K7" s="20" t="n">
        <f aca="false">Configuration!$L$31</f>
        <v>0.2</v>
      </c>
      <c r="L7" s="20" t="n">
        <f aca="false">$J7*$K7</f>
        <v>0.045</v>
      </c>
    </row>
    <row r="8" customFormat="false" ht="15" hidden="false" customHeight="false" outlineLevel="0" collapsed="false">
      <c r="B8" s="45"/>
      <c r="C8" s="45"/>
      <c r="D8" s="45"/>
      <c r="F8" s="18" t="s">
        <v>56</v>
      </c>
      <c r="G8" s="20" t="n">
        <f aca="false">Configuration!$B$57</f>
        <v>0</v>
      </c>
      <c r="I8" s="32" t="s">
        <v>275</v>
      </c>
      <c r="J8" s="20" t="n">
        <f aca="false">IF(COUNTA(Act_ID)=0,1,1-SUM(Act_Overdue)/COUNTA(Act_ID))</f>
        <v>1</v>
      </c>
      <c r="K8" s="20" t="n">
        <f aca="false">Configuration!$L$32</f>
        <v>0.15</v>
      </c>
      <c r="L8" s="20" t="n">
        <f aca="false">$J8*$K8</f>
        <v>0.15</v>
      </c>
    </row>
    <row r="9" customFormat="false" ht="15" hidden="false" customHeight="false" outlineLevel="0" collapsed="false">
      <c r="I9" s="32" t="s">
        <v>276</v>
      </c>
      <c r="J9" s="20" t="n">
        <f aca="false">IF(COUNTA(Ms_Name)=0,1,1-(COUNTIF(Ms_Status,"At Risk")+COUNTIF(Ms_Status,"Delayed"))/COUNTA(Ms_Name))</f>
        <v>1</v>
      </c>
      <c r="K9" s="20" t="n">
        <f aca="false">Configuration!$L$33</f>
        <v>0.1</v>
      </c>
      <c r="L9" s="20" t="n">
        <f aca="false">$J9*$K9</f>
        <v>0.1</v>
      </c>
    </row>
    <row r="10" customFormat="false" ht="15" hidden="false" customHeight="false" outlineLevel="0" collapsed="false">
      <c r="I10" s="32" t="s">
        <v>277</v>
      </c>
      <c r="J10" s="20" t="n">
        <f aca="false">IFERROR(AVERAGE(Eq_PhasePct),0)</f>
        <v>0.45</v>
      </c>
      <c r="K10" s="20" t="n">
        <f aca="false">Configuration!$L$34</f>
        <v>0.1</v>
      </c>
      <c r="L10" s="20" t="n">
        <f aca="false">$J10*$K10</f>
        <v>0.045</v>
      </c>
    </row>
    <row r="11" customFormat="false" ht="15" hidden="false" customHeight="false" outlineLevel="0" collapsed="false">
      <c r="I11" s="32" t="s">
        <v>278</v>
      </c>
      <c r="J11" s="20" t="n">
        <f aca="false">IF((COUNTIF(Doc_Gate,"Handover")+COUNTIF(Doc_Gate,"Final Takeover"))=0,0,(COUNTIFS(Doc_Gate,"Handover",Doc_Approved,1)+COUNTIFS(Doc_Gate,"Final Takeover",Doc_Approved,1))/(COUNTIF(Doc_Gate,"Handover")+COUNTIF(Doc_Gate,"Final Takeover")))</f>
        <v>0</v>
      </c>
      <c r="K11" s="20" t="n">
        <f aca="false">Configuration!$L$35</f>
        <v>0.05</v>
      </c>
      <c r="L11" s="20" t="n">
        <f aca="false">$J11*$K11</f>
        <v>0</v>
      </c>
    </row>
    <row r="12" customFormat="false" ht="15" hidden="false" customHeight="false" outlineLevel="0" collapsed="false">
      <c r="I12" s="46" t="s">
        <v>268</v>
      </c>
      <c r="L12" s="47" t="n">
        <f aca="false">SUM(L6:L11)</f>
        <v>0.56</v>
      </c>
    </row>
    <row r="14" customFormat="false" ht="18" hidden="false" customHeight="true" outlineLevel="0" collapsed="false">
      <c r="B14" s="3" t="s">
        <v>279</v>
      </c>
      <c r="C14" s="3"/>
      <c r="D14" s="3"/>
      <c r="E14" s="3"/>
      <c r="F14" s="3"/>
      <c r="G14" s="3"/>
    </row>
    <row r="15" customFormat="false" ht="15" hidden="false" customHeight="false" outlineLevel="0" collapsed="false">
      <c r="B15" s="48" t="s">
        <v>280</v>
      </c>
      <c r="C15" s="24" t="str">
        <f aca="false">COUNTIF(Doc_Flag,"Overdue")&amp;" documents overdue, "&amp;SUM(Act_Overdue)&amp;" actions overdue"</f>
        <v>0 documents overdue, 0 actions overdue</v>
      </c>
      <c r="D15" s="24"/>
      <c r="E15" s="24"/>
      <c r="F15" s="24"/>
      <c r="G15" s="24"/>
    </row>
    <row r="16" customFormat="false" ht="15" hidden="false" customHeight="false" outlineLevel="0" collapsed="false">
      <c r="B16" s="48" t="s">
        <v>281</v>
      </c>
      <c r="C16" s="24" t="str">
        <f aca="false">COUNTIF(Doc_Workflow,"Not Started")&amp;" deliverables not started"</f>
        <v>0 deliverables not started</v>
      </c>
      <c r="D16" s="24"/>
      <c r="E16" s="24"/>
      <c r="F16" s="24"/>
      <c r="G16" s="24"/>
    </row>
    <row r="17" customFormat="false" ht="15" hidden="false" customHeight="false" outlineLevel="0" collapsed="false">
      <c r="B17" s="48" t="s">
        <v>282</v>
      </c>
      <c r="C17" s="24" t="str">
        <f aca="false">COUNTIFS(Act_Blocker,"Yes",Act_Status,"&lt;&gt;Closed")&amp;" open commissioning blockers"</f>
        <v>1 open commissioning blockers</v>
      </c>
      <c r="D17" s="24"/>
      <c r="E17" s="24"/>
      <c r="F17" s="24"/>
      <c r="G17" s="24"/>
    </row>
    <row r="18" customFormat="false" ht="15" hidden="false" customHeight="false" outlineLevel="0" collapsed="false">
      <c r="B18" s="48" t="s">
        <v>283</v>
      </c>
      <c r="C18" s="24" t="str">
        <f aca="false">IF(MAX(Cfg_OwnerBlockers)=0,"No open blockers",IFERROR(INDEX(Cfg_OwnerList,MATCH(MAX(Cfg_OwnerBlockers),Cfg_OwnerBlockers,0))&amp;" ("&amp;MAX(Cfg_OwnerBlockers)&amp;")","—"))</f>
        <v>A. Mercer (1)</v>
      </c>
      <c r="D18" s="24"/>
      <c r="E18" s="24"/>
      <c r="F18" s="24"/>
      <c r="G18" s="24"/>
    </row>
    <row r="19" customFormat="false" ht="15" hidden="false" customHeight="false" outlineLevel="0" collapsed="false">
      <c r="B19" s="48" t="s">
        <v>284</v>
      </c>
      <c r="C19" s="24" t="str">
        <f aca="false">COUNTIFS(Sc_ID,"&lt;&gt;",Sc_Readiness,"&lt;"&amp;Cfg_ScopeReady)&amp;" of "&amp;COUNTA(Sc_ID)&amp;" scopes below the ready threshold"</f>
        <v>1 of 1 scopes below the ready threshold</v>
      </c>
      <c r="D19" s="24"/>
      <c r="E19" s="24"/>
      <c r="F19" s="24"/>
      <c r="G19" s="24"/>
    </row>
    <row r="20" customFormat="false" ht="15" hidden="false" customHeight="false" outlineLevel="0" collapsed="false">
      <c r="B20" s="48" t="s">
        <v>285</v>
      </c>
      <c r="C20" s="24" t="str">
        <f aca="false">COUNTIF(Eq_Status,"Behind Schedule")&amp;" equipment items past planned finish"</f>
        <v>0 equipment items past planned finish</v>
      </c>
      <c r="D20" s="24"/>
      <c r="E20" s="24"/>
      <c r="F20" s="24"/>
      <c r="G20" s="24"/>
    </row>
    <row r="21" customFormat="false" ht="15" hidden="false" customHeight="false" outlineLevel="0" collapsed="false">
      <c r="B21" s="48" t="s">
        <v>286</v>
      </c>
      <c r="C21" s="24" t="str">
        <f aca="false">COUNTIF(Doc_Approved,0)&amp;" of "&amp;COUNTA(Doc_Type)&amp;" deliverables not yet approved"</f>
        <v>1 of 1 deliverables not yet approved</v>
      </c>
      <c r="D21" s="24"/>
      <c r="E21" s="24"/>
      <c r="F21" s="24"/>
      <c r="G21" s="24"/>
    </row>
    <row r="22" customFormat="false" ht="15" hidden="false" customHeight="false" outlineLevel="0" collapsed="false">
      <c r="B22" s="48" t="s">
        <v>287</v>
      </c>
      <c r="C22" s="24" t="str">
        <f aca="false">COUNTIF(Ms_Status,"At Risk")+COUNTIF(Ms_Status,"Delayed")&amp;" milestones at risk or delayed"</f>
        <v>0 milestones at risk or delayed</v>
      </c>
      <c r="D22" s="24"/>
      <c r="E22" s="24"/>
      <c r="F22" s="24"/>
      <c r="G22" s="24"/>
    </row>
    <row r="23" customFormat="false" ht="15" hidden="false" customHeight="false" outlineLevel="0" collapsed="false">
      <c r="B23" s="48" t="s">
        <v>288</v>
      </c>
      <c r="C23" s="24" t="str">
        <f aca="false">COUNTIFS(Act_DaysToDue,"&gt;=0",Act_DaysToDue,"&lt;=7")&amp;" actions due within 7 days"</f>
        <v>1 actions due within 7 days</v>
      </c>
      <c r="D23" s="24"/>
      <c r="E23" s="24"/>
      <c r="F23" s="24"/>
      <c r="G23" s="24"/>
    </row>
    <row r="25" customFormat="false" ht="18" hidden="false" customHeight="true" outlineLevel="0" collapsed="false">
      <c r="B25" s="3" t="s">
        <v>289</v>
      </c>
      <c r="C25" s="3"/>
      <c r="D25" s="3"/>
      <c r="E25" s="3"/>
      <c r="F25" s="3"/>
      <c r="G25" s="3"/>
      <c r="H25" s="3"/>
      <c r="J25" s="3" t="s">
        <v>290</v>
      </c>
      <c r="K25" s="3"/>
    </row>
    <row r="26" customFormat="false" ht="30" hidden="false" customHeight="true" outlineLevel="0" collapsed="false">
      <c r="B26" s="31" t="s">
        <v>167</v>
      </c>
      <c r="C26" s="31" t="s">
        <v>218</v>
      </c>
      <c r="D26" s="31" t="s">
        <v>291</v>
      </c>
      <c r="E26" s="31" t="s">
        <v>292</v>
      </c>
      <c r="F26" s="31" t="s">
        <v>293</v>
      </c>
      <c r="G26" s="31" t="s">
        <v>193</v>
      </c>
      <c r="H26" s="31" t="s">
        <v>223</v>
      </c>
      <c r="I26" s="49" t="s">
        <v>294</v>
      </c>
      <c r="J26" s="31" t="s">
        <v>295</v>
      </c>
      <c r="K26" s="31" t="s">
        <v>296</v>
      </c>
    </row>
    <row r="27" customFormat="false" ht="15" hidden="false" customHeight="false" outlineLevel="0" collapsed="false">
      <c r="B27" s="32" t="s">
        <v>170</v>
      </c>
      <c r="C27" s="32"/>
      <c r="D27" s="35" t="n">
        <f aca="false">IFERROR(Ctrl_PlannedStart-INDEX(Cfg_MsLeadDays,MATCH($B27,Cfg_MsList,0)),"")</f>
        <v>46179</v>
      </c>
      <c r="E27" s="50"/>
      <c r="F27" s="50"/>
      <c r="G27" s="32"/>
      <c r="H27" s="32"/>
      <c r="I27" s="51" t="n">
        <f aca="true">IF($B27="","",IF($G27="Achieved","",IF($E27&lt;&gt;"",$E27-TODAY(),IF($D27&lt;&gt;"",$D27-TODAY(),""))))</f>
        <v>-75</v>
      </c>
      <c r="J27" s="23"/>
      <c r="K27" s="52"/>
    </row>
    <row r="28" customFormat="false" ht="15" hidden="false" customHeight="false" outlineLevel="0" collapsed="false">
      <c r="B28" s="32" t="s">
        <v>172</v>
      </c>
      <c r="C28" s="32"/>
      <c r="D28" s="35" t="n">
        <f aca="false">IFERROR(Ctrl_PlannedStart-INDEX(Cfg_MsLeadDays,MATCH($B28,Cfg_MsList,0)),"")</f>
        <v>46479</v>
      </c>
      <c r="E28" s="50"/>
      <c r="F28" s="50"/>
      <c r="G28" s="32"/>
      <c r="H28" s="32"/>
      <c r="I28" s="51" t="n">
        <f aca="true">IF($B28="","",IF($G28="Achieved","",IF($E28&lt;&gt;"",$E28-TODAY(),IF($D28&lt;&gt;"",$D28-TODAY(),""))))</f>
        <v>225</v>
      </c>
      <c r="J28" s="23"/>
      <c r="K28" s="52"/>
    </row>
    <row r="29" customFormat="false" ht="15" hidden="false" customHeight="false" outlineLevel="0" collapsed="false">
      <c r="B29" s="32" t="s">
        <v>173</v>
      </c>
      <c r="C29" s="32"/>
      <c r="D29" s="35" t="n">
        <f aca="false">IFERROR(Ctrl_PlannedStart-INDEX(Cfg_MsLeadDays,MATCH($B29,Cfg_MsList,0)),"")</f>
        <v>46525</v>
      </c>
      <c r="E29" s="50"/>
      <c r="F29" s="50"/>
      <c r="G29" s="32"/>
      <c r="H29" s="32"/>
      <c r="I29" s="51" t="n">
        <f aca="true">IF($B29="","",IF($G29="Achieved","",IF($E29&lt;&gt;"",$E29-TODAY(),IF($D29&lt;&gt;"",$D29-TODAY(),""))))</f>
        <v>271</v>
      </c>
      <c r="J29" s="23"/>
      <c r="K29" s="52"/>
    </row>
    <row r="30" customFormat="false" ht="15" hidden="false" customHeight="false" outlineLevel="0" collapsed="false">
      <c r="B30" s="32" t="s">
        <v>174</v>
      </c>
      <c r="C30" s="32"/>
      <c r="D30" s="35" t="n">
        <f aca="false">IFERROR(Ctrl_PlannedStart-INDEX(Cfg_MsLeadDays,MATCH($B30,Cfg_MsList,0)),"")</f>
        <v>46539</v>
      </c>
      <c r="E30" s="50"/>
      <c r="F30" s="50"/>
      <c r="G30" s="32"/>
      <c r="H30" s="32"/>
      <c r="I30" s="51" t="n">
        <f aca="true">IF($B30="","",IF($G30="Achieved","",IF($E30&lt;&gt;"",$E30-TODAY(),IF($D30&lt;&gt;"",$D30-TODAY(),""))))</f>
        <v>285</v>
      </c>
      <c r="J30" s="23"/>
      <c r="K30" s="52"/>
    </row>
    <row r="31" customFormat="false" ht="15" hidden="false" customHeight="false" outlineLevel="0" collapsed="false">
      <c r="B31" s="32" t="s">
        <v>175</v>
      </c>
      <c r="C31" s="32"/>
      <c r="D31" s="35" t="n">
        <f aca="false">IFERROR(Ctrl_PlannedStart-INDEX(Cfg_MsLeadDays,MATCH($B31,Cfg_MsList,0)),"")</f>
        <v>46614</v>
      </c>
      <c r="E31" s="50"/>
      <c r="F31" s="50"/>
      <c r="G31" s="32"/>
      <c r="H31" s="32"/>
      <c r="I31" s="51" t="n">
        <f aca="true">IF($B31="","",IF($G31="Achieved","",IF($E31&lt;&gt;"",$E31-TODAY(),IF($D31&lt;&gt;"",$D31-TODAY(),""))))</f>
        <v>360</v>
      </c>
      <c r="J31" s="23"/>
      <c r="K31" s="52"/>
    </row>
    <row r="32" customFormat="false" ht="15" hidden="false" customHeight="false" outlineLevel="0" collapsed="false">
      <c r="B32" s="32" t="s">
        <v>176</v>
      </c>
      <c r="C32" s="32"/>
      <c r="D32" s="35" t="n">
        <f aca="false">IFERROR(Ctrl_PlannedStart-INDEX(Cfg_MsLeadDays,MATCH($B32,Cfg_MsList,0)),"")</f>
        <v>46624</v>
      </c>
      <c r="E32" s="50"/>
      <c r="F32" s="50"/>
      <c r="G32" s="32"/>
      <c r="H32" s="32"/>
      <c r="I32" s="51" t="n">
        <f aca="true">IF($B32="","",IF($G32="Achieved","",IF($E32&lt;&gt;"",$E32-TODAY(),IF($D32&lt;&gt;"",$D32-TODAY(),""))))</f>
        <v>370</v>
      </c>
      <c r="J32" s="23"/>
      <c r="K32" s="52"/>
    </row>
    <row r="33" customFormat="false" ht="15" hidden="false" customHeight="false" outlineLevel="0" collapsed="false">
      <c r="B33" s="32" t="s">
        <v>177</v>
      </c>
      <c r="C33" s="32"/>
      <c r="D33" s="35" t="n">
        <f aca="false">IFERROR(Ctrl_PlannedStart-INDEX(Cfg_MsLeadDays,MATCH($B33,Cfg_MsList,0)),"")</f>
        <v>46639</v>
      </c>
      <c r="E33" s="50"/>
      <c r="F33" s="50"/>
      <c r="G33" s="32"/>
      <c r="H33" s="32"/>
      <c r="I33" s="51" t="n">
        <f aca="true">IF($B33="","",IF($G33="Achieved","",IF($E33&lt;&gt;"",$E33-TODAY(),IF($D33&lt;&gt;"",$D33-TODAY(),""))))</f>
        <v>385</v>
      </c>
      <c r="J33" s="23"/>
      <c r="K33" s="52"/>
    </row>
    <row r="34" customFormat="false" ht="15" hidden="false" customHeight="false" outlineLevel="0" collapsed="false">
      <c r="B34" s="32" t="s">
        <v>178</v>
      </c>
      <c r="C34" s="32"/>
      <c r="D34" s="35" t="n">
        <f aca="false">IFERROR(Ctrl_PlannedStart-INDEX(Cfg_MsLeadDays,MATCH($B34,Cfg_MsList,0)),"")</f>
        <v>46654</v>
      </c>
      <c r="E34" s="50"/>
      <c r="F34" s="50"/>
      <c r="G34" s="32"/>
      <c r="H34" s="32"/>
      <c r="I34" s="51" t="n">
        <f aca="true">IF($B34="","",IF($G34="Achieved","",IF($E34&lt;&gt;"",$E34-TODAY(),IF($D34&lt;&gt;"",$D34-TODAY(),""))))</f>
        <v>400</v>
      </c>
      <c r="J34" s="23"/>
      <c r="K34" s="52"/>
    </row>
    <row r="35" customFormat="false" ht="15" hidden="false" customHeight="false" outlineLevel="0" collapsed="false">
      <c r="B35" s="32" t="s">
        <v>179</v>
      </c>
      <c r="C35" s="32"/>
      <c r="D35" s="35" t="n">
        <f aca="false">IFERROR(Ctrl_PlannedStart-INDEX(Cfg_MsLeadDays,MATCH($B35,Cfg_MsList,0)),"")</f>
        <v>46669</v>
      </c>
      <c r="E35" s="50"/>
      <c r="F35" s="50"/>
      <c r="G35" s="32"/>
      <c r="H35" s="32"/>
      <c r="I35" s="51" t="n">
        <f aca="true">IF($B35="","",IF($G35="Achieved","",IF($E35&lt;&gt;"",$E35-TODAY(),IF($D35&lt;&gt;"",$D35-TODAY(),""))))</f>
        <v>415</v>
      </c>
      <c r="J35" s="23"/>
      <c r="K35" s="52"/>
    </row>
    <row r="36" customFormat="false" ht="15" hidden="false" customHeight="false" outlineLevel="0" collapsed="false">
      <c r="B36" s="32"/>
      <c r="C36" s="32"/>
      <c r="D36" s="23"/>
      <c r="E36" s="50"/>
      <c r="F36" s="50"/>
      <c r="G36" s="32"/>
      <c r="H36" s="32"/>
      <c r="I36" s="51" t="str">
        <f aca="true">IF($B36="","",IF($G36="Achieved","",IF($E36&lt;&gt;"",$E36-TODAY(),IF($D36&lt;&gt;"",$D36-TODAY(),""))))</f>
        <v/>
      </c>
      <c r="J36" s="23"/>
      <c r="K36" s="52"/>
    </row>
    <row r="37" customFormat="false" ht="15" hidden="false" customHeight="false" outlineLevel="0" collapsed="false">
      <c r="B37" s="32"/>
      <c r="C37" s="32"/>
      <c r="D37" s="23"/>
      <c r="E37" s="50"/>
      <c r="F37" s="50"/>
      <c r="G37" s="32"/>
      <c r="H37" s="32"/>
      <c r="I37" s="51" t="str">
        <f aca="true">IF($B37="","",IF($G37="Achieved","",IF($E37&lt;&gt;"",$E37-TODAY(),IF($D37&lt;&gt;"",$D37-TODAY(),""))))</f>
        <v/>
      </c>
      <c r="J37" s="23"/>
      <c r="K37" s="52"/>
    </row>
    <row r="38" customFormat="false" ht="15" hidden="false" customHeight="false" outlineLevel="0" collapsed="false">
      <c r="B38" s="32"/>
      <c r="C38" s="32"/>
      <c r="D38" s="23"/>
      <c r="E38" s="50"/>
      <c r="F38" s="50"/>
      <c r="G38" s="32"/>
      <c r="H38" s="32"/>
      <c r="I38" s="51" t="str">
        <f aca="true">IF($B38="","",IF($G38="Achieved","",IF($E38&lt;&gt;"",$E38-TODAY(),IF($D38&lt;&gt;"",$D38-TODAY(),""))))</f>
        <v/>
      </c>
      <c r="J38" s="23"/>
      <c r="K38" s="52"/>
    </row>
    <row r="39" customFormat="false" ht="15" hidden="false" customHeight="false" outlineLevel="0" collapsed="false">
      <c r="B39" s="32"/>
      <c r="C39" s="32"/>
      <c r="D39" s="23"/>
      <c r="E39" s="50"/>
      <c r="F39" s="50"/>
      <c r="G39" s="32"/>
      <c r="H39" s="32"/>
      <c r="I39" s="51" t="str">
        <f aca="true">IF($B39="","",IF($G39="Achieved","",IF($E39&lt;&gt;"",$E39-TODAY(),IF($D39&lt;&gt;"",$D39-TODAY(),""))))</f>
        <v/>
      </c>
    </row>
    <row r="40" customFormat="false" ht="15" hidden="false" customHeight="false" outlineLevel="0" collapsed="false">
      <c r="B40" s="32"/>
      <c r="C40" s="32"/>
      <c r="D40" s="23"/>
      <c r="E40" s="50"/>
      <c r="F40" s="50"/>
      <c r="G40" s="32"/>
      <c r="H40" s="32"/>
      <c r="I40" s="51" t="str">
        <f aca="true">IF($B40="","",IF($G40="Achieved","",IF($E40&lt;&gt;"",$E40-TODAY(),IF($D40&lt;&gt;"",$D40-TODAY(),""))))</f>
        <v/>
      </c>
    </row>
    <row r="41" customFormat="false" ht="15" hidden="false" customHeight="false" outlineLevel="0" collapsed="false">
      <c r="B41" s="32"/>
      <c r="C41" s="32"/>
      <c r="D41" s="23"/>
      <c r="E41" s="50"/>
      <c r="F41" s="50"/>
      <c r="G41" s="32"/>
      <c r="H41" s="32"/>
      <c r="I41" s="51" t="str">
        <f aca="true">IF($B41="","",IF($G41="Achieved","",IF($E41&lt;&gt;"",$E41-TODAY(),IF($D41&lt;&gt;"",$D41-TODAY(),""))))</f>
        <v/>
      </c>
    </row>
    <row r="42" customFormat="false" ht="15" hidden="false" customHeight="false" outlineLevel="0" collapsed="false">
      <c r="B42" s="32"/>
      <c r="C42" s="32"/>
      <c r="D42" s="23"/>
      <c r="E42" s="50"/>
      <c r="F42" s="50"/>
      <c r="G42" s="32"/>
      <c r="H42" s="32"/>
      <c r="I42" s="51" t="str">
        <f aca="true">IF($B42="","",IF($G42="Achieved","",IF($E42&lt;&gt;"",$E42-TODAY(),IF($D42&lt;&gt;"",$D42-TODAY(),""))))</f>
        <v/>
      </c>
    </row>
    <row r="43" customFormat="false" ht="15" hidden="false" customHeight="false" outlineLevel="0" collapsed="false">
      <c r="B43" s="32"/>
      <c r="C43" s="32"/>
      <c r="D43" s="23"/>
      <c r="E43" s="50"/>
      <c r="F43" s="50"/>
      <c r="G43" s="32"/>
      <c r="H43" s="32"/>
      <c r="I43" s="51" t="str">
        <f aca="true">IF($B43="","",IF($G43="Achieved","",IF($E43&lt;&gt;"",$E43-TODAY(),IF($D43&lt;&gt;"",$D43-TODAY(),""))))</f>
        <v/>
      </c>
    </row>
    <row r="44" customFormat="false" ht="15" hidden="false" customHeight="false" outlineLevel="0" collapsed="false">
      <c r="B44" s="32"/>
      <c r="C44" s="32"/>
      <c r="D44" s="23"/>
      <c r="E44" s="50"/>
      <c r="F44" s="50"/>
      <c r="G44" s="32"/>
      <c r="H44" s="32"/>
      <c r="I44" s="51" t="str">
        <f aca="true">IF($B44="","",IF($G44="Achieved","",IF($E44&lt;&gt;"",$E44-TODAY(),IF($D44&lt;&gt;"",$D44-TODAY(),""))))</f>
        <v/>
      </c>
    </row>
    <row r="45" customFormat="false" ht="15" hidden="false" customHeight="false" outlineLevel="0" collapsed="false">
      <c r="B45" s="32"/>
      <c r="C45" s="32"/>
      <c r="D45" s="23"/>
      <c r="E45" s="50"/>
      <c r="F45" s="50"/>
      <c r="G45" s="32"/>
      <c r="H45" s="32"/>
      <c r="I45" s="51" t="str">
        <f aca="true">IF($B45="","",IF($G45="Achieved","",IF($E45&lt;&gt;"",$E45-TODAY(),IF($D45&lt;&gt;"",$D45-TODAY(),""))))</f>
        <v/>
      </c>
    </row>
    <row r="46" customFormat="false" ht="15" hidden="false" customHeight="false" outlineLevel="0" collapsed="false">
      <c r="B46" s="32"/>
      <c r="C46" s="32"/>
      <c r="D46" s="23"/>
      <c r="E46" s="50"/>
      <c r="F46" s="50"/>
      <c r="G46" s="32"/>
      <c r="H46" s="32"/>
      <c r="I46" s="51" t="str">
        <f aca="true">IF($B46="","",IF($G46="Achieved","",IF($E46&lt;&gt;"",$E46-TODAY(),IF($D46&lt;&gt;"",$D46-TODAY(),""))))</f>
        <v/>
      </c>
    </row>
    <row r="47" customFormat="false" ht="15" hidden="false" customHeight="false" outlineLevel="0" collapsed="false">
      <c r="B47" s="32"/>
      <c r="C47" s="32"/>
      <c r="D47" s="23"/>
      <c r="E47" s="50"/>
      <c r="F47" s="50"/>
      <c r="G47" s="32"/>
      <c r="H47" s="32"/>
      <c r="I47" s="51" t="str">
        <f aca="true">IF($B47="","",IF($G47="Achieved","",IF($E47&lt;&gt;"",$E47-TODAY(),IF($D47&lt;&gt;"",$D47-TODAY(),""))))</f>
        <v/>
      </c>
    </row>
    <row r="48" customFormat="false" ht="15" hidden="false" customHeight="false" outlineLevel="0" collapsed="false">
      <c r="B48" s="32"/>
      <c r="C48" s="32"/>
      <c r="D48" s="23"/>
      <c r="E48" s="50"/>
      <c r="F48" s="50"/>
      <c r="G48" s="32"/>
      <c r="H48" s="32"/>
      <c r="I48" s="51" t="str">
        <f aca="true">IF($B48="","",IF($G48="Achieved","",IF($E48&lt;&gt;"",$E48-TODAY(),IF($D48&lt;&gt;"",$D48-TODAY(),""))))</f>
        <v/>
      </c>
    </row>
    <row r="49" customFormat="false" ht="15" hidden="false" customHeight="false" outlineLevel="0" collapsed="false">
      <c r="B49" s="32"/>
      <c r="C49" s="32"/>
      <c r="D49" s="23"/>
      <c r="E49" s="50"/>
      <c r="F49" s="50"/>
      <c r="G49" s="32"/>
      <c r="H49" s="32"/>
      <c r="I49" s="51" t="str">
        <f aca="true">IF($B49="","",IF($G49="Achieved","",IF($E49&lt;&gt;"",$E49-TODAY(),IF($D49&lt;&gt;"",$D49-TODAY(),""))))</f>
        <v/>
      </c>
    </row>
    <row r="50" customFormat="false" ht="15" hidden="false" customHeight="false" outlineLevel="0" collapsed="false">
      <c r="B50" s="32"/>
      <c r="C50" s="32"/>
      <c r="D50" s="23"/>
      <c r="E50" s="50"/>
      <c r="F50" s="50"/>
      <c r="G50" s="32"/>
      <c r="H50" s="32"/>
      <c r="I50" s="51" t="str">
        <f aca="true">IF($B50="","",IF($G50="Achieved","",IF($E50&lt;&gt;"",$E50-TODAY(),IF($D50&lt;&gt;"",$D50-TODAY(),""))))</f>
        <v/>
      </c>
    </row>
    <row r="51" customFormat="false" ht="15" hidden="false" customHeight="false" outlineLevel="0" collapsed="false">
      <c r="B51" s="32"/>
      <c r="C51" s="32"/>
      <c r="D51" s="23"/>
      <c r="E51" s="50"/>
      <c r="F51" s="50"/>
      <c r="G51" s="32"/>
      <c r="H51" s="32"/>
      <c r="I51" s="51" t="str">
        <f aca="true">IF($B51="","",IF($G51="Achieved","",IF($E51&lt;&gt;"",$E51-TODAY(),IF($D51&lt;&gt;"",$D51-TODAY(),""))))</f>
        <v/>
      </c>
    </row>
    <row r="52" customFormat="false" ht="15" hidden="false" customHeight="false" outlineLevel="0" collapsed="false">
      <c r="B52" s="32"/>
      <c r="C52" s="32"/>
      <c r="D52" s="23"/>
      <c r="E52" s="50"/>
      <c r="F52" s="50"/>
      <c r="G52" s="32"/>
      <c r="H52" s="32"/>
      <c r="I52" s="51" t="str">
        <f aca="true">IF($B52="","",IF($G52="Achieved","",IF($E52&lt;&gt;"",$E52-TODAY(),IF($D52&lt;&gt;"",$D52-TODAY(),""))))</f>
        <v/>
      </c>
    </row>
    <row r="53" customFormat="false" ht="15" hidden="false" customHeight="false" outlineLevel="0" collapsed="false">
      <c r="B53" s="32"/>
      <c r="C53" s="32"/>
      <c r="D53" s="23"/>
      <c r="E53" s="50"/>
      <c r="F53" s="50"/>
      <c r="G53" s="32"/>
      <c r="H53" s="32"/>
      <c r="I53" s="51" t="str">
        <f aca="true">IF($B53="","",IF($G53="Achieved","",IF($E53&lt;&gt;"",$E53-TODAY(),IF($D53&lt;&gt;"",$D53-TODAY(),""))))</f>
        <v/>
      </c>
    </row>
    <row r="54" customFormat="false" ht="15" hidden="false" customHeight="false" outlineLevel="0" collapsed="false">
      <c r="B54" s="32"/>
      <c r="C54" s="32"/>
      <c r="D54" s="23"/>
      <c r="E54" s="50"/>
      <c r="F54" s="50"/>
      <c r="G54" s="32"/>
      <c r="H54" s="32"/>
      <c r="I54" s="51" t="str">
        <f aca="true">IF($B54="","",IF($G54="Achieved","",IF($E54&lt;&gt;"",$E54-TODAY(),IF($D54&lt;&gt;"",$D54-TODAY(),""))))</f>
        <v/>
      </c>
    </row>
    <row r="55" customFormat="false" ht="15" hidden="false" customHeight="false" outlineLevel="0" collapsed="false">
      <c r="B55" s="32"/>
      <c r="C55" s="32"/>
      <c r="D55" s="23"/>
      <c r="E55" s="50"/>
      <c r="F55" s="50"/>
      <c r="G55" s="32"/>
      <c r="H55" s="32"/>
      <c r="I55" s="51" t="str">
        <f aca="true">IF($B55="","",IF($G55="Achieved","",IF($E55&lt;&gt;"",$E55-TODAY(),IF($D55&lt;&gt;"",$D55-TODAY(),""))))</f>
        <v/>
      </c>
    </row>
    <row r="56" customFormat="false" ht="15" hidden="false" customHeight="false" outlineLevel="0" collapsed="false">
      <c r="B56" s="32"/>
      <c r="C56" s="32"/>
      <c r="D56" s="23"/>
      <c r="E56" s="50"/>
      <c r="F56" s="50"/>
      <c r="G56" s="32"/>
      <c r="H56" s="32"/>
      <c r="I56" s="51" t="str">
        <f aca="true">IF($B56="","",IF($G56="Achieved","",IF($E56&lt;&gt;"",$E56-TODAY(),IF($D56&lt;&gt;"",$D56-TODAY(),""))))</f>
        <v/>
      </c>
    </row>
    <row r="59" customFormat="false" ht="18" hidden="false" customHeight="true" outlineLevel="0" collapsed="false">
      <c r="B59" s="3" t="s">
        <v>297</v>
      </c>
      <c r="C59" s="3"/>
      <c r="D59" s="3"/>
      <c r="E59" s="3"/>
      <c r="F59" s="3"/>
      <c r="G59" s="3"/>
      <c r="H59" s="3"/>
      <c r="I59" s="3"/>
      <c r="J59" s="3"/>
      <c r="K59" s="3"/>
      <c r="L59" s="3"/>
    </row>
  </sheetData>
  <mergeCells count="15">
    <mergeCell ref="B3:L3"/>
    <mergeCell ref="B5:D8"/>
    <mergeCell ref="B14:G14"/>
    <mergeCell ref="C15:G15"/>
    <mergeCell ref="C16:G16"/>
    <mergeCell ref="C17:G17"/>
    <mergeCell ref="C18:G18"/>
    <mergeCell ref="C19:G19"/>
    <mergeCell ref="C20:G20"/>
    <mergeCell ref="C21:G21"/>
    <mergeCell ref="C22:G22"/>
    <mergeCell ref="C23:G23"/>
    <mergeCell ref="B25:H25"/>
    <mergeCell ref="J25:K25"/>
    <mergeCell ref="B59:L59"/>
  </mergeCells>
  <conditionalFormatting sqref="B27:H56">
    <cfRule type="expression" priority="2" aboveAverage="0" equalAverage="0" bottom="0" percent="0" rank="0" text="" dxfId="6">
      <formula>AND($B27&lt;&gt;"",OR($G27="Delayed",$G27="At Risk"))</formula>
    </cfRule>
    <cfRule type="expression" priority="3" aboveAverage="0" equalAverage="0" bottom="0" percent="0" rank="0" text="" dxfId="12">
      <formula>AND($B27&lt;&gt;"",$G27="Achieved")</formula>
    </cfRule>
  </conditionalFormatting>
  <dataValidations count="3">
    <dataValidation allowBlank="true" errorStyle="stop" operator="between" showDropDown="false" showErrorMessage="false" showInputMessage="false" sqref="G27:G56" type="list">
      <formula1>Cfg_MilestoneStatus</formula1>
      <formula2>0</formula2>
    </dataValidation>
    <dataValidation allowBlank="true" errorStyle="stop" operator="between" showDropDown="false" showErrorMessage="false" showInputMessage="false" sqref="C27:C56" type="list">
      <formula1>Sc_IDList</formula1>
      <formula2>0</formula2>
    </dataValidation>
    <dataValidation allowBlank="true" errorStyle="stop" operator="between" showDropDown="false" showErrorMessage="false" showInputMessage="false" sqref="H27:H56"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W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4" min="1" style="0" width="30"/>
  </cols>
  <sheetData>
    <row r="1" customFormat="false" ht="17.35" hidden="false" customHeight="false" outlineLevel="0" collapsed="false">
      <c r="A1" s="1" t="s">
        <v>298</v>
      </c>
    </row>
    <row r="2" customFormat="false" ht="15" hidden="false" customHeight="false" outlineLevel="0" collapsed="false">
      <c r="A2" s="2" t="s">
        <v>299</v>
      </c>
    </row>
    <row r="4" customFormat="false" ht="15" hidden="false" customHeight="false" outlineLevel="0" collapsed="false">
      <c r="A4" s="31" t="s">
        <v>100</v>
      </c>
      <c r="B4" s="31" t="s">
        <v>300</v>
      </c>
      <c r="C4" s="31" t="s">
        <v>209</v>
      </c>
      <c r="D4" s="31" t="s">
        <v>225</v>
      </c>
      <c r="E4" s="31" t="s">
        <v>226</v>
      </c>
      <c r="F4" s="31" t="s">
        <v>257</v>
      </c>
      <c r="G4" s="31" t="s">
        <v>301</v>
      </c>
      <c r="H4" s="31" t="s">
        <v>232</v>
      </c>
      <c r="I4" s="31" t="s">
        <v>302</v>
      </c>
      <c r="J4" s="31" t="s">
        <v>303</v>
      </c>
      <c r="K4" s="31" t="s">
        <v>128</v>
      </c>
      <c r="L4" s="31" t="s">
        <v>304</v>
      </c>
      <c r="M4" s="31" t="s">
        <v>305</v>
      </c>
      <c r="N4" s="31" t="s">
        <v>306</v>
      </c>
    </row>
    <row r="5" customFormat="false" ht="15" hidden="false" customHeight="false" outlineLevel="0" collapsed="false">
      <c r="A5" s="32" t="s">
        <v>26</v>
      </c>
      <c r="B5" s="32" t="s">
        <v>26</v>
      </c>
      <c r="C5" s="32" t="s">
        <v>307</v>
      </c>
      <c r="D5" s="32" t="s">
        <v>26</v>
      </c>
      <c r="E5" s="32" t="s">
        <v>308</v>
      </c>
      <c r="F5" s="32" t="s">
        <v>244</v>
      </c>
      <c r="G5" s="32" t="s">
        <v>265</v>
      </c>
      <c r="H5" s="32" t="s">
        <v>244</v>
      </c>
      <c r="I5" s="32" t="s">
        <v>264</v>
      </c>
      <c r="J5" s="32" t="s">
        <v>26</v>
      </c>
      <c r="K5" s="32" t="s">
        <v>133</v>
      </c>
      <c r="L5" s="32" t="s">
        <v>202</v>
      </c>
      <c r="M5" s="32" t="s">
        <v>309</v>
      </c>
      <c r="N5" s="32" t="s">
        <v>170</v>
      </c>
    </row>
    <row r="6" customFormat="false" ht="15" hidden="false" customHeight="false" outlineLevel="0" collapsed="false">
      <c r="A6" s="32" t="s">
        <v>308</v>
      </c>
      <c r="B6" s="32" t="s">
        <v>308</v>
      </c>
      <c r="C6" s="32" t="s">
        <v>310</v>
      </c>
      <c r="D6" s="32" t="s">
        <v>28</v>
      </c>
      <c r="E6" s="32" t="s">
        <v>243</v>
      </c>
      <c r="F6" s="32" t="s">
        <v>263</v>
      </c>
      <c r="G6" s="32" t="s">
        <v>45</v>
      </c>
      <c r="H6" s="32" t="s">
        <v>263</v>
      </c>
      <c r="I6" s="32" t="s">
        <v>311</v>
      </c>
      <c r="J6" s="32" t="s">
        <v>45</v>
      </c>
      <c r="K6" s="32" t="s">
        <v>135</v>
      </c>
      <c r="L6" s="32" t="s">
        <v>312</v>
      </c>
      <c r="M6" s="32" t="s">
        <v>313</v>
      </c>
      <c r="N6" s="32" t="s">
        <v>172</v>
      </c>
    </row>
    <row r="7" customFormat="false" ht="15" hidden="false" customHeight="false" outlineLevel="0" collapsed="false">
      <c r="A7" s="32" t="s">
        <v>45</v>
      </c>
      <c r="B7" s="32" t="s">
        <v>314</v>
      </c>
      <c r="C7" s="32" t="s">
        <v>315</v>
      </c>
      <c r="D7" s="32" t="s">
        <v>316</v>
      </c>
      <c r="E7" s="32" t="s">
        <v>173</v>
      </c>
      <c r="F7" s="32" t="s">
        <v>317</v>
      </c>
      <c r="G7" s="32" t="s">
        <v>46</v>
      </c>
      <c r="H7" s="32" t="s">
        <v>317</v>
      </c>
      <c r="J7" s="32" t="s">
        <v>318</v>
      </c>
      <c r="K7" s="32" t="s">
        <v>136</v>
      </c>
      <c r="L7" s="32" t="s">
        <v>319</v>
      </c>
      <c r="M7" s="32" t="s">
        <v>320</v>
      </c>
      <c r="N7" s="32" t="s">
        <v>173</v>
      </c>
    </row>
    <row r="8" customFormat="false" ht="15" hidden="false" customHeight="false" outlineLevel="0" collapsed="false">
      <c r="A8" s="32" t="s">
        <v>321</v>
      </c>
      <c r="B8" s="32" t="s">
        <v>322</v>
      </c>
      <c r="C8" s="32" t="s">
        <v>323</v>
      </c>
      <c r="D8" s="32" t="s">
        <v>324</v>
      </c>
      <c r="E8" s="32" t="s">
        <v>321</v>
      </c>
      <c r="F8" s="32" t="s">
        <v>325</v>
      </c>
      <c r="G8" s="32" t="s">
        <v>38</v>
      </c>
      <c r="H8" s="32" t="s">
        <v>325</v>
      </c>
      <c r="J8" s="32" t="s">
        <v>326</v>
      </c>
      <c r="K8" s="32" t="s">
        <v>138</v>
      </c>
      <c r="L8" s="32" t="s">
        <v>214</v>
      </c>
      <c r="M8" s="32" t="s">
        <v>262</v>
      </c>
      <c r="N8" s="32" t="s">
        <v>174</v>
      </c>
    </row>
    <row r="9" customFormat="false" ht="15" hidden="false" customHeight="false" outlineLevel="0" collapsed="false">
      <c r="A9" s="32" t="s">
        <v>327</v>
      </c>
      <c r="B9" s="32" t="s">
        <v>45</v>
      </c>
      <c r="C9" s="32" t="s">
        <v>215</v>
      </c>
      <c r="D9" s="32" t="s">
        <v>242</v>
      </c>
      <c r="E9" s="32" t="s">
        <v>328</v>
      </c>
      <c r="J9" s="32" t="s">
        <v>329</v>
      </c>
      <c r="K9" s="32" t="s">
        <v>139</v>
      </c>
      <c r="L9" s="32" t="s">
        <v>241</v>
      </c>
      <c r="M9" s="32" t="s">
        <v>330</v>
      </c>
      <c r="N9" s="32" t="s">
        <v>175</v>
      </c>
    </row>
    <row r="10" customFormat="false" ht="15" hidden="false" customHeight="false" outlineLevel="0" collapsed="false">
      <c r="A10" s="32" t="s">
        <v>331</v>
      </c>
      <c r="B10" s="32" t="s">
        <v>331</v>
      </c>
      <c r="C10" s="32" t="s">
        <v>332</v>
      </c>
      <c r="D10" s="32" t="s">
        <v>32</v>
      </c>
      <c r="E10" s="32" t="s">
        <v>327</v>
      </c>
      <c r="K10" s="32" t="s">
        <v>141</v>
      </c>
      <c r="L10" s="32" t="s">
        <v>333</v>
      </c>
      <c r="M10" s="32" t="s">
        <v>334</v>
      </c>
      <c r="N10" s="32" t="s">
        <v>176</v>
      </c>
    </row>
    <row r="11" customFormat="false" ht="15" hidden="false" customHeight="false" outlineLevel="0" collapsed="false">
      <c r="A11" s="32" t="s">
        <v>335</v>
      </c>
      <c r="B11" s="32" t="s">
        <v>335</v>
      </c>
      <c r="C11" s="32" t="s">
        <v>336</v>
      </c>
      <c r="D11" s="32" t="s">
        <v>337</v>
      </c>
      <c r="E11" s="32" t="s">
        <v>179</v>
      </c>
      <c r="K11" s="32" t="s">
        <v>142</v>
      </c>
      <c r="L11" s="32" t="s">
        <v>338</v>
      </c>
      <c r="M11" s="32" t="s">
        <v>339</v>
      </c>
      <c r="N11" s="32" t="s">
        <v>177</v>
      </c>
    </row>
    <row r="12" customFormat="false" ht="15" hidden="false" customHeight="false" outlineLevel="0" collapsed="false">
      <c r="C12" s="32" t="s">
        <v>176</v>
      </c>
      <c r="D12" s="32" t="s">
        <v>340</v>
      </c>
      <c r="K12" s="32" t="s">
        <v>143</v>
      </c>
      <c r="L12" s="32" t="s">
        <v>341</v>
      </c>
      <c r="M12" s="32" t="s">
        <v>342</v>
      </c>
      <c r="N12" s="32" t="s">
        <v>178</v>
      </c>
    </row>
    <row r="13" customFormat="false" ht="15" hidden="false" customHeight="false" outlineLevel="0" collapsed="false">
      <c r="C13" s="32" t="s">
        <v>343</v>
      </c>
      <c r="D13" s="32" t="s">
        <v>233</v>
      </c>
      <c r="K13" s="32" t="s">
        <v>145</v>
      </c>
      <c r="L13" s="32" t="s">
        <v>344</v>
      </c>
      <c r="N13" s="32" t="s">
        <v>179</v>
      </c>
    </row>
    <row r="14" customFormat="false" ht="15" hidden="false" customHeight="false" outlineLevel="0" collapsed="false">
      <c r="C14" s="32" t="s">
        <v>345</v>
      </c>
      <c r="D14" s="32" t="s">
        <v>346</v>
      </c>
      <c r="K14" s="32" t="s">
        <v>146</v>
      </c>
      <c r="L14" s="32" t="s">
        <v>347</v>
      </c>
    </row>
    <row r="15" customFormat="false" ht="15" hidden="false" customHeight="false" outlineLevel="0" collapsed="false">
      <c r="C15" s="32" t="s">
        <v>331</v>
      </c>
      <c r="D15" s="32" t="s">
        <v>348</v>
      </c>
      <c r="K15" s="32" t="s">
        <v>147</v>
      </c>
      <c r="L15" s="32" t="s">
        <v>349</v>
      </c>
    </row>
    <row r="16" customFormat="false" ht="15" hidden="false" customHeight="false" outlineLevel="0" collapsed="false">
      <c r="D16" s="32" t="s">
        <v>38</v>
      </c>
      <c r="K16" s="32" t="s">
        <v>69</v>
      </c>
      <c r="L16" s="32" t="s">
        <v>350</v>
      </c>
    </row>
    <row r="17" customFormat="false" ht="15" hidden="false" customHeight="false" outlineLevel="0" collapsed="false">
      <c r="K17" s="32" t="s">
        <v>150</v>
      </c>
      <c r="L17" s="32" t="s">
        <v>351</v>
      </c>
    </row>
    <row r="18" customFormat="false" ht="15" hidden="false" customHeight="false" outlineLevel="0" collapsed="false">
      <c r="K18" s="32" t="s">
        <v>152</v>
      </c>
      <c r="L18" s="32" t="s">
        <v>352</v>
      </c>
    </row>
    <row r="19" customFormat="false" ht="15" hidden="false" customHeight="false" outlineLevel="0" collapsed="false">
      <c r="K19" s="32" t="s">
        <v>154</v>
      </c>
      <c r="L19" s="32" t="s">
        <v>353</v>
      </c>
    </row>
    <row r="20" customFormat="false" ht="15" hidden="false" customHeight="false" outlineLevel="0" collapsed="false">
      <c r="K20" s="32" t="s">
        <v>156</v>
      </c>
      <c r="L20" s="32" t="s">
        <v>354</v>
      </c>
    </row>
    <row r="21" customFormat="false" ht="15" hidden="false" customHeight="false" outlineLevel="0" collapsed="false">
      <c r="K21" s="32" t="s">
        <v>157</v>
      </c>
    </row>
    <row r="22" customFormat="false" ht="15" hidden="false" customHeight="false" outlineLevel="0" collapsed="false">
      <c r="K22" s="32" t="s">
        <v>159</v>
      </c>
    </row>
    <row r="23" customFormat="false" ht="15" hidden="false" customHeight="false" outlineLevel="0" collapsed="false">
      <c r="K23" s="32" t="s">
        <v>161</v>
      </c>
    </row>
    <row r="24" customFormat="false" ht="15" hidden="false" customHeight="false" outlineLevel="0" collapsed="false">
      <c r="K24" s="32" t="s">
        <v>163</v>
      </c>
    </row>
    <row r="28" customFormat="false" ht="15" hidden="false" customHeight="false" outlineLevel="0" collapsed="false">
      <c r="A28" s="46" t="s">
        <v>355</v>
      </c>
      <c r="D28" s="46" t="s">
        <v>356</v>
      </c>
      <c r="H28" s="46" t="s">
        <v>357</v>
      </c>
      <c r="K28" s="46" t="s">
        <v>358</v>
      </c>
      <c r="N28" s="46" t="s">
        <v>359</v>
      </c>
    </row>
    <row r="29" customFormat="false" ht="30" hidden="false" customHeight="true" outlineLevel="0" collapsed="false">
      <c r="A29" s="31" t="s">
        <v>209</v>
      </c>
      <c r="B29" s="31" t="s">
        <v>234</v>
      </c>
      <c r="D29" s="31" t="s">
        <v>225</v>
      </c>
      <c r="E29" s="31" t="s">
        <v>234</v>
      </c>
      <c r="F29" s="31" t="s">
        <v>360</v>
      </c>
      <c r="H29" s="31" t="s">
        <v>361</v>
      </c>
      <c r="I29" s="31" t="s">
        <v>362</v>
      </c>
      <c r="K29" s="31" t="s">
        <v>269</v>
      </c>
      <c r="L29" s="31" t="s">
        <v>271</v>
      </c>
      <c r="N29" s="31" t="s">
        <v>363</v>
      </c>
      <c r="O29" s="31" t="s">
        <v>362</v>
      </c>
    </row>
    <row r="30" customFormat="false" ht="15" hidden="false" customHeight="false" outlineLevel="0" collapsed="false">
      <c r="A30" s="32" t="s">
        <v>307</v>
      </c>
      <c r="B30" s="53" t="n">
        <v>0</v>
      </c>
      <c r="D30" s="32" t="s">
        <v>26</v>
      </c>
      <c r="E30" s="53" t="n">
        <v>0</v>
      </c>
      <c r="F30" s="54" t="n">
        <v>0</v>
      </c>
      <c r="H30" s="32" t="s">
        <v>364</v>
      </c>
      <c r="I30" s="53" t="n">
        <v>0.5</v>
      </c>
      <c r="K30" s="32" t="s">
        <v>274</v>
      </c>
      <c r="L30" s="53" t="n">
        <v>0.4</v>
      </c>
      <c r="N30" s="32" t="s">
        <v>365</v>
      </c>
      <c r="O30" s="53" t="n">
        <v>0.9</v>
      </c>
    </row>
    <row r="31" customFormat="false" ht="15" hidden="false" customHeight="false" outlineLevel="0" collapsed="false">
      <c r="A31" s="32" t="s">
        <v>310</v>
      </c>
      <c r="B31" s="53" t="n">
        <v>0.1</v>
      </c>
      <c r="D31" s="32" t="s">
        <v>28</v>
      </c>
      <c r="E31" s="53" t="n">
        <v>0.15</v>
      </c>
      <c r="F31" s="54" t="n">
        <v>0</v>
      </c>
      <c r="H31" s="32" t="s">
        <v>366</v>
      </c>
      <c r="I31" s="53" t="n">
        <v>0.5</v>
      </c>
      <c r="K31" s="32" t="s">
        <v>243</v>
      </c>
      <c r="L31" s="53" t="n">
        <v>0.2</v>
      </c>
      <c r="N31" s="32" t="s">
        <v>367</v>
      </c>
      <c r="O31" s="53" t="n">
        <v>0.75</v>
      </c>
    </row>
    <row r="32" customFormat="false" ht="15" hidden="false" customHeight="false" outlineLevel="0" collapsed="false">
      <c r="A32" s="32" t="s">
        <v>315</v>
      </c>
      <c r="B32" s="53" t="n">
        <v>0.2</v>
      </c>
      <c r="D32" s="32" t="s">
        <v>316</v>
      </c>
      <c r="E32" s="53" t="n">
        <v>0.3</v>
      </c>
      <c r="F32" s="54" t="n">
        <v>0</v>
      </c>
      <c r="H32" s="32" t="s">
        <v>368</v>
      </c>
      <c r="I32" s="55" t="n">
        <v>21</v>
      </c>
      <c r="K32" s="32" t="s">
        <v>275</v>
      </c>
      <c r="L32" s="53" t="n">
        <v>0.15</v>
      </c>
      <c r="N32" s="32" t="s">
        <v>369</v>
      </c>
      <c r="O32" s="53" t="n">
        <v>0.5</v>
      </c>
    </row>
    <row r="33" customFormat="false" ht="15" hidden="false" customHeight="false" outlineLevel="0" collapsed="false">
      <c r="A33" s="32" t="s">
        <v>323</v>
      </c>
      <c r="B33" s="53" t="n">
        <v>0.3</v>
      </c>
      <c r="D33" s="32" t="s">
        <v>324</v>
      </c>
      <c r="E33" s="53" t="n">
        <v>0.45</v>
      </c>
      <c r="F33" s="54" t="n">
        <v>0</v>
      </c>
      <c r="K33" s="32" t="s">
        <v>276</v>
      </c>
      <c r="L33" s="53" t="n">
        <v>0.1</v>
      </c>
      <c r="N33" s="32" t="s">
        <v>370</v>
      </c>
      <c r="O33" s="53" t="n">
        <v>0.75</v>
      </c>
    </row>
    <row r="34" customFormat="false" ht="15" hidden="false" customHeight="false" outlineLevel="0" collapsed="false">
      <c r="A34" s="32" t="s">
        <v>215</v>
      </c>
      <c r="B34" s="53" t="n">
        <v>0.45</v>
      </c>
      <c r="D34" s="32" t="s">
        <v>242</v>
      </c>
      <c r="E34" s="53" t="n">
        <v>0.55</v>
      </c>
      <c r="F34" s="54" t="n">
        <v>0</v>
      </c>
      <c r="H34" s="17" t="s">
        <v>371</v>
      </c>
      <c r="K34" s="32" t="s">
        <v>277</v>
      </c>
      <c r="L34" s="53" t="n">
        <v>0.1</v>
      </c>
      <c r="N34" s="32" t="s">
        <v>372</v>
      </c>
      <c r="O34" s="53" t="n">
        <v>0.5</v>
      </c>
    </row>
    <row r="35" customFormat="false" ht="15" hidden="false" customHeight="false" outlineLevel="0" collapsed="false">
      <c r="A35" s="32" t="s">
        <v>332</v>
      </c>
      <c r="B35" s="53" t="n">
        <v>0.6</v>
      </c>
      <c r="D35" s="32" t="s">
        <v>32</v>
      </c>
      <c r="E35" s="53" t="n">
        <v>0.5</v>
      </c>
      <c r="F35" s="54" t="n">
        <v>0</v>
      </c>
      <c r="K35" s="32" t="s">
        <v>278</v>
      </c>
      <c r="L35" s="53" t="n">
        <v>0.05</v>
      </c>
      <c r="N35" s="32" t="s">
        <v>373</v>
      </c>
      <c r="O35" s="55" t="n">
        <v>30</v>
      </c>
    </row>
    <row r="36" customFormat="false" ht="15" hidden="false" customHeight="false" outlineLevel="0" collapsed="false">
      <c r="A36" s="32" t="s">
        <v>336</v>
      </c>
      <c r="B36" s="53" t="n">
        <v>0.7</v>
      </c>
      <c r="D36" s="32" t="s">
        <v>337</v>
      </c>
      <c r="E36" s="53" t="n">
        <v>0.4</v>
      </c>
      <c r="F36" s="54" t="n">
        <v>0</v>
      </c>
      <c r="K36" s="46" t="s">
        <v>374</v>
      </c>
      <c r="L36" s="56" t="n">
        <f aca="false">SUM(L30:L35)</f>
        <v>1</v>
      </c>
      <c r="N36" s="32" t="s">
        <v>375</v>
      </c>
      <c r="O36" s="55" t="n">
        <v>14</v>
      </c>
    </row>
    <row r="37" customFormat="false" ht="15" hidden="false" customHeight="false" outlineLevel="0" collapsed="false">
      <c r="A37" s="32" t="s">
        <v>176</v>
      </c>
      <c r="B37" s="53" t="n">
        <v>0.8</v>
      </c>
      <c r="D37" s="32" t="s">
        <v>340</v>
      </c>
      <c r="E37" s="53" t="n">
        <v>0.7</v>
      </c>
      <c r="F37" s="54" t="n">
        <v>0</v>
      </c>
      <c r="N37" s="32" t="s">
        <v>376</v>
      </c>
      <c r="O37" s="53" t="n">
        <v>0.8</v>
      </c>
    </row>
    <row r="38" customFormat="false" ht="15" hidden="false" customHeight="false" outlineLevel="0" collapsed="false">
      <c r="A38" s="32" t="s">
        <v>343</v>
      </c>
      <c r="B38" s="53" t="n">
        <v>0.85</v>
      </c>
      <c r="D38" s="32" t="s">
        <v>233</v>
      </c>
      <c r="E38" s="53" t="n">
        <v>0.9</v>
      </c>
      <c r="F38" s="54" t="n">
        <v>1</v>
      </c>
      <c r="N38" s="32" t="s">
        <v>377</v>
      </c>
      <c r="O38" s="55" t="n">
        <v>30</v>
      </c>
    </row>
    <row r="39" customFormat="false" ht="15" hidden="false" customHeight="false" outlineLevel="0" collapsed="false">
      <c r="A39" s="32" t="s">
        <v>345</v>
      </c>
      <c r="B39" s="53" t="n">
        <v>0.95</v>
      </c>
      <c r="D39" s="32" t="s">
        <v>346</v>
      </c>
      <c r="E39" s="53" t="n">
        <v>0.95</v>
      </c>
      <c r="F39" s="54" t="n">
        <v>1</v>
      </c>
    </row>
    <row r="40" customFormat="false" ht="15" hidden="false" customHeight="false" outlineLevel="0" collapsed="false">
      <c r="A40" s="32" t="s">
        <v>331</v>
      </c>
      <c r="B40" s="53" t="n">
        <v>1</v>
      </c>
      <c r="D40" s="32" t="s">
        <v>348</v>
      </c>
      <c r="E40" s="53" t="n">
        <v>0.98</v>
      </c>
      <c r="F40" s="54" t="n">
        <v>1</v>
      </c>
    </row>
    <row r="41" customFormat="false" ht="15" hidden="false" customHeight="false" outlineLevel="0" collapsed="false">
      <c r="D41" s="32" t="s">
        <v>38</v>
      </c>
      <c r="E41" s="53" t="n">
        <v>1</v>
      </c>
      <c r="F41" s="54" t="n">
        <v>1</v>
      </c>
    </row>
    <row r="42" customFormat="false" ht="15" hidden="false" customHeight="false" outlineLevel="0" collapsed="false">
      <c r="A42" s="17" t="s">
        <v>378</v>
      </c>
    </row>
    <row r="44" customFormat="false" ht="15" hidden="false" customHeight="false" outlineLevel="0" collapsed="false">
      <c r="A44" s="46" t="s">
        <v>379</v>
      </c>
    </row>
    <row r="45" customFormat="false" ht="30" hidden="false" customHeight="true" outlineLevel="0" collapsed="false">
      <c r="A45" s="31" t="s">
        <v>380</v>
      </c>
      <c r="B45" s="31" t="s">
        <v>233</v>
      </c>
      <c r="C45" s="31" t="s">
        <v>381</v>
      </c>
      <c r="D45" s="31" t="s">
        <v>382</v>
      </c>
    </row>
    <row r="46" customFormat="false" ht="15" hidden="false" customHeight="false" outlineLevel="0" collapsed="false">
      <c r="A46" s="32" t="s">
        <v>147</v>
      </c>
      <c r="B46" s="57" t="n">
        <f aca="false">COUNTIFS(Doc_Type,$A46,Doc_Approved,1)</f>
        <v>0</v>
      </c>
      <c r="C46" s="57" t="n">
        <f aca="false">COUNTIFS(Doc_Type,$A46,Doc_Approved,0)</f>
        <v>0</v>
      </c>
      <c r="D46" s="57" t="n">
        <f aca="false">IF(AND($B46&gt;0,$C46=0),1,0)</f>
        <v>0</v>
      </c>
    </row>
    <row r="47" customFormat="false" ht="15" hidden="false" customHeight="false" outlineLevel="0" collapsed="false">
      <c r="A47" s="32" t="s">
        <v>142</v>
      </c>
      <c r="B47" s="57" t="n">
        <f aca="false">COUNTIFS(Doc_Type,$A47,Doc_Approved,1)</f>
        <v>0</v>
      </c>
      <c r="C47" s="57" t="n">
        <f aca="false">COUNTIFS(Doc_Type,$A47,Doc_Approved,0)</f>
        <v>1</v>
      </c>
      <c r="D47" s="57" t="n">
        <f aca="false">IF(AND($B47&gt;0,$C47=0),1,0)</f>
        <v>0</v>
      </c>
    </row>
    <row r="48" customFormat="false" ht="15" hidden="false" customHeight="false" outlineLevel="0" collapsed="false">
      <c r="A48" s="32" t="s">
        <v>143</v>
      </c>
      <c r="B48" s="57" t="n">
        <f aca="false">COUNTIFS(Doc_Type,$A48,Doc_Approved,1)</f>
        <v>0</v>
      </c>
      <c r="C48" s="57" t="n">
        <f aca="false">COUNTIFS(Doc_Type,$A48,Doc_Approved,0)</f>
        <v>0</v>
      </c>
      <c r="D48" s="57" t="n">
        <f aca="false">IF(AND($B48&gt;0,$C48=0),1,0)</f>
        <v>0</v>
      </c>
    </row>
    <row r="49" customFormat="false" ht="15" hidden="false" customHeight="false" outlineLevel="0" collapsed="false">
      <c r="A49" s="32" t="s">
        <v>145</v>
      </c>
      <c r="B49" s="57" t="n">
        <f aca="false">COUNTIFS(Doc_Type,$A49,Doc_Approved,1)</f>
        <v>0</v>
      </c>
      <c r="C49" s="57" t="n">
        <f aca="false">COUNTIFS(Doc_Type,$A49,Doc_Approved,0)</f>
        <v>0</v>
      </c>
      <c r="D49" s="57" t="n">
        <f aca="false">IF(AND($B49&gt;0,$C49=0),1,0)</f>
        <v>0</v>
      </c>
    </row>
    <row r="50" customFormat="false" ht="15" hidden="false" customHeight="false" outlineLevel="0" collapsed="false">
      <c r="A50" s="32" t="s">
        <v>135</v>
      </c>
      <c r="B50" s="57" t="n">
        <f aca="false">COUNTIFS(Doc_Type,$A50,Doc_Approved,1)</f>
        <v>0</v>
      </c>
      <c r="C50" s="57" t="n">
        <f aca="false">COUNTIFS(Doc_Type,$A50,Doc_Approved,0)</f>
        <v>0</v>
      </c>
      <c r="D50" s="57" t="n">
        <f aca="false">IF(AND($B50&gt;0,$C50=0),1,0)</f>
        <v>0</v>
      </c>
    </row>
    <row r="51" customFormat="false" ht="15" hidden="false" customHeight="false" outlineLevel="0" collapsed="false">
      <c r="A51" s="32" t="s">
        <v>136</v>
      </c>
      <c r="B51" s="57" t="n">
        <f aca="false">COUNTIFS(Doc_Type,$A51,Doc_Approved,1)</f>
        <v>0</v>
      </c>
      <c r="C51" s="57" t="n">
        <f aca="false">COUNTIFS(Doc_Type,$A51,Doc_Approved,0)</f>
        <v>0</v>
      </c>
      <c r="D51" s="57" t="n">
        <f aca="false">IF(AND($B51&gt;0,$C51=0),1,0)</f>
        <v>0</v>
      </c>
    </row>
    <row r="52" customFormat="false" ht="15" hidden="false" customHeight="false" outlineLevel="0" collapsed="false">
      <c r="A52" s="32" t="s">
        <v>138</v>
      </c>
      <c r="B52" s="57" t="n">
        <f aca="false">COUNTIFS(Doc_Type,$A52,Doc_Approved,1)</f>
        <v>0</v>
      </c>
      <c r="C52" s="57" t="n">
        <f aca="false">COUNTIFS(Doc_Type,$A52,Doc_Approved,0)</f>
        <v>0</v>
      </c>
      <c r="D52" s="57" t="n">
        <f aca="false">IF(AND($B52&gt;0,$C52=0),1,0)</f>
        <v>0</v>
      </c>
    </row>
    <row r="53" customFormat="false" ht="15" hidden="false" customHeight="false" outlineLevel="0" collapsed="false">
      <c r="A53" s="32" t="s">
        <v>139</v>
      </c>
      <c r="B53" s="57" t="n">
        <f aca="false">COUNTIFS(Doc_Type,$A53,Doc_Approved,1)</f>
        <v>0</v>
      </c>
      <c r="C53" s="57" t="n">
        <f aca="false">COUNTIFS(Doc_Type,$A53,Doc_Approved,0)</f>
        <v>0</v>
      </c>
      <c r="D53" s="57" t="n">
        <f aca="false">IF(AND($B53&gt;0,$C53=0),1,0)</f>
        <v>0</v>
      </c>
    </row>
    <row r="54" customFormat="false" ht="15" hidden="false" customHeight="false" outlineLevel="0" collapsed="false">
      <c r="A54" s="32" t="s">
        <v>141</v>
      </c>
      <c r="B54" s="57" t="n">
        <f aca="false">COUNTIFS(Doc_Type,$A54,Doc_Approved,1)</f>
        <v>0</v>
      </c>
      <c r="C54" s="57" t="n">
        <f aca="false">COUNTIFS(Doc_Type,$A54,Doc_Approved,0)</f>
        <v>0</v>
      </c>
      <c r="D54" s="57" t="n">
        <f aca="false">IF(AND($B54&gt;0,$C54=0),1,0)</f>
        <v>0</v>
      </c>
    </row>
    <row r="55" customFormat="false" ht="15" hidden="false" customHeight="false" outlineLevel="0" collapsed="false">
      <c r="A55" s="32" t="s">
        <v>69</v>
      </c>
      <c r="B55" s="57" t="n">
        <f aca="false">COUNTIFS(Doc_Type,$A55,Doc_Approved,1)</f>
        <v>0</v>
      </c>
      <c r="C55" s="57" t="n">
        <f aca="false">COUNTIFS(Doc_Type,$A55,Doc_Approved,0)</f>
        <v>0</v>
      </c>
      <c r="D55" s="57" t="n">
        <f aca="false">IF(AND($B55&gt;0,$C55=0),1,0)</f>
        <v>0</v>
      </c>
    </row>
    <row r="57" customFormat="false" ht="15" hidden="false" customHeight="false" outlineLevel="0" collapsed="false">
      <c r="A57" s="46" t="s">
        <v>115</v>
      </c>
      <c r="B57" s="56" t="n">
        <f aca="false">IFERROR(SUM(B46:B55)/(SUM(B46:B55)+SUM(C46:C55)),0)</f>
        <v>0</v>
      </c>
    </row>
    <row r="58" customFormat="false" ht="15" hidden="false" customHeight="false" outlineLevel="0" collapsed="false">
      <c r="A58" s="46" t="s">
        <v>117</v>
      </c>
      <c r="B58" s="48" t="str">
        <f aca="false">IF(SUM(D46:D55)=COUNTA(A46:A55),"Ready",IF($B$57&gt;=0.8,"At Risk","Not Ready"))</f>
        <v>Not Ready</v>
      </c>
    </row>
    <row r="60" customFormat="false" ht="15" hidden="false" customHeight="false" outlineLevel="0" collapsed="false">
      <c r="A60" s="46" t="s">
        <v>383</v>
      </c>
      <c r="B60" s="48" t="str">
        <f aca="false">SUM(D46:D55)&amp;" of "&amp;COUNTA(A46:A55)</f>
        <v>0 of 10</v>
      </c>
    </row>
    <row r="200" customFormat="false" ht="15" hidden="false" customHeight="false" outlineLevel="0" collapsed="false">
      <c r="A200" s="46" t="s">
        <v>384</v>
      </c>
    </row>
    <row r="202" customFormat="false" ht="30" hidden="false" customHeight="true" outlineLevel="0" collapsed="false">
      <c r="A202" s="31" t="s">
        <v>218</v>
      </c>
      <c r="B202" s="31" t="s">
        <v>192</v>
      </c>
      <c r="D202" s="31" t="s">
        <v>385</v>
      </c>
      <c r="E202" s="31" t="s">
        <v>386</v>
      </c>
      <c r="G202" s="31" t="s">
        <v>387</v>
      </c>
      <c r="H202" s="31" t="s">
        <v>386</v>
      </c>
      <c r="J202" s="31" t="s">
        <v>309</v>
      </c>
      <c r="K202" s="31" t="s">
        <v>231</v>
      </c>
      <c r="L202" s="31" t="s">
        <v>388</v>
      </c>
      <c r="N202" s="31" t="s">
        <v>389</v>
      </c>
      <c r="O202" s="31" t="s">
        <v>390</v>
      </c>
      <c r="P202" s="31" t="s">
        <v>388</v>
      </c>
      <c r="R202" s="31" t="s">
        <v>223</v>
      </c>
      <c r="S202" s="31" t="s">
        <v>391</v>
      </c>
      <c r="T202" s="31" t="s">
        <v>392</v>
      </c>
      <c r="V202" s="31" t="s">
        <v>167</v>
      </c>
      <c r="W202" s="31" t="s">
        <v>393</v>
      </c>
    </row>
    <row r="203" customFormat="false" ht="15" hidden="false" customHeight="false" outlineLevel="0" collapsed="false">
      <c r="A203" s="58" t="str">
        <f aca="false">IF('Scope Tracker'!$A4="","",'Scope Tracker'!$B4)</f>
        <v>Traction Power &amp; 33kV Distribution</v>
      </c>
      <c r="B203" s="59" t="n">
        <f aca="false">IF('Scope Tracker'!$A4="","",'Scope Tracker'!$J4)</f>
        <v>0.225</v>
      </c>
      <c r="D203" s="58" t="s">
        <v>26</v>
      </c>
      <c r="E203" s="58" t="n">
        <f aca="false">COUNTIF(Eq_Status,$D203)</f>
        <v>0</v>
      </c>
      <c r="G203" s="58" t="s">
        <v>26</v>
      </c>
      <c r="H203" s="58" t="n">
        <f aca="false">COUNTIF(Doc_Workflow,$G203)</f>
        <v>0</v>
      </c>
      <c r="J203" s="58" t="str">
        <f aca="false">IF($L203="","",IFERROR(INDEX(Doc_Number,MATCH($L203,Doc_RankKey,0))&amp;" — "&amp;INDEX(Doc_Type,MATCH($L203,Doc_RankKey,0)),""))</f>
        <v/>
      </c>
      <c r="K203" s="58" t="str">
        <f aca="false">IF($L203="","",ROUNDDOWN($L203,0))</f>
        <v/>
      </c>
      <c r="L203" s="58" t="str">
        <f aca="false">IFERROR(LARGE(Doc_RankKey,1),"")</f>
        <v/>
      </c>
      <c r="N203" s="58" t="str">
        <f aca="false">IF($P203="","",IFERROR(INDEX(Act_ID,MATCH($P203,Act_RankKey,0))&amp;" — "&amp;LEFT(INDEX(Act_Desc,MATCH($P203,Act_RankKey,0)),40),""))</f>
        <v/>
      </c>
      <c r="O203" s="58" t="str">
        <f aca="false">IF($P203="","",ROUNDDOWN($P203,0))</f>
        <v/>
      </c>
      <c r="P203" s="58" t="str">
        <f aca="false">IFERROR(LARGE(Act_RankKey,1),"")</f>
        <v/>
      </c>
      <c r="R203" s="58" t="str">
        <f aca="false">Configuration!$L$5</f>
        <v>A. Mercer</v>
      </c>
      <c r="S203" s="58" t="n">
        <f aca="false">COUNTIFS(Act_Owner,$R203,Act_Status,"&lt;&gt;Closed")+COUNTIFS(Doc_Owner,$R203,Doc_Approved,0)</f>
        <v>1</v>
      </c>
      <c r="T203" s="58" t="n">
        <f aca="false">COUNTIFS(Act_Owner,$R203,Act_Status,"&lt;&gt;Closed",Act_Blocker,"Yes")</f>
        <v>1</v>
      </c>
      <c r="V203" s="58" t="str">
        <f aca="false">IF(Dashboard!$B27="","",Dashboard!$B27)</f>
        <v>Kick Off Meeting</v>
      </c>
      <c r="W203" s="51" t="n">
        <f aca="false">IF(Dashboard!$I27="",0,Dashboard!$I27)</f>
        <v>-75</v>
      </c>
    </row>
    <row r="204" customFormat="false" ht="15" hidden="false" customHeight="false" outlineLevel="0" collapsed="false">
      <c r="A204" s="58" t="str">
        <f aca="false">IF('Scope Tracker'!$A5="","",'Scope Tracker'!$B5)</f>
        <v/>
      </c>
      <c r="B204" s="59" t="str">
        <f aca="false">IF('Scope Tracker'!$A5="","",'Scope Tracker'!$J5)</f>
        <v/>
      </c>
      <c r="D204" s="58" t="s">
        <v>45</v>
      </c>
      <c r="E204" s="58" t="n">
        <f aca="false">COUNTIF(Eq_Status,$D204)</f>
        <v>1</v>
      </c>
      <c r="G204" s="58" t="s">
        <v>28</v>
      </c>
      <c r="H204" s="58" t="n">
        <f aca="false">COUNTIF(Doc_Workflow,$G204)</f>
        <v>0</v>
      </c>
      <c r="J204" s="58" t="str">
        <f aca="false">IF($L204="","",IFERROR(INDEX(Doc_Number,MATCH($L204,Doc_RankKey,0))&amp;" — "&amp;INDEX(Doc_Type,MATCH($L204,Doc_RankKey,0)),""))</f>
        <v/>
      </c>
      <c r="K204" s="58" t="str">
        <f aca="false">IF($L204="","",ROUNDDOWN($L204,0))</f>
        <v/>
      </c>
      <c r="L204" s="58" t="str">
        <f aca="false">IFERROR(LARGE(Doc_RankKey,2),"")</f>
        <v/>
      </c>
      <c r="N204" s="58" t="str">
        <f aca="false">IF($P204="","",IFERROR(INDEX(Act_ID,MATCH($P204,Act_RankKey,0))&amp;" — "&amp;LEFT(INDEX(Act_Desc,MATCH($P204,Act_RankKey,0)),40),""))</f>
        <v/>
      </c>
      <c r="O204" s="58" t="str">
        <f aca="false">IF($P204="","",ROUNDDOWN($P204,0))</f>
        <v/>
      </c>
      <c r="P204" s="58" t="str">
        <f aca="false">IFERROR(LARGE(Act_RankKey,2),"")</f>
        <v/>
      </c>
      <c r="R204" s="58" t="str">
        <f aca="false">Configuration!$L$6</f>
        <v>S. Okonkwo</v>
      </c>
      <c r="S204" s="58" t="n">
        <f aca="false">COUNTIFS(Act_Owner,$R204,Act_Status,"&lt;&gt;Closed")+COUNTIFS(Doc_Owner,$R204,Doc_Approved,0)</f>
        <v>0</v>
      </c>
      <c r="T204" s="58" t="n">
        <f aca="false">COUNTIFS(Act_Owner,$R204,Act_Status,"&lt;&gt;Closed",Act_Blocker,"Yes")</f>
        <v>0</v>
      </c>
      <c r="V204" s="58" t="str">
        <f aca="false">IF(Dashboard!$B28="","",Dashboard!$B28)</f>
        <v>Commissioning Readiness Review</v>
      </c>
      <c r="W204" s="51" t="n">
        <f aca="false">IF(Dashboard!$I28="",0,Dashboard!$I28)</f>
        <v>225</v>
      </c>
    </row>
    <row r="205" customFormat="false" ht="15" hidden="false" customHeight="false" outlineLevel="0" collapsed="false">
      <c r="A205" s="58" t="str">
        <f aca="false">IF('Scope Tracker'!$A6="","",'Scope Tracker'!$B6)</f>
        <v/>
      </c>
      <c r="B205" s="59" t="str">
        <f aca="false">IF('Scope Tracker'!$A6="","",'Scope Tracker'!$J6)</f>
        <v/>
      </c>
      <c r="D205" s="58" t="s">
        <v>394</v>
      </c>
      <c r="E205" s="58" t="n">
        <f aca="false">COUNTIF(Eq_Status,$D205)</f>
        <v>0</v>
      </c>
      <c r="G205" s="58" t="s">
        <v>316</v>
      </c>
      <c r="H205" s="58" t="n">
        <f aca="false">COUNTIF(Doc_Workflow,$G205)</f>
        <v>0</v>
      </c>
      <c r="J205" s="58" t="str">
        <f aca="false">IF($L205="","",IFERROR(INDEX(Doc_Number,MATCH($L205,Doc_RankKey,0))&amp;" — "&amp;INDEX(Doc_Type,MATCH($L205,Doc_RankKey,0)),""))</f>
        <v/>
      </c>
      <c r="K205" s="58" t="str">
        <f aca="false">IF($L205="","",ROUNDDOWN($L205,0))</f>
        <v/>
      </c>
      <c r="L205" s="58" t="str">
        <f aca="false">IFERROR(LARGE(Doc_RankKey,3),"")</f>
        <v/>
      </c>
      <c r="N205" s="58" t="str">
        <f aca="false">IF($P205="","",IFERROR(INDEX(Act_ID,MATCH($P205,Act_RankKey,0))&amp;" — "&amp;LEFT(INDEX(Act_Desc,MATCH($P205,Act_RankKey,0)),40),""))</f>
        <v/>
      </c>
      <c r="O205" s="58" t="str">
        <f aca="false">IF($P205="","",ROUNDDOWN($P205,0))</f>
        <v/>
      </c>
      <c r="P205" s="58" t="str">
        <f aca="false">IFERROR(LARGE(Act_RankKey,3),"")</f>
        <v/>
      </c>
      <c r="R205" s="58" t="str">
        <f aca="false">Configuration!$L$7</f>
        <v>L. Fontaine</v>
      </c>
      <c r="S205" s="58" t="n">
        <f aca="false">COUNTIFS(Act_Owner,$R205,Act_Status,"&lt;&gt;Closed")+COUNTIFS(Doc_Owner,$R205,Doc_Approved,0)</f>
        <v>0</v>
      </c>
      <c r="T205" s="58" t="n">
        <f aca="false">COUNTIFS(Act_Owner,$R205,Act_Status,"&lt;&gt;Closed",Act_Blocker,"Yes")</f>
        <v>0</v>
      </c>
      <c r="V205" s="58" t="str">
        <f aca="false">IF(Dashboard!$B29="","",Dashboard!$B29)</f>
        <v>Authority To Start</v>
      </c>
      <c r="W205" s="51" t="n">
        <f aca="false">IF(Dashboard!$I29="",0,Dashboard!$I29)</f>
        <v>271</v>
      </c>
    </row>
    <row r="206" customFormat="false" ht="15" hidden="false" customHeight="false" outlineLevel="0" collapsed="false">
      <c r="A206" s="58" t="str">
        <f aca="false">IF('Scope Tracker'!$A7="","",'Scope Tracker'!$B7)</f>
        <v/>
      </c>
      <c r="B206" s="59" t="str">
        <f aca="false">IF('Scope Tracker'!$A7="","",'Scope Tracker'!$J7)</f>
        <v/>
      </c>
      <c r="D206" s="58" t="s">
        <v>331</v>
      </c>
      <c r="E206" s="58" t="n">
        <f aca="false">COUNTIF(Eq_Status,$D206)</f>
        <v>0</v>
      </c>
      <c r="G206" s="58" t="s">
        <v>324</v>
      </c>
      <c r="H206" s="58" t="n">
        <f aca="false">COUNTIF(Doc_Workflow,$G206)</f>
        <v>0</v>
      </c>
      <c r="J206" s="58" t="str">
        <f aca="false">IF($L206="","",IFERROR(INDEX(Doc_Number,MATCH($L206,Doc_RankKey,0))&amp;" — "&amp;INDEX(Doc_Type,MATCH($L206,Doc_RankKey,0)),""))</f>
        <v/>
      </c>
      <c r="K206" s="58" t="str">
        <f aca="false">IF($L206="","",ROUNDDOWN($L206,0))</f>
        <v/>
      </c>
      <c r="L206" s="58" t="str">
        <f aca="false">IFERROR(LARGE(Doc_RankKey,4),"")</f>
        <v/>
      </c>
      <c r="N206" s="58" t="str">
        <f aca="false">IF($P206="","",IFERROR(INDEX(Act_ID,MATCH($P206,Act_RankKey,0))&amp;" — "&amp;LEFT(INDEX(Act_Desc,MATCH($P206,Act_RankKey,0)),40),""))</f>
        <v/>
      </c>
      <c r="O206" s="58" t="str">
        <f aca="false">IF($P206="","",ROUNDDOWN($P206,0))</f>
        <v/>
      </c>
      <c r="P206" s="58" t="str">
        <f aca="false">IFERROR(LARGE(Act_RankKey,4),"")</f>
        <v/>
      </c>
      <c r="R206" s="58" t="str">
        <f aca="false">Configuration!$L$8</f>
        <v>D. Petrov</v>
      </c>
      <c r="S206" s="58" t="n">
        <f aca="false">COUNTIFS(Act_Owner,$R206,Act_Status,"&lt;&gt;Closed")+COUNTIFS(Doc_Owner,$R206,Doc_Approved,0)</f>
        <v>1</v>
      </c>
      <c r="T206" s="58" t="n">
        <f aca="false">COUNTIFS(Act_Owner,$R206,Act_Status,"&lt;&gt;Closed",Act_Blocker,"Yes")</f>
        <v>0</v>
      </c>
      <c r="V206" s="58" t="str">
        <f aca="false">IF(Dashboard!$B30="","",Dashboard!$B30)</f>
        <v>Commissioning Start</v>
      </c>
      <c r="W206" s="51" t="n">
        <f aca="false">IF(Dashboard!$I30="",0,Dashboard!$I30)</f>
        <v>285</v>
      </c>
    </row>
    <row r="207" customFormat="false" ht="15" hidden="false" customHeight="false" outlineLevel="0" collapsed="false">
      <c r="A207" s="58" t="str">
        <f aca="false">IF('Scope Tracker'!$A8="","",'Scope Tracker'!$B8)</f>
        <v/>
      </c>
      <c r="B207" s="59" t="str">
        <f aca="false">IF('Scope Tracker'!$A8="","",'Scope Tracker'!$J8)</f>
        <v/>
      </c>
      <c r="G207" s="58" t="s">
        <v>242</v>
      </c>
      <c r="H207" s="58" t="n">
        <f aca="false">COUNTIF(Doc_Workflow,$G207)</f>
        <v>1</v>
      </c>
      <c r="J207" s="58" t="str">
        <f aca="false">IF($L207="","",IFERROR(INDEX(Doc_Number,MATCH($L207,Doc_RankKey,0))&amp;" — "&amp;INDEX(Doc_Type,MATCH($L207,Doc_RankKey,0)),""))</f>
        <v/>
      </c>
      <c r="K207" s="58" t="str">
        <f aca="false">IF($L207="","",ROUNDDOWN($L207,0))</f>
        <v/>
      </c>
      <c r="L207" s="58" t="str">
        <f aca="false">IFERROR(LARGE(Doc_RankKey,5),"")</f>
        <v/>
      </c>
      <c r="N207" s="58" t="str">
        <f aca="false">IF($P207="","",IFERROR(INDEX(Act_ID,MATCH($P207,Act_RankKey,0))&amp;" — "&amp;LEFT(INDEX(Act_Desc,MATCH($P207,Act_RankKey,0)),40),""))</f>
        <v/>
      </c>
      <c r="O207" s="58" t="str">
        <f aca="false">IF($P207="","",ROUNDDOWN($P207,0))</f>
        <v/>
      </c>
      <c r="P207" s="58" t="str">
        <f aca="false">IFERROR(LARGE(Act_RankKey,5),"")</f>
        <v/>
      </c>
      <c r="R207" s="58" t="str">
        <f aca="false">Configuration!$L$9</f>
        <v>M. Haddad</v>
      </c>
      <c r="S207" s="58" t="n">
        <f aca="false">COUNTIFS(Act_Owner,$R207,Act_Status,"&lt;&gt;Closed")+COUNTIFS(Doc_Owner,$R207,Doc_Approved,0)</f>
        <v>0</v>
      </c>
      <c r="T207" s="58" t="n">
        <f aca="false">COUNTIFS(Act_Owner,$R207,Act_Status,"&lt;&gt;Closed",Act_Blocker,"Yes")</f>
        <v>0</v>
      </c>
      <c r="V207" s="58" t="str">
        <f aca="false">IF(Dashboard!$B31="","",Dashboard!$B31)</f>
        <v>Functional Takeover</v>
      </c>
      <c r="W207" s="51" t="n">
        <f aca="false">IF(Dashboard!$I31="",0,Dashboard!$I31)</f>
        <v>360</v>
      </c>
    </row>
    <row r="208" customFormat="false" ht="15" hidden="false" customHeight="false" outlineLevel="0" collapsed="false">
      <c r="A208" s="58" t="str">
        <f aca="false">IF('Scope Tracker'!$A9="","",'Scope Tracker'!$B9)</f>
        <v/>
      </c>
      <c r="B208" s="59" t="str">
        <f aca="false">IF('Scope Tracker'!$A9="","",'Scope Tracker'!$J9)</f>
        <v/>
      </c>
      <c r="G208" s="58" t="s">
        <v>32</v>
      </c>
      <c r="H208" s="58" t="n">
        <f aca="false">COUNTIF(Doc_Workflow,$G208)</f>
        <v>0</v>
      </c>
      <c r="J208" s="58" t="str">
        <f aca="false">IF($L208="","",IFERROR(INDEX(Doc_Number,MATCH($L208,Doc_RankKey,0))&amp;" — "&amp;INDEX(Doc_Type,MATCH($L208,Doc_RankKey,0)),""))</f>
        <v/>
      </c>
      <c r="K208" s="58" t="str">
        <f aca="false">IF($L208="","",ROUNDDOWN($L208,0))</f>
        <v/>
      </c>
      <c r="L208" s="58" t="str">
        <f aca="false">IFERROR(LARGE(Doc_RankKey,6),"")</f>
        <v/>
      </c>
      <c r="N208" s="58" t="str">
        <f aca="false">IF($P208="","",IFERROR(INDEX(Act_ID,MATCH($P208,Act_RankKey,0))&amp;" — "&amp;LEFT(INDEX(Act_Desc,MATCH($P208,Act_RankKey,0)),40),""))</f>
        <v/>
      </c>
      <c r="O208" s="58" t="str">
        <f aca="false">IF($P208="","",ROUNDDOWN($P208,0))</f>
        <v/>
      </c>
      <c r="P208" s="58" t="str">
        <f aca="false">IFERROR(LARGE(Act_RankKey,6),"")</f>
        <v/>
      </c>
      <c r="R208" s="58" t="str">
        <f aca="false">Configuration!$L$10</f>
        <v>J. Whitfield</v>
      </c>
      <c r="S208" s="58" t="n">
        <f aca="false">COUNTIFS(Act_Owner,$R208,Act_Status,"&lt;&gt;Closed")+COUNTIFS(Doc_Owner,$R208,Doc_Approved,0)</f>
        <v>0</v>
      </c>
      <c r="T208" s="58" t="n">
        <f aca="false">COUNTIFS(Act_Owner,$R208,Act_Status,"&lt;&gt;Closed",Act_Blocker,"Yes")</f>
        <v>0</v>
      </c>
      <c r="V208" s="58" t="str">
        <f aca="false">IF(Dashboard!$B32="","",Dashboard!$B32)</f>
        <v>Beneficial Use</v>
      </c>
      <c r="W208" s="51" t="n">
        <f aca="false">IF(Dashboard!$I32="",0,Dashboard!$I32)</f>
        <v>370</v>
      </c>
    </row>
    <row r="209" customFormat="false" ht="15" hidden="false" customHeight="false" outlineLevel="0" collapsed="false">
      <c r="A209" s="58" t="str">
        <f aca="false">IF('Scope Tracker'!$A10="","",'Scope Tracker'!$B10)</f>
        <v/>
      </c>
      <c r="B209" s="59" t="str">
        <f aca="false">IF('Scope Tracker'!$A10="","",'Scope Tracker'!$J10)</f>
        <v/>
      </c>
      <c r="G209" s="58" t="s">
        <v>337</v>
      </c>
      <c r="H209" s="58" t="n">
        <f aca="false">COUNTIF(Doc_Workflow,$G209)</f>
        <v>0</v>
      </c>
      <c r="J209" s="58" t="str">
        <f aca="false">IF($L209="","",IFERROR(INDEX(Doc_Number,MATCH($L209,Doc_RankKey,0))&amp;" — "&amp;INDEX(Doc_Type,MATCH($L209,Doc_RankKey,0)),""))</f>
        <v/>
      </c>
      <c r="K209" s="58" t="str">
        <f aca="false">IF($L209="","",ROUNDDOWN($L209,0))</f>
        <v/>
      </c>
      <c r="L209" s="58" t="str">
        <f aca="false">IFERROR(LARGE(Doc_RankKey,7),"")</f>
        <v/>
      </c>
      <c r="N209" s="58" t="str">
        <f aca="false">IF($P209="","",IFERROR(INDEX(Act_ID,MATCH($P209,Act_RankKey,0))&amp;" — "&amp;LEFT(INDEX(Act_Desc,MATCH($P209,Act_RankKey,0)),40),""))</f>
        <v/>
      </c>
      <c r="O209" s="58" t="str">
        <f aca="false">IF($P209="","",ROUNDDOWN($P209,0))</f>
        <v/>
      </c>
      <c r="P209" s="58" t="str">
        <f aca="false">IFERROR(LARGE(Act_RankKey,7),"")</f>
        <v/>
      </c>
      <c r="R209" s="58" t="str">
        <f aca="false">Configuration!$L$11</f>
        <v>K. Rasmussen</v>
      </c>
      <c r="S209" s="58" t="n">
        <f aca="false">COUNTIFS(Act_Owner,$R209,Act_Status,"&lt;&gt;Closed")+COUNTIFS(Doc_Owner,$R209,Doc_Approved,0)</f>
        <v>0</v>
      </c>
      <c r="T209" s="58" t="n">
        <f aca="false">COUNTIFS(Act_Owner,$R209,Act_Status,"&lt;&gt;Closed",Act_Blocker,"Yes")</f>
        <v>0</v>
      </c>
      <c r="V209" s="58" t="str">
        <f aca="false">IF(Dashboard!$B33="","",Dashboard!$B33)</f>
        <v>Maintenance Transfer</v>
      </c>
      <c r="W209" s="51" t="n">
        <f aca="false">IF(Dashboard!$I33="",0,Dashboard!$I33)</f>
        <v>385</v>
      </c>
    </row>
    <row r="210" customFormat="false" ht="15" hidden="false" customHeight="false" outlineLevel="0" collapsed="false">
      <c r="A210" s="58" t="str">
        <f aca="false">IF('Scope Tracker'!$A11="","",'Scope Tracker'!$B11)</f>
        <v/>
      </c>
      <c r="B210" s="59" t="str">
        <f aca="false">IF('Scope Tracker'!$A11="","",'Scope Tracker'!$J11)</f>
        <v/>
      </c>
      <c r="G210" s="58" t="s">
        <v>340</v>
      </c>
      <c r="H210" s="58" t="n">
        <f aca="false">COUNTIF(Doc_Workflow,$G210)</f>
        <v>0</v>
      </c>
      <c r="J210" s="58" t="str">
        <f aca="false">IF($L210="","",IFERROR(INDEX(Doc_Number,MATCH($L210,Doc_RankKey,0))&amp;" — "&amp;INDEX(Doc_Type,MATCH($L210,Doc_RankKey,0)),""))</f>
        <v/>
      </c>
      <c r="K210" s="58" t="str">
        <f aca="false">IF($L210="","",ROUNDDOWN($L210,0))</f>
        <v/>
      </c>
      <c r="L210" s="58" t="str">
        <f aca="false">IFERROR(LARGE(Doc_RankKey,8),"")</f>
        <v/>
      </c>
      <c r="N210" s="58" t="str">
        <f aca="false">IF($P210="","",IFERROR(INDEX(Act_ID,MATCH($P210,Act_RankKey,0))&amp;" — "&amp;LEFT(INDEX(Act_Desc,MATCH($P210,Act_RankKey,0)),40),""))</f>
        <v/>
      </c>
      <c r="O210" s="58" t="str">
        <f aca="false">IF($P210="","",ROUNDDOWN($P210,0))</f>
        <v/>
      </c>
      <c r="P210" s="58" t="str">
        <f aca="false">IFERROR(LARGE(Act_RankKey,8),"")</f>
        <v/>
      </c>
      <c r="R210" s="58" t="str">
        <f aca="false">Configuration!$L$12</f>
        <v>P. Nakamura</v>
      </c>
      <c r="S210" s="58" t="n">
        <f aca="false">COUNTIFS(Act_Owner,$R210,Act_Status,"&lt;&gt;Closed")+COUNTIFS(Doc_Owner,$R210,Doc_Approved,0)</f>
        <v>0</v>
      </c>
      <c r="T210" s="58" t="n">
        <f aca="false">COUNTIFS(Act_Owner,$R210,Act_Status,"&lt;&gt;Closed",Act_Blocker,"Yes")</f>
        <v>0</v>
      </c>
      <c r="V210" s="58" t="str">
        <f aca="false">IF(Dashboard!$B34="","",Dashboard!$B34)</f>
        <v>Temporary Operations Transfer</v>
      </c>
      <c r="W210" s="51" t="n">
        <f aca="false">IF(Dashboard!$I34="",0,Dashboard!$I34)</f>
        <v>400</v>
      </c>
    </row>
    <row r="211" customFormat="false" ht="15" hidden="false" customHeight="false" outlineLevel="0" collapsed="false">
      <c r="A211" s="58" t="str">
        <f aca="false">IF('Scope Tracker'!$A12="","",'Scope Tracker'!$B12)</f>
        <v/>
      </c>
      <c r="B211" s="59" t="str">
        <f aca="false">IF('Scope Tracker'!$A12="","",'Scope Tracker'!$J12)</f>
        <v/>
      </c>
      <c r="G211" s="58" t="s">
        <v>233</v>
      </c>
      <c r="H211" s="58" t="n">
        <f aca="false">COUNTIF(Doc_Workflow,$G211)</f>
        <v>0</v>
      </c>
      <c r="J211" s="58" t="str">
        <f aca="false">IF($L211="","",IFERROR(INDEX(Doc_Number,MATCH($L211,Doc_RankKey,0))&amp;" — "&amp;INDEX(Doc_Type,MATCH($L211,Doc_RankKey,0)),""))</f>
        <v/>
      </c>
      <c r="K211" s="58" t="str">
        <f aca="false">IF($L211="","",ROUNDDOWN($L211,0))</f>
        <v/>
      </c>
      <c r="L211" s="58" t="str">
        <f aca="false">IFERROR(LARGE(Doc_RankKey,9),"")</f>
        <v/>
      </c>
      <c r="N211" s="58" t="str">
        <f aca="false">IF($P211="","",IFERROR(INDEX(Act_ID,MATCH($P211,Act_RankKey,0))&amp;" — "&amp;LEFT(INDEX(Act_Desc,MATCH($P211,Act_RankKey,0)),40),""))</f>
        <v/>
      </c>
      <c r="O211" s="58" t="str">
        <f aca="false">IF($P211="","",ROUNDDOWN($P211,0))</f>
        <v/>
      </c>
      <c r="P211" s="58" t="str">
        <f aca="false">IFERROR(LARGE(Act_RankKey,9),"")</f>
        <v/>
      </c>
      <c r="R211" s="58" t="str">
        <f aca="false">Configuration!$L$13</f>
        <v>R. Bellamy</v>
      </c>
      <c r="S211" s="58" t="n">
        <f aca="false">COUNTIFS(Act_Owner,$R211,Act_Status,"&lt;&gt;Closed")+COUNTIFS(Doc_Owner,$R211,Doc_Approved,0)</f>
        <v>0</v>
      </c>
      <c r="T211" s="58" t="n">
        <f aca="false">COUNTIFS(Act_Owner,$R211,Act_Status,"&lt;&gt;Closed",Act_Blocker,"Yes")</f>
        <v>0</v>
      </c>
      <c r="V211" s="58" t="str">
        <f aca="false">IF(Dashboard!$B35="","",Dashboard!$B35)</f>
        <v>Final Takeover</v>
      </c>
      <c r="W211" s="51" t="n">
        <f aca="false">IF(Dashboard!$I35="",0,Dashboard!$I35)</f>
        <v>415</v>
      </c>
    </row>
    <row r="212" customFormat="false" ht="15" hidden="false" customHeight="false" outlineLevel="0" collapsed="false">
      <c r="A212" s="58" t="str">
        <f aca="false">IF('Scope Tracker'!$A13="","",'Scope Tracker'!$B13)</f>
        <v/>
      </c>
      <c r="B212" s="59" t="str">
        <f aca="false">IF('Scope Tracker'!$A13="","",'Scope Tracker'!$J13)</f>
        <v/>
      </c>
      <c r="G212" s="58" t="s">
        <v>346</v>
      </c>
      <c r="H212" s="58" t="n">
        <f aca="false">COUNTIF(Doc_Workflow,$G212)</f>
        <v>0</v>
      </c>
      <c r="J212" s="58" t="str">
        <f aca="false">IF($L212="","",IFERROR(INDEX(Doc_Number,MATCH($L212,Doc_RankKey,0))&amp;" — "&amp;INDEX(Doc_Type,MATCH($L212,Doc_RankKey,0)),""))</f>
        <v/>
      </c>
      <c r="K212" s="58" t="str">
        <f aca="false">IF($L212="","",ROUNDDOWN($L212,0))</f>
        <v/>
      </c>
      <c r="L212" s="58" t="str">
        <f aca="false">IFERROR(LARGE(Doc_RankKey,10),"")</f>
        <v/>
      </c>
      <c r="N212" s="58" t="str">
        <f aca="false">IF($P212="","",IFERROR(INDEX(Act_ID,MATCH($P212,Act_RankKey,0))&amp;" — "&amp;LEFT(INDEX(Act_Desc,MATCH($P212,Act_RankKey,0)),40),""))</f>
        <v/>
      </c>
      <c r="O212" s="58" t="str">
        <f aca="false">IF($P212="","",ROUNDDOWN($P212,0))</f>
        <v/>
      </c>
      <c r="P212" s="58" t="str">
        <f aca="false">IFERROR(LARGE(Act_RankKey,10),"")</f>
        <v/>
      </c>
      <c r="R212" s="58" t="str">
        <f aca="false">Configuration!$L$14</f>
        <v>T. Oyelaran</v>
      </c>
      <c r="S212" s="58" t="n">
        <f aca="false">COUNTIFS(Act_Owner,$R212,Act_Status,"&lt;&gt;Closed")+COUNTIFS(Doc_Owner,$R212,Doc_Approved,0)</f>
        <v>0</v>
      </c>
      <c r="T212" s="58" t="n">
        <f aca="false">COUNTIFS(Act_Owner,$R212,Act_Status,"&lt;&gt;Closed",Act_Blocker,"Yes")</f>
        <v>0</v>
      </c>
    </row>
    <row r="213" customFormat="false" ht="15" hidden="false" customHeight="false" outlineLevel="0" collapsed="false">
      <c r="A213" s="58" t="str">
        <f aca="false">IF('Scope Tracker'!$A14="","",'Scope Tracker'!$B14)</f>
        <v/>
      </c>
      <c r="B213" s="59" t="str">
        <f aca="false">IF('Scope Tracker'!$A14="","",'Scope Tracker'!$J14)</f>
        <v/>
      </c>
      <c r="G213" s="58" t="s">
        <v>348</v>
      </c>
      <c r="H213" s="58" t="n">
        <f aca="false">COUNTIF(Doc_Workflow,$G213)</f>
        <v>0</v>
      </c>
      <c r="R213" s="58" t="str">
        <f aca="false">Configuration!$L$15</f>
        <v>N. Bergstrom</v>
      </c>
      <c r="S213" s="58" t="n">
        <f aca="false">COUNTIFS(Act_Owner,$R213,Act_Status,"&lt;&gt;Closed")+COUNTIFS(Doc_Owner,$R213,Doc_Approved,0)</f>
        <v>0</v>
      </c>
      <c r="T213" s="58" t="n">
        <f aca="false">COUNTIFS(Act_Owner,$R213,Act_Status,"&lt;&gt;Closed",Act_Blocker,"Yes")</f>
        <v>0</v>
      </c>
    </row>
    <row r="214" customFormat="false" ht="15" hidden="false" customHeight="false" outlineLevel="0" collapsed="false">
      <c r="A214" s="58" t="str">
        <f aca="false">IF('Scope Tracker'!$A15="","",'Scope Tracker'!$B15)</f>
        <v/>
      </c>
      <c r="B214" s="59" t="str">
        <f aca="false">IF('Scope Tracker'!$A15="","",'Scope Tracker'!$J15)</f>
        <v/>
      </c>
      <c r="G214" s="58" t="s">
        <v>38</v>
      </c>
      <c r="H214" s="58" t="n">
        <f aca="false">COUNTIF(Doc_Workflow,$G214)</f>
        <v>0</v>
      </c>
      <c r="R214" s="58" t="str">
        <f aca="false">Configuration!$L$16</f>
        <v>C. Vasquez</v>
      </c>
      <c r="S214" s="58" t="n">
        <f aca="false">COUNTIFS(Act_Owner,$R214,Act_Status,"&lt;&gt;Closed")+COUNTIFS(Doc_Owner,$R214,Doc_Approved,0)</f>
        <v>0</v>
      </c>
      <c r="T214" s="58" t="n">
        <f aca="false">COUNTIFS(Act_Owner,$R214,Act_Status,"&lt;&gt;Closed",Act_Blocker,"Yes")</f>
        <v>0</v>
      </c>
    </row>
    <row r="215" customFormat="false" ht="15" hidden="false" customHeight="false" outlineLevel="0" collapsed="false">
      <c r="A215" s="58" t="str">
        <f aca="false">IF('Scope Tracker'!$A16="","",'Scope Tracker'!$B16)</f>
        <v/>
      </c>
      <c r="B215" s="59" t="str">
        <f aca="false">IF('Scope Tracker'!$A16="","",'Scope Tracker'!$J16)</f>
        <v/>
      </c>
      <c r="R215" s="58" t="str">
        <f aca="false">Configuration!$L$17</f>
        <v>H. Lindqvist</v>
      </c>
      <c r="S215" s="58" t="n">
        <f aca="false">COUNTIFS(Act_Owner,$R215,Act_Status,"&lt;&gt;Closed")+COUNTIFS(Doc_Owner,$R215,Doc_Approved,0)</f>
        <v>0</v>
      </c>
      <c r="T215" s="58" t="n">
        <f aca="false">COUNTIFS(Act_Owner,$R215,Act_Status,"&lt;&gt;Closed",Act_Blocker,"Yes")</f>
        <v>0</v>
      </c>
    </row>
    <row r="216" customFormat="false" ht="15" hidden="false" customHeight="false" outlineLevel="0" collapsed="false">
      <c r="A216" s="58" t="str">
        <f aca="false">IF('Scope Tracker'!$A17="","",'Scope Tracker'!$B17)</f>
        <v/>
      </c>
      <c r="B216" s="59" t="str">
        <f aca="false">IF('Scope Tracker'!$A17="","",'Scope Tracker'!$J17)</f>
        <v/>
      </c>
      <c r="R216" s="58" t="str">
        <f aca="false">Configuration!$L$18</f>
        <v>F. Moreau</v>
      </c>
      <c r="S216" s="58" t="n">
        <f aca="false">COUNTIFS(Act_Owner,$R216,Act_Status,"&lt;&gt;Closed")+COUNTIFS(Doc_Owner,$R216,Doc_Approved,0)</f>
        <v>0</v>
      </c>
      <c r="T216" s="58" t="n">
        <f aca="false">COUNTIFS(Act_Owner,$R216,Act_Status,"&lt;&gt;Closed",Act_Blocker,"Yes")</f>
        <v>0</v>
      </c>
    </row>
    <row r="217" customFormat="false" ht="15" hidden="false" customHeight="false" outlineLevel="0" collapsed="false">
      <c r="A217" s="58" t="str">
        <f aca="false">IF('Scope Tracker'!$A18="","",'Scope Tracker'!$B18)</f>
        <v/>
      </c>
      <c r="B217" s="59" t="str">
        <f aca="false">IF('Scope Tracker'!$A18="","",'Scope Tracker'!$J18)</f>
        <v/>
      </c>
      <c r="R217" s="58" t="str">
        <f aca="false">Configuration!$L$19</f>
        <v>G. Ashworth</v>
      </c>
      <c r="S217" s="58" t="n">
        <f aca="false">COUNTIFS(Act_Owner,$R217,Act_Status,"&lt;&gt;Closed")+COUNTIFS(Doc_Owner,$R217,Doc_Approved,0)</f>
        <v>0</v>
      </c>
      <c r="T217" s="58" t="n">
        <f aca="false">COUNTIFS(Act_Owner,$R217,Act_Status,"&lt;&gt;Closed",Act_Blocker,"Yes")</f>
        <v>0</v>
      </c>
    </row>
    <row r="218" customFormat="false" ht="15" hidden="false" customHeight="false" outlineLevel="0" collapsed="false">
      <c r="A218" s="58" t="str">
        <f aca="false">IF('Scope Tracker'!$A19="","",'Scope Tracker'!$B19)</f>
        <v/>
      </c>
      <c r="B218" s="59" t="str">
        <f aca="false">IF('Scope Tracker'!$A19="","",'Scope Tracker'!$J19)</f>
        <v/>
      </c>
      <c r="R218" s="58" t="str">
        <f aca="false">Configuration!$L$20</f>
        <v>E. Devereux</v>
      </c>
      <c r="S218" s="58" t="n">
        <f aca="false">COUNTIFS(Act_Owner,$R218,Act_Status,"&lt;&gt;Closed")+COUNTIFS(Doc_Owner,$R218,Doc_Approved,0)</f>
        <v>0</v>
      </c>
      <c r="T218" s="58" t="n">
        <f aca="false">COUNTIFS(Act_Owner,$R218,Act_Status,"&lt;&gt;Closed",Act_Blocker,"Yes")</f>
        <v>0</v>
      </c>
    </row>
    <row r="219" customFormat="false" ht="15" hidden="false" customHeight="false" outlineLevel="0" collapsed="false">
      <c r="A219" s="58" t="str">
        <f aca="false">IF('Scope Tracker'!$A20="","",'Scope Tracker'!$B20)</f>
        <v/>
      </c>
      <c r="B219" s="59" t="str">
        <f aca="false">IF('Scope Tracker'!$A20="","",'Scope Tracker'!$J20)</f>
        <v/>
      </c>
    </row>
    <row r="220" customFormat="false" ht="15" hidden="false" customHeight="false" outlineLevel="0" collapsed="false">
      <c r="A220" s="58" t="str">
        <f aca="false">IF('Scope Tracker'!$A21="","",'Scope Tracker'!$B21)</f>
        <v/>
      </c>
      <c r="B220" s="59" t="str">
        <f aca="false">IF('Scope Tracker'!$A21="","",'Scope Tracker'!$J21)</f>
        <v/>
      </c>
    </row>
    <row r="221" customFormat="false" ht="15" hidden="false" customHeight="false" outlineLevel="0" collapsed="false">
      <c r="A221" s="58" t="str">
        <f aca="false">IF('Scope Tracker'!$A22="","",'Scope Tracker'!$B22)</f>
        <v/>
      </c>
      <c r="B221" s="59" t="str">
        <f aca="false">IF('Scope Tracker'!$A22="","",'Scope Tracker'!$J22)</f>
        <v/>
      </c>
    </row>
    <row r="222" customFormat="false" ht="15" hidden="false" customHeight="false" outlineLevel="0" collapsed="false">
      <c r="A222" s="58" t="str">
        <f aca="false">IF('Scope Tracker'!$A23="","",'Scope Tracker'!$B23)</f>
        <v/>
      </c>
      <c r="B222" s="59" t="str">
        <f aca="false">IF('Scope Tracker'!$A23="","",'Scope Tracker'!$J23)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2026-08-20T13:21:14Z</dcterms:created>
  <dc:creator>openpyxl</dc:creator>
  <dc:description/>
  <dc:language>en-US</dc:language>
  <cp:lastModifiedBy/>
  <dcterms:modified xsi:type="dcterms:W3CDTF">2026-08-20T13:21:21Z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