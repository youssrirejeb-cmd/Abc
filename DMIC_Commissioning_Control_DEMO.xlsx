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TRACKER" sheetId="2" state="visible" r:id="rId2"/>
    <sheet name="ACTIONS" sheetId="3" state="visible" r:id="rId3"/>
    <sheet name="SETUP" sheetId="4" state="visible" r:id="rId4"/>
    <sheet name="HOW IT WORKS" sheetId="5" state="visible" r:id="rId5"/>
    <sheet name="LISTS" sheetId="6" state="hidden" r:id="rId6"/>
  </sheets>
  <definedNames>
    <definedName name="S_DONE">SETUP!$C$18</definedName>
    <definedName name="S_LATE">SETUP!$C$19</definedName>
    <definedName name="S_WIP">SETUP!$C$20</definedName>
    <definedName name="S_RISK">SETUP!$C$21</definedName>
    <definedName name="S_COMING">SETUP!$C$22</definedName>
    <definedName name="S_NOTYET">SETUP!$C$23</definedName>
    <definedName name="S_INACT">SETUP!$C$24</definedName>
    <definedName name="S_ONTRACK">SETUP!$C$25</definedName>
    <definedName name="S_NOSCOPE">SETUP!$C$26</definedName>
    <definedName name="S_NOTARGET">SETUP!$C$27</definedName>
    <definedName name="S_TYPEKO">SETUP!$C$28</definedName>
    <definedName name="S_NODUE">SETUP!$C$29</definedName>
    <definedName name="RAG_RED">SETUP!$C$32</definedName>
    <definedName name="RAG_AMB">SETUP!$C$33</definedName>
    <definedName name="RAG_GRN">SETUP!$C$34</definedName>
    <definedName name="A_OPEN">SETUP!$C$37</definedName>
    <definedName name="A_WIP">SETUP!$C$38</definedName>
    <definedName name="A_HOLD">SETUP!$C$39</definedName>
    <definedName name="A_DONE">SETUP!$C$40</definedName>
    <definedName name="CTR_NUM">SETUP!$C$5</definedName>
    <definedName name="CTR_NAME">SETUP!$C$6</definedName>
    <definedName name="FEN_DOC">SETUP!$C$12</definedName>
    <definedName name="FEN_ACT">SETUP!$C$13</definedName>
    <definedName name="HORIZON">SETUP!$C$14</definedName>
    <definedName name="CTR_EARLIEST">SETUP!$C$15</definedName>
    <definedName name="WF_CODE">SETUP!$B$44:$B$67</definedName>
    <definedName name="WF_CLASS">SETUP!$D$44:$D$67</definedName>
    <definedName name="MS_NOM">SETUP!$B$71:$B$85</definedName>
    <definedName name="MS_PLAN">SETUP!$E$71:$E$85</definedName>
    <definedName name="SYS_ID">SETUP!$B$89:$B$113</definedName>
    <definedName name="SYS_EARLIEST">SETUP!$E$89:$E$113</definedName>
    <definedName name="SYS_LATE">SETUP!$I$89:$I$113</definedName>
    <definedName name="EQP_SYS">SETUP!$B$117:$B$196</definedName>
    <definedName name="EQP_NOM">SETUP!$C$117:$C$196</definedName>
    <definedName name="EQP_START">SETUP!$D$117:$D$196</definedName>
    <definedName name="EQP_DOCS">SETUP!$H$117:$H$196</definedName>
    <definedName name="EQP_DONE">SETUP!$I$117:$I$196</definedName>
    <definedName name="EQP_LATE">SETUP!$J$117:$J$196</definedName>
    <definedName name="EQP_CORE">SETUP!$K$117:$K$196</definedName>
    <definedName name="EQP_PCT">SETUP!$L$117:$L$196</definedName>
    <definedName name="EQP_STATUS">SETUP!$M$117:$M$196</definedName>
    <definedName name="EQW_KEY">SETUP!$N$117:$N$196</definedName>
    <definedName name="TYP_TYPE">SETUP!$B$200:$B$219</definedName>
    <definedName name="TYP_PHASE">SETUP!$C$200:$C$219</definedName>
    <definedName name="TYP_CORE">SETUP!$D$200:$D$219</definedName>
    <definedName name="TYP_ANCHOR">SETUP!$E$200:$E$219</definedName>
    <definedName name="TYP_LEAD">SETUP!$F$200:$F$219</definedName>
    <definedName name="TYP_SCOPE">SETUP!$G$200:$G$219</definedName>
    <definedName name="TYP_COREKEY">SETUP!$I$200:$I$219</definedName>
    <definedName name="PHASE_LIST">SETUP!$B$223:$B$225</definedName>
    <definedName name="ACT_STATUS_LIST">SETUP!$C$37:$C$40</definedName>
    <definedName name="PPL_NAME">SETUP!$B$229:$B$258</definedName>
    <definedName name="DOC_TYPE">TRACKER!$A$4:$A$503</definedName>
    <definedName name="DOC_SCOPE">TRACKER!$B$4:$B$503</definedName>
    <definedName name="DOC_SYS">TRACKER!$C$4:$C$503</definedName>
    <definedName name="DOC_EQP">TRACKER!$D$4:$D$503</definedName>
    <definedName name="DOC_NUM">TRACKER!$E$4:$E$503</definedName>
    <definedName name="DOC_TARGET">TRACKER!$K$4:$K$503</definedName>
    <definedName name="DOC_STATE">TRACKER!$O$4:$O$503</definedName>
    <definedName name="DOC_CHECK">TRACKER!$P$4:$P$503</definedName>
    <definedName name="DOC_ACTIVE">TRACKER!$T$4:$T$503</definedName>
    <definedName name="DOC_DONE">TRACKER!$U$4:$U$503</definedName>
    <definedName name="ACT_ID">ACTIONS!$A$4:$A$153</definedName>
    <definedName name="ACT_STATUS">ACTIONS!$K$4:$K$153</definedName>
    <definedName name="ACT_STATE">ACTIONS!$M$4:$M$153</definedName>
    <definedName name="GAP_KIND">LISTS!$G$2:$G$1273</definedName>
    <definedName name="GAP_WHERE">LISTS!$H$2:$H$1273</definedName>
    <definedName name="GAP_WHAT">LISTS!$I$2:$I$1273</definedName>
    <definedName name="GAP_KEY">LISTS!$J$2:$J$1273</definedName>
    <definedName name="CMB_KIND">LISTS!$L$2:$L$651</definedName>
    <definedName name="CMB_SUBJ">LISTS!$M$2:$M$651</definedName>
    <definedName name="CMB_SCOPE">LISTS!$N$2:$N$651</definedName>
    <definedName name="CMB_OWNER">LISTS!$O$2:$O$651</definedName>
    <definedName name="CMB_TARGET">LISTS!$P$2:$P$651</definedName>
    <definedName name="CMB_DAYS">LISTS!$Q$2:$Q$651</definedName>
    <definedName name="CMB_KWIP">LISTS!$R$2:$R$651</definedName>
    <definedName name="CMB_KCOME">LISTS!$S$2:$S$651</definedName>
    <definedName name="CMB_KLATE">LISTS!$T$2:$T$651</definedName>
    <definedName name="COUNTS_AS">LISTS!$AI$2:$AI$4</definedName>
    <definedName name="SCOPE_LIST">LISTS!$AK$2:$AK$4</definedName>
    <definedName name="YESNO">LISTS!$AM$2:$AM$3</definedName>
    <definedName name="_xlnm._FilterDatabase" localSheetId="1" hidden="1">'TRACKER'!$A$3:$Q$503</definedName>
    <definedName name="_xlnm._FilterDatabase" localSheetId="2" hidden="1">'ACTIONS'!$A$3:$N$153</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DD-MMM-YYYY"/>
    <numFmt numFmtId="167" formatCode="#,##0;[Red]-#,##0;-"/>
  </numFmts>
  <fonts count="14">
    <font>
      <name val="Calibri"/>
      <family val="2"/>
      <color theme="1"/>
      <sz val="11"/>
      <scheme val="minor"/>
    </font>
    <font>
      <name val="Arial"/>
      <b val="1"/>
      <color rgb="001F3864"/>
      <sz val="16"/>
    </font>
    <font>
      <name val="Arial"/>
      <i val="1"/>
      <color rgb="00595959"/>
      <sz val="9"/>
    </font>
    <font>
      <name val="Arial"/>
      <b val="1"/>
      <color rgb="00FFFFFF"/>
      <sz val="10"/>
    </font>
    <font>
      <name val="Arial"/>
      <b val="1"/>
      <color rgb="00FFFFFF"/>
      <sz val="26"/>
    </font>
    <font>
      <name val="Arial"/>
      <b val="1"/>
      <sz val="10"/>
    </font>
    <font>
      <name val="Arial"/>
      <sz val="10"/>
    </font>
    <font>
      <name val="Arial"/>
      <b val="1"/>
      <color rgb="00FFFFFF"/>
      <sz val="9"/>
    </font>
    <font>
      <name val="Arial"/>
      <color rgb="00404040"/>
      <sz val="9"/>
    </font>
    <font>
      <name val="Arial"/>
      <sz val="9"/>
    </font>
    <font>
      <name val="Arial"/>
      <color rgb="000000FF"/>
      <sz val="10"/>
    </font>
    <font>
      <name val="Arial"/>
      <i val="1"/>
      <color rgb="00808080"/>
      <sz val="8"/>
    </font>
    <font>
      <name val="Arial"/>
      <b val="1"/>
      <sz val="9"/>
    </font>
    <font>
      <name val="Arial"/>
      <color rgb="000000FF"/>
      <sz val="9"/>
    </font>
  </fonts>
  <fills count="15">
    <fill>
      <patternFill/>
    </fill>
    <fill>
      <patternFill patternType="gray125"/>
    </fill>
    <fill>
      <patternFill patternType="solid">
        <fgColor rgb="002F5597"/>
      </patternFill>
    </fill>
    <fill>
      <patternFill patternType="solid">
        <fgColor rgb="00F2F2F2"/>
      </patternFill>
    </fill>
    <fill>
      <patternFill patternType="solid">
        <fgColor rgb="001F3864"/>
      </patternFill>
    </fill>
    <fill>
      <patternFill patternType="solid">
        <fgColor rgb="00D9E2F3"/>
      </patternFill>
    </fill>
    <fill>
      <patternFill patternType="solid">
        <fgColor rgb="00FFFFFF"/>
      </patternFill>
    </fill>
    <fill>
      <patternFill patternType="solid">
        <fgColor rgb="0044618B"/>
      </patternFill>
    </fill>
    <fill>
      <patternFill patternType="solid">
        <fgColor rgb="00FFC7CE"/>
      </patternFill>
    </fill>
    <fill>
      <patternFill patternType="solid">
        <fgColor rgb="00FFE699"/>
      </patternFill>
    </fill>
    <fill>
      <patternFill patternType="solid">
        <fgColor rgb="00BDD7EE"/>
      </patternFill>
    </fill>
    <fill>
      <patternFill patternType="solid">
        <fgColor rgb="00FFF2CC"/>
      </patternFill>
    </fill>
    <fill>
      <patternFill patternType="solid">
        <fgColor rgb="00C6EFCE"/>
      </patternFill>
    </fill>
    <fill>
      <patternFill patternType="solid">
        <fgColor rgb="00D9D9D9"/>
      </patternFill>
    </fill>
    <fill>
      <patternFill patternType="solid">
        <fgColor rgb="00F8CBAD"/>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0" borderId="1" applyAlignment="1" pivotButton="0" quotePrefix="0" xfId="0">
      <alignment horizontal="center" vertical="center"/>
    </xf>
    <xf numFmtId="0" fontId="0" fillId="0" borderId="1" pivotButton="0" quotePrefix="0" xfId="0"/>
    <xf numFmtId="0" fontId="5" fillId="0" borderId="0" applyAlignment="1" pivotButton="0" quotePrefix="0" xfId="0">
      <alignment horizontal="left" vertical="center"/>
    </xf>
    <xf numFmtId="0" fontId="6" fillId="3" borderId="1" applyAlignment="1" pivotButton="0" quotePrefix="0" xfId="0">
      <alignment horizontal="left" vertical="center"/>
    </xf>
    <xf numFmtId="0" fontId="0" fillId="0" borderId="4" pivotButton="0" quotePrefix="0" xfId="0"/>
    <xf numFmtId="0" fontId="0" fillId="0" borderId="5" pivotButton="0" quotePrefix="0" xfId="0"/>
    <xf numFmtId="164" fontId="6" fillId="3" borderId="1" applyAlignment="1" pivotButton="0" quotePrefix="0" xfId="0">
      <alignment horizontal="left" vertical="center"/>
    </xf>
    <xf numFmtId="165" fontId="6" fillId="3" borderId="1" applyAlignment="1" pivotButton="0" quotePrefix="0" xfId="0">
      <alignment horizontal="left" vertical="center"/>
    </xf>
    <xf numFmtId="0" fontId="7" fillId="4" borderId="1" applyAlignment="1" pivotButton="0" quotePrefix="0" xfId="0">
      <alignment horizontal="center" vertical="center" wrapText="1"/>
    </xf>
    <xf numFmtId="0" fontId="5" fillId="5" borderId="1" pivotButton="0" quotePrefix="0" xfId="0"/>
    <xf numFmtId="9" fontId="6" fillId="3" borderId="1" applyAlignment="1" pivotButton="0" quotePrefix="0" xfId="0">
      <alignment horizontal="left" vertical="center"/>
    </xf>
    <xf numFmtId="0" fontId="8" fillId="0" borderId="1" applyAlignment="1" pivotButton="0" quotePrefix="0" xfId="0">
      <alignment horizontal="left" vertical="center"/>
    </xf>
    <xf numFmtId="166" fontId="8" fillId="0" borderId="1" applyAlignment="1" pivotButton="0" quotePrefix="0" xfId="0">
      <alignment horizontal="left" vertical="center"/>
    </xf>
    <xf numFmtId="167" fontId="8" fillId="0" borderId="1" applyAlignment="1" pivotButton="0" quotePrefix="0" xfId="0">
      <alignment horizontal="left" vertical="center"/>
    </xf>
    <xf numFmtId="165" fontId="8" fillId="0" borderId="1" applyAlignment="1" pivotButton="0" quotePrefix="0" xfId="0">
      <alignment horizontal="left" vertical="center"/>
    </xf>
    <xf numFmtId="9" fontId="8" fillId="0" borderId="1" applyAlignment="1" pivotButton="0" quotePrefix="0" xfId="0">
      <alignment horizontal="left" vertical="center"/>
    </xf>
    <xf numFmtId="0" fontId="9" fillId="0" borderId="1" applyAlignment="1" pivotButton="0" quotePrefix="0" xfId="0">
      <alignment horizontal="left" vertical="center"/>
    </xf>
    <xf numFmtId="166" fontId="9" fillId="0" borderId="1" applyAlignment="1" pivotButton="0" quotePrefix="0" xfId="0">
      <alignment horizontal="left" vertical="center"/>
    </xf>
    <xf numFmtId="166" fontId="8" fillId="3" borderId="1" applyAlignment="1" pivotButton="0" quotePrefix="0" xfId="0">
      <alignment horizontal="left" vertical="center"/>
    </xf>
    <xf numFmtId="0" fontId="8" fillId="3" borderId="1" applyAlignment="1" pivotButton="0" quotePrefix="0" xfId="0">
      <alignment horizontal="left" vertical="center"/>
    </xf>
    <xf numFmtId="167" fontId="8" fillId="3" borderId="1" applyAlignment="1" pivotButton="0" quotePrefix="0" xfId="0">
      <alignment horizontal="left" vertical="center"/>
    </xf>
    <xf numFmtId="165" fontId="8" fillId="3" borderId="1" applyAlignment="1" pivotButton="0" quotePrefix="0" xfId="0">
      <alignment horizontal="left" vertical="center"/>
    </xf>
    <xf numFmtId="0" fontId="10" fillId="6" borderId="1" applyAlignment="1" pivotButton="0" quotePrefix="0" xfId="0">
      <alignment horizontal="left" vertical="center"/>
    </xf>
    <xf numFmtId="165" fontId="10" fillId="6" borderId="1" applyAlignment="1" pivotButton="0" quotePrefix="0" xfId="0">
      <alignment horizontal="left" vertical="center"/>
    </xf>
    <xf numFmtId="0" fontId="11" fillId="0" borderId="0" pivotButton="0" quotePrefix="0" xfId="0"/>
    <xf numFmtId="0" fontId="12" fillId="0" borderId="0" applyAlignment="1" pivotButton="0" quotePrefix="0" xfId="0">
      <alignment horizontal="left" vertical="center"/>
    </xf>
    <xf numFmtId="0" fontId="13" fillId="6" borderId="1" applyAlignment="1" pivotButton="0" quotePrefix="0" xfId="0">
      <alignment horizontal="left" vertical="center"/>
    </xf>
    <xf numFmtId="0" fontId="3" fillId="7" borderId="0" applyAlignment="1" pivotButton="0" quotePrefix="0" xfId="0">
      <alignment horizontal="left" vertical="center"/>
    </xf>
    <xf numFmtId="0" fontId="0" fillId="7" borderId="0" pivotButton="0" quotePrefix="0" xfId="0"/>
    <xf numFmtId="0" fontId="9" fillId="0" borderId="1" pivotButton="0" quotePrefix="0" xfId="0"/>
    <xf numFmtId="166" fontId="10" fillId="6" borderId="1" applyAlignment="1" pivotButton="0" quotePrefix="0" xfId="0">
      <alignment horizontal="left" vertical="center"/>
    </xf>
    <xf numFmtId="9" fontId="8" fillId="3" borderId="1" applyAlignment="1" pivotButton="0" quotePrefix="0" xfId="0">
      <alignment horizontal="left" vertical="center"/>
    </xf>
    <xf numFmtId="165" fontId="13" fillId="6" borderId="1" applyAlignment="1" pivotButton="0" quotePrefix="0" xfId="0">
      <alignment horizontal="left" vertical="center"/>
    </xf>
    <xf numFmtId="0" fontId="11" fillId="0" borderId="1" pivotButton="0" quotePrefix="0" xfId="0"/>
    <xf numFmtId="0" fontId="12" fillId="0" borderId="1" applyAlignment="1" pivotButton="0" quotePrefix="0" xfId="0">
      <alignment horizontal="left" vertical="center" wrapText="1"/>
    </xf>
    <xf numFmtId="0" fontId="9" fillId="0" borderId="1" applyAlignment="1" pivotButton="0" quotePrefix="0" xfId="0">
      <alignment horizontal="left" vertical="center" wrapText="1"/>
    </xf>
    <xf numFmtId="0" fontId="12" fillId="8" borderId="1" applyAlignment="1" pivotButton="0" quotePrefix="0" xfId="0">
      <alignment horizontal="left" vertical="center" wrapText="1"/>
    </xf>
    <xf numFmtId="0" fontId="12" fillId="9" borderId="1" applyAlignment="1" pivotButton="0" quotePrefix="0" xfId="0">
      <alignment horizontal="left" vertical="center" wrapText="1"/>
    </xf>
    <xf numFmtId="0" fontId="12" fillId="10" borderId="1" applyAlignment="1" pivotButton="0" quotePrefix="0" xfId="0">
      <alignment horizontal="left" vertical="center" wrapText="1"/>
    </xf>
    <xf numFmtId="0" fontId="12" fillId="11" borderId="1" applyAlignment="1" pivotButton="0" quotePrefix="0" xfId="0">
      <alignment horizontal="left" vertical="center" wrapText="1"/>
    </xf>
    <xf numFmtId="0" fontId="12" fillId="12" borderId="1" applyAlignment="1" pivotButton="0" quotePrefix="0" xfId="0">
      <alignment horizontal="left" vertical="center" wrapText="1"/>
    </xf>
    <xf numFmtId="0" fontId="12" fillId="13" borderId="1" applyAlignment="1" pivotButton="0" quotePrefix="0" xfId="0">
      <alignment horizontal="left" vertical="center" wrapText="1"/>
    </xf>
    <xf numFmtId="0" fontId="12" fillId="14" borderId="1" applyAlignment="1" pivotButton="0" quotePrefix="0" xfId="0">
      <alignment horizontal="left" vertical="center" wrapText="1"/>
    </xf>
    <xf numFmtId="0" fontId="5" fillId="0" borderId="0" pivotButton="0" quotePrefix="0" xfId="0"/>
  </cellXfs>
  <cellStyles count="1">
    <cellStyle name="Normal" xfId="0" builtinId="0" hidden="0"/>
  </cellStyles>
  <dxfs count="12">
    <dxf>
      <fill>
        <patternFill patternType="solid">
          <fgColor rgb="00C00000"/>
        </patternFill>
      </fill>
    </dxf>
    <dxf>
      <fill>
        <patternFill patternType="solid">
          <fgColor rgb="00BF8F00"/>
        </patternFill>
      </fill>
    </dxf>
    <dxf>
      <fill>
        <patternFill patternType="solid">
          <fgColor rgb="00375623"/>
        </patternFill>
      </fill>
    </dxf>
    <dxf>
      <fill>
        <patternFill patternType="solid">
          <fgColor rgb="00FFC7CE"/>
        </patternFill>
      </fill>
    </dxf>
    <dxf>
      <fill>
        <patternFill patternType="solid">
          <fgColor rgb="00C6EFCE"/>
        </patternFill>
      </fill>
    </dxf>
    <dxf>
      <fill>
        <patternFill patternType="solid">
          <fgColor rgb="00D9D9D9"/>
        </patternFill>
      </fill>
    </dxf>
    <dxf>
      <fill>
        <patternFill patternType="solid">
          <fgColor rgb="00FAFAFA"/>
        </patternFill>
      </fill>
    </dxf>
    <dxf>
      <fill>
        <patternFill patternType="solid">
          <fgColor rgb="00FFE699"/>
        </patternFill>
      </fill>
    </dxf>
    <dxf>
      <fill>
        <patternFill patternType="solid">
          <fgColor rgb="00BDD7EE"/>
        </patternFill>
      </fill>
    </dxf>
    <dxf>
      <fill>
        <patternFill patternType="solid">
          <fgColor rgb="00FFF2CC"/>
        </patternFill>
      </fill>
    </dxf>
    <dxf>
      <fill>
        <patternFill patternType="solid">
          <fgColor rgb="00F8CBAD"/>
        </patternFill>
      </fill>
    </dxf>
    <dxf>
      <font>
        <name val="Arial"/>
        <b val="1"/>
        <color rgb="00843C0C"/>
        <sz val="9"/>
      </font>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2"/>
  <chart>
    <title>
      <tx>
        <rich>
          <a:bodyPr/>
          <a:p>
            <a:pPr>
              <a:defRPr/>
            </a:pPr>
            <a:r>
              <a:t>Documents by state</a:t>
            </a:r>
          </a:p>
        </rich>
      </tx>
    </title>
    <plotArea>
      <doughnutChart>
        <varyColors val="1"/>
        <ser>
          <idx val="0"/>
          <order val="0"/>
          <spPr>
            <a:ln>
              <a:prstDash val="solid"/>
            </a:ln>
          </spPr>
          <cat>
            <numRef>
              <f>'LISTS'!$V$2:$V$9</f>
            </numRef>
          </cat>
          <val>
            <numRef>
              <f>'LISTS'!$W$2:$W$9</f>
            </numRef>
          </val>
        </ser>
        <dLbls>
          <showVal val="1"/>
        </dLbls>
        <firstSliceAng val="0"/>
        <holeSize val="10"/>
      </doughnut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Actions by status</a:t>
            </a:r>
          </a:p>
        </rich>
      </tx>
    </title>
    <plotArea>
      <doughnutChart>
        <varyColors val="1"/>
        <ser>
          <idx val="0"/>
          <order val="0"/>
          <spPr>
            <a:ln>
              <a:prstDash val="solid"/>
            </a:ln>
          </spPr>
          <cat>
            <numRef>
              <f>'LISTS'!$Y$2:$Y$5</f>
            </numRef>
          </cat>
          <val>
            <numRef>
              <f>'LISTS'!$Z$2:$Z$5</f>
            </numRef>
          </val>
        </ser>
        <dLbls>
          <showVal val="1"/>
        </dLbls>
        <firstSliceAng val="0"/>
        <holeSize val="10"/>
      </doughnutChart>
    </plotArea>
    <legend>
      <legendPos val="r"/>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Late and at risk, by system</a:t>
            </a:r>
          </a:p>
        </rich>
      </tx>
    </title>
    <plotArea>
      <barChart>
        <barDir val="col"/>
        <grouping val="stacked"/>
        <ser>
          <idx val="0"/>
          <order val="0"/>
          <tx>
            <strRef>
              <f>'LISTS'!AC1</f>
            </strRef>
          </tx>
          <spPr>
            <a:ln>
              <a:prstDash val="solid"/>
            </a:ln>
          </spPr>
          <cat>
            <numRef>
              <f>'LISTS'!$AB$2:$AB$26</f>
            </numRef>
          </cat>
          <val>
            <numRef>
              <f>'LISTS'!$AC$2:$AC$26</f>
            </numRef>
          </val>
        </ser>
        <ser>
          <idx val="1"/>
          <order val="1"/>
          <tx>
            <strRef>
              <f>'LISTS'!AD1</f>
            </strRef>
          </tx>
          <spPr>
            <a:ln>
              <a:prstDash val="solid"/>
            </a:ln>
          </spPr>
          <cat>
            <numRef>
              <f>'LISTS'!$AB$2:$AB$26</f>
            </numRef>
          </cat>
          <val>
            <numRef>
              <f>'LISTS'!$AD$2:$AD$26</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Approval workload - documents due per month</a:t>
            </a:r>
          </a:p>
        </rich>
      </tx>
    </title>
    <plotArea>
      <barChart>
        <barDir val="col"/>
        <grouping val="clustered"/>
        <ser>
          <idx val="0"/>
          <order val="0"/>
          <spPr>
            <a:ln>
              <a:prstDash val="solid"/>
            </a:ln>
          </spPr>
          <cat>
            <numRef>
              <f>'LISTS'!$AF$2:$AF$13</f>
            </numRef>
          </cat>
          <val>
            <numRef>
              <f>'LISTS'!$AG$2:$AG$13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Workbook</author>
  </authors>
  <commentList>
    <comment ref="J3" authorId="0" shapeId="0">
      <text>
        <t>Type a date here only when the automatic calculation cannot know something - a cross-system dependency, a site event. The Source column then reads Manual. Clear this cell to fall back to the automatic date.</t>
      </text>
    </comment>
    <comment ref="K3" authorId="0" shapeId="0">
      <text>
        <t>Automatic = the commissioning start of whatever this row covers (actual if known, otherwise planned), minus the lead time of the type. Post-commissioning types are measured back from their anchor milestone instead.</t>
      </text>
    </comment>
  </commentList>
</comments>
</file>

<file path=xl/comments/comment2.xml><?xml version="1.0" encoding="utf-8"?>
<comments xmlns="http://schemas.openxmlformats.org/spreadsheetml/2006/main">
  <authors>
    <author>Workbook</author>
  </authors>
  <commentList>
    <comment ref="C15" authorId="0" shapeId="0">
      <text>
        <t>Earliest planned commissioning start across all equipment in section 7. Every 'Commissioning Start' anchored target date ultimately derives from the start date of whatever the document covers, not from this single figure.</t>
      </text>
    </comment>
    <comment ref="D71" authorId="0" shapeId="0">
      <text>
        <t>Type a date here to override the offset calculation for that milestone.</t>
      </text>
    </comment>
    <comment ref="K89" authorId="0" shapeId="0">
      <text>
        <t>Core (ATS) deliverables that do not exist as a row for this system. Only rows carrying a gap key count: a covered slot leaves the key empty.</t>
      </text>
    </comment>
    <comment ref="K90" authorId="0" shapeId="0">
      <text>
        <t>Core (ATS) deliverables that do not exist as a row for this system. Only rows carrying a gap key count: a covered slot leaves the key empty.</t>
      </text>
    </comment>
    <comment ref="K91" authorId="0" shapeId="0">
      <text>
        <t>Core (ATS) deliverables that do not exist as a row for this system. Only rows carrying a gap key count: a covered slot leaves the key empty.</t>
      </text>
    </comment>
    <comment ref="K92" authorId="0" shapeId="0">
      <text>
        <t>Core (ATS) deliverables that do not exist as a row for this system. Only rows carrying a gap key count: a covered slot leaves the key empty.</t>
      </text>
    </comment>
    <comment ref="K93" authorId="0" shapeId="0">
      <text>
        <t>Core (ATS) deliverables that do not exist as a row for this system. Only rows carrying a gap key count: a covered slot leaves the key empty.</t>
      </text>
    </comment>
    <comment ref="K94" authorId="0" shapeId="0">
      <text>
        <t>Core (ATS) deliverables that do not exist as a row for this system. Only rows carrying a gap key count: a covered slot leaves the key empty.</t>
      </text>
    </comment>
    <comment ref="K95" authorId="0" shapeId="0">
      <text>
        <t>Core (ATS) deliverables that do not exist as a row for this system. Only rows carrying a gap key count: a covered slot leaves the key empty.</t>
      </text>
    </comment>
    <comment ref="K96" authorId="0" shapeId="0">
      <text>
        <t>Core (ATS) deliverables that do not exist as a row for this system. Only rows carrying a gap key count: a covered slot leaves the key empty.</t>
      </text>
    </comment>
    <comment ref="K97" authorId="0" shapeId="0">
      <text>
        <t>Core (ATS) deliverables that do not exist as a row for this system. Only rows carrying a gap key count: a covered slot leaves the key empty.</t>
      </text>
    </comment>
    <comment ref="K98" authorId="0" shapeId="0">
      <text>
        <t>Core (ATS) deliverables that do not exist as a row for this system. Only rows carrying a gap key count: a covered slot leaves the key empty.</t>
      </text>
    </comment>
    <comment ref="K99" authorId="0" shapeId="0">
      <text>
        <t>Core (ATS) deliverables that do not exist as a row for this system. Only rows carrying a gap key count: a covered slot leaves the key empty.</t>
      </text>
    </comment>
    <comment ref="K100" authorId="0" shapeId="0">
      <text>
        <t>Core (ATS) deliverables that do not exist as a row for this system. Only rows carrying a gap key count: a covered slot leaves the key empty.</t>
      </text>
    </comment>
    <comment ref="K101" authorId="0" shapeId="0">
      <text>
        <t>Core (ATS) deliverables that do not exist as a row for this system. Only rows carrying a gap key count: a covered slot leaves the key empty.</t>
      </text>
    </comment>
    <comment ref="K102" authorId="0" shapeId="0">
      <text>
        <t>Core (ATS) deliverables that do not exist as a row for this system. Only rows carrying a gap key count: a covered slot leaves the key empty.</t>
      </text>
    </comment>
    <comment ref="K103" authorId="0" shapeId="0">
      <text>
        <t>Core (ATS) deliverables that do not exist as a row for this system. Only rows carrying a gap key count: a covered slot leaves the key empty.</t>
      </text>
    </comment>
    <comment ref="K104" authorId="0" shapeId="0">
      <text>
        <t>Core (ATS) deliverables that do not exist as a row for this system. Only rows carrying a gap key count: a covered slot leaves the key empty.</t>
      </text>
    </comment>
    <comment ref="K105" authorId="0" shapeId="0">
      <text>
        <t>Core (ATS) deliverables that do not exist as a row for this system. Only rows carrying a gap key count: a covered slot leaves the key empty.</t>
      </text>
    </comment>
    <comment ref="K106" authorId="0" shapeId="0">
      <text>
        <t>Core (ATS) deliverables that do not exist as a row for this system. Only rows carrying a gap key count: a covered slot leaves the key empty.</t>
      </text>
    </comment>
    <comment ref="K107" authorId="0" shapeId="0">
      <text>
        <t>Core (ATS) deliverables that do not exist as a row for this system. Only rows carrying a gap key count: a covered slot leaves the key empty.</t>
      </text>
    </comment>
    <comment ref="K108" authorId="0" shapeId="0">
      <text>
        <t>Core (ATS) deliverables that do not exist as a row for this system. Only rows carrying a gap key count: a covered slot leaves the key empty.</t>
      </text>
    </comment>
    <comment ref="K109" authorId="0" shapeId="0">
      <text>
        <t>Core (ATS) deliverables that do not exist as a row for this system. Only rows carrying a gap key count: a covered slot leaves the key empty.</t>
      </text>
    </comment>
    <comment ref="K110" authorId="0" shapeId="0">
      <text>
        <t>Core (ATS) deliverables that do not exist as a row for this system. Only rows carrying a gap key count: a covered slot leaves the key empty.</t>
      </text>
    </comment>
    <comment ref="K111" authorId="0" shapeId="0">
      <text>
        <t>Core (ATS) deliverables that do not exist as a row for this system. Only rows carrying a gap key count: a covered slot leaves the key empty.</t>
      </text>
    </comment>
    <comment ref="K112" authorId="0" shapeId="0">
      <text>
        <t>Core (ATS) deliverables that do not exist as a row for this system. Only rows carrying a gap key count: a covered slot leaves the key empty.</t>
      </text>
    </comment>
    <comment ref="K113" authorId="0" shapeId="0">
      <text>
        <t>Core (ATS) deliverables that do not exist as a row for this system. Only rows carrying a gap key count: a covered slot leaves the key empty.</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120</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120</row>
      <rowOff>0</rowOff>
    </from>
    <ext cx="4680000" cy="252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135</row>
      <rowOff>0</rowOff>
    </from>
    <ext cx="4680000" cy="270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135</row>
      <rowOff>0</rowOff>
    </from>
    <ext cx="4680000" cy="27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375623"/>
    <outlinePr summaryBelow="1" summaryRight="1"/>
    <pageSetUpPr/>
  </sheetPr>
  <dimension ref="B1:R120"/>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46" customWidth="1" min="3" max="3"/>
    <col width="24" customWidth="1" min="4" max="4"/>
    <col width="16" customWidth="1" min="5" max="5"/>
    <col width="14" customWidth="1" min="6" max="6"/>
    <col width="13" customWidth="1" min="7" max="7"/>
    <col width="13" customWidth="1" min="8" max="8"/>
    <col width="13" customWidth="1" min="9" max="9"/>
    <col width="13" customWidth="1" min="10" max="10"/>
    <col width="16" customWidth="1" min="11" max="11"/>
    <col width="12" customWidth="1" min="12" max="12"/>
    <col width="12" customWidth="1" min="13" max="13"/>
    <col hidden="1" width="12" customWidth="1" min="18" max="18"/>
  </cols>
  <sheetData>
    <row r="1">
      <c r="B1" s="1" t="inlineStr">
        <is>
          <t>COMMISSIONING DASHBOARD</t>
        </is>
      </c>
    </row>
    <row r="2">
      <c r="B2" s="2">
        <f>IF(CTR_NAME="","Set the contract name in SETUP",CTR_NAME&amp;"   -   "&amp;CTR_NUM)&amp;"     |     what is late, what has never been created, what is coming."</f>
        <v/>
      </c>
    </row>
    <row r="4" ht="18" customHeight="1">
      <c r="B4" s="3" t="inlineStr">
        <is>
          <t>CONTRACT STATUS</t>
        </is>
      </c>
      <c r="C4" s="4" t="n"/>
      <c r="D4" s="4" t="n"/>
      <c r="E4" s="4" t="n"/>
      <c r="F4" s="4" t="n"/>
      <c r="G4" s="4" t="n"/>
      <c r="H4" s="4" t="n"/>
      <c r="I4" s="4" t="n"/>
      <c r="J4" s="4" t="n"/>
      <c r="K4" s="4" t="n"/>
      <c r="L4" s="4" t="n"/>
      <c r="M4" s="4" t="n"/>
    </row>
    <row r="6">
      <c r="B6" s="5">
        <f>IF(OR(COUNTIF(DOC_STATE,S_LATE)&gt;0,COUNTIF(ACT_STATE,S_LATE)&gt;0),RAG_RED,IF(OR(COUNTIF(DOC_STATE,S_RISK)&gt;0,COUNTIF(ACT_STATE,S_RISK)&gt;0,COUNT(GAP_KEY)&gt;0),RAG_AMB,RAG_GRN))</f>
        <v/>
      </c>
      <c r="C6" s="6" t="n"/>
      <c r="D6" s="6" t="n"/>
      <c r="E6" s="7" t="inlineStr">
        <is>
          <t>Worst item</t>
        </is>
      </c>
      <c r="G6" s="8">
        <f>IF(COUNT(CMB_KLATE)=0,"nothing late",IFERROR(INDEX(CMB_SUBJ,MATCH(MAX(CMB_KLATE),CMB_KLATE,0))&amp;"     ("&amp;INT(MAX(CMB_KLATE))&amp;" d late  -  "&amp;INDEX(CMB_SCOPE,MATCH(MAX(CMB_KLATE),CMB_KLATE,0))&amp;")","-"))</f>
        <v/>
      </c>
      <c r="H6" s="9" t="n"/>
      <c r="I6" s="9" t="n"/>
      <c r="J6" s="9" t="n"/>
      <c r="K6" s="9" t="n"/>
      <c r="L6" s="9" t="n"/>
      <c r="M6" s="10" t="n"/>
    </row>
    <row r="7">
      <c r="B7" s="6" t="n"/>
      <c r="C7" s="6" t="n"/>
      <c r="D7" s="6" t="n"/>
      <c r="E7" s="7" t="inlineStr">
        <is>
          <t>Share late</t>
        </is>
      </c>
      <c r="G7" s="11">
        <f>IF(SUM(DOC_ACTIVE)+COUNTIF(ACT_ID,"?*")=0,"-",(COUNTIF(DOC_STATE,S_LATE)+COUNTIF(ACT_STATE,S_LATE))/(SUM(DOC_ACTIVE)+COUNTIF(ACT_ID,"?*")))</f>
        <v/>
      </c>
      <c r="H7" s="9" t="n"/>
      <c r="I7" s="9" t="n"/>
      <c r="J7" s="9" t="n"/>
      <c r="K7" s="9" t="n"/>
      <c r="L7" s="9" t="n"/>
      <c r="M7" s="10" t="n"/>
    </row>
    <row r="8">
      <c r="B8" s="6" t="n"/>
      <c r="C8" s="6" t="n"/>
      <c r="D8" s="6" t="n"/>
      <c r="E8" s="7" t="inlineStr">
        <is>
          <t>Earliest commissioning start</t>
        </is>
      </c>
      <c r="G8" s="8">
        <f>IF(CTR_EARLIEST="","not set yet",TEXT(CTR_EARLIEST,"DD-MMM-YYYY")&amp;IF(CTR_EARLIEST&lt;TODAY(),"     started "&amp;TODAY()-CTR_EARLIEST&amp;" d ago","     in "&amp;CTR_EARLIEST-TODAY()&amp;" d"))</f>
        <v/>
      </c>
      <c r="H8" s="9" t="n"/>
      <c r="I8" s="9" t="n"/>
      <c r="J8" s="9" t="n"/>
      <c r="K8" s="9" t="n"/>
      <c r="L8" s="9" t="n"/>
      <c r="M8" s="10" t="n"/>
    </row>
    <row r="9">
      <c r="B9" s="6" t="n"/>
      <c r="C9" s="6" t="n"/>
      <c r="D9" s="6" t="n"/>
      <c r="E9" s="7" t="inlineStr">
        <is>
          <t>Core deliverables missing</t>
        </is>
      </c>
      <c r="G9" s="12">
        <f>COUNT(GAP_KEY)</f>
        <v/>
      </c>
      <c r="H9" s="9" t="n"/>
      <c r="I9" s="9" t="n"/>
      <c r="J9" s="9" t="n"/>
      <c r="K9" s="9" t="n"/>
      <c r="L9" s="9" t="n"/>
      <c r="M9" s="10" t="n"/>
    </row>
    <row r="10">
      <c r="B10" s="6" t="n"/>
      <c r="C10" s="6" t="n"/>
      <c r="D10" s="6" t="n"/>
      <c r="E10" s="7" t="inlineStr">
        <is>
          <t>Data quality flags</t>
        </is>
      </c>
      <c r="G10" s="12">
        <f>COUNTIF(DOC_CHECK,"?*")</f>
        <v/>
      </c>
      <c r="H10" s="9" t="n"/>
      <c r="I10" s="9" t="n"/>
      <c r="J10" s="9" t="n"/>
      <c r="K10" s="9" t="n"/>
      <c r="L10" s="9" t="n"/>
      <c r="M10" s="10" t="n"/>
    </row>
    <row r="12" ht="18" customHeight="1">
      <c r="B12" s="3" t="inlineStr">
        <is>
          <t>PROGRESS</t>
        </is>
      </c>
      <c r="C12" s="4" t="n"/>
      <c r="D12" s="4" t="n"/>
      <c r="E12" s="4" t="n"/>
      <c r="F12" s="4" t="n"/>
      <c r="G12" s="4" t="n"/>
      <c r="H12" s="4" t="n"/>
      <c r="I12" s="4" t="n"/>
    </row>
    <row r="13" ht="28" customHeight="1">
      <c r="B13" s="13" t="inlineStr"/>
      <c r="C13" s="13" t="inlineStr">
        <is>
          <t>Done</t>
        </is>
      </c>
      <c r="D13" s="13" t="inlineStr">
        <is>
          <t>In progress</t>
        </is>
      </c>
      <c r="E13" s="13" t="inlineStr">
        <is>
          <t>Late</t>
        </is>
      </c>
      <c r="F13" s="13" t="inlineStr">
        <is>
          <t>Inactive</t>
        </is>
      </c>
      <c r="G13" s="13" t="inlineStr">
        <is>
          <t>Missing</t>
        </is>
      </c>
      <c r="H13" s="13" t="inlineStr">
        <is>
          <t>Total</t>
        </is>
      </c>
      <c r="I13" s="13" t="inlineStr">
        <is>
          <t>% done</t>
        </is>
      </c>
    </row>
    <row r="14">
      <c r="B14" s="14" t="inlineStr">
        <is>
          <t>DOCUMENTS</t>
        </is>
      </c>
      <c r="C14" s="12">
        <f>COUNTIF(DOC_STATE,S_DONE)</f>
        <v/>
      </c>
      <c r="D14" s="12">
        <f>COUNTIF(DOC_STATE,S_WIP)</f>
        <v/>
      </c>
      <c r="E14" s="12">
        <f>COUNTIF(DOC_STATE,S_LATE)</f>
        <v/>
      </c>
      <c r="F14" s="12">
        <f>COUNTIF(DOC_STATE,S_INACT)</f>
        <v/>
      </c>
      <c r="G14" s="12">
        <f>COUNT(GAP_KEY)</f>
        <v/>
      </c>
      <c r="H14" s="12">
        <f>SUM(DOC_ACTIVE)</f>
        <v/>
      </c>
      <c r="I14" s="15">
        <f>IF($H14=0,"",$C14/$H14)</f>
        <v/>
      </c>
    </row>
    <row r="15">
      <c r="B15" s="14" t="inlineStr">
        <is>
          <t>ACTIONS</t>
        </is>
      </c>
      <c r="C15" s="12">
        <f>COUNTIF(ACT_STATE,S_DONE)</f>
        <v/>
      </c>
      <c r="D15" s="12">
        <f>COUNTIF(ACT_STATE,S_WIP)</f>
        <v/>
      </c>
      <c r="E15" s="12">
        <f>COUNTIF(ACT_STATE,S_LATE)</f>
        <v/>
      </c>
      <c r="F15" s="12">
        <f>COUNTIF(ACT_STATUS,A_HOLD)</f>
        <v/>
      </c>
      <c r="G15" s="12">
        <f>COUNTIF(ACT_STATE,S_NODUE)</f>
        <v/>
      </c>
      <c r="H15" s="12">
        <f>COUNTIF(ACT_ID,"?*")</f>
        <v/>
      </c>
      <c r="I15" s="15">
        <f>IF($H15=0,"",$C15/$H15)</f>
        <v/>
      </c>
    </row>
    <row r="17" ht="18" customHeight="1">
      <c r="B17" s="3">
        <f>"1. IN PROGRESS      work started, or already late.  Most late first.      Showing "&amp;MIN(10,COUNT(CMB_KWIP))&amp;" of "&amp;COUNT(CMB_KWIP)</f>
        <v/>
      </c>
      <c r="C17" s="4" t="n"/>
      <c r="D17" s="4" t="n"/>
      <c r="E17" s="4" t="n"/>
      <c r="F17" s="4" t="n"/>
      <c r="G17" s="4" t="n"/>
      <c r="H17" s="4" t="n"/>
      <c r="I17" s="4" t="n"/>
      <c r="J17" s="4" t="n"/>
      <c r="K17" s="4" t="n"/>
      <c r="L17" s="4" t="n"/>
      <c r="M17" s="4" t="n"/>
    </row>
    <row r="18" ht="28" customHeight="1">
      <c r="B18" s="13" t="inlineStr">
        <is>
          <t>Kind</t>
        </is>
      </c>
      <c r="C18" s="13" t="inlineStr">
        <is>
          <t>Subject</t>
        </is>
      </c>
      <c r="D18" s="13" t="inlineStr">
        <is>
          <t>Scope</t>
        </is>
      </c>
      <c r="E18" s="13" t="inlineStr">
        <is>
          <t>Owner</t>
        </is>
      </c>
      <c r="F18" s="13" t="inlineStr">
        <is>
          <t>Target date</t>
        </is>
      </c>
      <c r="G18" s="13" t="inlineStr">
        <is>
          <t>Days late</t>
        </is>
      </c>
    </row>
    <row r="19">
      <c r="B19" s="16">
        <f>IF($R19="","",IFERROR(INDEX(CMB_KIND,MATCH($R19,CMB_KWIP,0)),""))</f>
        <v/>
      </c>
      <c r="C19" s="16">
        <f>IF($R19="","",IFERROR(INDEX(CMB_SUBJ,MATCH($R19,CMB_KWIP,0)),""))</f>
        <v/>
      </c>
      <c r="D19" s="16">
        <f>IF($R19="","",IFERROR(INDEX(CMB_SCOPE,MATCH($R19,CMB_KWIP,0)),""))</f>
        <v/>
      </c>
      <c r="E19" s="16">
        <f>IF($R19="","",IFERROR(INDEX(CMB_OWNER,MATCH($R19,CMB_KWIP,0)),""))</f>
        <v/>
      </c>
      <c r="F19" s="17">
        <f>IF($R19="","",IFERROR(INDEX(CMB_TARGET,MATCH($R19,CMB_KWIP,0)),""))</f>
        <v/>
      </c>
      <c r="G19" s="18">
        <f>IF($R19="","",IFERROR(INDEX(CMB_DAYS,MATCH($R19,CMB_KWIP,0)),""))</f>
        <v/>
      </c>
      <c r="R19">
        <f>IFERROR(LARGE(CMB_KWIP,1),"")</f>
        <v/>
      </c>
    </row>
    <row r="20">
      <c r="B20" s="16">
        <f>IF($R20="","",IFERROR(INDEX(CMB_KIND,MATCH($R20,CMB_KWIP,0)),""))</f>
        <v/>
      </c>
      <c r="C20" s="16">
        <f>IF($R20="","",IFERROR(INDEX(CMB_SUBJ,MATCH($R20,CMB_KWIP,0)),""))</f>
        <v/>
      </c>
      <c r="D20" s="16">
        <f>IF($R20="","",IFERROR(INDEX(CMB_SCOPE,MATCH($R20,CMB_KWIP,0)),""))</f>
        <v/>
      </c>
      <c r="E20" s="16">
        <f>IF($R20="","",IFERROR(INDEX(CMB_OWNER,MATCH($R20,CMB_KWIP,0)),""))</f>
        <v/>
      </c>
      <c r="F20" s="17">
        <f>IF($R20="","",IFERROR(INDEX(CMB_TARGET,MATCH($R20,CMB_KWIP,0)),""))</f>
        <v/>
      </c>
      <c r="G20" s="18">
        <f>IF($R20="","",IFERROR(INDEX(CMB_DAYS,MATCH($R20,CMB_KWIP,0)),""))</f>
        <v/>
      </c>
      <c r="R20">
        <f>IFERROR(LARGE(CMB_KWIP,2),"")</f>
        <v/>
      </c>
    </row>
    <row r="21">
      <c r="B21" s="16">
        <f>IF($R21="","",IFERROR(INDEX(CMB_KIND,MATCH($R21,CMB_KWIP,0)),""))</f>
        <v/>
      </c>
      <c r="C21" s="16">
        <f>IF($R21="","",IFERROR(INDEX(CMB_SUBJ,MATCH($R21,CMB_KWIP,0)),""))</f>
        <v/>
      </c>
      <c r="D21" s="16">
        <f>IF($R21="","",IFERROR(INDEX(CMB_SCOPE,MATCH($R21,CMB_KWIP,0)),""))</f>
        <v/>
      </c>
      <c r="E21" s="16">
        <f>IF($R21="","",IFERROR(INDEX(CMB_OWNER,MATCH($R21,CMB_KWIP,0)),""))</f>
        <v/>
      </c>
      <c r="F21" s="17">
        <f>IF($R21="","",IFERROR(INDEX(CMB_TARGET,MATCH($R21,CMB_KWIP,0)),""))</f>
        <v/>
      </c>
      <c r="G21" s="18">
        <f>IF($R21="","",IFERROR(INDEX(CMB_DAYS,MATCH($R21,CMB_KWIP,0)),""))</f>
        <v/>
      </c>
      <c r="R21">
        <f>IFERROR(LARGE(CMB_KWIP,3),"")</f>
        <v/>
      </c>
    </row>
    <row r="22">
      <c r="B22" s="16">
        <f>IF($R22="","",IFERROR(INDEX(CMB_KIND,MATCH($R22,CMB_KWIP,0)),""))</f>
        <v/>
      </c>
      <c r="C22" s="16">
        <f>IF($R22="","",IFERROR(INDEX(CMB_SUBJ,MATCH($R22,CMB_KWIP,0)),""))</f>
        <v/>
      </c>
      <c r="D22" s="16">
        <f>IF($R22="","",IFERROR(INDEX(CMB_SCOPE,MATCH($R22,CMB_KWIP,0)),""))</f>
        <v/>
      </c>
      <c r="E22" s="16">
        <f>IF($R22="","",IFERROR(INDEX(CMB_OWNER,MATCH($R22,CMB_KWIP,0)),""))</f>
        <v/>
      </c>
      <c r="F22" s="17">
        <f>IF($R22="","",IFERROR(INDEX(CMB_TARGET,MATCH($R22,CMB_KWIP,0)),""))</f>
        <v/>
      </c>
      <c r="G22" s="18">
        <f>IF($R22="","",IFERROR(INDEX(CMB_DAYS,MATCH($R22,CMB_KWIP,0)),""))</f>
        <v/>
      </c>
      <c r="R22">
        <f>IFERROR(LARGE(CMB_KWIP,4),"")</f>
        <v/>
      </c>
    </row>
    <row r="23">
      <c r="B23" s="16">
        <f>IF($R23="","",IFERROR(INDEX(CMB_KIND,MATCH($R23,CMB_KWIP,0)),""))</f>
        <v/>
      </c>
      <c r="C23" s="16">
        <f>IF($R23="","",IFERROR(INDEX(CMB_SUBJ,MATCH($R23,CMB_KWIP,0)),""))</f>
        <v/>
      </c>
      <c r="D23" s="16">
        <f>IF($R23="","",IFERROR(INDEX(CMB_SCOPE,MATCH($R23,CMB_KWIP,0)),""))</f>
        <v/>
      </c>
      <c r="E23" s="16">
        <f>IF($R23="","",IFERROR(INDEX(CMB_OWNER,MATCH($R23,CMB_KWIP,0)),""))</f>
        <v/>
      </c>
      <c r="F23" s="17">
        <f>IF($R23="","",IFERROR(INDEX(CMB_TARGET,MATCH($R23,CMB_KWIP,0)),""))</f>
        <v/>
      </c>
      <c r="G23" s="18">
        <f>IF($R23="","",IFERROR(INDEX(CMB_DAYS,MATCH($R23,CMB_KWIP,0)),""))</f>
        <v/>
      </c>
      <c r="R23">
        <f>IFERROR(LARGE(CMB_KWIP,5),"")</f>
        <v/>
      </c>
    </row>
    <row r="24">
      <c r="B24" s="16">
        <f>IF($R24="","",IFERROR(INDEX(CMB_KIND,MATCH($R24,CMB_KWIP,0)),""))</f>
        <v/>
      </c>
      <c r="C24" s="16">
        <f>IF($R24="","",IFERROR(INDEX(CMB_SUBJ,MATCH($R24,CMB_KWIP,0)),""))</f>
        <v/>
      </c>
      <c r="D24" s="16">
        <f>IF($R24="","",IFERROR(INDEX(CMB_SCOPE,MATCH($R24,CMB_KWIP,0)),""))</f>
        <v/>
      </c>
      <c r="E24" s="16">
        <f>IF($R24="","",IFERROR(INDEX(CMB_OWNER,MATCH($R24,CMB_KWIP,0)),""))</f>
        <v/>
      </c>
      <c r="F24" s="17">
        <f>IF($R24="","",IFERROR(INDEX(CMB_TARGET,MATCH($R24,CMB_KWIP,0)),""))</f>
        <v/>
      </c>
      <c r="G24" s="18">
        <f>IF($R24="","",IFERROR(INDEX(CMB_DAYS,MATCH($R24,CMB_KWIP,0)),""))</f>
        <v/>
      </c>
      <c r="R24">
        <f>IFERROR(LARGE(CMB_KWIP,6),"")</f>
        <v/>
      </c>
    </row>
    <row r="25">
      <c r="B25" s="16">
        <f>IF($R25="","",IFERROR(INDEX(CMB_KIND,MATCH($R25,CMB_KWIP,0)),""))</f>
        <v/>
      </c>
      <c r="C25" s="16">
        <f>IF($R25="","",IFERROR(INDEX(CMB_SUBJ,MATCH($R25,CMB_KWIP,0)),""))</f>
        <v/>
      </c>
      <c r="D25" s="16">
        <f>IF($R25="","",IFERROR(INDEX(CMB_SCOPE,MATCH($R25,CMB_KWIP,0)),""))</f>
        <v/>
      </c>
      <c r="E25" s="16">
        <f>IF($R25="","",IFERROR(INDEX(CMB_OWNER,MATCH($R25,CMB_KWIP,0)),""))</f>
        <v/>
      </c>
      <c r="F25" s="17">
        <f>IF($R25="","",IFERROR(INDEX(CMB_TARGET,MATCH($R25,CMB_KWIP,0)),""))</f>
        <v/>
      </c>
      <c r="G25" s="18">
        <f>IF($R25="","",IFERROR(INDEX(CMB_DAYS,MATCH($R25,CMB_KWIP,0)),""))</f>
        <v/>
      </c>
      <c r="R25">
        <f>IFERROR(LARGE(CMB_KWIP,7),"")</f>
        <v/>
      </c>
    </row>
    <row r="26">
      <c r="B26" s="16">
        <f>IF($R26="","",IFERROR(INDEX(CMB_KIND,MATCH($R26,CMB_KWIP,0)),""))</f>
        <v/>
      </c>
      <c r="C26" s="16">
        <f>IF($R26="","",IFERROR(INDEX(CMB_SUBJ,MATCH($R26,CMB_KWIP,0)),""))</f>
        <v/>
      </c>
      <c r="D26" s="16">
        <f>IF($R26="","",IFERROR(INDEX(CMB_SCOPE,MATCH($R26,CMB_KWIP,0)),""))</f>
        <v/>
      </c>
      <c r="E26" s="16">
        <f>IF($R26="","",IFERROR(INDEX(CMB_OWNER,MATCH($R26,CMB_KWIP,0)),""))</f>
        <v/>
      </c>
      <c r="F26" s="17">
        <f>IF($R26="","",IFERROR(INDEX(CMB_TARGET,MATCH($R26,CMB_KWIP,0)),""))</f>
        <v/>
      </c>
      <c r="G26" s="18">
        <f>IF($R26="","",IFERROR(INDEX(CMB_DAYS,MATCH($R26,CMB_KWIP,0)),""))</f>
        <v/>
      </c>
      <c r="R26">
        <f>IFERROR(LARGE(CMB_KWIP,8),"")</f>
        <v/>
      </c>
    </row>
    <row r="27">
      <c r="B27" s="16">
        <f>IF($R27="","",IFERROR(INDEX(CMB_KIND,MATCH($R27,CMB_KWIP,0)),""))</f>
        <v/>
      </c>
      <c r="C27" s="16">
        <f>IF($R27="","",IFERROR(INDEX(CMB_SUBJ,MATCH($R27,CMB_KWIP,0)),""))</f>
        <v/>
      </c>
      <c r="D27" s="16">
        <f>IF($R27="","",IFERROR(INDEX(CMB_SCOPE,MATCH($R27,CMB_KWIP,0)),""))</f>
        <v/>
      </c>
      <c r="E27" s="16">
        <f>IF($R27="","",IFERROR(INDEX(CMB_OWNER,MATCH($R27,CMB_KWIP,0)),""))</f>
        <v/>
      </c>
      <c r="F27" s="17">
        <f>IF($R27="","",IFERROR(INDEX(CMB_TARGET,MATCH($R27,CMB_KWIP,0)),""))</f>
        <v/>
      </c>
      <c r="G27" s="18">
        <f>IF($R27="","",IFERROR(INDEX(CMB_DAYS,MATCH($R27,CMB_KWIP,0)),""))</f>
        <v/>
      </c>
      <c r="R27">
        <f>IFERROR(LARGE(CMB_KWIP,9),"")</f>
        <v/>
      </c>
    </row>
    <row r="28">
      <c r="B28" s="16">
        <f>IF($R28="","",IFERROR(INDEX(CMB_KIND,MATCH($R28,CMB_KWIP,0)),""))</f>
        <v/>
      </c>
      <c r="C28" s="16">
        <f>IF($R28="","",IFERROR(INDEX(CMB_SUBJ,MATCH($R28,CMB_KWIP,0)),""))</f>
        <v/>
      </c>
      <c r="D28" s="16">
        <f>IF($R28="","",IFERROR(INDEX(CMB_SCOPE,MATCH($R28,CMB_KWIP,0)),""))</f>
        <v/>
      </c>
      <c r="E28" s="16">
        <f>IF($R28="","",IFERROR(INDEX(CMB_OWNER,MATCH($R28,CMB_KWIP,0)),""))</f>
        <v/>
      </c>
      <c r="F28" s="17">
        <f>IF($R28="","",IFERROR(INDEX(CMB_TARGET,MATCH($R28,CMB_KWIP,0)),""))</f>
        <v/>
      </c>
      <c r="G28" s="18">
        <f>IF($R28="","",IFERROR(INDEX(CMB_DAYS,MATCH($R28,CMB_KWIP,0)),""))</f>
        <v/>
      </c>
      <c r="R28">
        <f>IFERROR(LARGE(CMB_KWIP,10),"")</f>
        <v/>
      </c>
    </row>
    <row r="30" ht="18" customHeight="1">
      <c r="B30" s="3">
        <f>"2. MISSING      core deliverables that do not exist yet.  Soonest needed first.      Showing "&amp;MIN(10,COUNT(GAP_KEY))&amp;" of "&amp;COUNT(GAP_KEY)</f>
        <v/>
      </c>
      <c r="C30" s="4" t="n"/>
      <c r="D30" s="4" t="n"/>
      <c r="E30" s="4" t="n"/>
      <c r="F30" s="4" t="n"/>
      <c r="G30" s="4" t="n"/>
      <c r="H30" s="4" t="n"/>
      <c r="I30" s="4" t="n"/>
      <c r="J30" s="4" t="n"/>
      <c r="K30" s="4" t="n"/>
      <c r="L30" s="4" t="n"/>
      <c r="M30" s="4" t="n"/>
    </row>
    <row r="31" ht="28" customHeight="1">
      <c r="B31" s="13" t="inlineStr">
        <is>
          <t>Level</t>
        </is>
      </c>
      <c r="C31" s="13" t="inlineStr">
        <is>
          <t>Deliverable</t>
        </is>
      </c>
      <c r="D31" s="13" t="inlineStr">
        <is>
          <t>Where</t>
        </is>
      </c>
      <c r="E31" s="13" t="inlineStr">
        <is>
          <t>Needed by</t>
        </is>
      </c>
    </row>
    <row r="32">
      <c r="B32" s="16">
        <f>IF($R32="","",IFERROR(INDEX(GAP_KIND,MATCH($R32,GAP_KEY,0)),""))</f>
        <v/>
      </c>
      <c r="C32" s="16">
        <f>IF($R32="","",IFERROR(INDEX(GAP_WHAT,MATCH($R32,GAP_KEY,0)),""))</f>
        <v/>
      </c>
      <c r="D32" s="16">
        <f>IF($R32="","",IFERROR(INDEX(GAP_WHERE,MATCH($R32,GAP_KEY,0)),""))</f>
        <v/>
      </c>
      <c r="E32" s="17">
        <f>IF($R32="","",IF(INT($R32)&gt;=60000,"",INT($R32)))</f>
        <v/>
      </c>
      <c r="R32">
        <f>IFERROR(SMALL(GAP_KEY,1),"")</f>
        <v/>
      </c>
    </row>
    <row r="33">
      <c r="B33" s="16">
        <f>IF($R33="","",IFERROR(INDEX(GAP_KIND,MATCH($R33,GAP_KEY,0)),""))</f>
        <v/>
      </c>
      <c r="C33" s="16">
        <f>IF($R33="","",IFERROR(INDEX(GAP_WHAT,MATCH($R33,GAP_KEY,0)),""))</f>
        <v/>
      </c>
      <c r="D33" s="16">
        <f>IF($R33="","",IFERROR(INDEX(GAP_WHERE,MATCH($R33,GAP_KEY,0)),""))</f>
        <v/>
      </c>
      <c r="E33" s="17">
        <f>IF($R33="","",IF(INT($R33)&gt;=60000,"",INT($R33)))</f>
        <v/>
      </c>
      <c r="R33">
        <f>IFERROR(SMALL(GAP_KEY,2),"")</f>
        <v/>
      </c>
    </row>
    <row r="34">
      <c r="B34" s="16">
        <f>IF($R34="","",IFERROR(INDEX(GAP_KIND,MATCH($R34,GAP_KEY,0)),""))</f>
        <v/>
      </c>
      <c r="C34" s="16">
        <f>IF($R34="","",IFERROR(INDEX(GAP_WHAT,MATCH($R34,GAP_KEY,0)),""))</f>
        <v/>
      </c>
      <c r="D34" s="16">
        <f>IF($R34="","",IFERROR(INDEX(GAP_WHERE,MATCH($R34,GAP_KEY,0)),""))</f>
        <v/>
      </c>
      <c r="E34" s="17">
        <f>IF($R34="","",IF(INT($R34)&gt;=60000,"",INT($R34)))</f>
        <v/>
      </c>
      <c r="R34">
        <f>IFERROR(SMALL(GAP_KEY,3),"")</f>
        <v/>
      </c>
    </row>
    <row r="35">
      <c r="B35" s="16">
        <f>IF($R35="","",IFERROR(INDEX(GAP_KIND,MATCH($R35,GAP_KEY,0)),""))</f>
        <v/>
      </c>
      <c r="C35" s="16">
        <f>IF($R35="","",IFERROR(INDEX(GAP_WHAT,MATCH($R35,GAP_KEY,0)),""))</f>
        <v/>
      </c>
      <c r="D35" s="16">
        <f>IF($R35="","",IFERROR(INDEX(GAP_WHERE,MATCH($R35,GAP_KEY,0)),""))</f>
        <v/>
      </c>
      <c r="E35" s="17">
        <f>IF($R35="","",IF(INT($R35)&gt;=60000,"",INT($R35)))</f>
        <v/>
      </c>
      <c r="R35">
        <f>IFERROR(SMALL(GAP_KEY,4),"")</f>
        <v/>
      </c>
    </row>
    <row r="36">
      <c r="B36" s="16">
        <f>IF($R36="","",IFERROR(INDEX(GAP_KIND,MATCH($R36,GAP_KEY,0)),""))</f>
        <v/>
      </c>
      <c r="C36" s="16">
        <f>IF($R36="","",IFERROR(INDEX(GAP_WHAT,MATCH($R36,GAP_KEY,0)),""))</f>
        <v/>
      </c>
      <c r="D36" s="16">
        <f>IF($R36="","",IFERROR(INDEX(GAP_WHERE,MATCH($R36,GAP_KEY,0)),""))</f>
        <v/>
      </c>
      <c r="E36" s="17">
        <f>IF($R36="","",IF(INT($R36)&gt;=60000,"",INT($R36)))</f>
        <v/>
      </c>
      <c r="R36">
        <f>IFERROR(SMALL(GAP_KEY,5),"")</f>
        <v/>
      </c>
    </row>
    <row r="37">
      <c r="B37" s="16">
        <f>IF($R37="","",IFERROR(INDEX(GAP_KIND,MATCH($R37,GAP_KEY,0)),""))</f>
        <v/>
      </c>
      <c r="C37" s="16">
        <f>IF($R37="","",IFERROR(INDEX(GAP_WHAT,MATCH($R37,GAP_KEY,0)),""))</f>
        <v/>
      </c>
      <c r="D37" s="16">
        <f>IF($R37="","",IFERROR(INDEX(GAP_WHERE,MATCH($R37,GAP_KEY,0)),""))</f>
        <v/>
      </c>
      <c r="E37" s="17">
        <f>IF($R37="","",IF(INT($R37)&gt;=60000,"",INT($R37)))</f>
        <v/>
      </c>
      <c r="R37">
        <f>IFERROR(SMALL(GAP_KEY,6),"")</f>
        <v/>
      </c>
    </row>
    <row r="38">
      <c r="B38" s="16">
        <f>IF($R38="","",IFERROR(INDEX(GAP_KIND,MATCH($R38,GAP_KEY,0)),""))</f>
        <v/>
      </c>
      <c r="C38" s="16">
        <f>IF($R38="","",IFERROR(INDEX(GAP_WHAT,MATCH($R38,GAP_KEY,0)),""))</f>
        <v/>
      </c>
      <c r="D38" s="16">
        <f>IF($R38="","",IFERROR(INDEX(GAP_WHERE,MATCH($R38,GAP_KEY,0)),""))</f>
        <v/>
      </c>
      <c r="E38" s="17">
        <f>IF($R38="","",IF(INT($R38)&gt;=60000,"",INT($R38)))</f>
        <v/>
      </c>
      <c r="R38">
        <f>IFERROR(SMALL(GAP_KEY,7),"")</f>
        <v/>
      </c>
    </row>
    <row r="39">
      <c r="B39" s="16">
        <f>IF($R39="","",IFERROR(INDEX(GAP_KIND,MATCH($R39,GAP_KEY,0)),""))</f>
        <v/>
      </c>
      <c r="C39" s="16">
        <f>IF($R39="","",IFERROR(INDEX(GAP_WHAT,MATCH($R39,GAP_KEY,0)),""))</f>
        <v/>
      </c>
      <c r="D39" s="16">
        <f>IF($R39="","",IFERROR(INDEX(GAP_WHERE,MATCH($R39,GAP_KEY,0)),""))</f>
        <v/>
      </c>
      <c r="E39" s="17">
        <f>IF($R39="","",IF(INT($R39)&gt;=60000,"",INT($R39)))</f>
        <v/>
      </c>
      <c r="R39">
        <f>IFERROR(SMALL(GAP_KEY,8),"")</f>
        <v/>
      </c>
    </row>
    <row r="40">
      <c r="B40" s="16">
        <f>IF($R40="","",IFERROR(INDEX(GAP_KIND,MATCH($R40,GAP_KEY,0)),""))</f>
        <v/>
      </c>
      <c r="C40" s="16">
        <f>IF($R40="","",IFERROR(INDEX(GAP_WHAT,MATCH($R40,GAP_KEY,0)),""))</f>
        <v/>
      </c>
      <c r="D40" s="16">
        <f>IF($R40="","",IFERROR(INDEX(GAP_WHERE,MATCH($R40,GAP_KEY,0)),""))</f>
        <v/>
      </c>
      <c r="E40" s="17">
        <f>IF($R40="","",IF(INT($R40)&gt;=60000,"",INT($R40)))</f>
        <v/>
      </c>
      <c r="R40">
        <f>IFERROR(SMALL(GAP_KEY,9),"")</f>
        <v/>
      </c>
    </row>
    <row r="41">
      <c r="B41" s="16">
        <f>IF($R41="","",IFERROR(INDEX(GAP_KIND,MATCH($R41,GAP_KEY,0)),""))</f>
        <v/>
      </c>
      <c r="C41" s="16">
        <f>IF($R41="","",IFERROR(INDEX(GAP_WHAT,MATCH($R41,GAP_KEY,0)),""))</f>
        <v/>
      </c>
      <c r="D41" s="16">
        <f>IF($R41="","",IFERROR(INDEX(GAP_WHERE,MATCH($R41,GAP_KEY,0)),""))</f>
        <v/>
      </c>
      <c r="E41" s="17">
        <f>IF($R41="","",IF(INT($R41)&gt;=60000,"",INT($R41)))</f>
        <v/>
      </c>
      <c r="R41">
        <f>IFERROR(SMALL(GAP_KEY,10),"")</f>
        <v/>
      </c>
    </row>
    <row r="43" ht="18" customHeight="1">
      <c r="B43" s="3">
        <f>"3. COMING      not started, due inside the horizon set in SETUP.  Soonest first.      Showing "&amp;MIN(10,COUNT(CMB_KCOME))&amp;" of "&amp;COUNT(CMB_KCOME)</f>
        <v/>
      </c>
      <c r="C43" s="4" t="n"/>
      <c r="D43" s="4" t="n"/>
      <c r="E43" s="4" t="n"/>
      <c r="F43" s="4" t="n"/>
      <c r="G43" s="4" t="n"/>
      <c r="H43" s="4" t="n"/>
      <c r="I43" s="4" t="n"/>
      <c r="J43" s="4" t="n"/>
      <c r="K43" s="4" t="n"/>
      <c r="L43" s="4" t="n"/>
      <c r="M43" s="4" t="n"/>
    </row>
    <row r="44" ht="28" customHeight="1">
      <c r="B44" s="13" t="inlineStr">
        <is>
          <t>Kind</t>
        </is>
      </c>
      <c r="C44" s="13" t="inlineStr">
        <is>
          <t>Subject</t>
        </is>
      </c>
      <c r="D44" s="13" t="inlineStr">
        <is>
          <t>Scope</t>
        </is>
      </c>
      <c r="E44" s="13" t="inlineStr">
        <is>
          <t>Owner</t>
        </is>
      </c>
      <c r="F44" s="13" t="inlineStr">
        <is>
          <t>Target date</t>
        </is>
      </c>
      <c r="G44" s="13" t="inlineStr">
        <is>
          <t>Days left</t>
        </is>
      </c>
    </row>
    <row r="45">
      <c r="B45" s="16">
        <f>IF($R45="","",IFERROR(INDEX(CMB_KIND,MATCH($R45,CMB_KCOME,0)),""))</f>
        <v/>
      </c>
      <c r="C45" s="16">
        <f>IF($R45="","",IFERROR(INDEX(CMB_SUBJ,MATCH($R45,CMB_KCOME,0)),""))</f>
        <v/>
      </c>
      <c r="D45" s="16">
        <f>IF($R45="","",IFERROR(INDEX(CMB_SCOPE,MATCH($R45,CMB_KCOME,0)),""))</f>
        <v/>
      </c>
      <c r="E45" s="16">
        <f>IF($R45="","",IFERROR(INDEX(CMB_OWNER,MATCH($R45,CMB_KCOME,0)),""))</f>
        <v/>
      </c>
      <c r="F45" s="17">
        <f>IF($R45="","",IFERROR(INDEX(CMB_TARGET,MATCH($R45,CMB_KCOME,0)),""))</f>
        <v/>
      </c>
      <c r="G45" s="19">
        <f>IF($R45="","",-INDEX(CMB_DAYS,MATCH($R45,CMB_KCOME,0)))</f>
        <v/>
      </c>
      <c r="R45">
        <f>IFERROR(LARGE(CMB_KCOME,1),"")</f>
        <v/>
      </c>
    </row>
    <row r="46">
      <c r="B46" s="16">
        <f>IF($R46="","",IFERROR(INDEX(CMB_KIND,MATCH($R46,CMB_KCOME,0)),""))</f>
        <v/>
      </c>
      <c r="C46" s="16">
        <f>IF($R46="","",IFERROR(INDEX(CMB_SUBJ,MATCH($R46,CMB_KCOME,0)),""))</f>
        <v/>
      </c>
      <c r="D46" s="16">
        <f>IF($R46="","",IFERROR(INDEX(CMB_SCOPE,MATCH($R46,CMB_KCOME,0)),""))</f>
        <v/>
      </c>
      <c r="E46" s="16">
        <f>IF($R46="","",IFERROR(INDEX(CMB_OWNER,MATCH($R46,CMB_KCOME,0)),""))</f>
        <v/>
      </c>
      <c r="F46" s="17">
        <f>IF($R46="","",IFERROR(INDEX(CMB_TARGET,MATCH($R46,CMB_KCOME,0)),""))</f>
        <v/>
      </c>
      <c r="G46" s="19">
        <f>IF($R46="","",-INDEX(CMB_DAYS,MATCH($R46,CMB_KCOME,0)))</f>
        <v/>
      </c>
      <c r="R46">
        <f>IFERROR(LARGE(CMB_KCOME,2),"")</f>
        <v/>
      </c>
    </row>
    <row r="47">
      <c r="B47" s="16">
        <f>IF($R47="","",IFERROR(INDEX(CMB_KIND,MATCH($R47,CMB_KCOME,0)),""))</f>
        <v/>
      </c>
      <c r="C47" s="16">
        <f>IF($R47="","",IFERROR(INDEX(CMB_SUBJ,MATCH($R47,CMB_KCOME,0)),""))</f>
        <v/>
      </c>
      <c r="D47" s="16">
        <f>IF($R47="","",IFERROR(INDEX(CMB_SCOPE,MATCH($R47,CMB_KCOME,0)),""))</f>
        <v/>
      </c>
      <c r="E47" s="16">
        <f>IF($R47="","",IFERROR(INDEX(CMB_OWNER,MATCH($R47,CMB_KCOME,0)),""))</f>
        <v/>
      </c>
      <c r="F47" s="17">
        <f>IF($R47="","",IFERROR(INDEX(CMB_TARGET,MATCH($R47,CMB_KCOME,0)),""))</f>
        <v/>
      </c>
      <c r="G47" s="19">
        <f>IF($R47="","",-INDEX(CMB_DAYS,MATCH($R47,CMB_KCOME,0)))</f>
        <v/>
      </c>
      <c r="R47">
        <f>IFERROR(LARGE(CMB_KCOME,3),"")</f>
        <v/>
      </c>
    </row>
    <row r="48">
      <c r="B48" s="16">
        <f>IF($R48="","",IFERROR(INDEX(CMB_KIND,MATCH($R48,CMB_KCOME,0)),""))</f>
        <v/>
      </c>
      <c r="C48" s="16">
        <f>IF($R48="","",IFERROR(INDEX(CMB_SUBJ,MATCH($R48,CMB_KCOME,0)),""))</f>
        <v/>
      </c>
      <c r="D48" s="16">
        <f>IF($R48="","",IFERROR(INDEX(CMB_SCOPE,MATCH($R48,CMB_KCOME,0)),""))</f>
        <v/>
      </c>
      <c r="E48" s="16">
        <f>IF($R48="","",IFERROR(INDEX(CMB_OWNER,MATCH($R48,CMB_KCOME,0)),""))</f>
        <v/>
      </c>
      <c r="F48" s="17">
        <f>IF($R48="","",IFERROR(INDEX(CMB_TARGET,MATCH($R48,CMB_KCOME,0)),""))</f>
        <v/>
      </c>
      <c r="G48" s="19">
        <f>IF($R48="","",-INDEX(CMB_DAYS,MATCH($R48,CMB_KCOME,0)))</f>
        <v/>
      </c>
      <c r="R48">
        <f>IFERROR(LARGE(CMB_KCOME,4),"")</f>
        <v/>
      </c>
    </row>
    <row r="49">
      <c r="B49" s="16">
        <f>IF($R49="","",IFERROR(INDEX(CMB_KIND,MATCH($R49,CMB_KCOME,0)),""))</f>
        <v/>
      </c>
      <c r="C49" s="16">
        <f>IF($R49="","",IFERROR(INDEX(CMB_SUBJ,MATCH($R49,CMB_KCOME,0)),""))</f>
        <v/>
      </c>
      <c r="D49" s="16">
        <f>IF($R49="","",IFERROR(INDEX(CMB_SCOPE,MATCH($R49,CMB_KCOME,0)),""))</f>
        <v/>
      </c>
      <c r="E49" s="16">
        <f>IF($R49="","",IFERROR(INDEX(CMB_OWNER,MATCH($R49,CMB_KCOME,0)),""))</f>
        <v/>
      </c>
      <c r="F49" s="17">
        <f>IF($R49="","",IFERROR(INDEX(CMB_TARGET,MATCH($R49,CMB_KCOME,0)),""))</f>
        <v/>
      </c>
      <c r="G49" s="19">
        <f>IF($R49="","",-INDEX(CMB_DAYS,MATCH($R49,CMB_KCOME,0)))</f>
        <v/>
      </c>
      <c r="R49">
        <f>IFERROR(LARGE(CMB_KCOME,5),"")</f>
        <v/>
      </c>
    </row>
    <row r="50">
      <c r="B50" s="16">
        <f>IF($R50="","",IFERROR(INDEX(CMB_KIND,MATCH($R50,CMB_KCOME,0)),""))</f>
        <v/>
      </c>
      <c r="C50" s="16">
        <f>IF($R50="","",IFERROR(INDEX(CMB_SUBJ,MATCH($R50,CMB_KCOME,0)),""))</f>
        <v/>
      </c>
      <c r="D50" s="16">
        <f>IF($R50="","",IFERROR(INDEX(CMB_SCOPE,MATCH($R50,CMB_KCOME,0)),""))</f>
        <v/>
      </c>
      <c r="E50" s="16">
        <f>IF($R50="","",IFERROR(INDEX(CMB_OWNER,MATCH($R50,CMB_KCOME,0)),""))</f>
        <v/>
      </c>
      <c r="F50" s="17">
        <f>IF($R50="","",IFERROR(INDEX(CMB_TARGET,MATCH($R50,CMB_KCOME,0)),""))</f>
        <v/>
      </c>
      <c r="G50" s="19">
        <f>IF($R50="","",-INDEX(CMB_DAYS,MATCH($R50,CMB_KCOME,0)))</f>
        <v/>
      </c>
      <c r="R50">
        <f>IFERROR(LARGE(CMB_KCOME,6),"")</f>
        <v/>
      </c>
    </row>
    <row r="51">
      <c r="B51" s="16">
        <f>IF($R51="","",IFERROR(INDEX(CMB_KIND,MATCH($R51,CMB_KCOME,0)),""))</f>
        <v/>
      </c>
      <c r="C51" s="16">
        <f>IF($R51="","",IFERROR(INDEX(CMB_SUBJ,MATCH($R51,CMB_KCOME,0)),""))</f>
        <v/>
      </c>
      <c r="D51" s="16">
        <f>IF($R51="","",IFERROR(INDEX(CMB_SCOPE,MATCH($R51,CMB_KCOME,0)),""))</f>
        <v/>
      </c>
      <c r="E51" s="16">
        <f>IF($R51="","",IFERROR(INDEX(CMB_OWNER,MATCH($R51,CMB_KCOME,0)),""))</f>
        <v/>
      </c>
      <c r="F51" s="17">
        <f>IF($R51="","",IFERROR(INDEX(CMB_TARGET,MATCH($R51,CMB_KCOME,0)),""))</f>
        <v/>
      </c>
      <c r="G51" s="19">
        <f>IF($R51="","",-INDEX(CMB_DAYS,MATCH($R51,CMB_KCOME,0)))</f>
        <v/>
      </c>
      <c r="R51">
        <f>IFERROR(LARGE(CMB_KCOME,7),"")</f>
        <v/>
      </c>
    </row>
    <row r="52">
      <c r="B52" s="16">
        <f>IF($R52="","",IFERROR(INDEX(CMB_KIND,MATCH($R52,CMB_KCOME,0)),""))</f>
        <v/>
      </c>
      <c r="C52" s="16">
        <f>IF($R52="","",IFERROR(INDEX(CMB_SUBJ,MATCH($R52,CMB_KCOME,0)),""))</f>
        <v/>
      </c>
      <c r="D52" s="16">
        <f>IF($R52="","",IFERROR(INDEX(CMB_SCOPE,MATCH($R52,CMB_KCOME,0)),""))</f>
        <v/>
      </c>
      <c r="E52" s="16">
        <f>IF($R52="","",IFERROR(INDEX(CMB_OWNER,MATCH($R52,CMB_KCOME,0)),""))</f>
        <v/>
      </c>
      <c r="F52" s="17">
        <f>IF($R52="","",IFERROR(INDEX(CMB_TARGET,MATCH($R52,CMB_KCOME,0)),""))</f>
        <v/>
      </c>
      <c r="G52" s="19">
        <f>IF($R52="","",-INDEX(CMB_DAYS,MATCH($R52,CMB_KCOME,0)))</f>
        <v/>
      </c>
      <c r="R52">
        <f>IFERROR(LARGE(CMB_KCOME,8),"")</f>
        <v/>
      </c>
    </row>
    <row r="53">
      <c r="B53" s="16">
        <f>IF($R53="","",IFERROR(INDEX(CMB_KIND,MATCH($R53,CMB_KCOME,0)),""))</f>
        <v/>
      </c>
      <c r="C53" s="16">
        <f>IF($R53="","",IFERROR(INDEX(CMB_SUBJ,MATCH($R53,CMB_KCOME,0)),""))</f>
        <v/>
      </c>
      <c r="D53" s="16">
        <f>IF($R53="","",IFERROR(INDEX(CMB_SCOPE,MATCH($R53,CMB_KCOME,0)),""))</f>
        <v/>
      </c>
      <c r="E53" s="16">
        <f>IF($R53="","",IFERROR(INDEX(CMB_OWNER,MATCH($R53,CMB_KCOME,0)),""))</f>
        <v/>
      </c>
      <c r="F53" s="17">
        <f>IF($R53="","",IFERROR(INDEX(CMB_TARGET,MATCH($R53,CMB_KCOME,0)),""))</f>
        <v/>
      </c>
      <c r="G53" s="19">
        <f>IF($R53="","",-INDEX(CMB_DAYS,MATCH($R53,CMB_KCOME,0)))</f>
        <v/>
      </c>
      <c r="R53">
        <f>IFERROR(LARGE(CMB_KCOME,9),"")</f>
        <v/>
      </c>
    </row>
    <row r="54">
      <c r="B54" s="16">
        <f>IF($R54="","",IFERROR(INDEX(CMB_KIND,MATCH($R54,CMB_KCOME,0)),""))</f>
        <v/>
      </c>
      <c r="C54" s="16">
        <f>IF($R54="","",IFERROR(INDEX(CMB_SUBJ,MATCH($R54,CMB_KCOME,0)),""))</f>
        <v/>
      </c>
      <c r="D54" s="16">
        <f>IF($R54="","",IFERROR(INDEX(CMB_SCOPE,MATCH($R54,CMB_KCOME,0)),""))</f>
        <v/>
      </c>
      <c r="E54" s="16">
        <f>IF($R54="","",IFERROR(INDEX(CMB_OWNER,MATCH($R54,CMB_KCOME,0)),""))</f>
        <v/>
      </c>
      <c r="F54" s="17">
        <f>IF($R54="","",IFERROR(INDEX(CMB_TARGET,MATCH($R54,CMB_KCOME,0)),""))</f>
        <v/>
      </c>
      <c r="G54" s="19">
        <f>IF($R54="","",-INDEX(CMB_DAYS,MATCH($R54,CMB_KCOME,0)))</f>
        <v/>
      </c>
      <c r="R54">
        <f>IFERROR(LARGE(CMB_KCOME,10),"")</f>
        <v/>
      </c>
    </row>
    <row r="56" ht="18" customHeight="1">
      <c r="B56" s="3" t="inlineStr">
        <is>
          <t>4. BY SYSTEM</t>
        </is>
      </c>
      <c r="C56" s="4" t="n"/>
      <c r="D56" s="4" t="n"/>
      <c r="E56" s="4" t="n"/>
      <c r="F56" s="4" t="n"/>
      <c r="G56" s="4" t="n"/>
      <c r="H56" s="4" t="n"/>
      <c r="I56" s="4" t="n"/>
      <c r="J56" s="4" t="n"/>
      <c r="K56" s="4" t="n"/>
      <c r="L56" s="4" t="n"/>
      <c r="M56" s="4" t="n"/>
    </row>
    <row r="57" ht="28" customHeight="1">
      <c r="B57" s="13" t="inlineStr">
        <is>
          <t>System</t>
        </is>
      </c>
      <c r="C57" s="13" t="inlineStr">
        <is>
          <t>System name</t>
        </is>
      </c>
      <c r="D57" s="13" t="inlineStr">
        <is>
          <t>Equip.</t>
        </is>
      </c>
      <c r="E57" s="13" t="inlineStr">
        <is>
          <t>Docs</t>
        </is>
      </c>
      <c r="F57" s="13" t="inlineStr">
        <is>
          <t>Done</t>
        </is>
      </c>
      <c r="G57" s="13" t="inlineStr">
        <is>
          <t>Late</t>
        </is>
      </c>
      <c r="H57" s="13" t="inlineStr">
        <is>
          <t>At risk</t>
        </is>
      </c>
      <c r="I57" s="13" t="inlineStr">
        <is>
          <t>Core missing</t>
        </is>
      </c>
      <c r="J57" s="13" t="inlineStr">
        <is>
          <t>% done</t>
        </is>
      </c>
      <c r="K57" s="13" t="inlineStr">
        <is>
          <t>Status</t>
        </is>
      </c>
    </row>
    <row r="58">
      <c r="B58" s="16">
        <f>IF(OR(SETUP!$B$89="",SETUP!$B$89=""),"",SETUP!$B$89)</f>
        <v/>
      </c>
      <c r="C58" s="16">
        <f>IF(OR(SETUP!$B$89="",SETUP!$C$89=""),"",SETUP!$C$89)</f>
        <v/>
      </c>
      <c r="D58" s="19">
        <f>IF(OR(SETUP!$B$89="",SETUP!$F$89=""),"",SETUP!$F$89)</f>
        <v/>
      </c>
      <c r="E58" s="19">
        <f>IF(OR(SETUP!$B$89="",SETUP!$G$89=""),"",SETUP!$G$89)</f>
        <v/>
      </c>
      <c r="F58" s="19">
        <f>IF(OR(SETUP!$B$89="",SETUP!$H$89=""),"",SETUP!$H$89)</f>
        <v/>
      </c>
      <c r="G58" s="19">
        <f>IF(OR(SETUP!$B$89="",SETUP!$I$89=""),"",SETUP!$I$89)</f>
        <v/>
      </c>
      <c r="H58" s="19">
        <f>IF(OR(SETUP!$B$89="",SETUP!$J$89=""),"",SETUP!$J$89)</f>
        <v/>
      </c>
      <c r="I58" s="19">
        <f>IF(OR(SETUP!$B$89="",SETUP!$K$89=""),"",SETUP!$K$89)</f>
        <v/>
      </c>
      <c r="J58" s="20">
        <f>IF(OR(SETUP!$B$89="",SETUP!$L$89=""),"",SETUP!$L$89)</f>
        <v/>
      </c>
      <c r="K58" s="16">
        <f>IF(OR(SETUP!$B$89="",SETUP!$M$89=""),"",SETUP!$M$89)</f>
        <v/>
      </c>
    </row>
    <row r="59">
      <c r="B59" s="16">
        <f>IF(OR(SETUP!$B$90="",SETUP!$B$90=""),"",SETUP!$B$90)</f>
        <v/>
      </c>
      <c r="C59" s="16">
        <f>IF(OR(SETUP!$B$90="",SETUP!$C$90=""),"",SETUP!$C$90)</f>
        <v/>
      </c>
      <c r="D59" s="19">
        <f>IF(OR(SETUP!$B$90="",SETUP!$F$90=""),"",SETUP!$F$90)</f>
        <v/>
      </c>
      <c r="E59" s="19">
        <f>IF(OR(SETUP!$B$90="",SETUP!$G$90=""),"",SETUP!$G$90)</f>
        <v/>
      </c>
      <c r="F59" s="19">
        <f>IF(OR(SETUP!$B$90="",SETUP!$H$90=""),"",SETUP!$H$90)</f>
        <v/>
      </c>
      <c r="G59" s="19">
        <f>IF(OR(SETUP!$B$90="",SETUP!$I$90=""),"",SETUP!$I$90)</f>
        <v/>
      </c>
      <c r="H59" s="19">
        <f>IF(OR(SETUP!$B$90="",SETUP!$J$90=""),"",SETUP!$J$90)</f>
        <v/>
      </c>
      <c r="I59" s="19">
        <f>IF(OR(SETUP!$B$90="",SETUP!$K$90=""),"",SETUP!$K$90)</f>
        <v/>
      </c>
      <c r="J59" s="20">
        <f>IF(OR(SETUP!$B$90="",SETUP!$L$90=""),"",SETUP!$L$90)</f>
        <v/>
      </c>
      <c r="K59" s="16">
        <f>IF(OR(SETUP!$B$90="",SETUP!$M$90=""),"",SETUP!$M$90)</f>
        <v/>
      </c>
    </row>
    <row r="60">
      <c r="B60" s="16">
        <f>IF(OR(SETUP!$B$91="",SETUP!$B$91=""),"",SETUP!$B$91)</f>
        <v/>
      </c>
      <c r="C60" s="16">
        <f>IF(OR(SETUP!$B$91="",SETUP!$C$91=""),"",SETUP!$C$91)</f>
        <v/>
      </c>
      <c r="D60" s="19">
        <f>IF(OR(SETUP!$B$91="",SETUP!$F$91=""),"",SETUP!$F$91)</f>
        <v/>
      </c>
      <c r="E60" s="19">
        <f>IF(OR(SETUP!$B$91="",SETUP!$G$91=""),"",SETUP!$G$91)</f>
        <v/>
      </c>
      <c r="F60" s="19">
        <f>IF(OR(SETUP!$B$91="",SETUP!$H$91=""),"",SETUP!$H$91)</f>
        <v/>
      </c>
      <c r="G60" s="19">
        <f>IF(OR(SETUP!$B$91="",SETUP!$I$91=""),"",SETUP!$I$91)</f>
        <v/>
      </c>
      <c r="H60" s="19">
        <f>IF(OR(SETUP!$B$91="",SETUP!$J$91=""),"",SETUP!$J$91)</f>
        <v/>
      </c>
      <c r="I60" s="19">
        <f>IF(OR(SETUP!$B$91="",SETUP!$K$91=""),"",SETUP!$K$91)</f>
        <v/>
      </c>
      <c r="J60" s="20">
        <f>IF(OR(SETUP!$B$91="",SETUP!$L$91=""),"",SETUP!$L$91)</f>
        <v/>
      </c>
      <c r="K60" s="16">
        <f>IF(OR(SETUP!$B$91="",SETUP!$M$91=""),"",SETUP!$M$91)</f>
        <v/>
      </c>
    </row>
    <row r="61">
      <c r="B61" s="16">
        <f>IF(OR(SETUP!$B$92="",SETUP!$B$92=""),"",SETUP!$B$92)</f>
        <v/>
      </c>
      <c r="C61" s="16">
        <f>IF(OR(SETUP!$B$92="",SETUP!$C$92=""),"",SETUP!$C$92)</f>
        <v/>
      </c>
      <c r="D61" s="19">
        <f>IF(OR(SETUP!$B$92="",SETUP!$F$92=""),"",SETUP!$F$92)</f>
        <v/>
      </c>
      <c r="E61" s="19">
        <f>IF(OR(SETUP!$B$92="",SETUP!$G$92=""),"",SETUP!$G$92)</f>
        <v/>
      </c>
      <c r="F61" s="19">
        <f>IF(OR(SETUP!$B$92="",SETUP!$H$92=""),"",SETUP!$H$92)</f>
        <v/>
      </c>
      <c r="G61" s="19">
        <f>IF(OR(SETUP!$B$92="",SETUP!$I$92=""),"",SETUP!$I$92)</f>
        <v/>
      </c>
      <c r="H61" s="19">
        <f>IF(OR(SETUP!$B$92="",SETUP!$J$92=""),"",SETUP!$J$92)</f>
        <v/>
      </c>
      <c r="I61" s="19">
        <f>IF(OR(SETUP!$B$92="",SETUP!$K$92=""),"",SETUP!$K$92)</f>
        <v/>
      </c>
      <c r="J61" s="20">
        <f>IF(OR(SETUP!$B$92="",SETUP!$L$92=""),"",SETUP!$L$92)</f>
        <v/>
      </c>
      <c r="K61" s="16">
        <f>IF(OR(SETUP!$B$92="",SETUP!$M$92=""),"",SETUP!$M$92)</f>
        <v/>
      </c>
    </row>
    <row r="62">
      <c r="B62" s="16">
        <f>IF(OR(SETUP!$B$93="",SETUP!$B$93=""),"",SETUP!$B$93)</f>
        <v/>
      </c>
      <c r="C62" s="16">
        <f>IF(OR(SETUP!$B$93="",SETUP!$C$93=""),"",SETUP!$C$93)</f>
        <v/>
      </c>
      <c r="D62" s="19">
        <f>IF(OR(SETUP!$B$93="",SETUP!$F$93=""),"",SETUP!$F$93)</f>
        <v/>
      </c>
      <c r="E62" s="19">
        <f>IF(OR(SETUP!$B$93="",SETUP!$G$93=""),"",SETUP!$G$93)</f>
        <v/>
      </c>
      <c r="F62" s="19">
        <f>IF(OR(SETUP!$B$93="",SETUP!$H$93=""),"",SETUP!$H$93)</f>
        <v/>
      </c>
      <c r="G62" s="19">
        <f>IF(OR(SETUP!$B$93="",SETUP!$I$93=""),"",SETUP!$I$93)</f>
        <v/>
      </c>
      <c r="H62" s="19">
        <f>IF(OR(SETUP!$B$93="",SETUP!$J$93=""),"",SETUP!$J$93)</f>
        <v/>
      </c>
      <c r="I62" s="19">
        <f>IF(OR(SETUP!$B$93="",SETUP!$K$93=""),"",SETUP!$K$93)</f>
        <v/>
      </c>
      <c r="J62" s="20">
        <f>IF(OR(SETUP!$B$93="",SETUP!$L$93=""),"",SETUP!$L$93)</f>
        <v/>
      </c>
      <c r="K62" s="16">
        <f>IF(OR(SETUP!$B$93="",SETUP!$M$93=""),"",SETUP!$M$93)</f>
        <v/>
      </c>
    </row>
    <row r="63">
      <c r="B63" s="16">
        <f>IF(OR(SETUP!$B$94="",SETUP!$B$94=""),"",SETUP!$B$94)</f>
        <v/>
      </c>
      <c r="C63" s="16">
        <f>IF(OR(SETUP!$B$94="",SETUP!$C$94=""),"",SETUP!$C$94)</f>
        <v/>
      </c>
      <c r="D63" s="19">
        <f>IF(OR(SETUP!$B$94="",SETUP!$F$94=""),"",SETUP!$F$94)</f>
        <v/>
      </c>
      <c r="E63" s="19">
        <f>IF(OR(SETUP!$B$94="",SETUP!$G$94=""),"",SETUP!$G$94)</f>
        <v/>
      </c>
      <c r="F63" s="19">
        <f>IF(OR(SETUP!$B$94="",SETUP!$H$94=""),"",SETUP!$H$94)</f>
        <v/>
      </c>
      <c r="G63" s="19">
        <f>IF(OR(SETUP!$B$94="",SETUP!$I$94=""),"",SETUP!$I$94)</f>
        <v/>
      </c>
      <c r="H63" s="19">
        <f>IF(OR(SETUP!$B$94="",SETUP!$J$94=""),"",SETUP!$J$94)</f>
        <v/>
      </c>
      <c r="I63" s="19">
        <f>IF(OR(SETUP!$B$94="",SETUP!$K$94=""),"",SETUP!$K$94)</f>
        <v/>
      </c>
      <c r="J63" s="20">
        <f>IF(OR(SETUP!$B$94="",SETUP!$L$94=""),"",SETUP!$L$94)</f>
        <v/>
      </c>
      <c r="K63" s="16">
        <f>IF(OR(SETUP!$B$94="",SETUP!$M$94=""),"",SETUP!$M$94)</f>
        <v/>
      </c>
    </row>
    <row r="64">
      <c r="B64" s="16">
        <f>IF(OR(SETUP!$B$95="",SETUP!$B$95=""),"",SETUP!$B$95)</f>
        <v/>
      </c>
      <c r="C64" s="16">
        <f>IF(OR(SETUP!$B$95="",SETUP!$C$95=""),"",SETUP!$C$95)</f>
        <v/>
      </c>
      <c r="D64" s="19">
        <f>IF(OR(SETUP!$B$95="",SETUP!$F$95=""),"",SETUP!$F$95)</f>
        <v/>
      </c>
      <c r="E64" s="19">
        <f>IF(OR(SETUP!$B$95="",SETUP!$G$95=""),"",SETUP!$G$95)</f>
        <v/>
      </c>
      <c r="F64" s="19">
        <f>IF(OR(SETUP!$B$95="",SETUP!$H$95=""),"",SETUP!$H$95)</f>
        <v/>
      </c>
      <c r="G64" s="19">
        <f>IF(OR(SETUP!$B$95="",SETUP!$I$95=""),"",SETUP!$I$95)</f>
        <v/>
      </c>
      <c r="H64" s="19">
        <f>IF(OR(SETUP!$B$95="",SETUP!$J$95=""),"",SETUP!$J$95)</f>
        <v/>
      </c>
      <c r="I64" s="19">
        <f>IF(OR(SETUP!$B$95="",SETUP!$K$95=""),"",SETUP!$K$95)</f>
        <v/>
      </c>
      <c r="J64" s="20">
        <f>IF(OR(SETUP!$B$95="",SETUP!$L$95=""),"",SETUP!$L$95)</f>
        <v/>
      </c>
      <c r="K64" s="16">
        <f>IF(OR(SETUP!$B$95="",SETUP!$M$95=""),"",SETUP!$M$95)</f>
        <v/>
      </c>
    </row>
    <row r="65">
      <c r="B65" s="16">
        <f>IF(OR(SETUP!$B$96="",SETUP!$B$96=""),"",SETUP!$B$96)</f>
        <v/>
      </c>
      <c r="C65" s="16">
        <f>IF(OR(SETUP!$B$96="",SETUP!$C$96=""),"",SETUP!$C$96)</f>
        <v/>
      </c>
      <c r="D65" s="19">
        <f>IF(OR(SETUP!$B$96="",SETUP!$F$96=""),"",SETUP!$F$96)</f>
        <v/>
      </c>
      <c r="E65" s="19">
        <f>IF(OR(SETUP!$B$96="",SETUP!$G$96=""),"",SETUP!$G$96)</f>
        <v/>
      </c>
      <c r="F65" s="19">
        <f>IF(OR(SETUP!$B$96="",SETUP!$H$96=""),"",SETUP!$H$96)</f>
        <v/>
      </c>
      <c r="G65" s="19">
        <f>IF(OR(SETUP!$B$96="",SETUP!$I$96=""),"",SETUP!$I$96)</f>
        <v/>
      </c>
      <c r="H65" s="19">
        <f>IF(OR(SETUP!$B$96="",SETUP!$J$96=""),"",SETUP!$J$96)</f>
        <v/>
      </c>
      <c r="I65" s="19">
        <f>IF(OR(SETUP!$B$96="",SETUP!$K$96=""),"",SETUP!$K$96)</f>
        <v/>
      </c>
      <c r="J65" s="20">
        <f>IF(OR(SETUP!$B$96="",SETUP!$L$96=""),"",SETUP!$L$96)</f>
        <v/>
      </c>
      <c r="K65" s="16">
        <f>IF(OR(SETUP!$B$96="",SETUP!$M$96=""),"",SETUP!$M$96)</f>
        <v/>
      </c>
    </row>
    <row r="66">
      <c r="B66" s="16">
        <f>IF(OR(SETUP!$B$97="",SETUP!$B$97=""),"",SETUP!$B$97)</f>
        <v/>
      </c>
      <c r="C66" s="16">
        <f>IF(OR(SETUP!$B$97="",SETUP!$C$97=""),"",SETUP!$C$97)</f>
        <v/>
      </c>
      <c r="D66" s="19">
        <f>IF(OR(SETUP!$B$97="",SETUP!$F$97=""),"",SETUP!$F$97)</f>
        <v/>
      </c>
      <c r="E66" s="19">
        <f>IF(OR(SETUP!$B$97="",SETUP!$G$97=""),"",SETUP!$G$97)</f>
        <v/>
      </c>
      <c r="F66" s="19">
        <f>IF(OR(SETUP!$B$97="",SETUP!$H$97=""),"",SETUP!$H$97)</f>
        <v/>
      </c>
      <c r="G66" s="19">
        <f>IF(OR(SETUP!$B$97="",SETUP!$I$97=""),"",SETUP!$I$97)</f>
        <v/>
      </c>
      <c r="H66" s="19">
        <f>IF(OR(SETUP!$B$97="",SETUP!$J$97=""),"",SETUP!$J$97)</f>
        <v/>
      </c>
      <c r="I66" s="19">
        <f>IF(OR(SETUP!$B$97="",SETUP!$K$97=""),"",SETUP!$K$97)</f>
        <v/>
      </c>
      <c r="J66" s="20">
        <f>IF(OR(SETUP!$B$97="",SETUP!$L$97=""),"",SETUP!$L$97)</f>
        <v/>
      </c>
      <c r="K66" s="16">
        <f>IF(OR(SETUP!$B$97="",SETUP!$M$97=""),"",SETUP!$M$97)</f>
        <v/>
      </c>
    </row>
    <row r="67">
      <c r="B67" s="16">
        <f>IF(OR(SETUP!$B$98="",SETUP!$B$98=""),"",SETUP!$B$98)</f>
        <v/>
      </c>
      <c r="C67" s="16">
        <f>IF(OR(SETUP!$B$98="",SETUP!$C$98=""),"",SETUP!$C$98)</f>
        <v/>
      </c>
      <c r="D67" s="19">
        <f>IF(OR(SETUP!$B$98="",SETUP!$F$98=""),"",SETUP!$F$98)</f>
        <v/>
      </c>
      <c r="E67" s="19">
        <f>IF(OR(SETUP!$B$98="",SETUP!$G$98=""),"",SETUP!$G$98)</f>
        <v/>
      </c>
      <c r="F67" s="19">
        <f>IF(OR(SETUP!$B$98="",SETUP!$H$98=""),"",SETUP!$H$98)</f>
        <v/>
      </c>
      <c r="G67" s="19">
        <f>IF(OR(SETUP!$B$98="",SETUP!$I$98=""),"",SETUP!$I$98)</f>
        <v/>
      </c>
      <c r="H67" s="19">
        <f>IF(OR(SETUP!$B$98="",SETUP!$J$98=""),"",SETUP!$J$98)</f>
        <v/>
      </c>
      <c r="I67" s="19">
        <f>IF(OR(SETUP!$B$98="",SETUP!$K$98=""),"",SETUP!$K$98)</f>
        <v/>
      </c>
      <c r="J67" s="20">
        <f>IF(OR(SETUP!$B$98="",SETUP!$L$98=""),"",SETUP!$L$98)</f>
        <v/>
      </c>
      <c r="K67" s="16">
        <f>IF(OR(SETUP!$B$98="",SETUP!$M$98=""),"",SETUP!$M$98)</f>
        <v/>
      </c>
    </row>
    <row r="68">
      <c r="B68" s="16">
        <f>IF(OR(SETUP!$B$99="",SETUP!$B$99=""),"",SETUP!$B$99)</f>
        <v/>
      </c>
      <c r="C68" s="16">
        <f>IF(OR(SETUP!$B$99="",SETUP!$C$99=""),"",SETUP!$C$99)</f>
        <v/>
      </c>
      <c r="D68" s="19">
        <f>IF(OR(SETUP!$B$99="",SETUP!$F$99=""),"",SETUP!$F$99)</f>
        <v/>
      </c>
      <c r="E68" s="19">
        <f>IF(OR(SETUP!$B$99="",SETUP!$G$99=""),"",SETUP!$G$99)</f>
        <v/>
      </c>
      <c r="F68" s="19">
        <f>IF(OR(SETUP!$B$99="",SETUP!$H$99=""),"",SETUP!$H$99)</f>
        <v/>
      </c>
      <c r="G68" s="19">
        <f>IF(OR(SETUP!$B$99="",SETUP!$I$99=""),"",SETUP!$I$99)</f>
        <v/>
      </c>
      <c r="H68" s="19">
        <f>IF(OR(SETUP!$B$99="",SETUP!$J$99=""),"",SETUP!$J$99)</f>
        <v/>
      </c>
      <c r="I68" s="19">
        <f>IF(OR(SETUP!$B$99="",SETUP!$K$99=""),"",SETUP!$K$99)</f>
        <v/>
      </c>
      <c r="J68" s="20">
        <f>IF(OR(SETUP!$B$99="",SETUP!$L$99=""),"",SETUP!$L$99)</f>
        <v/>
      </c>
      <c r="K68" s="16">
        <f>IF(OR(SETUP!$B$99="",SETUP!$M$99=""),"",SETUP!$M$99)</f>
        <v/>
      </c>
    </row>
    <row r="69">
      <c r="B69" s="16">
        <f>IF(OR(SETUP!$B$100="",SETUP!$B$100=""),"",SETUP!$B$100)</f>
        <v/>
      </c>
      <c r="C69" s="16">
        <f>IF(OR(SETUP!$B$100="",SETUP!$C$100=""),"",SETUP!$C$100)</f>
        <v/>
      </c>
      <c r="D69" s="19">
        <f>IF(OR(SETUP!$B$100="",SETUP!$F$100=""),"",SETUP!$F$100)</f>
        <v/>
      </c>
      <c r="E69" s="19">
        <f>IF(OR(SETUP!$B$100="",SETUP!$G$100=""),"",SETUP!$G$100)</f>
        <v/>
      </c>
      <c r="F69" s="19">
        <f>IF(OR(SETUP!$B$100="",SETUP!$H$100=""),"",SETUP!$H$100)</f>
        <v/>
      </c>
      <c r="G69" s="19">
        <f>IF(OR(SETUP!$B$100="",SETUP!$I$100=""),"",SETUP!$I$100)</f>
        <v/>
      </c>
      <c r="H69" s="19">
        <f>IF(OR(SETUP!$B$100="",SETUP!$J$100=""),"",SETUP!$J$100)</f>
        <v/>
      </c>
      <c r="I69" s="19">
        <f>IF(OR(SETUP!$B$100="",SETUP!$K$100=""),"",SETUP!$K$100)</f>
        <v/>
      </c>
      <c r="J69" s="20">
        <f>IF(OR(SETUP!$B$100="",SETUP!$L$100=""),"",SETUP!$L$100)</f>
        <v/>
      </c>
      <c r="K69" s="16">
        <f>IF(OR(SETUP!$B$100="",SETUP!$M$100=""),"",SETUP!$M$100)</f>
        <v/>
      </c>
    </row>
    <row r="70">
      <c r="B70" s="16">
        <f>IF(OR(SETUP!$B$101="",SETUP!$B$101=""),"",SETUP!$B$101)</f>
        <v/>
      </c>
      <c r="C70" s="16">
        <f>IF(OR(SETUP!$B$101="",SETUP!$C$101=""),"",SETUP!$C$101)</f>
        <v/>
      </c>
      <c r="D70" s="19">
        <f>IF(OR(SETUP!$B$101="",SETUP!$F$101=""),"",SETUP!$F$101)</f>
        <v/>
      </c>
      <c r="E70" s="19">
        <f>IF(OR(SETUP!$B$101="",SETUP!$G$101=""),"",SETUP!$G$101)</f>
        <v/>
      </c>
      <c r="F70" s="19">
        <f>IF(OR(SETUP!$B$101="",SETUP!$H$101=""),"",SETUP!$H$101)</f>
        <v/>
      </c>
      <c r="G70" s="19">
        <f>IF(OR(SETUP!$B$101="",SETUP!$I$101=""),"",SETUP!$I$101)</f>
        <v/>
      </c>
      <c r="H70" s="19">
        <f>IF(OR(SETUP!$B$101="",SETUP!$J$101=""),"",SETUP!$J$101)</f>
        <v/>
      </c>
      <c r="I70" s="19">
        <f>IF(OR(SETUP!$B$101="",SETUP!$K$101=""),"",SETUP!$K$101)</f>
        <v/>
      </c>
      <c r="J70" s="20">
        <f>IF(OR(SETUP!$B$101="",SETUP!$L$101=""),"",SETUP!$L$101)</f>
        <v/>
      </c>
      <c r="K70" s="16">
        <f>IF(OR(SETUP!$B$101="",SETUP!$M$101=""),"",SETUP!$M$101)</f>
        <v/>
      </c>
    </row>
    <row r="71">
      <c r="B71" s="16">
        <f>IF(OR(SETUP!$B$102="",SETUP!$B$102=""),"",SETUP!$B$102)</f>
        <v/>
      </c>
      <c r="C71" s="16">
        <f>IF(OR(SETUP!$B$102="",SETUP!$C$102=""),"",SETUP!$C$102)</f>
        <v/>
      </c>
      <c r="D71" s="19">
        <f>IF(OR(SETUP!$B$102="",SETUP!$F$102=""),"",SETUP!$F$102)</f>
        <v/>
      </c>
      <c r="E71" s="19">
        <f>IF(OR(SETUP!$B$102="",SETUP!$G$102=""),"",SETUP!$G$102)</f>
        <v/>
      </c>
      <c r="F71" s="19">
        <f>IF(OR(SETUP!$B$102="",SETUP!$H$102=""),"",SETUP!$H$102)</f>
        <v/>
      </c>
      <c r="G71" s="19">
        <f>IF(OR(SETUP!$B$102="",SETUP!$I$102=""),"",SETUP!$I$102)</f>
        <v/>
      </c>
      <c r="H71" s="19">
        <f>IF(OR(SETUP!$B$102="",SETUP!$J$102=""),"",SETUP!$J$102)</f>
        <v/>
      </c>
      <c r="I71" s="19">
        <f>IF(OR(SETUP!$B$102="",SETUP!$K$102=""),"",SETUP!$K$102)</f>
        <v/>
      </c>
      <c r="J71" s="20">
        <f>IF(OR(SETUP!$B$102="",SETUP!$L$102=""),"",SETUP!$L$102)</f>
        <v/>
      </c>
      <c r="K71" s="16">
        <f>IF(OR(SETUP!$B$102="",SETUP!$M$102=""),"",SETUP!$M$102)</f>
        <v/>
      </c>
    </row>
    <row r="72">
      <c r="B72" s="16">
        <f>IF(OR(SETUP!$B$103="",SETUP!$B$103=""),"",SETUP!$B$103)</f>
        <v/>
      </c>
      <c r="C72" s="16">
        <f>IF(OR(SETUP!$B$103="",SETUP!$C$103=""),"",SETUP!$C$103)</f>
        <v/>
      </c>
      <c r="D72" s="19">
        <f>IF(OR(SETUP!$B$103="",SETUP!$F$103=""),"",SETUP!$F$103)</f>
        <v/>
      </c>
      <c r="E72" s="19">
        <f>IF(OR(SETUP!$B$103="",SETUP!$G$103=""),"",SETUP!$G$103)</f>
        <v/>
      </c>
      <c r="F72" s="19">
        <f>IF(OR(SETUP!$B$103="",SETUP!$H$103=""),"",SETUP!$H$103)</f>
        <v/>
      </c>
      <c r="G72" s="19">
        <f>IF(OR(SETUP!$B$103="",SETUP!$I$103=""),"",SETUP!$I$103)</f>
        <v/>
      </c>
      <c r="H72" s="19">
        <f>IF(OR(SETUP!$B$103="",SETUP!$J$103=""),"",SETUP!$J$103)</f>
        <v/>
      </c>
      <c r="I72" s="19">
        <f>IF(OR(SETUP!$B$103="",SETUP!$K$103=""),"",SETUP!$K$103)</f>
        <v/>
      </c>
      <c r="J72" s="20">
        <f>IF(OR(SETUP!$B$103="",SETUP!$L$103=""),"",SETUP!$L$103)</f>
        <v/>
      </c>
      <c r="K72" s="16">
        <f>IF(OR(SETUP!$B$103="",SETUP!$M$103=""),"",SETUP!$M$103)</f>
        <v/>
      </c>
    </row>
    <row r="73">
      <c r="B73" s="16">
        <f>IF(OR(SETUP!$B$104="",SETUP!$B$104=""),"",SETUP!$B$104)</f>
        <v/>
      </c>
      <c r="C73" s="16">
        <f>IF(OR(SETUP!$B$104="",SETUP!$C$104=""),"",SETUP!$C$104)</f>
        <v/>
      </c>
      <c r="D73" s="19">
        <f>IF(OR(SETUP!$B$104="",SETUP!$F$104=""),"",SETUP!$F$104)</f>
        <v/>
      </c>
      <c r="E73" s="19">
        <f>IF(OR(SETUP!$B$104="",SETUP!$G$104=""),"",SETUP!$G$104)</f>
        <v/>
      </c>
      <c r="F73" s="19">
        <f>IF(OR(SETUP!$B$104="",SETUP!$H$104=""),"",SETUP!$H$104)</f>
        <v/>
      </c>
      <c r="G73" s="19">
        <f>IF(OR(SETUP!$B$104="",SETUP!$I$104=""),"",SETUP!$I$104)</f>
        <v/>
      </c>
      <c r="H73" s="19">
        <f>IF(OR(SETUP!$B$104="",SETUP!$J$104=""),"",SETUP!$J$104)</f>
        <v/>
      </c>
      <c r="I73" s="19">
        <f>IF(OR(SETUP!$B$104="",SETUP!$K$104=""),"",SETUP!$K$104)</f>
        <v/>
      </c>
      <c r="J73" s="20">
        <f>IF(OR(SETUP!$B$104="",SETUP!$L$104=""),"",SETUP!$L$104)</f>
        <v/>
      </c>
      <c r="K73" s="16">
        <f>IF(OR(SETUP!$B$104="",SETUP!$M$104=""),"",SETUP!$M$104)</f>
        <v/>
      </c>
    </row>
    <row r="74">
      <c r="B74" s="16">
        <f>IF(OR(SETUP!$B$105="",SETUP!$B$105=""),"",SETUP!$B$105)</f>
        <v/>
      </c>
      <c r="C74" s="16">
        <f>IF(OR(SETUP!$B$105="",SETUP!$C$105=""),"",SETUP!$C$105)</f>
        <v/>
      </c>
      <c r="D74" s="19">
        <f>IF(OR(SETUP!$B$105="",SETUP!$F$105=""),"",SETUP!$F$105)</f>
        <v/>
      </c>
      <c r="E74" s="19">
        <f>IF(OR(SETUP!$B$105="",SETUP!$G$105=""),"",SETUP!$G$105)</f>
        <v/>
      </c>
      <c r="F74" s="19">
        <f>IF(OR(SETUP!$B$105="",SETUP!$H$105=""),"",SETUP!$H$105)</f>
        <v/>
      </c>
      <c r="G74" s="19">
        <f>IF(OR(SETUP!$B$105="",SETUP!$I$105=""),"",SETUP!$I$105)</f>
        <v/>
      </c>
      <c r="H74" s="19">
        <f>IF(OR(SETUP!$B$105="",SETUP!$J$105=""),"",SETUP!$J$105)</f>
        <v/>
      </c>
      <c r="I74" s="19">
        <f>IF(OR(SETUP!$B$105="",SETUP!$K$105=""),"",SETUP!$K$105)</f>
        <v/>
      </c>
      <c r="J74" s="20">
        <f>IF(OR(SETUP!$B$105="",SETUP!$L$105=""),"",SETUP!$L$105)</f>
        <v/>
      </c>
      <c r="K74" s="16">
        <f>IF(OR(SETUP!$B$105="",SETUP!$M$105=""),"",SETUP!$M$105)</f>
        <v/>
      </c>
    </row>
    <row r="75">
      <c r="B75" s="16">
        <f>IF(OR(SETUP!$B$106="",SETUP!$B$106=""),"",SETUP!$B$106)</f>
        <v/>
      </c>
      <c r="C75" s="16">
        <f>IF(OR(SETUP!$B$106="",SETUP!$C$106=""),"",SETUP!$C$106)</f>
        <v/>
      </c>
      <c r="D75" s="19">
        <f>IF(OR(SETUP!$B$106="",SETUP!$F$106=""),"",SETUP!$F$106)</f>
        <v/>
      </c>
      <c r="E75" s="19">
        <f>IF(OR(SETUP!$B$106="",SETUP!$G$106=""),"",SETUP!$G$106)</f>
        <v/>
      </c>
      <c r="F75" s="19">
        <f>IF(OR(SETUP!$B$106="",SETUP!$H$106=""),"",SETUP!$H$106)</f>
        <v/>
      </c>
      <c r="G75" s="19">
        <f>IF(OR(SETUP!$B$106="",SETUP!$I$106=""),"",SETUP!$I$106)</f>
        <v/>
      </c>
      <c r="H75" s="19">
        <f>IF(OR(SETUP!$B$106="",SETUP!$J$106=""),"",SETUP!$J$106)</f>
        <v/>
      </c>
      <c r="I75" s="19">
        <f>IF(OR(SETUP!$B$106="",SETUP!$K$106=""),"",SETUP!$K$106)</f>
        <v/>
      </c>
      <c r="J75" s="20">
        <f>IF(OR(SETUP!$B$106="",SETUP!$L$106=""),"",SETUP!$L$106)</f>
        <v/>
      </c>
      <c r="K75" s="16">
        <f>IF(OR(SETUP!$B$106="",SETUP!$M$106=""),"",SETUP!$M$106)</f>
        <v/>
      </c>
    </row>
    <row r="76">
      <c r="B76" s="16">
        <f>IF(OR(SETUP!$B$107="",SETUP!$B$107=""),"",SETUP!$B$107)</f>
        <v/>
      </c>
      <c r="C76" s="16">
        <f>IF(OR(SETUP!$B$107="",SETUP!$C$107=""),"",SETUP!$C$107)</f>
        <v/>
      </c>
      <c r="D76" s="19">
        <f>IF(OR(SETUP!$B$107="",SETUP!$F$107=""),"",SETUP!$F$107)</f>
        <v/>
      </c>
      <c r="E76" s="19">
        <f>IF(OR(SETUP!$B$107="",SETUP!$G$107=""),"",SETUP!$G$107)</f>
        <v/>
      </c>
      <c r="F76" s="19">
        <f>IF(OR(SETUP!$B$107="",SETUP!$H$107=""),"",SETUP!$H$107)</f>
        <v/>
      </c>
      <c r="G76" s="19">
        <f>IF(OR(SETUP!$B$107="",SETUP!$I$107=""),"",SETUP!$I$107)</f>
        <v/>
      </c>
      <c r="H76" s="19">
        <f>IF(OR(SETUP!$B$107="",SETUP!$J$107=""),"",SETUP!$J$107)</f>
        <v/>
      </c>
      <c r="I76" s="19">
        <f>IF(OR(SETUP!$B$107="",SETUP!$K$107=""),"",SETUP!$K$107)</f>
        <v/>
      </c>
      <c r="J76" s="20">
        <f>IF(OR(SETUP!$B$107="",SETUP!$L$107=""),"",SETUP!$L$107)</f>
        <v/>
      </c>
      <c r="K76" s="16">
        <f>IF(OR(SETUP!$B$107="",SETUP!$M$107=""),"",SETUP!$M$107)</f>
        <v/>
      </c>
    </row>
    <row r="77">
      <c r="B77" s="16">
        <f>IF(OR(SETUP!$B$108="",SETUP!$B$108=""),"",SETUP!$B$108)</f>
        <v/>
      </c>
      <c r="C77" s="16">
        <f>IF(OR(SETUP!$B$108="",SETUP!$C$108=""),"",SETUP!$C$108)</f>
        <v/>
      </c>
      <c r="D77" s="19">
        <f>IF(OR(SETUP!$B$108="",SETUP!$F$108=""),"",SETUP!$F$108)</f>
        <v/>
      </c>
      <c r="E77" s="19">
        <f>IF(OR(SETUP!$B$108="",SETUP!$G$108=""),"",SETUP!$G$108)</f>
        <v/>
      </c>
      <c r="F77" s="19">
        <f>IF(OR(SETUP!$B$108="",SETUP!$H$108=""),"",SETUP!$H$108)</f>
        <v/>
      </c>
      <c r="G77" s="19">
        <f>IF(OR(SETUP!$B$108="",SETUP!$I$108=""),"",SETUP!$I$108)</f>
        <v/>
      </c>
      <c r="H77" s="19">
        <f>IF(OR(SETUP!$B$108="",SETUP!$J$108=""),"",SETUP!$J$108)</f>
        <v/>
      </c>
      <c r="I77" s="19">
        <f>IF(OR(SETUP!$B$108="",SETUP!$K$108=""),"",SETUP!$K$108)</f>
        <v/>
      </c>
      <c r="J77" s="20">
        <f>IF(OR(SETUP!$B$108="",SETUP!$L$108=""),"",SETUP!$L$108)</f>
        <v/>
      </c>
      <c r="K77" s="16">
        <f>IF(OR(SETUP!$B$108="",SETUP!$M$108=""),"",SETUP!$M$108)</f>
        <v/>
      </c>
    </row>
    <row r="78">
      <c r="B78" s="16">
        <f>IF(OR(SETUP!$B$109="",SETUP!$B$109=""),"",SETUP!$B$109)</f>
        <v/>
      </c>
      <c r="C78" s="16">
        <f>IF(OR(SETUP!$B$109="",SETUP!$C$109=""),"",SETUP!$C$109)</f>
        <v/>
      </c>
      <c r="D78" s="19">
        <f>IF(OR(SETUP!$B$109="",SETUP!$F$109=""),"",SETUP!$F$109)</f>
        <v/>
      </c>
      <c r="E78" s="19">
        <f>IF(OR(SETUP!$B$109="",SETUP!$G$109=""),"",SETUP!$G$109)</f>
        <v/>
      </c>
      <c r="F78" s="19">
        <f>IF(OR(SETUP!$B$109="",SETUP!$H$109=""),"",SETUP!$H$109)</f>
        <v/>
      </c>
      <c r="G78" s="19">
        <f>IF(OR(SETUP!$B$109="",SETUP!$I$109=""),"",SETUP!$I$109)</f>
        <v/>
      </c>
      <c r="H78" s="19">
        <f>IF(OR(SETUP!$B$109="",SETUP!$J$109=""),"",SETUP!$J$109)</f>
        <v/>
      </c>
      <c r="I78" s="19">
        <f>IF(OR(SETUP!$B$109="",SETUP!$K$109=""),"",SETUP!$K$109)</f>
        <v/>
      </c>
      <c r="J78" s="20">
        <f>IF(OR(SETUP!$B$109="",SETUP!$L$109=""),"",SETUP!$L$109)</f>
        <v/>
      </c>
      <c r="K78" s="16">
        <f>IF(OR(SETUP!$B$109="",SETUP!$M$109=""),"",SETUP!$M$109)</f>
        <v/>
      </c>
    </row>
    <row r="79">
      <c r="B79" s="16">
        <f>IF(OR(SETUP!$B$110="",SETUP!$B$110=""),"",SETUP!$B$110)</f>
        <v/>
      </c>
      <c r="C79" s="16">
        <f>IF(OR(SETUP!$B$110="",SETUP!$C$110=""),"",SETUP!$C$110)</f>
        <v/>
      </c>
      <c r="D79" s="19">
        <f>IF(OR(SETUP!$B$110="",SETUP!$F$110=""),"",SETUP!$F$110)</f>
        <v/>
      </c>
      <c r="E79" s="19">
        <f>IF(OR(SETUP!$B$110="",SETUP!$G$110=""),"",SETUP!$G$110)</f>
        <v/>
      </c>
      <c r="F79" s="19">
        <f>IF(OR(SETUP!$B$110="",SETUP!$H$110=""),"",SETUP!$H$110)</f>
        <v/>
      </c>
      <c r="G79" s="19">
        <f>IF(OR(SETUP!$B$110="",SETUP!$I$110=""),"",SETUP!$I$110)</f>
        <v/>
      </c>
      <c r="H79" s="19">
        <f>IF(OR(SETUP!$B$110="",SETUP!$J$110=""),"",SETUP!$J$110)</f>
        <v/>
      </c>
      <c r="I79" s="19">
        <f>IF(OR(SETUP!$B$110="",SETUP!$K$110=""),"",SETUP!$K$110)</f>
        <v/>
      </c>
      <c r="J79" s="20">
        <f>IF(OR(SETUP!$B$110="",SETUP!$L$110=""),"",SETUP!$L$110)</f>
        <v/>
      </c>
      <c r="K79" s="16">
        <f>IF(OR(SETUP!$B$110="",SETUP!$M$110=""),"",SETUP!$M$110)</f>
        <v/>
      </c>
    </row>
    <row r="80">
      <c r="B80" s="16">
        <f>IF(OR(SETUP!$B$111="",SETUP!$B$111=""),"",SETUP!$B$111)</f>
        <v/>
      </c>
      <c r="C80" s="16">
        <f>IF(OR(SETUP!$B$111="",SETUP!$C$111=""),"",SETUP!$C$111)</f>
        <v/>
      </c>
      <c r="D80" s="19">
        <f>IF(OR(SETUP!$B$111="",SETUP!$F$111=""),"",SETUP!$F$111)</f>
        <v/>
      </c>
      <c r="E80" s="19">
        <f>IF(OR(SETUP!$B$111="",SETUP!$G$111=""),"",SETUP!$G$111)</f>
        <v/>
      </c>
      <c r="F80" s="19">
        <f>IF(OR(SETUP!$B$111="",SETUP!$H$111=""),"",SETUP!$H$111)</f>
        <v/>
      </c>
      <c r="G80" s="19">
        <f>IF(OR(SETUP!$B$111="",SETUP!$I$111=""),"",SETUP!$I$111)</f>
        <v/>
      </c>
      <c r="H80" s="19">
        <f>IF(OR(SETUP!$B$111="",SETUP!$J$111=""),"",SETUP!$J$111)</f>
        <v/>
      </c>
      <c r="I80" s="19">
        <f>IF(OR(SETUP!$B$111="",SETUP!$K$111=""),"",SETUP!$K$111)</f>
        <v/>
      </c>
      <c r="J80" s="20">
        <f>IF(OR(SETUP!$B$111="",SETUP!$L$111=""),"",SETUP!$L$111)</f>
        <v/>
      </c>
      <c r="K80" s="16">
        <f>IF(OR(SETUP!$B$111="",SETUP!$M$111=""),"",SETUP!$M$111)</f>
        <v/>
      </c>
    </row>
    <row r="81">
      <c r="B81" s="16">
        <f>IF(OR(SETUP!$B$112="",SETUP!$B$112=""),"",SETUP!$B$112)</f>
        <v/>
      </c>
      <c r="C81" s="16">
        <f>IF(OR(SETUP!$B$112="",SETUP!$C$112=""),"",SETUP!$C$112)</f>
        <v/>
      </c>
      <c r="D81" s="19">
        <f>IF(OR(SETUP!$B$112="",SETUP!$F$112=""),"",SETUP!$F$112)</f>
        <v/>
      </c>
      <c r="E81" s="19">
        <f>IF(OR(SETUP!$B$112="",SETUP!$G$112=""),"",SETUP!$G$112)</f>
        <v/>
      </c>
      <c r="F81" s="19">
        <f>IF(OR(SETUP!$B$112="",SETUP!$H$112=""),"",SETUP!$H$112)</f>
        <v/>
      </c>
      <c r="G81" s="19">
        <f>IF(OR(SETUP!$B$112="",SETUP!$I$112=""),"",SETUP!$I$112)</f>
        <v/>
      </c>
      <c r="H81" s="19">
        <f>IF(OR(SETUP!$B$112="",SETUP!$J$112=""),"",SETUP!$J$112)</f>
        <v/>
      </c>
      <c r="I81" s="19">
        <f>IF(OR(SETUP!$B$112="",SETUP!$K$112=""),"",SETUP!$K$112)</f>
        <v/>
      </c>
      <c r="J81" s="20">
        <f>IF(OR(SETUP!$B$112="",SETUP!$L$112=""),"",SETUP!$L$112)</f>
        <v/>
      </c>
      <c r="K81" s="16">
        <f>IF(OR(SETUP!$B$112="",SETUP!$M$112=""),"",SETUP!$M$112)</f>
        <v/>
      </c>
    </row>
    <row r="82">
      <c r="B82" s="16">
        <f>IF(OR(SETUP!$B$113="",SETUP!$B$113=""),"",SETUP!$B$113)</f>
        <v/>
      </c>
      <c r="C82" s="16">
        <f>IF(OR(SETUP!$B$113="",SETUP!$C$113=""),"",SETUP!$C$113)</f>
        <v/>
      </c>
      <c r="D82" s="19">
        <f>IF(OR(SETUP!$B$113="",SETUP!$F$113=""),"",SETUP!$F$113)</f>
        <v/>
      </c>
      <c r="E82" s="19">
        <f>IF(OR(SETUP!$B$113="",SETUP!$G$113=""),"",SETUP!$G$113)</f>
        <v/>
      </c>
      <c r="F82" s="19">
        <f>IF(OR(SETUP!$B$113="",SETUP!$H$113=""),"",SETUP!$H$113)</f>
        <v/>
      </c>
      <c r="G82" s="19">
        <f>IF(OR(SETUP!$B$113="",SETUP!$I$113=""),"",SETUP!$I$113)</f>
        <v/>
      </c>
      <c r="H82" s="19">
        <f>IF(OR(SETUP!$B$113="",SETUP!$J$113=""),"",SETUP!$J$113)</f>
        <v/>
      </c>
      <c r="I82" s="19">
        <f>IF(OR(SETUP!$B$113="",SETUP!$K$113=""),"",SETUP!$K$113)</f>
        <v/>
      </c>
      <c r="J82" s="20">
        <f>IF(OR(SETUP!$B$113="",SETUP!$L$113=""),"",SETUP!$L$113)</f>
        <v/>
      </c>
      <c r="K82" s="16">
        <f>IF(OR(SETUP!$B$113="",SETUP!$M$113=""),"",SETUP!$M$113)</f>
        <v/>
      </c>
    </row>
    <row r="84" ht="18" customHeight="1">
      <c r="B84" s="3" t="inlineStr">
        <is>
          <t>5. EQUIPMENT TO WATCH      most severe first</t>
        </is>
      </c>
      <c r="C84" s="4" t="n"/>
      <c r="D84" s="4" t="n"/>
      <c r="E84" s="4" t="n"/>
      <c r="F84" s="4" t="n"/>
      <c r="G84" s="4" t="n"/>
      <c r="H84" s="4" t="n"/>
      <c r="I84" s="4" t="n"/>
      <c r="J84" s="4" t="n"/>
      <c r="K84" s="4" t="n"/>
      <c r="L84" s="4" t="n"/>
      <c r="M84" s="4" t="n"/>
    </row>
    <row r="85" ht="28" customHeight="1">
      <c r="B85" s="13" t="inlineStr">
        <is>
          <t>System</t>
        </is>
      </c>
      <c r="C85" s="13" t="inlineStr">
        <is>
          <t>Equipment</t>
        </is>
      </c>
      <c r="D85" s="13" t="inlineStr">
        <is>
          <t>Docs</t>
        </is>
      </c>
      <c r="E85" s="13" t="inlineStr">
        <is>
          <t>Done</t>
        </is>
      </c>
      <c r="F85" s="13" t="inlineStr">
        <is>
          <t>Late</t>
        </is>
      </c>
      <c r="G85" s="13" t="inlineStr">
        <is>
          <t>Core missing</t>
        </is>
      </c>
      <c r="H85" s="13" t="inlineStr">
        <is>
          <t>% done</t>
        </is>
      </c>
      <c r="I85" s="13" t="inlineStr">
        <is>
          <t>Status</t>
        </is>
      </c>
    </row>
    <row r="86">
      <c r="B86" s="16">
        <f>IF($R86="","",IFERROR(INDEX(EQP_SYS,MATCH($R86,EQW_KEY,0)),""))</f>
        <v/>
      </c>
      <c r="C86" s="16">
        <f>IF($R86="","",IFERROR(INDEX(EQP_NOM,MATCH($R86,EQW_KEY,0)),""))</f>
        <v/>
      </c>
      <c r="D86" s="19">
        <f>IF($R86="","",IFERROR(INDEX(EQP_DOCS,MATCH($R86,EQW_KEY,0)),""))</f>
        <v/>
      </c>
      <c r="E86" s="19">
        <f>IF($R86="","",IFERROR(INDEX(EQP_DONE,MATCH($R86,EQW_KEY,0)),""))</f>
        <v/>
      </c>
      <c r="F86" s="19">
        <f>IF($R86="","",IFERROR(INDEX(EQP_LATE,MATCH($R86,EQW_KEY,0)),""))</f>
        <v/>
      </c>
      <c r="G86" s="19">
        <f>IF($R86="","",IFERROR(INDEX(EQP_CORE,MATCH($R86,EQW_KEY,0)),""))</f>
        <v/>
      </c>
      <c r="H86" s="20">
        <f>IF($R86="","",IFERROR(INDEX(EQP_PCT,MATCH($R86,EQW_KEY,0)),""))</f>
        <v/>
      </c>
      <c r="I86" s="16">
        <f>IF($R86="","",IFERROR(INDEX(EQP_STATUS,MATCH($R86,EQW_KEY,0)),""))</f>
        <v/>
      </c>
      <c r="R86">
        <f>IFERROR(LARGE(EQW_KEY,1),"")</f>
        <v/>
      </c>
    </row>
    <row r="87">
      <c r="B87" s="16">
        <f>IF($R87="","",IFERROR(INDEX(EQP_SYS,MATCH($R87,EQW_KEY,0)),""))</f>
        <v/>
      </c>
      <c r="C87" s="16">
        <f>IF($R87="","",IFERROR(INDEX(EQP_NOM,MATCH($R87,EQW_KEY,0)),""))</f>
        <v/>
      </c>
      <c r="D87" s="19">
        <f>IF($R87="","",IFERROR(INDEX(EQP_DOCS,MATCH($R87,EQW_KEY,0)),""))</f>
        <v/>
      </c>
      <c r="E87" s="19">
        <f>IF($R87="","",IFERROR(INDEX(EQP_DONE,MATCH($R87,EQW_KEY,0)),""))</f>
        <v/>
      </c>
      <c r="F87" s="19">
        <f>IF($R87="","",IFERROR(INDEX(EQP_LATE,MATCH($R87,EQW_KEY,0)),""))</f>
        <v/>
      </c>
      <c r="G87" s="19">
        <f>IF($R87="","",IFERROR(INDEX(EQP_CORE,MATCH($R87,EQW_KEY,0)),""))</f>
        <v/>
      </c>
      <c r="H87" s="20">
        <f>IF($R87="","",IFERROR(INDEX(EQP_PCT,MATCH($R87,EQW_KEY,0)),""))</f>
        <v/>
      </c>
      <c r="I87" s="16">
        <f>IF($R87="","",IFERROR(INDEX(EQP_STATUS,MATCH($R87,EQW_KEY,0)),""))</f>
        <v/>
      </c>
      <c r="R87">
        <f>IFERROR(LARGE(EQW_KEY,2),"")</f>
        <v/>
      </c>
    </row>
    <row r="88">
      <c r="B88" s="16">
        <f>IF($R88="","",IFERROR(INDEX(EQP_SYS,MATCH($R88,EQW_KEY,0)),""))</f>
        <v/>
      </c>
      <c r="C88" s="16">
        <f>IF($R88="","",IFERROR(INDEX(EQP_NOM,MATCH($R88,EQW_KEY,0)),""))</f>
        <v/>
      </c>
      <c r="D88" s="19">
        <f>IF($R88="","",IFERROR(INDEX(EQP_DOCS,MATCH($R88,EQW_KEY,0)),""))</f>
        <v/>
      </c>
      <c r="E88" s="19">
        <f>IF($R88="","",IFERROR(INDEX(EQP_DONE,MATCH($R88,EQW_KEY,0)),""))</f>
        <v/>
      </c>
      <c r="F88" s="19">
        <f>IF($R88="","",IFERROR(INDEX(EQP_LATE,MATCH($R88,EQW_KEY,0)),""))</f>
        <v/>
      </c>
      <c r="G88" s="19">
        <f>IF($R88="","",IFERROR(INDEX(EQP_CORE,MATCH($R88,EQW_KEY,0)),""))</f>
        <v/>
      </c>
      <c r="H88" s="20">
        <f>IF($R88="","",IFERROR(INDEX(EQP_PCT,MATCH($R88,EQW_KEY,0)),""))</f>
        <v/>
      </c>
      <c r="I88" s="16">
        <f>IF($R88="","",IFERROR(INDEX(EQP_STATUS,MATCH($R88,EQW_KEY,0)),""))</f>
        <v/>
      </c>
      <c r="R88">
        <f>IFERROR(LARGE(EQW_KEY,3),"")</f>
        <v/>
      </c>
    </row>
    <row r="89">
      <c r="B89" s="16">
        <f>IF($R89="","",IFERROR(INDEX(EQP_SYS,MATCH($R89,EQW_KEY,0)),""))</f>
        <v/>
      </c>
      <c r="C89" s="16">
        <f>IF($R89="","",IFERROR(INDEX(EQP_NOM,MATCH($R89,EQW_KEY,0)),""))</f>
        <v/>
      </c>
      <c r="D89" s="19">
        <f>IF($R89="","",IFERROR(INDEX(EQP_DOCS,MATCH($R89,EQW_KEY,0)),""))</f>
        <v/>
      </c>
      <c r="E89" s="19">
        <f>IF($R89="","",IFERROR(INDEX(EQP_DONE,MATCH($R89,EQW_KEY,0)),""))</f>
        <v/>
      </c>
      <c r="F89" s="19">
        <f>IF($R89="","",IFERROR(INDEX(EQP_LATE,MATCH($R89,EQW_KEY,0)),""))</f>
        <v/>
      </c>
      <c r="G89" s="19">
        <f>IF($R89="","",IFERROR(INDEX(EQP_CORE,MATCH($R89,EQW_KEY,0)),""))</f>
        <v/>
      </c>
      <c r="H89" s="20">
        <f>IF($R89="","",IFERROR(INDEX(EQP_PCT,MATCH($R89,EQW_KEY,0)),""))</f>
        <v/>
      </c>
      <c r="I89" s="16">
        <f>IF($R89="","",IFERROR(INDEX(EQP_STATUS,MATCH($R89,EQW_KEY,0)),""))</f>
        <v/>
      </c>
      <c r="R89">
        <f>IFERROR(LARGE(EQW_KEY,4),"")</f>
        <v/>
      </c>
    </row>
    <row r="90">
      <c r="B90" s="16">
        <f>IF($R90="","",IFERROR(INDEX(EQP_SYS,MATCH($R90,EQW_KEY,0)),""))</f>
        <v/>
      </c>
      <c r="C90" s="16">
        <f>IF($R90="","",IFERROR(INDEX(EQP_NOM,MATCH($R90,EQW_KEY,0)),""))</f>
        <v/>
      </c>
      <c r="D90" s="19">
        <f>IF($R90="","",IFERROR(INDEX(EQP_DOCS,MATCH($R90,EQW_KEY,0)),""))</f>
        <v/>
      </c>
      <c r="E90" s="19">
        <f>IF($R90="","",IFERROR(INDEX(EQP_DONE,MATCH($R90,EQW_KEY,0)),""))</f>
        <v/>
      </c>
      <c r="F90" s="19">
        <f>IF($R90="","",IFERROR(INDEX(EQP_LATE,MATCH($R90,EQW_KEY,0)),""))</f>
        <v/>
      </c>
      <c r="G90" s="19">
        <f>IF($R90="","",IFERROR(INDEX(EQP_CORE,MATCH($R90,EQW_KEY,0)),""))</f>
        <v/>
      </c>
      <c r="H90" s="20">
        <f>IF($R90="","",IFERROR(INDEX(EQP_PCT,MATCH($R90,EQW_KEY,0)),""))</f>
        <v/>
      </c>
      <c r="I90" s="16">
        <f>IF($R90="","",IFERROR(INDEX(EQP_STATUS,MATCH($R90,EQW_KEY,0)),""))</f>
        <v/>
      </c>
      <c r="R90">
        <f>IFERROR(LARGE(EQW_KEY,5),"")</f>
        <v/>
      </c>
    </row>
    <row r="91">
      <c r="B91" s="16">
        <f>IF($R91="","",IFERROR(INDEX(EQP_SYS,MATCH($R91,EQW_KEY,0)),""))</f>
        <v/>
      </c>
      <c r="C91" s="16">
        <f>IF($R91="","",IFERROR(INDEX(EQP_NOM,MATCH($R91,EQW_KEY,0)),""))</f>
        <v/>
      </c>
      <c r="D91" s="19">
        <f>IF($R91="","",IFERROR(INDEX(EQP_DOCS,MATCH($R91,EQW_KEY,0)),""))</f>
        <v/>
      </c>
      <c r="E91" s="19">
        <f>IF($R91="","",IFERROR(INDEX(EQP_DONE,MATCH($R91,EQW_KEY,0)),""))</f>
        <v/>
      </c>
      <c r="F91" s="19">
        <f>IF($R91="","",IFERROR(INDEX(EQP_LATE,MATCH($R91,EQW_KEY,0)),""))</f>
        <v/>
      </c>
      <c r="G91" s="19">
        <f>IF($R91="","",IFERROR(INDEX(EQP_CORE,MATCH($R91,EQW_KEY,0)),""))</f>
        <v/>
      </c>
      <c r="H91" s="20">
        <f>IF($R91="","",IFERROR(INDEX(EQP_PCT,MATCH($R91,EQW_KEY,0)),""))</f>
        <v/>
      </c>
      <c r="I91" s="16">
        <f>IF($R91="","",IFERROR(INDEX(EQP_STATUS,MATCH($R91,EQW_KEY,0)),""))</f>
        <v/>
      </c>
      <c r="R91">
        <f>IFERROR(LARGE(EQW_KEY,6),"")</f>
        <v/>
      </c>
    </row>
    <row r="92">
      <c r="B92" s="16">
        <f>IF($R92="","",IFERROR(INDEX(EQP_SYS,MATCH($R92,EQW_KEY,0)),""))</f>
        <v/>
      </c>
      <c r="C92" s="16">
        <f>IF($R92="","",IFERROR(INDEX(EQP_NOM,MATCH($R92,EQW_KEY,0)),""))</f>
        <v/>
      </c>
      <c r="D92" s="19">
        <f>IF($R92="","",IFERROR(INDEX(EQP_DOCS,MATCH($R92,EQW_KEY,0)),""))</f>
        <v/>
      </c>
      <c r="E92" s="19">
        <f>IF($R92="","",IFERROR(INDEX(EQP_DONE,MATCH($R92,EQW_KEY,0)),""))</f>
        <v/>
      </c>
      <c r="F92" s="19">
        <f>IF($R92="","",IFERROR(INDEX(EQP_LATE,MATCH($R92,EQW_KEY,0)),""))</f>
        <v/>
      </c>
      <c r="G92" s="19">
        <f>IF($R92="","",IFERROR(INDEX(EQP_CORE,MATCH($R92,EQW_KEY,0)),""))</f>
        <v/>
      </c>
      <c r="H92" s="20">
        <f>IF($R92="","",IFERROR(INDEX(EQP_PCT,MATCH($R92,EQW_KEY,0)),""))</f>
        <v/>
      </c>
      <c r="I92" s="16">
        <f>IF($R92="","",IFERROR(INDEX(EQP_STATUS,MATCH($R92,EQW_KEY,0)),""))</f>
        <v/>
      </c>
      <c r="R92">
        <f>IFERROR(LARGE(EQW_KEY,7),"")</f>
        <v/>
      </c>
    </row>
    <row r="93">
      <c r="B93" s="16">
        <f>IF($R93="","",IFERROR(INDEX(EQP_SYS,MATCH($R93,EQW_KEY,0)),""))</f>
        <v/>
      </c>
      <c r="C93" s="16">
        <f>IF($R93="","",IFERROR(INDEX(EQP_NOM,MATCH($R93,EQW_KEY,0)),""))</f>
        <v/>
      </c>
      <c r="D93" s="19">
        <f>IF($R93="","",IFERROR(INDEX(EQP_DOCS,MATCH($R93,EQW_KEY,0)),""))</f>
        <v/>
      </c>
      <c r="E93" s="19">
        <f>IF($R93="","",IFERROR(INDEX(EQP_DONE,MATCH($R93,EQW_KEY,0)),""))</f>
        <v/>
      </c>
      <c r="F93" s="19">
        <f>IF($R93="","",IFERROR(INDEX(EQP_LATE,MATCH($R93,EQW_KEY,0)),""))</f>
        <v/>
      </c>
      <c r="G93" s="19">
        <f>IF($R93="","",IFERROR(INDEX(EQP_CORE,MATCH($R93,EQW_KEY,0)),""))</f>
        <v/>
      </c>
      <c r="H93" s="20">
        <f>IF($R93="","",IFERROR(INDEX(EQP_PCT,MATCH($R93,EQW_KEY,0)),""))</f>
        <v/>
      </c>
      <c r="I93" s="16">
        <f>IF($R93="","",IFERROR(INDEX(EQP_STATUS,MATCH($R93,EQW_KEY,0)),""))</f>
        <v/>
      </c>
      <c r="R93">
        <f>IFERROR(LARGE(EQW_KEY,8),"")</f>
        <v/>
      </c>
    </row>
    <row r="94">
      <c r="B94" s="16">
        <f>IF($R94="","",IFERROR(INDEX(EQP_SYS,MATCH($R94,EQW_KEY,0)),""))</f>
        <v/>
      </c>
      <c r="C94" s="16">
        <f>IF($R94="","",IFERROR(INDEX(EQP_NOM,MATCH($R94,EQW_KEY,0)),""))</f>
        <v/>
      </c>
      <c r="D94" s="19">
        <f>IF($R94="","",IFERROR(INDEX(EQP_DOCS,MATCH($R94,EQW_KEY,0)),""))</f>
        <v/>
      </c>
      <c r="E94" s="19">
        <f>IF($R94="","",IFERROR(INDEX(EQP_DONE,MATCH($R94,EQW_KEY,0)),""))</f>
        <v/>
      </c>
      <c r="F94" s="19">
        <f>IF($R94="","",IFERROR(INDEX(EQP_LATE,MATCH($R94,EQW_KEY,0)),""))</f>
        <v/>
      </c>
      <c r="G94" s="19">
        <f>IF($R94="","",IFERROR(INDEX(EQP_CORE,MATCH($R94,EQW_KEY,0)),""))</f>
        <v/>
      </c>
      <c r="H94" s="20">
        <f>IF($R94="","",IFERROR(INDEX(EQP_PCT,MATCH($R94,EQW_KEY,0)),""))</f>
        <v/>
      </c>
      <c r="I94" s="16">
        <f>IF($R94="","",IFERROR(INDEX(EQP_STATUS,MATCH($R94,EQW_KEY,0)),""))</f>
        <v/>
      </c>
      <c r="R94">
        <f>IFERROR(LARGE(EQW_KEY,9),"")</f>
        <v/>
      </c>
    </row>
    <row r="95">
      <c r="B95" s="16">
        <f>IF($R95="","",IFERROR(INDEX(EQP_SYS,MATCH($R95,EQW_KEY,0)),""))</f>
        <v/>
      </c>
      <c r="C95" s="16">
        <f>IF($R95="","",IFERROR(INDEX(EQP_NOM,MATCH($R95,EQW_KEY,0)),""))</f>
        <v/>
      </c>
      <c r="D95" s="19">
        <f>IF($R95="","",IFERROR(INDEX(EQP_DOCS,MATCH($R95,EQW_KEY,0)),""))</f>
        <v/>
      </c>
      <c r="E95" s="19">
        <f>IF($R95="","",IFERROR(INDEX(EQP_DONE,MATCH($R95,EQW_KEY,0)),""))</f>
        <v/>
      </c>
      <c r="F95" s="19">
        <f>IF($R95="","",IFERROR(INDEX(EQP_LATE,MATCH($R95,EQW_KEY,0)),""))</f>
        <v/>
      </c>
      <c r="G95" s="19">
        <f>IF($R95="","",IFERROR(INDEX(EQP_CORE,MATCH($R95,EQW_KEY,0)),""))</f>
        <v/>
      </c>
      <c r="H95" s="20">
        <f>IF($R95="","",IFERROR(INDEX(EQP_PCT,MATCH($R95,EQW_KEY,0)),""))</f>
        <v/>
      </c>
      <c r="I95" s="16">
        <f>IF($R95="","",IFERROR(INDEX(EQP_STATUS,MATCH($R95,EQW_KEY,0)),""))</f>
        <v/>
      </c>
      <c r="R95">
        <f>IFERROR(LARGE(EQW_KEY,10),"")</f>
        <v/>
      </c>
    </row>
    <row r="96">
      <c r="B96" s="16">
        <f>IF($R96="","",IFERROR(INDEX(EQP_SYS,MATCH($R96,EQW_KEY,0)),""))</f>
        <v/>
      </c>
      <c r="C96" s="16">
        <f>IF($R96="","",IFERROR(INDEX(EQP_NOM,MATCH($R96,EQW_KEY,0)),""))</f>
        <v/>
      </c>
      <c r="D96" s="19">
        <f>IF($R96="","",IFERROR(INDEX(EQP_DOCS,MATCH($R96,EQW_KEY,0)),""))</f>
        <v/>
      </c>
      <c r="E96" s="19">
        <f>IF($R96="","",IFERROR(INDEX(EQP_DONE,MATCH($R96,EQW_KEY,0)),""))</f>
        <v/>
      </c>
      <c r="F96" s="19">
        <f>IF($R96="","",IFERROR(INDEX(EQP_LATE,MATCH($R96,EQW_KEY,0)),""))</f>
        <v/>
      </c>
      <c r="G96" s="19">
        <f>IF($R96="","",IFERROR(INDEX(EQP_CORE,MATCH($R96,EQW_KEY,0)),""))</f>
        <v/>
      </c>
      <c r="H96" s="20">
        <f>IF($R96="","",IFERROR(INDEX(EQP_PCT,MATCH($R96,EQW_KEY,0)),""))</f>
        <v/>
      </c>
      <c r="I96" s="16">
        <f>IF($R96="","",IFERROR(INDEX(EQP_STATUS,MATCH($R96,EQW_KEY,0)),""))</f>
        <v/>
      </c>
      <c r="R96">
        <f>IFERROR(LARGE(EQW_KEY,11),"")</f>
        <v/>
      </c>
    </row>
    <row r="97">
      <c r="B97" s="16">
        <f>IF($R97="","",IFERROR(INDEX(EQP_SYS,MATCH($R97,EQW_KEY,0)),""))</f>
        <v/>
      </c>
      <c r="C97" s="16">
        <f>IF($R97="","",IFERROR(INDEX(EQP_NOM,MATCH($R97,EQW_KEY,0)),""))</f>
        <v/>
      </c>
      <c r="D97" s="19">
        <f>IF($R97="","",IFERROR(INDEX(EQP_DOCS,MATCH($R97,EQW_KEY,0)),""))</f>
        <v/>
      </c>
      <c r="E97" s="19">
        <f>IF($R97="","",IFERROR(INDEX(EQP_DONE,MATCH($R97,EQW_KEY,0)),""))</f>
        <v/>
      </c>
      <c r="F97" s="19">
        <f>IF($R97="","",IFERROR(INDEX(EQP_LATE,MATCH($R97,EQW_KEY,0)),""))</f>
        <v/>
      </c>
      <c r="G97" s="19">
        <f>IF($R97="","",IFERROR(INDEX(EQP_CORE,MATCH($R97,EQW_KEY,0)),""))</f>
        <v/>
      </c>
      <c r="H97" s="20">
        <f>IF($R97="","",IFERROR(INDEX(EQP_PCT,MATCH($R97,EQW_KEY,0)),""))</f>
        <v/>
      </c>
      <c r="I97" s="16">
        <f>IF($R97="","",IFERROR(INDEX(EQP_STATUS,MATCH($R97,EQW_KEY,0)),""))</f>
        <v/>
      </c>
      <c r="R97">
        <f>IFERROR(LARGE(EQW_KEY,12),"")</f>
        <v/>
      </c>
    </row>
    <row r="98">
      <c r="B98" s="16">
        <f>IF($R98="","",IFERROR(INDEX(EQP_SYS,MATCH($R98,EQW_KEY,0)),""))</f>
        <v/>
      </c>
      <c r="C98" s="16">
        <f>IF($R98="","",IFERROR(INDEX(EQP_NOM,MATCH($R98,EQW_KEY,0)),""))</f>
        <v/>
      </c>
      <c r="D98" s="19">
        <f>IF($R98="","",IFERROR(INDEX(EQP_DOCS,MATCH($R98,EQW_KEY,0)),""))</f>
        <v/>
      </c>
      <c r="E98" s="19">
        <f>IF($R98="","",IFERROR(INDEX(EQP_DONE,MATCH($R98,EQW_KEY,0)),""))</f>
        <v/>
      </c>
      <c r="F98" s="19">
        <f>IF($R98="","",IFERROR(INDEX(EQP_LATE,MATCH($R98,EQW_KEY,0)),""))</f>
        <v/>
      </c>
      <c r="G98" s="19">
        <f>IF($R98="","",IFERROR(INDEX(EQP_CORE,MATCH($R98,EQW_KEY,0)),""))</f>
        <v/>
      </c>
      <c r="H98" s="20">
        <f>IF($R98="","",IFERROR(INDEX(EQP_PCT,MATCH($R98,EQW_KEY,0)),""))</f>
        <v/>
      </c>
      <c r="I98" s="16">
        <f>IF($R98="","",IFERROR(INDEX(EQP_STATUS,MATCH($R98,EQW_KEY,0)),""))</f>
        <v/>
      </c>
      <c r="R98">
        <f>IFERROR(LARGE(EQW_KEY,13),"")</f>
        <v/>
      </c>
    </row>
    <row r="99">
      <c r="B99" s="16">
        <f>IF($R99="","",IFERROR(INDEX(EQP_SYS,MATCH($R99,EQW_KEY,0)),""))</f>
        <v/>
      </c>
      <c r="C99" s="16">
        <f>IF($R99="","",IFERROR(INDEX(EQP_NOM,MATCH($R99,EQW_KEY,0)),""))</f>
        <v/>
      </c>
      <c r="D99" s="19">
        <f>IF($R99="","",IFERROR(INDEX(EQP_DOCS,MATCH($R99,EQW_KEY,0)),""))</f>
        <v/>
      </c>
      <c r="E99" s="19">
        <f>IF($R99="","",IFERROR(INDEX(EQP_DONE,MATCH($R99,EQW_KEY,0)),""))</f>
        <v/>
      </c>
      <c r="F99" s="19">
        <f>IF($R99="","",IFERROR(INDEX(EQP_LATE,MATCH($R99,EQW_KEY,0)),""))</f>
        <v/>
      </c>
      <c r="G99" s="19">
        <f>IF($R99="","",IFERROR(INDEX(EQP_CORE,MATCH($R99,EQW_KEY,0)),""))</f>
        <v/>
      </c>
      <c r="H99" s="20">
        <f>IF($R99="","",IFERROR(INDEX(EQP_PCT,MATCH($R99,EQW_KEY,0)),""))</f>
        <v/>
      </c>
      <c r="I99" s="16">
        <f>IF($R99="","",IFERROR(INDEX(EQP_STATUS,MATCH($R99,EQW_KEY,0)),""))</f>
        <v/>
      </c>
      <c r="R99">
        <f>IFERROR(LARGE(EQW_KEY,14),"")</f>
        <v/>
      </c>
    </row>
    <row r="100">
      <c r="B100" s="16">
        <f>IF($R100="","",IFERROR(INDEX(EQP_SYS,MATCH($R100,EQW_KEY,0)),""))</f>
        <v/>
      </c>
      <c r="C100" s="16">
        <f>IF($R100="","",IFERROR(INDEX(EQP_NOM,MATCH($R100,EQW_KEY,0)),""))</f>
        <v/>
      </c>
      <c r="D100" s="19">
        <f>IF($R100="","",IFERROR(INDEX(EQP_DOCS,MATCH($R100,EQW_KEY,0)),""))</f>
        <v/>
      </c>
      <c r="E100" s="19">
        <f>IF($R100="","",IFERROR(INDEX(EQP_DONE,MATCH($R100,EQW_KEY,0)),""))</f>
        <v/>
      </c>
      <c r="F100" s="19">
        <f>IF($R100="","",IFERROR(INDEX(EQP_LATE,MATCH($R100,EQW_KEY,0)),""))</f>
        <v/>
      </c>
      <c r="G100" s="19">
        <f>IF($R100="","",IFERROR(INDEX(EQP_CORE,MATCH($R100,EQW_KEY,0)),""))</f>
        <v/>
      </c>
      <c r="H100" s="20">
        <f>IF($R100="","",IFERROR(INDEX(EQP_PCT,MATCH($R100,EQW_KEY,0)),""))</f>
        <v/>
      </c>
      <c r="I100" s="16">
        <f>IF($R100="","",IFERROR(INDEX(EQP_STATUS,MATCH($R100,EQW_KEY,0)),""))</f>
        <v/>
      </c>
      <c r="R100">
        <f>IFERROR(LARGE(EQW_KEY,15),"")</f>
        <v/>
      </c>
    </row>
    <row r="102" ht="18" customHeight="1">
      <c r="B102" s="3" t="inlineStr">
        <is>
          <t>6. MILESTONES</t>
        </is>
      </c>
      <c r="C102" s="4" t="n"/>
      <c r="D102" s="4" t="n"/>
      <c r="E102" s="4" t="n"/>
      <c r="F102" s="4" t="n"/>
      <c r="G102" s="4" t="n"/>
      <c r="H102" s="4" t="n"/>
      <c r="I102" s="4" t="n"/>
      <c r="J102" s="4" t="n"/>
      <c r="K102" s="4" t="n"/>
      <c r="L102" s="4" t="n"/>
      <c r="M102" s="4" t="n"/>
    </row>
    <row r="103" ht="28" customHeight="1">
      <c r="B103" s="13" t="inlineStr">
        <is>
          <t>Milestone</t>
        </is>
      </c>
      <c r="C103" s="13" t="inlineStr">
        <is>
          <t>Note</t>
        </is>
      </c>
      <c r="D103" s="13" t="inlineStr">
        <is>
          <t>Planned date</t>
        </is>
      </c>
      <c r="E103" s="13" t="inlineStr">
        <is>
          <t>Actual date</t>
        </is>
      </c>
      <c r="F103" s="13" t="inlineStr">
        <is>
          <t>Days from today</t>
        </is>
      </c>
    </row>
    <row r="104">
      <c r="B104" s="16">
        <f>IF(OR(SETUP!$B$71="",SETUP!$B$71=""),"",SETUP!$B$71)</f>
        <v/>
      </c>
      <c r="C104" s="16">
        <f>IF(OR(SETUP!$B$71="",SETUP!$G$71=""),"",SETUP!$G$71)</f>
        <v/>
      </c>
      <c r="D104" s="17">
        <f>IF(OR(SETUP!$B$71="",SETUP!$E$71=""),"",SETUP!$E$71)</f>
        <v/>
      </c>
      <c r="E104" s="17">
        <f>IF(OR(SETUP!$B$71="",SETUP!$F$71=""),"",SETUP!$F$71)</f>
        <v/>
      </c>
      <c r="F104" s="18">
        <f>IF(SETUP!$B$71="","",IF(SETUP!$F$71&lt;&gt;"","",IF(SETUP!$E$71="","",SETUP!$E$71-TODAY())))</f>
        <v/>
      </c>
    </row>
    <row r="105">
      <c r="B105" s="16">
        <f>IF(OR(SETUP!$B$72="",SETUP!$B$72=""),"",SETUP!$B$72)</f>
        <v/>
      </c>
      <c r="C105" s="16">
        <f>IF(OR(SETUP!$B$72="",SETUP!$G$72=""),"",SETUP!$G$72)</f>
        <v/>
      </c>
      <c r="D105" s="17">
        <f>IF(OR(SETUP!$B$72="",SETUP!$E$72=""),"",SETUP!$E$72)</f>
        <v/>
      </c>
      <c r="E105" s="17">
        <f>IF(OR(SETUP!$B$72="",SETUP!$F$72=""),"",SETUP!$F$72)</f>
        <v/>
      </c>
      <c r="F105" s="18">
        <f>IF(SETUP!$B$72="","",IF(SETUP!$F$72&lt;&gt;"","",IF(SETUP!$E$72="","",SETUP!$E$72-TODAY())))</f>
        <v/>
      </c>
    </row>
    <row r="106">
      <c r="B106" s="16">
        <f>IF(OR(SETUP!$B$73="",SETUP!$B$73=""),"",SETUP!$B$73)</f>
        <v/>
      </c>
      <c r="C106" s="16">
        <f>IF(OR(SETUP!$B$73="",SETUP!$G$73=""),"",SETUP!$G$73)</f>
        <v/>
      </c>
      <c r="D106" s="17">
        <f>IF(OR(SETUP!$B$73="",SETUP!$E$73=""),"",SETUP!$E$73)</f>
        <v/>
      </c>
      <c r="E106" s="17">
        <f>IF(OR(SETUP!$B$73="",SETUP!$F$73=""),"",SETUP!$F$73)</f>
        <v/>
      </c>
      <c r="F106" s="18">
        <f>IF(SETUP!$B$73="","",IF(SETUP!$F$73&lt;&gt;"","",IF(SETUP!$E$73="","",SETUP!$E$73-TODAY())))</f>
        <v/>
      </c>
    </row>
    <row r="107">
      <c r="B107" s="16">
        <f>IF(OR(SETUP!$B$74="",SETUP!$B$74=""),"",SETUP!$B$74)</f>
        <v/>
      </c>
      <c r="C107" s="16">
        <f>IF(OR(SETUP!$B$74="",SETUP!$G$74=""),"",SETUP!$G$74)</f>
        <v/>
      </c>
      <c r="D107" s="17">
        <f>IF(OR(SETUP!$B$74="",SETUP!$E$74=""),"",SETUP!$E$74)</f>
        <v/>
      </c>
      <c r="E107" s="17">
        <f>IF(OR(SETUP!$B$74="",SETUP!$F$74=""),"",SETUP!$F$74)</f>
        <v/>
      </c>
      <c r="F107" s="18">
        <f>IF(SETUP!$B$74="","",IF(SETUP!$F$74&lt;&gt;"","",IF(SETUP!$E$74="","",SETUP!$E$74-TODAY())))</f>
        <v/>
      </c>
    </row>
    <row r="108">
      <c r="B108" s="16">
        <f>IF(OR(SETUP!$B$75="",SETUP!$B$75=""),"",SETUP!$B$75)</f>
        <v/>
      </c>
      <c r="C108" s="16">
        <f>IF(OR(SETUP!$B$75="",SETUP!$G$75=""),"",SETUP!$G$75)</f>
        <v/>
      </c>
      <c r="D108" s="17">
        <f>IF(OR(SETUP!$B$75="",SETUP!$E$75=""),"",SETUP!$E$75)</f>
        <v/>
      </c>
      <c r="E108" s="17">
        <f>IF(OR(SETUP!$B$75="",SETUP!$F$75=""),"",SETUP!$F$75)</f>
        <v/>
      </c>
      <c r="F108" s="18">
        <f>IF(SETUP!$B$75="","",IF(SETUP!$F$75&lt;&gt;"","",IF(SETUP!$E$75="","",SETUP!$E$75-TODAY())))</f>
        <v/>
      </c>
    </row>
    <row r="109">
      <c r="B109" s="16">
        <f>IF(OR(SETUP!$B$76="",SETUP!$B$76=""),"",SETUP!$B$76)</f>
        <v/>
      </c>
      <c r="C109" s="16">
        <f>IF(OR(SETUP!$B$76="",SETUP!$G$76=""),"",SETUP!$G$76)</f>
        <v/>
      </c>
      <c r="D109" s="17">
        <f>IF(OR(SETUP!$B$76="",SETUP!$E$76=""),"",SETUP!$E$76)</f>
        <v/>
      </c>
      <c r="E109" s="17">
        <f>IF(OR(SETUP!$B$76="",SETUP!$F$76=""),"",SETUP!$F$76)</f>
        <v/>
      </c>
      <c r="F109" s="18">
        <f>IF(SETUP!$B$76="","",IF(SETUP!$F$76&lt;&gt;"","",IF(SETUP!$E$76="","",SETUP!$E$76-TODAY())))</f>
        <v/>
      </c>
    </row>
    <row r="110">
      <c r="B110" s="16">
        <f>IF(OR(SETUP!$B$77="",SETUP!$B$77=""),"",SETUP!$B$77)</f>
        <v/>
      </c>
      <c r="C110" s="16">
        <f>IF(OR(SETUP!$B$77="",SETUP!$G$77=""),"",SETUP!$G$77)</f>
        <v/>
      </c>
      <c r="D110" s="17">
        <f>IF(OR(SETUP!$B$77="",SETUP!$E$77=""),"",SETUP!$E$77)</f>
        <v/>
      </c>
      <c r="E110" s="17">
        <f>IF(OR(SETUP!$B$77="",SETUP!$F$77=""),"",SETUP!$F$77)</f>
        <v/>
      </c>
      <c r="F110" s="18">
        <f>IF(SETUP!$B$77="","",IF(SETUP!$F$77&lt;&gt;"","",IF(SETUP!$E$77="","",SETUP!$E$77-TODAY())))</f>
        <v/>
      </c>
    </row>
    <row r="111">
      <c r="B111" s="16">
        <f>IF(OR(SETUP!$B$78="",SETUP!$B$78=""),"",SETUP!$B$78)</f>
        <v/>
      </c>
      <c r="C111" s="16">
        <f>IF(OR(SETUP!$B$78="",SETUP!$G$78=""),"",SETUP!$G$78)</f>
        <v/>
      </c>
      <c r="D111" s="17">
        <f>IF(OR(SETUP!$B$78="",SETUP!$E$78=""),"",SETUP!$E$78)</f>
        <v/>
      </c>
      <c r="E111" s="17">
        <f>IF(OR(SETUP!$B$78="",SETUP!$F$78=""),"",SETUP!$F$78)</f>
        <v/>
      </c>
      <c r="F111" s="18">
        <f>IF(SETUP!$B$78="","",IF(SETUP!$F$78&lt;&gt;"","",IF(SETUP!$E$78="","",SETUP!$E$78-TODAY())))</f>
        <v/>
      </c>
    </row>
    <row r="112">
      <c r="B112" s="16">
        <f>IF(OR(SETUP!$B$79="",SETUP!$B$79=""),"",SETUP!$B$79)</f>
        <v/>
      </c>
      <c r="C112" s="16">
        <f>IF(OR(SETUP!$B$79="",SETUP!$G$79=""),"",SETUP!$G$79)</f>
        <v/>
      </c>
      <c r="D112" s="17">
        <f>IF(OR(SETUP!$B$79="",SETUP!$E$79=""),"",SETUP!$E$79)</f>
        <v/>
      </c>
      <c r="E112" s="17">
        <f>IF(OR(SETUP!$B$79="",SETUP!$F$79=""),"",SETUP!$F$79)</f>
        <v/>
      </c>
      <c r="F112" s="18">
        <f>IF(SETUP!$B$79="","",IF(SETUP!$F$79&lt;&gt;"","",IF(SETUP!$E$79="","",SETUP!$E$79-TODAY())))</f>
        <v/>
      </c>
    </row>
    <row r="113">
      <c r="B113" s="16">
        <f>IF(OR(SETUP!$B$80="",SETUP!$B$80=""),"",SETUP!$B$80)</f>
        <v/>
      </c>
      <c r="C113" s="16">
        <f>IF(OR(SETUP!$B$80="",SETUP!$G$80=""),"",SETUP!$G$80)</f>
        <v/>
      </c>
      <c r="D113" s="17">
        <f>IF(OR(SETUP!$B$80="",SETUP!$E$80=""),"",SETUP!$E$80)</f>
        <v/>
      </c>
      <c r="E113" s="17">
        <f>IF(OR(SETUP!$B$80="",SETUP!$F$80=""),"",SETUP!$F$80)</f>
        <v/>
      </c>
      <c r="F113" s="18">
        <f>IF(SETUP!$B$80="","",IF(SETUP!$F$80&lt;&gt;"","",IF(SETUP!$E$80="","",SETUP!$E$80-TODAY())))</f>
        <v/>
      </c>
    </row>
    <row r="114">
      <c r="B114" s="16">
        <f>IF(OR(SETUP!$B$81="",SETUP!$B$81=""),"",SETUP!$B$81)</f>
        <v/>
      </c>
      <c r="C114" s="16">
        <f>IF(OR(SETUP!$B$81="",SETUP!$G$81=""),"",SETUP!$G$81)</f>
        <v/>
      </c>
      <c r="D114" s="17">
        <f>IF(OR(SETUP!$B$81="",SETUP!$E$81=""),"",SETUP!$E$81)</f>
        <v/>
      </c>
      <c r="E114" s="17">
        <f>IF(OR(SETUP!$B$81="",SETUP!$F$81=""),"",SETUP!$F$81)</f>
        <v/>
      </c>
      <c r="F114" s="18">
        <f>IF(SETUP!$B$81="","",IF(SETUP!$F$81&lt;&gt;"","",IF(SETUP!$E$81="","",SETUP!$E$81-TODAY())))</f>
        <v/>
      </c>
    </row>
    <row r="115">
      <c r="B115" s="16">
        <f>IF(OR(SETUP!$B$82="",SETUP!$B$82=""),"",SETUP!$B$82)</f>
        <v/>
      </c>
      <c r="C115" s="16">
        <f>IF(OR(SETUP!$B$82="",SETUP!$G$82=""),"",SETUP!$G$82)</f>
        <v/>
      </c>
      <c r="D115" s="17">
        <f>IF(OR(SETUP!$B$82="",SETUP!$E$82=""),"",SETUP!$E$82)</f>
        <v/>
      </c>
      <c r="E115" s="17">
        <f>IF(OR(SETUP!$B$82="",SETUP!$F$82=""),"",SETUP!$F$82)</f>
        <v/>
      </c>
      <c r="F115" s="18">
        <f>IF(SETUP!$B$82="","",IF(SETUP!$F$82&lt;&gt;"","",IF(SETUP!$E$82="","",SETUP!$E$82-TODAY())))</f>
        <v/>
      </c>
    </row>
    <row r="116">
      <c r="B116" s="16">
        <f>IF(OR(SETUP!$B$83="",SETUP!$B$83=""),"",SETUP!$B$83)</f>
        <v/>
      </c>
      <c r="C116" s="16">
        <f>IF(OR(SETUP!$B$83="",SETUP!$G$83=""),"",SETUP!$G$83)</f>
        <v/>
      </c>
      <c r="D116" s="17">
        <f>IF(OR(SETUP!$B$83="",SETUP!$E$83=""),"",SETUP!$E$83)</f>
        <v/>
      </c>
      <c r="E116" s="17">
        <f>IF(OR(SETUP!$B$83="",SETUP!$F$83=""),"",SETUP!$F$83)</f>
        <v/>
      </c>
      <c r="F116" s="18">
        <f>IF(SETUP!$B$83="","",IF(SETUP!$F$83&lt;&gt;"","",IF(SETUP!$E$83="","",SETUP!$E$83-TODAY())))</f>
        <v/>
      </c>
    </row>
    <row r="117">
      <c r="B117" s="16">
        <f>IF(OR(SETUP!$B$84="",SETUP!$B$84=""),"",SETUP!$B$84)</f>
        <v/>
      </c>
      <c r="C117" s="16">
        <f>IF(OR(SETUP!$B$84="",SETUP!$G$84=""),"",SETUP!$G$84)</f>
        <v/>
      </c>
      <c r="D117" s="17">
        <f>IF(OR(SETUP!$B$84="",SETUP!$E$84=""),"",SETUP!$E$84)</f>
        <v/>
      </c>
      <c r="E117" s="17">
        <f>IF(OR(SETUP!$B$84="",SETUP!$F$84=""),"",SETUP!$F$84)</f>
        <v/>
      </c>
      <c r="F117" s="18">
        <f>IF(SETUP!$B$84="","",IF(SETUP!$F$84&lt;&gt;"","",IF(SETUP!$E$84="","",SETUP!$E$84-TODAY())))</f>
        <v/>
      </c>
    </row>
    <row r="118">
      <c r="B118" s="16">
        <f>IF(OR(SETUP!$B$85="",SETUP!$B$85=""),"",SETUP!$B$85)</f>
        <v/>
      </c>
      <c r="C118" s="16">
        <f>IF(OR(SETUP!$B$85="",SETUP!$G$85=""),"",SETUP!$G$85)</f>
        <v/>
      </c>
      <c r="D118" s="17">
        <f>IF(OR(SETUP!$B$85="",SETUP!$E$85=""),"",SETUP!$E$85)</f>
        <v/>
      </c>
      <c r="E118" s="17">
        <f>IF(OR(SETUP!$B$85="",SETUP!$F$85=""),"",SETUP!$F$85)</f>
        <v/>
      </c>
      <c r="F118" s="18">
        <f>IF(SETUP!$B$85="","",IF(SETUP!$F$85&lt;&gt;"","",IF(SETUP!$E$85="","",SETUP!$E$85-TODAY())))</f>
        <v/>
      </c>
    </row>
    <row r="120" ht="18" customHeight="1">
      <c r="B120" s="3" t="inlineStr">
        <is>
          <t>CHARTS</t>
        </is>
      </c>
      <c r="C120" s="4" t="n"/>
      <c r="D120" s="4" t="n"/>
      <c r="E120" s="4" t="n"/>
      <c r="F120" s="4" t="n"/>
      <c r="G120" s="4" t="n"/>
      <c r="H120" s="4" t="n"/>
      <c r="I120" s="4" t="n"/>
      <c r="J120" s="4" t="n"/>
      <c r="K120" s="4" t="n"/>
      <c r="L120" s="4" t="n"/>
      <c r="M120" s="4" t="n"/>
    </row>
  </sheetData>
  <mergeCells count="20">
    <mergeCell ref="B120:M120"/>
    <mergeCell ref="B17:M17"/>
    <mergeCell ref="E8:F8"/>
    <mergeCell ref="B12:I12"/>
    <mergeCell ref="G9:M9"/>
    <mergeCell ref="E10:F10"/>
    <mergeCell ref="B84:M84"/>
    <mergeCell ref="E9:F9"/>
    <mergeCell ref="B30:M30"/>
    <mergeCell ref="E6:F6"/>
    <mergeCell ref="B6:D10"/>
    <mergeCell ref="G8:M8"/>
    <mergeCell ref="G7:M7"/>
    <mergeCell ref="B4:M4"/>
    <mergeCell ref="G10:M10"/>
    <mergeCell ref="G6:M6"/>
    <mergeCell ref="E7:F7"/>
    <mergeCell ref="B56:M56"/>
    <mergeCell ref="B102:M102"/>
    <mergeCell ref="B43:M43"/>
  </mergeCells>
  <conditionalFormatting sqref="B6:D10">
    <cfRule type="expression" priority="1" dxfId="0" stopIfTrue="1">
      <formula>$B$6=RAG_RED</formula>
    </cfRule>
    <cfRule type="expression" priority="2" dxfId="1" stopIfTrue="1">
      <formula>$B$6=RAG_AMB</formula>
    </cfRule>
    <cfRule type="expression" priority="3" dxfId="2" stopIfTrue="1">
      <formula>$B$6=RAG_GRN</formula>
    </cfRule>
  </conditionalFormatting>
  <conditionalFormatting sqref="I14:I15">
    <cfRule type="dataBar" priority="4">
      <dataBar showValue="1">
        <cfvo type="num" val="0"/>
        <cfvo type="num" val="1"/>
        <color rgb="0063BE7B"/>
      </dataBar>
    </cfRule>
  </conditionalFormatting>
  <conditionalFormatting sqref="J58:J82">
    <cfRule type="dataBar" priority="5">
      <dataBar showValue="1">
        <cfvo type="num" val="0"/>
        <cfvo type="num" val="1"/>
        <color rgb="0063BE7B"/>
      </dataBar>
    </cfRule>
  </conditionalFormatting>
  <conditionalFormatting sqref="B58:K82">
    <cfRule type="expression" priority="6" dxfId="3" stopIfTrue="0">
      <formula>AND($B58&lt;&gt;"",$K58=S_LATE)</formula>
    </cfRule>
  </conditionalFormatting>
  <conditionalFormatting sqref="H86:H100">
    <cfRule type="dataBar" priority="7">
      <dataBar showValue="1">
        <cfvo type="num" val="0"/>
        <cfvo type="num" val="1"/>
        <color rgb="0063BE7B"/>
      </dataBar>
    </cfRule>
  </conditionalFormatting>
  <conditionalFormatting sqref="B104:F118">
    <cfRule type="expression" priority="8" dxfId="4" stopIfTrue="1">
      <formula>AND($B104&lt;&gt;"",$E104&lt;&gt;"")</formula>
    </cfRule>
    <cfRule type="expression" priority="9" dxfId="3" stopIfTrue="1">
      <formula>AND($B104&lt;&gt;"",$E104="",N($F104)&lt;0)</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C00000"/>
    <outlinePr summaryBelow="1" summaryRight="1"/>
    <pageSetUpPr/>
  </sheetPr>
  <dimension ref="A1:Z503"/>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34" customWidth="1" min="1" max="1"/>
    <col width="11" customWidth="1" min="2" max="2"/>
    <col width="12" customWidth="1" min="3" max="3"/>
    <col width="26" customWidth="1" min="4" max="4"/>
    <col width="20" customWidth="1" min="5" max="5"/>
    <col width="18" customWidth="1" min="6" max="6"/>
    <col width="16" customWidth="1" min="7" max="7"/>
    <col width="24" customWidth="1" min="8" max="8"/>
    <col width="13" customWidth="1" min="9" max="9"/>
    <col width="16" customWidth="1" min="10" max="10"/>
    <col width="16" customWidth="1" min="11" max="11"/>
    <col width="9" customWidth="1" min="12" max="12"/>
    <col width="16" customWidth="1" min="13" max="13"/>
    <col width="10" customWidth="1" min="14" max="14"/>
    <col width="15" customWidth="1" min="15" max="15"/>
    <col width="24" customWidth="1" min="16" max="16"/>
    <col width="30" customWidth="1" min="17" max="17"/>
    <col hidden="1" width="12" customWidth="1" min="18" max="18"/>
    <col hidden="1" width="12" customWidth="1" min="19" max="19"/>
    <col hidden="1" width="8" customWidth="1" min="20" max="20"/>
    <col hidden="1" width="8" customWidth="1" min="21" max="21"/>
    <col hidden="1" width="9" customWidth="1" min="22" max="22"/>
    <col hidden="1" width="16" customWidth="1" min="23" max="23"/>
    <col hidden="1" width="11" customWidth="1" min="24" max="24"/>
    <col hidden="1" width="11" customWidth="1" min="25" max="25"/>
    <col hidden="1" width="11" customWidth="1" min="26" max="26"/>
  </cols>
  <sheetData>
    <row r="1">
      <c r="A1" s="1" t="inlineStr">
        <is>
          <t>DELIVERABLES TRACKER</t>
        </is>
      </c>
    </row>
    <row r="2">
      <c r="A2" s="2" t="inlineStr">
        <is>
          <t>One row per document per thing it covers: the whole contract (Scope = All), a system, or a piece of equipment. A document covering three systems is three rows. Fill Actual start when work begins. Days late: positive = late, negative = float.</t>
        </is>
      </c>
    </row>
    <row r="3" ht="28" customHeight="1">
      <c r="A3" s="13" t="inlineStr">
        <is>
          <t>Type</t>
        </is>
      </c>
      <c r="B3" s="13" t="inlineStr">
        <is>
          <t>Scope</t>
        </is>
      </c>
      <c r="C3" s="13" t="inlineStr">
        <is>
          <t>System</t>
        </is>
      </c>
      <c r="D3" s="13" t="inlineStr">
        <is>
          <t>Equipment</t>
        </is>
      </c>
      <c r="E3" s="13" t="inlineStr">
        <is>
          <t>Document no.</t>
        </is>
      </c>
      <c r="F3" s="13" t="inlineStr">
        <is>
          <t>Responsible (drafting)</t>
        </is>
      </c>
      <c r="G3" s="13" t="inlineStr">
        <is>
          <t>Approver</t>
        </is>
      </c>
      <c r="H3" s="13" t="inlineStr">
        <is>
          <t>Status</t>
        </is>
      </c>
      <c r="I3" s="13" t="inlineStr">
        <is>
          <t>Actual start</t>
        </is>
      </c>
      <c r="J3" s="13" t="inlineStr">
        <is>
          <t>Target override</t>
        </is>
      </c>
      <c r="K3" s="13" t="inlineStr">
        <is>
          <t>Target approval</t>
        </is>
      </c>
      <c r="L3" s="13" t="inlineStr">
        <is>
          <t>Source</t>
        </is>
      </c>
      <c r="M3" s="13" t="inlineStr">
        <is>
          <t>Actual approval</t>
        </is>
      </c>
      <c r="N3" s="13" t="inlineStr">
        <is>
          <t>Days late</t>
        </is>
      </c>
      <c r="O3" s="13" t="inlineStr">
        <is>
          <t>State</t>
        </is>
      </c>
      <c r="P3" s="13" t="inlineStr">
        <is>
          <t>Check</t>
        </is>
      </c>
      <c r="Q3" s="13" t="inlineStr">
        <is>
          <t>Comment</t>
        </is>
      </c>
      <c r="R3" s="13" t="inlineStr">
        <is>
          <t>Scope date</t>
        </is>
      </c>
      <c r="S3" s="13" t="inlineStr">
        <is>
          <t>Auto target</t>
        </is>
      </c>
      <c r="T3" s="13" t="inlineStr">
        <is>
          <t>Active</t>
        </is>
      </c>
      <c r="U3" s="13" t="inlineStr">
        <is>
          <t>Done</t>
        </is>
      </c>
      <c r="V3" s="13" t="inlineStr">
        <is>
          <t>Inactive</t>
        </is>
      </c>
      <c r="W3" s="13" t="inlineStr">
        <is>
          <t>Phase</t>
        </is>
      </c>
      <c r="X3" s="13" t="inlineStr">
        <is>
          <t>k late</t>
        </is>
      </c>
      <c r="Y3" s="13" t="inlineStr">
        <is>
          <t>k wip</t>
        </is>
      </c>
      <c r="Z3" s="13" t="inlineStr">
        <is>
          <t>k coming</t>
        </is>
      </c>
    </row>
    <row r="4">
      <c r="A4" s="21" t="inlineStr">
        <is>
          <t>Basis of Commissioning</t>
        </is>
      </c>
      <c r="B4" s="21" t="inlineStr">
        <is>
          <t>All</t>
        </is>
      </c>
      <c r="C4" s="21" t="n"/>
      <c r="D4" s="21" t="n"/>
      <c r="E4" s="21" t="inlineStr">
        <is>
          <t>DMIC-ALL-BOC-001</t>
        </is>
      </c>
      <c r="F4" s="21" t="inlineStr">
        <is>
          <t>S. Okonkwo</t>
        </is>
      </c>
      <c r="G4" s="21" t="inlineStr">
        <is>
          <t>P. Nakamura</t>
        </is>
      </c>
      <c r="H4" s="21" t="inlineStr">
        <is>
          <t>P1 - For Implementation</t>
        </is>
      </c>
      <c r="I4" s="22" t="n"/>
      <c r="J4" s="22" t="n"/>
      <c r="K4" s="23">
        <f>IF($A4="","",IF($J4&lt;&gt;"",$J4,$S4))</f>
        <v/>
      </c>
      <c r="L4" s="24">
        <f>IF(OR($A4="",$E4=""),"",IF($J4&lt;&gt;"","Manual",IF($S4="","-","Auto")))</f>
        <v/>
      </c>
      <c r="M4" s="22" t="n">
        <v>45955</v>
      </c>
      <c r="N4" s="25">
        <f>IF($T4=0,"",IF($U4=1,IF($M4="","",$M4-$K4),IF($K4="","",TODAY()-$K4)))</f>
        <v/>
      </c>
      <c r="O4" s="24">
        <f>IF(OR($A4="",$E4=""),"",IF($V4=1,S_INACT,IF(ISNA(MATCH($A4,TYP_TYPE,0)),S_TYPEKO,IF($U4=1,S_DONE,IF(AND($K4="",$R4=""),S_NOSCOPE,IF($K4="",S_NOTARGET,IF($N4&gt;0,S_LATE,IF($I4&lt;&gt;"",S_WIP,IF(-$N4&lt;=FEN_DOC,S_RISK,IF(-$N4&lt;=HORIZON,S_COMING,S_NOTYET))))))))))</f>
        <v/>
      </c>
      <c r="P4" s="24">
        <f>IF(OR($A4="",$E4=""),"",IF($V4=1,"",IF(ISNA(MATCH($A4,TYP_TYPE,0)),"Type not in the library",IF($B4="","Scope not set",IF(AND($B4="System",$C4=""),"System not set",IF(AND($B4="Equipment",$D4=""),"Equipment not set",IF($F4="","Responsible not set",IF($K4="","No target date",IF(AND($B4="Equipment",$C4&lt;&gt;"",IFERROR(INDEX(EQP_SYS,MATCH($D4,EQP_NOM,0)),"")&lt;&gt;$C4),"Equipment not in that system",IF(AND($U4=1,$M4=""),"Approved with no approval date",""))))))))))</f>
        <v/>
      </c>
      <c r="Q4" s="21" t="n"/>
      <c r="R4" s="23">
        <f>IF(OR($A4="",$B4=""),"",IF($B4="Equipment",IFERROR(INDEX(EQP_START,MATCH($D4,EQP_NOM,0)),""),IF($B4="System",IFERROR(INDEX(SYS_EARLIEST,MATCH($C4,SYS_ID,0)),""),IF($B4="All",CTR_EARLIEST,""))))</f>
        <v/>
      </c>
      <c r="S4" s="23">
        <f>IF(OR($A4="",$E4=""),"",IFERROR(IF(INDEX(TYP_ANCHOR,MATCH($A4,TYP_TYPE,0))="Commissioning Start",IF($R4="","",$R4-INDEX(TYP_LEAD,MATCH($A4,TYP_TYPE,0))),IF(INDEX(MS_PLAN,MATCH(INDEX(TYP_ANCHOR,MATCH($A4,TYP_TYPE,0)),MS_NOM,0))="","",INDEX(MS_PLAN,MATCH(INDEX(TYP_ANCHOR,MATCH($A4,TYP_TYPE,0)),MS_NOM,0))-INDEX(TYP_LEAD,MATCH($A4,TYP_TYPE,0)))),""))</f>
        <v/>
      </c>
      <c r="T4" s="26">
        <f>IF(OR($A4="",$E4=""),0,IF($V4=1,0,1))</f>
        <v/>
      </c>
      <c r="U4" s="26">
        <f>IF($T4=0,0,IF($M4&lt;&gt;"",1,IF(IFERROR(INDEX(WF_CLASS,MATCH($H4,WF_CODE,0)),"")="Done",1,0)))</f>
        <v/>
      </c>
      <c r="V4" s="26">
        <f>IF(OR($A4="",$E4=""),0,IF(IFERROR(INDEX(WF_CLASS,MATCH($H4,WF_CODE,0)),"")="Inactive",1,0))</f>
        <v/>
      </c>
      <c r="W4" s="24">
        <f>IF($A4="","",IFERROR(INDEX(TYP_PHASE,MATCH($A4,TYP_TYPE,0)),"-"))</f>
        <v/>
      </c>
      <c r="X4" s="24">
        <f>IF(AND($T4=1,$U4=0,N($N4)&gt;0),$N4+ROW()/1000000,"")</f>
        <v/>
      </c>
      <c r="Y4" s="24">
        <f>IF(AND($T4=1,$U4=0,OR($I4&lt;&gt;"",N($N4)&gt;0)),N($N4)+ROW()/1000000,"")</f>
        <v/>
      </c>
      <c r="Z4" s="24">
        <f>IF(AND($T4=1,$U4=0,$I4="",N($N4)&lt;=0,-N($N4)&lt;=HORIZON),N($N4)+ROW()/1000000,"")</f>
        <v/>
      </c>
    </row>
    <row r="5">
      <c r="A5" s="21" t="inlineStr">
        <is>
          <t>Surveillance Strategy</t>
        </is>
      </c>
      <c r="B5" s="21" t="inlineStr">
        <is>
          <t>All</t>
        </is>
      </c>
      <c r="C5" s="21" t="n"/>
      <c r="D5" s="21" t="n"/>
      <c r="E5" s="21" t="inlineStr">
        <is>
          <t>DMIC-ALL-SVS-002</t>
        </is>
      </c>
      <c r="F5" s="21" t="inlineStr">
        <is>
          <t>L. Fontaine</t>
        </is>
      </c>
      <c r="G5" s="21" t="inlineStr">
        <is>
          <t>K. Rasmussen</t>
        </is>
      </c>
      <c r="H5" s="21" t="inlineStr">
        <is>
          <t>P6 - For Construction</t>
        </is>
      </c>
      <c r="I5" s="22" t="n"/>
      <c r="J5" s="22" t="n"/>
      <c r="K5" s="23">
        <f>IF($A5="","",IF($J5&lt;&gt;"",$J5,$S5))</f>
        <v/>
      </c>
      <c r="L5" s="24">
        <f>IF(OR($A5="",$E5=""),"",IF($J5&lt;&gt;"","Manual",IF($S5="","-","Auto")))</f>
        <v/>
      </c>
      <c r="M5" s="22" t="n">
        <v>45956</v>
      </c>
      <c r="N5" s="25">
        <f>IF($T5=0,"",IF($U5=1,IF($M5="","",$M5-$K5),IF($K5="","",TODAY()-$K5)))</f>
        <v/>
      </c>
      <c r="O5" s="24">
        <f>IF(OR($A5="",$E5=""),"",IF($V5=1,S_INACT,IF(ISNA(MATCH($A5,TYP_TYPE,0)),S_TYPEKO,IF($U5=1,S_DONE,IF(AND($K5="",$R5=""),S_NOSCOPE,IF($K5="",S_NOTARGET,IF($N5&gt;0,S_LATE,IF($I5&lt;&gt;"",S_WIP,IF(-$N5&lt;=FEN_DOC,S_RISK,IF(-$N5&lt;=HORIZON,S_COMING,S_NOTYET))))))))))</f>
        <v/>
      </c>
      <c r="P5" s="24">
        <f>IF(OR($A5="",$E5=""),"",IF($V5=1,"",IF(ISNA(MATCH($A5,TYP_TYPE,0)),"Type not in the library",IF($B5="","Scope not set",IF(AND($B5="System",$C5=""),"System not set",IF(AND($B5="Equipment",$D5=""),"Equipment not set",IF($F5="","Responsible not set",IF($K5="","No target date",IF(AND($B5="Equipment",$C5&lt;&gt;"",IFERROR(INDEX(EQP_SYS,MATCH($D5,EQP_NOM,0)),"")&lt;&gt;$C5),"Equipment not in that system",IF(AND($U5=1,$M5=""),"Approved with no approval date",""))))))))))</f>
        <v/>
      </c>
      <c r="Q5" s="21" t="n"/>
      <c r="R5" s="23">
        <f>IF(OR($A5="",$B5=""),"",IF($B5="Equipment",IFERROR(INDEX(EQP_START,MATCH($D5,EQP_NOM,0)),""),IF($B5="System",IFERROR(INDEX(SYS_EARLIEST,MATCH($C5,SYS_ID,0)),""),IF($B5="All",CTR_EARLIEST,""))))</f>
        <v/>
      </c>
      <c r="S5" s="23">
        <f>IF(OR($A5="",$E5=""),"",IFERROR(IF(INDEX(TYP_ANCHOR,MATCH($A5,TYP_TYPE,0))="Commissioning Start",IF($R5="","",$R5-INDEX(TYP_LEAD,MATCH($A5,TYP_TYPE,0))),IF(INDEX(MS_PLAN,MATCH(INDEX(TYP_ANCHOR,MATCH($A5,TYP_TYPE,0)),MS_NOM,0))="","",INDEX(MS_PLAN,MATCH(INDEX(TYP_ANCHOR,MATCH($A5,TYP_TYPE,0)),MS_NOM,0))-INDEX(TYP_LEAD,MATCH($A5,TYP_TYPE,0)))),""))</f>
        <v/>
      </c>
      <c r="T5" s="26">
        <f>IF(OR($A5="",$E5=""),0,IF($V5=1,0,1))</f>
        <v/>
      </c>
      <c r="U5" s="26">
        <f>IF($T5=0,0,IF($M5&lt;&gt;"",1,IF(IFERROR(INDEX(WF_CLASS,MATCH($H5,WF_CODE,0)),"")="Done",1,0)))</f>
        <v/>
      </c>
      <c r="V5" s="26">
        <f>IF(OR($A5="",$E5=""),0,IF(IFERROR(INDEX(WF_CLASS,MATCH($H5,WF_CODE,0)),"")="Inactive",1,0))</f>
        <v/>
      </c>
      <c r="W5" s="24">
        <f>IF($A5="","",IFERROR(INDEX(TYP_PHASE,MATCH($A5,TYP_TYPE,0)),"-"))</f>
        <v/>
      </c>
      <c r="X5" s="24">
        <f>IF(AND($T5=1,$U5=0,N($N5)&gt;0),$N5+ROW()/1000000,"")</f>
        <v/>
      </c>
      <c r="Y5" s="24">
        <f>IF(AND($T5=1,$U5=0,OR($I5&lt;&gt;"",N($N5)&gt;0)),N($N5)+ROW()/1000000,"")</f>
        <v/>
      </c>
      <c r="Z5" s="24">
        <f>IF(AND($T5=1,$U5=0,$I5="",N($N5)&lt;=0,-N($N5)&lt;=HORIZON),N($N5)+ROW()/1000000,"")</f>
        <v/>
      </c>
    </row>
    <row r="6">
      <c r="A6" s="21" t="inlineStr">
        <is>
          <t>Competency Evidence</t>
        </is>
      </c>
      <c r="B6" s="21" t="inlineStr">
        <is>
          <t>All</t>
        </is>
      </c>
      <c r="C6" s="21" t="n"/>
      <c r="D6" s="21" t="n"/>
      <c r="E6" s="21" t="inlineStr">
        <is>
          <t>DMIC-ALL-CPE-003</t>
        </is>
      </c>
      <c r="F6" s="21" t="inlineStr">
        <is>
          <t>D. Petrov</t>
        </is>
      </c>
      <c r="G6" s="21" t="inlineStr">
        <is>
          <t>R. Bellamy</t>
        </is>
      </c>
      <c r="H6" s="21" t="inlineStr">
        <is>
          <t>S4B - Comments</t>
        </is>
      </c>
      <c r="I6" s="22" t="n">
        <v>46001</v>
      </c>
      <c r="J6" s="22" t="n"/>
      <c r="K6" s="23">
        <f>IF($A6="","",IF($J6&lt;&gt;"",$J6,$S6))</f>
        <v/>
      </c>
      <c r="L6" s="24">
        <f>IF(OR($A6="",$E6=""),"",IF($J6&lt;&gt;"","Manual",IF($S6="","-","Auto")))</f>
        <v/>
      </c>
      <c r="M6" s="22" t="n"/>
      <c r="N6" s="25">
        <f>IF($T6=0,"",IF($U6=1,IF($M6="","",$M6-$K6),IF($K6="","",TODAY()-$K6)))</f>
        <v/>
      </c>
      <c r="O6" s="24">
        <f>IF(OR($A6="",$E6=""),"",IF($V6=1,S_INACT,IF(ISNA(MATCH($A6,TYP_TYPE,0)),S_TYPEKO,IF($U6=1,S_DONE,IF(AND($K6="",$R6=""),S_NOSCOPE,IF($K6="",S_NOTARGET,IF($N6&gt;0,S_LATE,IF($I6&lt;&gt;"",S_WIP,IF(-$N6&lt;=FEN_DOC,S_RISK,IF(-$N6&lt;=HORIZON,S_COMING,S_NOTYET))))))))))</f>
        <v/>
      </c>
      <c r="P6" s="24">
        <f>IF(OR($A6="",$E6=""),"",IF($V6=1,"",IF(ISNA(MATCH($A6,TYP_TYPE,0)),"Type not in the library",IF($B6="","Scope not set",IF(AND($B6="System",$C6=""),"System not set",IF(AND($B6="Equipment",$D6=""),"Equipment not set",IF($F6="","Responsible not set",IF($K6="","No target date",IF(AND($B6="Equipment",$C6&lt;&gt;"",IFERROR(INDEX(EQP_SYS,MATCH($D6,EQP_NOM,0)),"")&lt;&gt;$C6),"Equipment not in that system",IF(AND($U6=1,$M6=""),"Approved with no approval date",""))))))))))</f>
        <v/>
      </c>
      <c r="Q6" s="21" t="n"/>
      <c r="R6" s="23">
        <f>IF(OR($A6="",$B6=""),"",IF($B6="Equipment",IFERROR(INDEX(EQP_START,MATCH($D6,EQP_NOM,0)),""),IF($B6="System",IFERROR(INDEX(SYS_EARLIEST,MATCH($C6,SYS_ID,0)),""),IF($B6="All",CTR_EARLIEST,""))))</f>
        <v/>
      </c>
      <c r="S6" s="23">
        <f>IF(OR($A6="",$E6=""),"",IFERROR(IF(INDEX(TYP_ANCHOR,MATCH($A6,TYP_TYPE,0))="Commissioning Start",IF($R6="","",$R6-INDEX(TYP_LEAD,MATCH($A6,TYP_TYPE,0))),IF(INDEX(MS_PLAN,MATCH(INDEX(TYP_ANCHOR,MATCH($A6,TYP_TYPE,0)),MS_NOM,0))="","",INDEX(MS_PLAN,MATCH(INDEX(TYP_ANCHOR,MATCH($A6,TYP_TYPE,0)),MS_NOM,0))-INDEX(TYP_LEAD,MATCH($A6,TYP_TYPE,0)))),""))</f>
        <v/>
      </c>
      <c r="T6" s="26">
        <f>IF(OR($A6="",$E6=""),0,IF($V6=1,0,1))</f>
        <v/>
      </c>
      <c r="U6" s="26">
        <f>IF($T6=0,0,IF($M6&lt;&gt;"",1,IF(IFERROR(INDEX(WF_CLASS,MATCH($H6,WF_CODE,0)),"")="Done",1,0)))</f>
        <v/>
      </c>
      <c r="V6" s="26">
        <f>IF(OR($A6="",$E6=""),0,IF(IFERROR(INDEX(WF_CLASS,MATCH($H6,WF_CODE,0)),"")="Inactive",1,0))</f>
        <v/>
      </c>
      <c r="W6" s="24">
        <f>IF($A6="","",IFERROR(INDEX(TYP_PHASE,MATCH($A6,TYP_TYPE,0)),"-"))</f>
        <v/>
      </c>
      <c r="X6" s="24">
        <f>IF(AND($T6=1,$U6=0,N($N6)&gt;0),$N6+ROW()/1000000,"")</f>
        <v/>
      </c>
      <c r="Y6" s="24">
        <f>IF(AND($T6=1,$U6=0,OR($I6&lt;&gt;"",N($N6)&gt;0)),N($N6)+ROW()/1000000,"")</f>
        <v/>
      </c>
      <c r="Z6" s="24">
        <f>IF(AND($T6=1,$U6=0,$I6="",N($N6)&lt;=0,-N($N6)&lt;=HORIZON),N($N6)+ROW()/1000000,"")</f>
        <v/>
      </c>
    </row>
    <row r="7">
      <c r="A7" s="21" t="inlineStr">
        <is>
          <t>Surveillance Programme</t>
        </is>
      </c>
      <c r="B7" s="21" t="inlineStr">
        <is>
          <t>System</t>
        </is>
      </c>
      <c r="C7" s="21" t="inlineStr">
        <is>
          <t>SYS-TP</t>
        </is>
      </c>
      <c r="D7" s="21" t="n"/>
      <c r="E7" s="21" t="inlineStr">
        <is>
          <t>DMIC-SYS-TP-SVP-004</t>
        </is>
      </c>
      <c r="F7" s="21" t="inlineStr">
        <is>
          <t>J. Whitfield</t>
        </is>
      </c>
      <c r="G7" s="21" t="inlineStr">
        <is>
          <t>N. Bergstrom</t>
        </is>
      </c>
      <c r="H7" s="21" t="inlineStr">
        <is>
          <t>P1 - For Implementation</t>
        </is>
      </c>
      <c r="I7" s="22" t="n"/>
      <c r="J7" s="22" t="n"/>
      <c r="K7" s="23">
        <f>IF($A7="","",IF($J7&lt;&gt;"",$J7,$S7))</f>
        <v/>
      </c>
      <c r="L7" s="24">
        <f>IF(OR($A7="",$E7=""),"",IF($J7&lt;&gt;"","Manual",IF($S7="","-","Auto")))</f>
        <v/>
      </c>
      <c r="M7" s="22" t="n">
        <v>46048</v>
      </c>
      <c r="N7" s="25">
        <f>IF($T7=0,"",IF($U7=1,IF($M7="","",$M7-$K7),IF($K7="","",TODAY()-$K7)))</f>
        <v/>
      </c>
      <c r="O7" s="24">
        <f>IF(OR($A7="",$E7=""),"",IF($V7=1,S_INACT,IF(ISNA(MATCH($A7,TYP_TYPE,0)),S_TYPEKO,IF($U7=1,S_DONE,IF(AND($K7="",$R7=""),S_NOSCOPE,IF($K7="",S_NOTARGET,IF($N7&gt;0,S_LATE,IF($I7&lt;&gt;"",S_WIP,IF(-$N7&lt;=FEN_DOC,S_RISK,IF(-$N7&lt;=HORIZON,S_COMING,S_NOTYET))))))))))</f>
        <v/>
      </c>
      <c r="P7" s="24">
        <f>IF(OR($A7="",$E7=""),"",IF($V7=1,"",IF(ISNA(MATCH($A7,TYP_TYPE,0)),"Type not in the library",IF($B7="","Scope not set",IF(AND($B7="System",$C7=""),"System not set",IF(AND($B7="Equipment",$D7=""),"Equipment not set",IF($F7="","Responsible not set",IF($K7="","No target date",IF(AND($B7="Equipment",$C7&lt;&gt;"",IFERROR(INDEX(EQP_SYS,MATCH($D7,EQP_NOM,0)),"")&lt;&gt;$C7),"Equipment not in that system",IF(AND($U7=1,$M7=""),"Approved with no approval date",""))))))))))</f>
        <v/>
      </c>
      <c r="Q7" s="21" t="n"/>
      <c r="R7" s="23">
        <f>IF(OR($A7="",$B7=""),"",IF($B7="Equipment",IFERROR(INDEX(EQP_START,MATCH($D7,EQP_NOM,0)),""),IF($B7="System",IFERROR(INDEX(SYS_EARLIEST,MATCH($C7,SYS_ID,0)),""),IF($B7="All",CTR_EARLIEST,""))))</f>
        <v/>
      </c>
      <c r="S7" s="23">
        <f>IF(OR($A7="",$E7=""),"",IFERROR(IF(INDEX(TYP_ANCHOR,MATCH($A7,TYP_TYPE,0))="Commissioning Start",IF($R7="","",$R7-INDEX(TYP_LEAD,MATCH($A7,TYP_TYPE,0))),IF(INDEX(MS_PLAN,MATCH(INDEX(TYP_ANCHOR,MATCH($A7,TYP_TYPE,0)),MS_NOM,0))="","",INDEX(MS_PLAN,MATCH(INDEX(TYP_ANCHOR,MATCH($A7,TYP_TYPE,0)),MS_NOM,0))-INDEX(TYP_LEAD,MATCH($A7,TYP_TYPE,0)))),""))</f>
        <v/>
      </c>
      <c r="T7" s="26">
        <f>IF(OR($A7="",$E7=""),0,IF($V7=1,0,1))</f>
        <v/>
      </c>
      <c r="U7" s="26">
        <f>IF($T7=0,0,IF($M7&lt;&gt;"",1,IF(IFERROR(INDEX(WF_CLASS,MATCH($H7,WF_CODE,0)),"")="Done",1,0)))</f>
        <v/>
      </c>
      <c r="V7" s="26">
        <f>IF(OR($A7="",$E7=""),0,IF(IFERROR(INDEX(WF_CLASS,MATCH($H7,WF_CODE,0)),"")="Inactive",1,0))</f>
        <v/>
      </c>
      <c r="W7" s="24">
        <f>IF($A7="","",IFERROR(INDEX(TYP_PHASE,MATCH($A7,TYP_TYPE,0)),"-"))</f>
        <v/>
      </c>
      <c r="X7" s="24">
        <f>IF(AND($T7=1,$U7=0,N($N7)&gt;0),$N7+ROW()/1000000,"")</f>
        <v/>
      </c>
      <c r="Y7" s="24">
        <f>IF(AND($T7=1,$U7=0,OR($I7&lt;&gt;"",N($N7)&gt;0)),N($N7)+ROW()/1000000,"")</f>
        <v/>
      </c>
      <c r="Z7" s="24">
        <f>IF(AND($T7=1,$U7=0,$I7="",N($N7)&lt;=0,-N($N7)&lt;=HORIZON),N($N7)+ROW()/1000000,"")</f>
        <v/>
      </c>
    </row>
    <row r="8">
      <c r="A8" s="21" t="inlineStr">
        <is>
          <t>Safe System Of Work</t>
        </is>
      </c>
      <c r="B8" s="21" t="inlineStr">
        <is>
          <t>System</t>
        </is>
      </c>
      <c r="C8" s="21" t="inlineStr">
        <is>
          <t>SYS-TP</t>
        </is>
      </c>
      <c r="D8" s="21" t="n"/>
      <c r="E8" s="21" t="inlineStr">
        <is>
          <t>DMIC-SYS-TP-SSW-005</t>
        </is>
      </c>
      <c r="F8" s="21" t="inlineStr">
        <is>
          <t>P. Nakamura</t>
        </is>
      </c>
      <c r="G8" s="21" t="inlineStr">
        <is>
          <t>M. Haddad</t>
        </is>
      </c>
      <c r="H8" s="21" t="inlineStr">
        <is>
          <t>P6 - For Construction</t>
        </is>
      </c>
      <c r="I8" s="22" t="n"/>
      <c r="J8" s="22" t="n">
        <v>46280</v>
      </c>
      <c r="K8" s="23">
        <f>IF($A8="","",IF($J8&lt;&gt;"",$J8,$S8))</f>
        <v/>
      </c>
      <c r="L8" s="24">
        <f>IF(OR($A8="",$E8=""),"",IF($J8&lt;&gt;"","Manual",IF($S8="","-","Auto")))</f>
        <v/>
      </c>
      <c r="M8" s="22" t="n">
        <v>46139</v>
      </c>
      <c r="N8" s="25">
        <f>IF($T8=0,"",IF($U8=1,IF($M8="","",$M8-$K8),IF($K8="","",TODAY()-$K8)))</f>
        <v/>
      </c>
      <c r="O8" s="24">
        <f>IF(OR($A8="",$E8=""),"",IF($V8=1,S_INACT,IF(ISNA(MATCH($A8,TYP_TYPE,0)),S_TYPEKO,IF($U8=1,S_DONE,IF(AND($K8="",$R8=""),S_NOSCOPE,IF($K8="",S_NOTARGET,IF($N8&gt;0,S_LATE,IF($I8&lt;&gt;"",S_WIP,IF(-$N8&lt;=FEN_DOC,S_RISK,IF(-$N8&lt;=HORIZON,S_COMING,S_NOTYET))))))))))</f>
        <v/>
      </c>
      <c r="P8" s="24">
        <f>IF(OR($A8="",$E8=""),"",IF($V8=1,"",IF(ISNA(MATCH($A8,TYP_TYPE,0)),"Type not in the library",IF($B8="","Scope not set",IF(AND($B8="System",$C8=""),"System not set",IF(AND($B8="Equipment",$D8=""),"Equipment not set",IF($F8="","Responsible not set",IF($K8="","No target date",IF(AND($B8="Equipment",$C8&lt;&gt;"",IFERROR(INDEX(EQP_SYS,MATCH($D8,EQP_NOM,0)),"")&lt;&gt;$C8),"Equipment not in that system",IF(AND($U8=1,$M8=""),"Approved with no approval date",""))))))))))</f>
        <v/>
      </c>
      <c r="Q8" s="21" t="inlineStr">
        <is>
          <t>Target moved by agreement - waiting on the SYS-SG interface package.</t>
        </is>
      </c>
      <c r="R8" s="23">
        <f>IF(OR($A8="",$B8=""),"",IF($B8="Equipment",IFERROR(INDEX(EQP_START,MATCH($D8,EQP_NOM,0)),""),IF($B8="System",IFERROR(INDEX(SYS_EARLIEST,MATCH($C8,SYS_ID,0)),""),IF($B8="All",CTR_EARLIEST,""))))</f>
        <v/>
      </c>
      <c r="S8" s="23">
        <f>IF(OR($A8="",$E8=""),"",IFERROR(IF(INDEX(TYP_ANCHOR,MATCH($A8,TYP_TYPE,0))="Commissioning Start",IF($R8="","",$R8-INDEX(TYP_LEAD,MATCH($A8,TYP_TYPE,0))),IF(INDEX(MS_PLAN,MATCH(INDEX(TYP_ANCHOR,MATCH($A8,TYP_TYPE,0)),MS_NOM,0))="","",INDEX(MS_PLAN,MATCH(INDEX(TYP_ANCHOR,MATCH($A8,TYP_TYPE,0)),MS_NOM,0))-INDEX(TYP_LEAD,MATCH($A8,TYP_TYPE,0)))),""))</f>
        <v/>
      </c>
      <c r="T8" s="26">
        <f>IF(OR($A8="",$E8=""),0,IF($V8=1,0,1))</f>
        <v/>
      </c>
      <c r="U8" s="26">
        <f>IF($T8=0,0,IF($M8&lt;&gt;"",1,IF(IFERROR(INDEX(WF_CLASS,MATCH($H8,WF_CODE,0)),"")="Done",1,0)))</f>
        <v/>
      </c>
      <c r="V8" s="26">
        <f>IF(OR($A8="",$E8=""),0,IF(IFERROR(INDEX(WF_CLASS,MATCH($H8,WF_CODE,0)),"")="Inactive",1,0))</f>
        <v/>
      </c>
      <c r="W8" s="24">
        <f>IF($A8="","",IFERROR(INDEX(TYP_PHASE,MATCH($A8,TYP_TYPE,0)),"-"))</f>
        <v/>
      </c>
      <c r="X8" s="24">
        <f>IF(AND($T8=1,$U8=0,N($N8)&gt;0),$N8+ROW()/1000000,"")</f>
        <v/>
      </c>
      <c r="Y8" s="24">
        <f>IF(AND($T8=1,$U8=0,OR($I8&lt;&gt;"",N($N8)&gt;0)),N($N8)+ROW()/1000000,"")</f>
        <v/>
      </c>
      <c r="Z8" s="24">
        <f>IF(AND($T8=1,$U8=0,$I8="",N($N8)&lt;=0,-N($N8)&lt;=HORIZON),N($N8)+ROW()/1000000,"")</f>
        <v/>
      </c>
    </row>
    <row r="9">
      <c r="A9" s="21" t="inlineStr">
        <is>
          <t>Risk Assessment And Method Statement</t>
        </is>
      </c>
      <c r="B9" s="21" t="inlineStr">
        <is>
          <t>System</t>
        </is>
      </c>
      <c r="C9" s="21" t="inlineStr">
        <is>
          <t>SYS-TP</t>
        </is>
      </c>
      <c r="D9" s="21" t="n"/>
      <c r="E9" s="21" t="inlineStr">
        <is>
          <t>DMIC-SYS-TP-RAM-006</t>
        </is>
      </c>
      <c r="F9" s="21" t="inlineStr">
        <is>
          <t>K. Rasmussen</t>
        </is>
      </c>
      <c r="G9" s="21" t="inlineStr">
        <is>
          <t>C. Vasquez</t>
        </is>
      </c>
      <c r="H9" s="21" t="inlineStr">
        <is>
          <t>S4A - Approved</t>
        </is>
      </c>
      <c r="I9" s="22" t="n"/>
      <c r="J9" s="22" t="n"/>
      <c r="K9" s="23">
        <f>IF($A9="","",IF($J9&lt;&gt;"",$J9,$S9))</f>
        <v/>
      </c>
      <c r="L9" s="24">
        <f>IF(OR($A9="",$E9=""),"",IF($J9&lt;&gt;"","Manual",IF($S9="","-","Auto")))</f>
        <v/>
      </c>
      <c r="M9" s="22" t="n">
        <v>46140</v>
      </c>
      <c r="N9" s="25">
        <f>IF($T9=0,"",IF($U9=1,IF($M9="","",$M9-$K9),IF($K9="","",TODAY()-$K9)))</f>
        <v/>
      </c>
      <c r="O9" s="24">
        <f>IF(OR($A9="",$E9=""),"",IF($V9=1,S_INACT,IF(ISNA(MATCH($A9,TYP_TYPE,0)),S_TYPEKO,IF($U9=1,S_DONE,IF(AND($K9="",$R9=""),S_NOSCOPE,IF($K9="",S_NOTARGET,IF($N9&gt;0,S_LATE,IF($I9&lt;&gt;"",S_WIP,IF(-$N9&lt;=FEN_DOC,S_RISK,IF(-$N9&lt;=HORIZON,S_COMING,S_NOTYET))))))))))</f>
        <v/>
      </c>
      <c r="P9" s="24">
        <f>IF(OR($A9="",$E9=""),"",IF($V9=1,"",IF(ISNA(MATCH($A9,TYP_TYPE,0)),"Type not in the library",IF($B9="","Scope not set",IF(AND($B9="System",$C9=""),"System not set",IF(AND($B9="Equipment",$D9=""),"Equipment not set",IF($F9="","Responsible not set",IF($K9="","No target date",IF(AND($B9="Equipment",$C9&lt;&gt;"",IFERROR(INDEX(EQP_SYS,MATCH($D9,EQP_NOM,0)),"")&lt;&gt;$C9),"Equipment not in that system",IF(AND($U9=1,$M9=""),"Approved with no approval date",""))))))))))</f>
        <v/>
      </c>
      <c r="Q9" s="21" t="n"/>
      <c r="R9" s="23">
        <f>IF(OR($A9="",$B9=""),"",IF($B9="Equipment",IFERROR(INDEX(EQP_START,MATCH($D9,EQP_NOM,0)),""),IF($B9="System",IFERROR(INDEX(SYS_EARLIEST,MATCH($C9,SYS_ID,0)),""),IF($B9="All",CTR_EARLIEST,""))))</f>
        <v/>
      </c>
      <c r="S9" s="23">
        <f>IF(OR($A9="",$E9=""),"",IFERROR(IF(INDEX(TYP_ANCHOR,MATCH($A9,TYP_TYPE,0))="Commissioning Start",IF($R9="","",$R9-INDEX(TYP_LEAD,MATCH($A9,TYP_TYPE,0))),IF(INDEX(MS_PLAN,MATCH(INDEX(TYP_ANCHOR,MATCH($A9,TYP_TYPE,0)),MS_NOM,0))="","",INDEX(MS_PLAN,MATCH(INDEX(TYP_ANCHOR,MATCH($A9,TYP_TYPE,0)),MS_NOM,0))-INDEX(TYP_LEAD,MATCH($A9,TYP_TYPE,0)))),""))</f>
        <v/>
      </c>
      <c r="T9" s="26">
        <f>IF(OR($A9="",$E9=""),0,IF($V9=1,0,1))</f>
        <v/>
      </c>
      <c r="U9" s="26">
        <f>IF($T9=0,0,IF($M9&lt;&gt;"",1,IF(IFERROR(INDEX(WF_CLASS,MATCH($H9,WF_CODE,0)),"")="Done",1,0)))</f>
        <v/>
      </c>
      <c r="V9" s="26">
        <f>IF(OR($A9="",$E9=""),0,IF(IFERROR(INDEX(WF_CLASS,MATCH($H9,WF_CODE,0)),"")="Inactive",1,0))</f>
        <v/>
      </c>
      <c r="W9" s="24">
        <f>IF($A9="","",IFERROR(INDEX(TYP_PHASE,MATCH($A9,TYP_TYPE,0)),"-"))</f>
        <v/>
      </c>
      <c r="X9" s="24">
        <f>IF(AND($T9=1,$U9=0,N($N9)&gt;0),$N9+ROW()/1000000,"")</f>
        <v/>
      </c>
      <c r="Y9" s="24">
        <f>IF(AND($T9=1,$U9=0,OR($I9&lt;&gt;"",N($N9)&gt;0)),N($N9)+ROW()/1000000,"")</f>
        <v/>
      </c>
      <c r="Z9" s="24">
        <f>IF(AND($T9=1,$U9=0,$I9="",N($N9)&lt;=0,-N($N9)&lt;=HORIZON),N($N9)+ROW()/1000000,"")</f>
        <v/>
      </c>
    </row>
    <row r="10">
      <c r="A10" s="21" t="inlineStr">
        <is>
          <t>System Commissioning Programme</t>
        </is>
      </c>
      <c r="B10" s="21" t="inlineStr">
        <is>
          <t>System</t>
        </is>
      </c>
      <c r="C10" s="21" t="inlineStr">
        <is>
          <t>SYS-TP</t>
        </is>
      </c>
      <c r="D10" s="21" t="n"/>
      <c r="E10" s="21" t="inlineStr">
        <is>
          <t>DMIC-SYS-TP-SCP-007</t>
        </is>
      </c>
      <c r="F10" s="21" t="inlineStr">
        <is>
          <t>R. Bellamy</t>
        </is>
      </c>
      <c r="G10" s="21" t="inlineStr">
        <is>
          <t>H. Lindqvist</t>
        </is>
      </c>
      <c r="H10" s="21" t="inlineStr">
        <is>
          <t>P1 - For Implementation</t>
        </is>
      </c>
      <c r="I10" s="22" t="n"/>
      <c r="J10" s="22" t="n"/>
      <c r="K10" s="23">
        <f>IF($A10="","",IF($J10&lt;&gt;"",$J10,$S10))</f>
        <v/>
      </c>
      <c r="L10" s="24">
        <f>IF(OR($A10="",$E10=""),"",IF($J10&lt;&gt;"","Manual",IF($S10="","-","Auto")))</f>
        <v/>
      </c>
      <c r="M10" s="22" t="n">
        <v>46141</v>
      </c>
      <c r="N10" s="25">
        <f>IF($T10=0,"",IF($U10=1,IF($M10="","",$M10-$K10),IF($K10="","",TODAY()-$K10)))</f>
        <v/>
      </c>
      <c r="O10" s="24">
        <f>IF(OR($A10="",$E10=""),"",IF($V10=1,S_INACT,IF(ISNA(MATCH($A10,TYP_TYPE,0)),S_TYPEKO,IF($U10=1,S_DONE,IF(AND($K10="",$R10=""),S_NOSCOPE,IF($K10="",S_NOTARGET,IF($N10&gt;0,S_LATE,IF($I10&lt;&gt;"",S_WIP,IF(-$N10&lt;=FEN_DOC,S_RISK,IF(-$N10&lt;=HORIZON,S_COMING,S_NOTYET))))))))))</f>
        <v/>
      </c>
      <c r="P10" s="24">
        <f>IF(OR($A10="",$E10=""),"",IF($V10=1,"",IF(ISNA(MATCH($A10,TYP_TYPE,0)),"Type not in the library",IF($B10="","Scope not set",IF(AND($B10="System",$C10=""),"System not set",IF(AND($B10="Equipment",$D10=""),"Equipment not set",IF($F10="","Responsible not set",IF($K10="","No target date",IF(AND($B10="Equipment",$C10&lt;&gt;"",IFERROR(INDEX(EQP_SYS,MATCH($D10,EQP_NOM,0)),"")&lt;&gt;$C10),"Equipment not in that system",IF(AND($U10=1,$M10=""),"Approved with no approval date",""))))))))))</f>
        <v/>
      </c>
      <c r="Q10" s="21" t="n"/>
      <c r="R10" s="23">
        <f>IF(OR($A10="",$B10=""),"",IF($B10="Equipment",IFERROR(INDEX(EQP_START,MATCH($D10,EQP_NOM,0)),""),IF($B10="System",IFERROR(INDEX(SYS_EARLIEST,MATCH($C10,SYS_ID,0)),""),IF($B10="All",CTR_EARLIEST,""))))</f>
        <v/>
      </c>
      <c r="S10" s="23">
        <f>IF(OR($A10="",$E10=""),"",IFERROR(IF(INDEX(TYP_ANCHOR,MATCH($A10,TYP_TYPE,0))="Commissioning Start",IF($R10="","",$R10-INDEX(TYP_LEAD,MATCH($A10,TYP_TYPE,0))),IF(INDEX(MS_PLAN,MATCH(INDEX(TYP_ANCHOR,MATCH($A10,TYP_TYPE,0)),MS_NOM,0))="","",INDEX(MS_PLAN,MATCH(INDEX(TYP_ANCHOR,MATCH($A10,TYP_TYPE,0)),MS_NOM,0))-INDEX(TYP_LEAD,MATCH($A10,TYP_TYPE,0)))),""))</f>
        <v/>
      </c>
      <c r="T10" s="26">
        <f>IF(OR($A10="",$E10=""),0,IF($V10=1,0,1))</f>
        <v/>
      </c>
      <c r="U10" s="26">
        <f>IF($T10=0,0,IF($M10&lt;&gt;"",1,IF(IFERROR(INDEX(WF_CLASS,MATCH($H10,WF_CODE,0)),"")="Done",1,0)))</f>
        <v/>
      </c>
      <c r="V10" s="26">
        <f>IF(OR($A10="",$E10=""),0,IF(IFERROR(INDEX(WF_CLASS,MATCH($H10,WF_CODE,0)),"")="Inactive",1,0))</f>
        <v/>
      </c>
      <c r="W10" s="24">
        <f>IF($A10="","",IFERROR(INDEX(TYP_PHASE,MATCH($A10,TYP_TYPE,0)),"-"))</f>
        <v/>
      </c>
      <c r="X10" s="24">
        <f>IF(AND($T10=1,$U10=0,N($N10)&gt;0),$N10+ROW()/1000000,"")</f>
        <v/>
      </c>
      <c r="Y10" s="24">
        <f>IF(AND($T10=1,$U10=0,OR($I10&lt;&gt;"",N($N10)&gt;0)),N($N10)+ROW()/1000000,"")</f>
        <v/>
      </c>
      <c r="Z10" s="24">
        <f>IF(AND($T10=1,$U10=0,$I10="",N($N10)&lt;=0,-N($N10)&lt;=HORIZON),N($N10)+ROW()/1000000,"")</f>
        <v/>
      </c>
    </row>
    <row r="11">
      <c r="A11" s="21" t="inlineStr">
        <is>
          <t>Authority To Start Evidence</t>
        </is>
      </c>
      <c r="B11" s="21" t="inlineStr">
        <is>
          <t>System</t>
        </is>
      </c>
      <c r="C11" s="21" t="inlineStr">
        <is>
          <t>SYS-TP</t>
        </is>
      </c>
      <c r="D11" s="21" t="n"/>
      <c r="E11" s="21" t="inlineStr">
        <is>
          <t>DMIC-SYS-TP-ATS-008</t>
        </is>
      </c>
      <c r="F11" s="21" t="inlineStr">
        <is>
          <t>N. Bergstrom</t>
        </is>
      </c>
      <c r="G11" s="21" t="inlineStr">
        <is>
          <t>A. Mercer</t>
        </is>
      </c>
      <c r="H11" s="21" t="inlineStr">
        <is>
          <t>P6 - For Construction</t>
        </is>
      </c>
      <c r="I11" s="22" t="n"/>
      <c r="J11" s="22" t="n"/>
      <c r="K11" s="23">
        <f>IF($A11="","",IF($J11&lt;&gt;"",$J11,$S11))</f>
        <v/>
      </c>
      <c r="L11" s="24">
        <f>IF(OR($A11="",$E11=""),"",IF($J11&lt;&gt;"","Manual",IF($S11="","-","Auto")))</f>
        <v/>
      </c>
      <c r="M11" s="22" t="n">
        <v>46258</v>
      </c>
      <c r="N11" s="25">
        <f>IF($T11=0,"",IF($U11=1,IF($M11="","",$M11-$K11),IF($K11="","",TODAY()-$K11)))</f>
        <v/>
      </c>
      <c r="O11" s="24">
        <f>IF(OR($A11="",$E11=""),"",IF($V11=1,S_INACT,IF(ISNA(MATCH($A11,TYP_TYPE,0)),S_TYPEKO,IF($U11=1,S_DONE,IF(AND($K11="",$R11=""),S_NOSCOPE,IF($K11="",S_NOTARGET,IF($N11&gt;0,S_LATE,IF($I11&lt;&gt;"",S_WIP,IF(-$N11&lt;=FEN_DOC,S_RISK,IF(-$N11&lt;=HORIZON,S_COMING,S_NOTYET))))))))))</f>
        <v/>
      </c>
      <c r="P11" s="24">
        <f>IF(OR($A11="",$E11=""),"",IF($V11=1,"",IF(ISNA(MATCH($A11,TYP_TYPE,0)),"Type not in the library",IF($B11="","Scope not set",IF(AND($B11="System",$C11=""),"System not set",IF(AND($B11="Equipment",$D11=""),"Equipment not set",IF($F11="","Responsible not set",IF($K11="","No target date",IF(AND($B11="Equipment",$C11&lt;&gt;"",IFERROR(INDEX(EQP_SYS,MATCH($D11,EQP_NOM,0)),"")&lt;&gt;$C11),"Equipment not in that system",IF(AND($U11=1,$M11=""),"Approved with no approval date",""))))))))))</f>
        <v/>
      </c>
      <c r="Q11" s="21" t="n"/>
      <c r="R11" s="23">
        <f>IF(OR($A11="",$B11=""),"",IF($B11="Equipment",IFERROR(INDEX(EQP_START,MATCH($D11,EQP_NOM,0)),""),IF($B11="System",IFERROR(INDEX(SYS_EARLIEST,MATCH($C11,SYS_ID,0)),""),IF($B11="All",CTR_EARLIEST,""))))</f>
        <v/>
      </c>
      <c r="S11" s="23">
        <f>IF(OR($A11="",$E11=""),"",IFERROR(IF(INDEX(TYP_ANCHOR,MATCH($A11,TYP_TYPE,0))="Commissioning Start",IF($R11="","",$R11-INDEX(TYP_LEAD,MATCH($A11,TYP_TYPE,0))),IF(INDEX(MS_PLAN,MATCH(INDEX(TYP_ANCHOR,MATCH($A11,TYP_TYPE,0)),MS_NOM,0))="","",INDEX(MS_PLAN,MATCH(INDEX(TYP_ANCHOR,MATCH($A11,TYP_TYPE,0)),MS_NOM,0))-INDEX(TYP_LEAD,MATCH($A11,TYP_TYPE,0)))),""))</f>
        <v/>
      </c>
      <c r="T11" s="26">
        <f>IF(OR($A11="",$E11=""),0,IF($V11=1,0,1))</f>
        <v/>
      </c>
      <c r="U11" s="26">
        <f>IF($T11=0,0,IF($M11&lt;&gt;"",1,IF(IFERROR(INDEX(WF_CLASS,MATCH($H11,WF_CODE,0)),"")="Done",1,0)))</f>
        <v/>
      </c>
      <c r="V11" s="26">
        <f>IF(OR($A11="",$E11=""),0,IF(IFERROR(INDEX(WF_CLASS,MATCH($H11,WF_CODE,0)),"")="Inactive",1,0))</f>
        <v/>
      </c>
      <c r="W11" s="24">
        <f>IF($A11="","",IFERROR(INDEX(TYP_PHASE,MATCH($A11,TYP_TYPE,0)),"-"))</f>
        <v/>
      </c>
      <c r="X11" s="24">
        <f>IF(AND($T11=1,$U11=0,N($N11)&gt;0),$N11+ROW()/1000000,"")</f>
        <v/>
      </c>
      <c r="Y11" s="24">
        <f>IF(AND($T11=1,$U11=0,OR($I11&lt;&gt;"",N($N11)&gt;0)),N($N11)+ROW()/1000000,"")</f>
        <v/>
      </c>
      <c r="Z11" s="24">
        <f>IF(AND($T11=1,$U11=0,$I11="",N($N11)&lt;=0,-N($N11)&lt;=HORIZON),N($N11)+ROW()/1000000,"")</f>
        <v/>
      </c>
    </row>
    <row r="12">
      <c r="A12" s="21" t="inlineStr">
        <is>
          <t>Surveillance Programme</t>
        </is>
      </c>
      <c r="B12" s="21" t="inlineStr">
        <is>
          <t>System</t>
        </is>
      </c>
      <c r="C12" s="21" t="inlineStr">
        <is>
          <t>SYS-SG</t>
        </is>
      </c>
      <c r="D12" s="21" t="n"/>
      <c r="E12" s="21" t="inlineStr">
        <is>
          <t>DMIC-SYS-SG-SVP-009</t>
        </is>
      </c>
      <c r="F12" s="21" t="inlineStr">
        <is>
          <t>M. Haddad</t>
        </is>
      </c>
      <c r="G12" s="21" t="inlineStr">
        <is>
          <t>S. Okonkwo</t>
        </is>
      </c>
      <c r="H12" s="21" t="inlineStr">
        <is>
          <t>S4A - Approved</t>
        </is>
      </c>
      <c r="I12" s="22" t="n"/>
      <c r="J12" s="22" t="n"/>
      <c r="K12" s="23">
        <f>IF($A12="","",IF($J12&lt;&gt;"",$J12,$S12))</f>
        <v/>
      </c>
      <c r="L12" s="24">
        <f>IF(OR($A12="",$E12=""),"",IF($J12&lt;&gt;"","Manual",IF($S12="","-","Auto")))</f>
        <v/>
      </c>
      <c r="M12" s="22" t="n">
        <v>46143</v>
      </c>
      <c r="N12" s="25">
        <f>IF($T12=0,"",IF($U12=1,IF($M12="","",$M12-$K12),IF($K12="","",TODAY()-$K12)))</f>
        <v/>
      </c>
      <c r="O12" s="24">
        <f>IF(OR($A12="",$E12=""),"",IF($V12=1,S_INACT,IF(ISNA(MATCH($A12,TYP_TYPE,0)),S_TYPEKO,IF($U12=1,S_DONE,IF(AND($K12="",$R12=""),S_NOSCOPE,IF($K12="",S_NOTARGET,IF($N12&gt;0,S_LATE,IF($I12&lt;&gt;"",S_WIP,IF(-$N12&lt;=FEN_DOC,S_RISK,IF(-$N12&lt;=HORIZON,S_COMING,S_NOTYET))))))))))</f>
        <v/>
      </c>
      <c r="P12" s="24">
        <f>IF(OR($A12="",$E12=""),"",IF($V12=1,"",IF(ISNA(MATCH($A12,TYP_TYPE,0)),"Type not in the library",IF($B12="","Scope not set",IF(AND($B12="System",$C12=""),"System not set",IF(AND($B12="Equipment",$D12=""),"Equipment not set",IF($F12="","Responsible not set",IF($K12="","No target date",IF(AND($B12="Equipment",$C12&lt;&gt;"",IFERROR(INDEX(EQP_SYS,MATCH($D12,EQP_NOM,0)),"")&lt;&gt;$C12),"Equipment not in that system",IF(AND($U12=1,$M12=""),"Approved with no approval date",""))))))))))</f>
        <v/>
      </c>
      <c r="Q12" s="21" t="n"/>
      <c r="R12" s="23">
        <f>IF(OR($A12="",$B12=""),"",IF($B12="Equipment",IFERROR(INDEX(EQP_START,MATCH($D12,EQP_NOM,0)),""),IF($B12="System",IFERROR(INDEX(SYS_EARLIEST,MATCH($C12,SYS_ID,0)),""),IF($B12="All",CTR_EARLIEST,""))))</f>
        <v/>
      </c>
      <c r="S12" s="23">
        <f>IF(OR($A12="",$E12=""),"",IFERROR(IF(INDEX(TYP_ANCHOR,MATCH($A12,TYP_TYPE,0))="Commissioning Start",IF($R12="","",$R12-INDEX(TYP_LEAD,MATCH($A12,TYP_TYPE,0))),IF(INDEX(MS_PLAN,MATCH(INDEX(TYP_ANCHOR,MATCH($A12,TYP_TYPE,0)),MS_NOM,0))="","",INDEX(MS_PLAN,MATCH(INDEX(TYP_ANCHOR,MATCH($A12,TYP_TYPE,0)),MS_NOM,0))-INDEX(TYP_LEAD,MATCH($A12,TYP_TYPE,0)))),""))</f>
        <v/>
      </c>
      <c r="T12" s="26">
        <f>IF(OR($A12="",$E12=""),0,IF($V12=1,0,1))</f>
        <v/>
      </c>
      <c r="U12" s="26">
        <f>IF($T12=0,0,IF($M12&lt;&gt;"",1,IF(IFERROR(INDEX(WF_CLASS,MATCH($H12,WF_CODE,0)),"")="Done",1,0)))</f>
        <v/>
      </c>
      <c r="V12" s="26">
        <f>IF(OR($A12="",$E12=""),0,IF(IFERROR(INDEX(WF_CLASS,MATCH($H12,WF_CODE,0)),"")="Inactive",1,0))</f>
        <v/>
      </c>
      <c r="W12" s="24">
        <f>IF($A12="","",IFERROR(INDEX(TYP_PHASE,MATCH($A12,TYP_TYPE,0)),"-"))</f>
        <v/>
      </c>
      <c r="X12" s="24">
        <f>IF(AND($T12=1,$U12=0,N($N12)&gt;0),$N12+ROW()/1000000,"")</f>
        <v/>
      </c>
      <c r="Y12" s="24">
        <f>IF(AND($T12=1,$U12=0,OR($I12&lt;&gt;"",N($N12)&gt;0)),N($N12)+ROW()/1000000,"")</f>
        <v/>
      </c>
      <c r="Z12" s="24">
        <f>IF(AND($T12=1,$U12=0,$I12="",N($N12)&lt;=0,-N($N12)&lt;=HORIZON),N($N12)+ROW()/1000000,"")</f>
        <v/>
      </c>
    </row>
    <row r="13">
      <c r="A13" s="21" t="inlineStr">
        <is>
          <t>Safe System Of Work</t>
        </is>
      </c>
      <c r="B13" s="21" t="inlineStr">
        <is>
          <t>System</t>
        </is>
      </c>
      <c r="C13" s="21" t="inlineStr">
        <is>
          <t>SYS-SG</t>
        </is>
      </c>
      <c r="D13" s="21" t="n"/>
      <c r="E13" s="21" t="inlineStr">
        <is>
          <t>DMIC-SYS-SG-SSW-010</t>
        </is>
      </c>
      <c r="F13" s="21" t="inlineStr">
        <is>
          <t>C. Vasquez</t>
        </is>
      </c>
      <c r="G13" s="21" t="inlineStr">
        <is>
          <t>L. Fontaine</t>
        </is>
      </c>
      <c r="H13" s="21" t="inlineStr">
        <is>
          <t>S3 - For Review</t>
        </is>
      </c>
      <c r="I13" s="22" t="n">
        <v>46174</v>
      </c>
      <c r="J13" s="22" t="n"/>
      <c r="K13" s="23">
        <f>IF($A13="","",IF($J13&lt;&gt;"",$J13,$S13))</f>
        <v/>
      </c>
      <c r="L13" s="24">
        <f>IF(OR($A13="",$E13=""),"",IF($J13&lt;&gt;"","Manual",IF($S13="","-","Auto")))</f>
        <v/>
      </c>
      <c r="M13" s="22" t="n"/>
      <c r="N13" s="25">
        <f>IF($T13=0,"",IF($U13=1,IF($M13="","",$M13-$K13),IF($K13="","",TODAY()-$K13)))</f>
        <v/>
      </c>
      <c r="O13" s="24">
        <f>IF(OR($A13="",$E13=""),"",IF($V13=1,S_INACT,IF(ISNA(MATCH($A13,TYP_TYPE,0)),S_TYPEKO,IF($U13=1,S_DONE,IF(AND($K13="",$R13=""),S_NOSCOPE,IF($K13="",S_NOTARGET,IF($N13&gt;0,S_LATE,IF($I13&lt;&gt;"",S_WIP,IF(-$N13&lt;=FEN_DOC,S_RISK,IF(-$N13&lt;=HORIZON,S_COMING,S_NOTYET))))))))))</f>
        <v/>
      </c>
      <c r="P13" s="24">
        <f>IF(OR($A13="",$E13=""),"",IF($V13=1,"",IF(ISNA(MATCH($A13,TYP_TYPE,0)),"Type not in the library",IF($B13="","Scope not set",IF(AND($B13="System",$C13=""),"System not set",IF(AND($B13="Equipment",$D13=""),"Equipment not set",IF($F13="","Responsible not set",IF($K13="","No target date",IF(AND($B13="Equipment",$C13&lt;&gt;"",IFERROR(INDEX(EQP_SYS,MATCH($D13,EQP_NOM,0)),"")&lt;&gt;$C13),"Equipment not in that system",IF(AND($U13=1,$M13=""),"Approved with no approval date",""))))))))))</f>
        <v/>
      </c>
      <c r="Q13" s="21" t="n"/>
      <c r="R13" s="23">
        <f>IF(OR($A13="",$B13=""),"",IF($B13="Equipment",IFERROR(INDEX(EQP_START,MATCH($D13,EQP_NOM,0)),""),IF($B13="System",IFERROR(INDEX(SYS_EARLIEST,MATCH($C13,SYS_ID,0)),""),IF($B13="All",CTR_EARLIEST,""))))</f>
        <v/>
      </c>
      <c r="S13" s="23">
        <f>IF(OR($A13="",$E13=""),"",IFERROR(IF(INDEX(TYP_ANCHOR,MATCH($A13,TYP_TYPE,0))="Commissioning Start",IF($R13="","",$R13-INDEX(TYP_LEAD,MATCH($A13,TYP_TYPE,0))),IF(INDEX(MS_PLAN,MATCH(INDEX(TYP_ANCHOR,MATCH($A13,TYP_TYPE,0)),MS_NOM,0))="","",INDEX(MS_PLAN,MATCH(INDEX(TYP_ANCHOR,MATCH($A13,TYP_TYPE,0)),MS_NOM,0))-INDEX(TYP_LEAD,MATCH($A13,TYP_TYPE,0)))),""))</f>
        <v/>
      </c>
      <c r="T13" s="26">
        <f>IF(OR($A13="",$E13=""),0,IF($V13=1,0,1))</f>
        <v/>
      </c>
      <c r="U13" s="26">
        <f>IF($T13=0,0,IF($M13&lt;&gt;"",1,IF(IFERROR(INDEX(WF_CLASS,MATCH($H13,WF_CODE,0)),"")="Done",1,0)))</f>
        <v/>
      </c>
      <c r="V13" s="26">
        <f>IF(OR($A13="",$E13=""),0,IF(IFERROR(INDEX(WF_CLASS,MATCH($H13,WF_CODE,0)),"")="Inactive",1,0))</f>
        <v/>
      </c>
      <c r="W13" s="24">
        <f>IF($A13="","",IFERROR(INDEX(TYP_PHASE,MATCH($A13,TYP_TYPE,0)),"-"))</f>
        <v/>
      </c>
      <c r="X13" s="24">
        <f>IF(AND($T13=1,$U13=0,N($N13)&gt;0),$N13+ROW()/1000000,"")</f>
        <v/>
      </c>
      <c r="Y13" s="24">
        <f>IF(AND($T13=1,$U13=0,OR($I13&lt;&gt;"",N($N13)&gt;0)),N($N13)+ROW()/1000000,"")</f>
        <v/>
      </c>
      <c r="Z13" s="24">
        <f>IF(AND($T13=1,$U13=0,$I13="",N($N13)&lt;=0,-N($N13)&lt;=HORIZON),N($N13)+ROW()/1000000,"")</f>
        <v/>
      </c>
    </row>
    <row r="14">
      <c r="A14" s="21" t="inlineStr">
        <is>
          <t>Risk Assessment And Method Statement</t>
        </is>
      </c>
      <c r="B14" s="21" t="inlineStr">
        <is>
          <t>System</t>
        </is>
      </c>
      <c r="C14" s="21" t="inlineStr">
        <is>
          <t>SYS-SG</t>
        </is>
      </c>
      <c r="D14" s="21" t="n"/>
      <c r="E14" s="21" t="inlineStr">
        <is>
          <t>DMIC-SYS-SG-RAM-011</t>
        </is>
      </c>
      <c r="F14" s="21" t="inlineStr">
        <is>
          <t>H. Lindqvist</t>
        </is>
      </c>
      <c r="G14" s="21" t="inlineStr">
        <is>
          <t>D. Petrov</t>
        </is>
      </c>
      <c r="H14" s="21" t="inlineStr">
        <is>
          <t>P6 - For Construction</t>
        </is>
      </c>
      <c r="I14" s="22" t="n"/>
      <c r="J14" s="22" t="n"/>
      <c r="K14" s="23">
        <f>IF($A14="","",IF($J14&lt;&gt;"",$J14,$S14))</f>
        <v/>
      </c>
      <c r="L14" s="24">
        <f>IF(OR($A14="",$E14=""),"",IF($J14&lt;&gt;"","Manual",IF($S14="","-","Auto")))</f>
        <v/>
      </c>
      <c r="M14" s="22" t="n">
        <v>46224</v>
      </c>
      <c r="N14" s="25">
        <f>IF($T14=0,"",IF($U14=1,IF($M14="","",$M14-$K14),IF($K14="","",TODAY()-$K14)))</f>
        <v/>
      </c>
      <c r="O14" s="24">
        <f>IF(OR($A14="",$E14=""),"",IF($V14=1,S_INACT,IF(ISNA(MATCH($A14,TYP_TYPE,0)),S_TYPEKO,IF($U14=1,S_DONE,IF(AND($K14="",$R14=""),S_NOSCOPE,IF($K14="",S_NOTARGET,IF($N14&gt;0,S_LATE,IF($I14&lt;&gt;"",S_WIP,IF(-$N14&lt;=FEN_DOC,S_RISK,IF(-$N14&lt;=HORIZON,S_COMING,S_NOTYET))))))))))</f>
        <v/>
      </c>
      <c r="P14" s="24">
        <f>IF(OR($A14="",$E14=""),"",IF($V14=1,"",IF(ISNA(MATCH($A14,TYP_TYPE,0)),"Type not in the library",IF($B14="","Scope not set",IF(AND($B14="System",$C14=""),"System not set",IF(AND($B14="Equipment",$D14=""),"Equipment not set",IF($F14="","Responsible not set",IF($K14="","No target date",IF(AND($B14="Equipment",$C14&lt;&gt;"",IFERROR(INDEX(EQP_SYS,MATCH($D14,EQP_NOM,0)),"")&lt;&gt;$C14),"Equipment not in that system",IF(AND($U14=1,$M14=""),"Approved with no approval date",""))))))))))</f>
        <v/>
      </c>
      <c r="Q14" s="21" t="n"/>
      <c r="R14" s="23">
        <f>IF(OR($A14="",$B14=""),"",IF($B14="Equipment",IFERROR(INDEX(EQP_START,MATCH($D14,EQP_NOM,0)),""),IF($B14="System",IFERROR(INDEX(SYS_EARLIEST,MATCH($C14,SYS_ID,0)),""),IF($B14="All",CTR_EARLIEST,""))))</f>
        <v/>
      </c>
      <c r="S14" s="23">
        <f>IF(OR($A14="",$E14=""),"",IFERROR(IF(INDEX(TYP_ANCHOR,MATCH($A14,TYP_TYPE,0))="Commissioning Start",IF($R14="","",$R14-INDEX(TYP_LEAD,MATCH($A14,TYP_TYPE,0))),IF(INDEX(MS_PLAN,MATCH(INDEX(TYP_ANCHOR,MATCH($A14,TYP_TYPE,0)),MS_NOM,0))="","",INDEX(MS_PLAN,MATCH(INDEX(TYP_ANCHOR,MATCH($A14,TYP_TYPE,0)),MS_NOM,0))-INDEX(TYP_LEAD,MATCH($A14,TYP_TYPE,0)))),""))</f>
        <v/>
      </c>
      <c r="T14" s="26">
        <f>IF(OR($A14="",$E14=""),0,IF($V14=1,0,1))</f>
        <v/>
      </c>
      <c r="U14" s="26">
        <f>IF($T14=0,0,IF($M14&lt;&gt;"",1,IF(IFERROR(INDEX(WF_CLASS,MATCH($H14,WF_CODE,0)),"")="Done",1,0)))</f>
        <v/>
      </c>
      <c r="V14" s="26">
        <f>IF(OR($A14="",$E14=""),0,IF(IFERROR(INDEX(WF_CLASS,MATCH($H14,WF_CODE,0)),"")="Inactive",1,0))</f>
        <v/>
      </c>
      <c r="W14" s="24">
        <f>IF($A14="","",IFERROR(INDEX(TYP_PHASE,MATCH($A14,TYP_TYPE,0)),"-"))</f>
        <v/>
      </c>
      <c r="X14" s="24">
        <f>IF(AND($T14=1,$U14=0,N($N14)&gt;0),$N14+ROW()/1000000,"")</f>
        <v/>
      </c>
      <c r="Y14" s="24">
        <f>IF(AND($T14=1,$U14=0,OR($I14&lt;&gt;"",N($N14)&gt;0)),N($N14)+ROW()/1000000,"")</f>
        <v/>
      </c>
      <c r="Z14" s="24">
        <f>IF(AND($T14=1,$U14=0,$I14="",N($N14)&lt;=0,-N($N14)&lt;=HORIZON),N($N14)+ROW()/1000000,"")</f>
        <v/>
      </c>
    </row>
    <row r="15">
      <c r="A15" s="21" t="inlineStr">
        <is>
          <t>System Commissioning Programme</t>
        </is>
      </c>
      <c r="B15" s="21" t="inlineStr">
        <is>
          <t>System</t>
        </is>
      </c>
      <c r="C15" s="21" t="inlineStr">
        <is>
          <t>SYS-SG</t>
        </is>
      </c>
      <c r="D15" s="21" t="n"/>
      <c r="E15" s="21" t="inlineStr">
        <is>
          <t>DMIC-SYS-SG-SCP-012</t>
        </is>
      </c>
      <c r="F15" s="21" t="inlineStr">
        <is>
          <t>A. Mercer</t>
        </is>
      </c>
      <c r="G15" s="21" t="inlineStr">
        <is>
          <t>J. Whitfield</t>
        </is>
      </c>
      <c r="H15" s="21" t="inlineStr">
        <is>
          <t>S4A - Approved</t>
        </is>
      </c>
      <c r="I15" s="22" t="n"/>
      <c r="J15" s="22" t="n"/>
      <c r="K15" s="23">
        <f>IF($A15="","",IF($J15&lt;&gt;"",$J15,$S15))</f>
        <v/>
      </c>
      <c r="L15" s="24">
        <f>IF(OR($A15="",$E15=""),"",IF($J15&lt;&gt;"","Manual",IF($S15="","-","Auto")))</f>
        <v/>
      </c>
      <c r="M15" s="22" t="n">
        <v>46225</v>
      </c>
      <c r="N15" s="25">
        <f>IF($T15=0,"",IF($U15=1,IF($M15="","",$M15-$K15),IF($K15="","",TODAY()-$K15)))</f>
        <v/>
      </c>
      <c r="O15" s="24">
        <f>IF(OR($A15="",$E15=""),"",IF($V15=1,S_INACT,IF(ISNA(MATCH($A15,TYP_TYPE,0)),S_TYPEKO,IF($U15=1,S_DONE,IF(AND($K15="",$R15=""),S_NOSCOPE,IF($K15="",S_NOTARGET,IF($N15&gt;0,S_LATE,IF($I15&lt;&gt;"",S_WIP,IF(-$N15&lt;=FEN_DOC,S_RISK,IF(-$N15&lt;=HORIZON,S_COMING,S_NOTYET))))))))))</f>
        <v/>
      </c>
      <c r="P15" s="24">
        <f>IF(OR($A15="",$E15=""),"",IF($V15=1,"",IF(ISNA(MATCH($A15,TYP_TYPE,0)),"Type not in the library",IF($B15="","Scope not set",IF(AND($B15="System",$C15=""),"System not set",IF(AND($B15="Equipment",$D15=""),"Equipment not set",IF($F15="","Responsible not set",IF($K15="","No target date",IF(AND($B15="Equipment",$C15&lt;&gt;"",IFERROR(INDEX(EQP_SYS,MATCH($D15,EQP_NOM,0)),"")&lt;&gt;$C15),"Equipment not in that system",IF(AND($U15=1,$M15=""),"Approved with no approval date",""))))))))))</f>
        <v/>
      </c>
      <c r="Q15" s="21" t="n"/>
      <c r="R15" s="23">
        <f>IF(OR($A15="",$B15=""),"",IF($B15="Equipment",IFERROR(INDEX(EQP_START,MATCH($D15,EQP_NOM,0)),""),IF($B15="System",IFERROR(INDEX(SYS_EARLIEST,MATCH($C15,SYS_ID,0)),""),IF($B15="All",CTR_EARLIEST,""))))</f>
        <v/>
      </c>
      <c r="S15" s="23">
        <f>IF(OR($A15="",$E15=""),"",IFERROR(IF(INDEX(TYP_ANCHOR,MATCH($A15,TYP_TYPE,0))="Commissioning Start",IF($R15="","",$R15-INDEX(TYP_LEAD,MATCH($A15,TYP_TYPE,0))),IF(INDEX(MS_PLAN,MATCH(INDEX(TYP_ANCHOR,MATCH($A15,TYP_TYPE,0)),MS_NOM,0))="","",INDEX(MS_PLAN,MATCH(INDEX(TYP_ANCHOR,MATCH($A15,TYP_TYPE,0)),MS_NOM,0))-INDEX(TYP_LEAD,MATCH($A15,TYP_TYPE,0)))),""))</f>
        <v/>
      </c>
      <c r="T15" s="26">
        <f>IF(OR($A15="",$E15=""),0,IF($V15=1,0,1))</f>
        <v/>
      </c>
      <c r="U15" s="26">
        <f>IF($T15=0,0,IF($M15&lt;&gt;"",1,IF(IFERROR(INDEX(WF_CLASS,MATCH($H15,WF_CODE,0)),"")="Done",1,0)))</f>
        <v/>
      </c>
      <c r="V15" s="26">
        <f>IF(OR($A15="",$E15=""),0,IF(IFERROR(INDEX(WF_CLASS,MATCH($H15,WF_CODE,0)),"")="Inactive",1,0))</f>
        <v/>
      </c>
      <c r="W15" s="24">
        <f>IF($A15="","",IFERROR(INDEX(TYP_PHASE,MATCH($A15,TYP_TYPE,0)),"-"))</f>
        <v/>
      </c>
      <c r="X15" s="24">
        <f>IF(AND($T15=1,$U15=0,N($N15)&gt;0),$N15+ROW()/1000000,"")</f>
        <v/>
      </c>
      <c r="Y15" s="24">
        <f>IF(AND($T15=1,$U15=0,OR($I15&lt;&gt;"",N($N15)&gt;0)),N($N15)+ROW()/1000000,"")</f>
        <v/>
      </c>
      <c r="Z15" s="24">
        <f>IF(AND($T15=1,$U15=0,$I15="",N($N15)&lt;=0,-N($N15)&lt;=HORIZON),N($N15)+ROW()/1000000,"")</f>
        <v/>
      </c>
    </row>
    <row r="16">
      <c r="A16" s="21" t="inlineStr">
        <is>
          <t>Authority To Start Evidence</t>
        </is>
      </c>
      <c r="B16" s="21" t="inlineStr">
        <is>
          <t>System</t>
        </is>
      </c>
      <c r="C16" s="21" t="inlineStr">
        <is>
          <t>SYS-SG</t>
        </is>
      </c>
      <c r="D16" s="21" t="n"/>
      <c r="E16" s="21" t="inlineStr">
        <is>
          <t>DMIC-SYS-SG-ATS-013</t>
        </is>
      </c>
      <c r="F16" s="21" t="inlineStr">
        <is>
          <t>S. Okonkwo</t>
        </is>
      </c>
      <c r="G16" s="21" t="inlineStr">
        <is>
          <t>P. Nakamura</t>
        </is>
      </c>
      <c r="H16" s="21" t="inlineStr">
        <is>
          <t>P1 - For Implementation</t>
        </is>
      </c>
      <c r="I16" s="22" t="n"/>
      <c r="J16" s="22" t="n"/>
      <c r="K16" s="23">
        <f>IF($A16="","",IF($J16&lt;&gt;"",$J16,$S16))</f>
        <v/>
      </c>
      <c r="L16" s="24">
        <f>IF(OR($A16="",$E16=""),"",IF($J16&lt;&gt;"","Manual",IF($S16="","-","Auto")))</f>
        <v/>
      </c>
      <c r="M16" s="22" t="n">
        <v>46253</v>
      </c>
      <c r="N16" s="25">
        <f>IF($T16=0,"",IF($U16=1,IF($M16="","",$M16-$K16),IF($K16="","",TODAY()-$K16)))</f>
        <v/>
      </c>
      <c r="O16" s="24">
        <f>IF(OR($A16="",$E16=""),"",IF($V16=1,S_INACT,IF(ISNA(MATCH($A16,TYP_TYPE,0)),S_TYPEKO,IF($U16=1,S_DONE,IF(AND($K16="",$R16=""),S_NOSCOPE,IF($K16="",S_NOTARGET,IF($N16&gt;0,S_LATE,IF($I16&lt;&gt;"",S_WIP,IF(-$N16&lt;=FEN_DOC,S_RISK,IF(-$N16&lt;=HORIZON,S_COMING,S_NOTYET))))))))))</f>
        <v/>
      </c>
      <c r="P16" s="24">
        <f>IF(OR($A16="",$E16=""),"",IF($V16=1,"",IF(ISNA(MATCH($A16,TYP_TYPE,0)),"Type not in the library",IF($B16="","Scope not set",IF(AND($B16="System",$C16=""),"System not set",IF(AND($B16="Equipment",$D16=""),"Equipment not set",IF($F16="","Responsible not set",IF($K16="","No target date",IF(AND($B16="Equipment",$C16&lt;&gt;"",IFERROR(INDEX(EQP_SYS,MATCH($D16,EQP_NOM,0)),"")&lt;&gt;$C16),"Equipment not in that system",IF(AND($U16=1,$M16=""),"Approved with no approval date",""))))))))))</f>
        <v/>
      </c>
      <c r="Q16" s="21" t="n"/>
      <c r="R16" s="23">
        <f>IF(OR($A16="",$B16=""),"",IF($B16="Equipment",IFERROR(INDEX(EQP_START,MATCH($D16,EQP_NOM,0)),""),IF($B16="System",IFERROR(INDEX(SYS_EARLIEST,MATCH($C16,SYS_ID,0)),""),IF($B16="All",CTR_EARLIEST,""))))</f>
        <v/>
      </c>
      <c r="S16" s="23">
        <f>IF(OR($A16="",$E16=""),"",IFERROR(IF(INDEX(TYP_ANCHOR,MATCH($A16,TYP_TYPE,0))="Commissioning Start",IF($R16="","",$R16-INDEX(TYP_LEAD,MATCH($A16,TYP_TYPE,0))),IF(INDEX(MS_PLAN,MATCH(INDEX(TYP_ANCHOR,MATCH($A16,TYP_TYPE,0)),MS_NOM,0))="","",INDEX(MS_PLAN,MATCH(INDEX(TYP_ANCHOR,MATCH($A16,TYP_TYPE,0)),MS_NOM,0))-INDEX(TYP_LEAD,MATCH($A16,TYP_TYPE,0)))),""))</f>
        <v/>
      </c>
      <c r="T16" s="26">
        <f>IF(OR($A16="",$E16=""),0,IF($V16=1,0,1))</f>
        <v/>
      </c>
      <c r="U16" s="26">
        <f>IF($T16=0,0,IF($M16&lt;&gt;"",1,IF(IFERROR(INDEX(WF_CLASS,MATCH($H16,WF_CODE,0)),"")="Done",1,0)))</f>
        <v/>
      </c>
      <c r="V16" s="26">
        <f>IF(OR($A16="",$E16=""),0,IF(IFERROR(INDEX(WF_CLASS,MATCH($H16,WF_CODE,0)),"")="Inactive",1,0))</f>
        <v/>
      </c>
      <c r="W16" s="24">
        <f>IF($A16="","",IFERROR(INDEX(TYP_PHASE,MATCH($A16,TYP_TYPE,0)),"-"))</f>
        <v/>
      </c>
      <c r="X16" s="24">
        <f>IF(AND($T16=1,$U16=0,N($N16)&gt;0),$N16+ROW()/1000000,"")</f>
        <v/>
      </c>
      <c r="Y16" s="24">
        <f>IF(AND($T16=1,$U16=0,OR($I16&lt;&gt;"",N($N16)&gt;0)),N($N16)+ROW()/1000000,"")</f>
        <v/>
      </c>
      <c r="Z16" s="24">
        <f>IF(AND($T16=1,$U16=0,$I16="",N($N16)&lt;=0,-N($N16)&lt;=HORIZON),N($N16)+ROW()/1000000,"")</f>
        <v/>
      </c>
    </row>
    <row r="17">
      <c r="A17" s="21" t="inlineStr">
        <is>
          <t>Surveillance Programme</t>
        </is>
      </c>
      <c r="B17" s="21" t="inlineStr">
        <is>
          <t>System</t>
        </is>
      </c>
      <c r="C17" s="21" t="inlineStr">
        <is>
          <t>SYS-TV</t>
        </is>
      </c>
      <c r="D17" s="21" t="n"/>
      <c r="E17" s="21" t="inlineStr">
        <is>
          <t>DMIC-SYS-TV-SVP-014</t>
        </is>
      </c>
      <c r="F17" s="21" t="inlineStr">
        <is>
          <t>L. Fontaine</t>
        </is>
      </c>
      <c r="G17" s="21" t="inlineStr">
        <is>
          <t>K. Rasmussen</t>
        </is>
      </c>
      <c r="H17" s="21" t="inlineStr">
        <is>
          <t>W1 - Draft</t>
        </is>
      </c>
      <c r="I17" s="22" t="n">
        <v>46170</v>
      </c>
      <c r="J17" s="22" t="n"/>
      <c r="K17" s="23">
        <f>IF($A17="","",IF($J17&lt;&gt;"",$J17,$S17))</f>
        <v/>
      </c>
      <c r="L17" s="24">
        <f>IF(OR($A17="",$E17=""),"",IF($J17&lt;&gt;"","Manual",IF($S17="","-","Auto")))</f>
        <v/>
      </c>
      <c r="M17" s="22" t="n"/>
      <c r="N17" s="25">
        <f>IF($T17=0,"",IF($U17=1,IF($M17="","",$M17-$K17),IF($K17="","",TODAY()-$K17)))</f>
        <v/>
      </c>
      <c r="O17" s="24">
        <f>IF(OR($A17="",$E17=""),"",IF($V17=1,S_INACT,IF(ISNA(MATCH($A17,TYP_TYPE,0)),S_TYPEKO,IF($U17=1,S_DONE,IF(AND($K17="",$R17=""),S_NOSCOPE,IF($K17="",S_NOTARGET,IF($N17&gt;0,S_LATE,IF($I17&lt;&gt;"",S_WIP,IF(-$N17&lt;=FEN_DOC,S_RISK,IF(-$N17&lt;=HORIZON,S_COMING,S_NOTYET))))))))))</f>
        <v/>
      </c>
      <c r="P17" s="24">
        <f>IF(OR($A17="",$E17=""),"",IF($V17=1,"",IF(ISNA(MATCH($A17,TYP_TYPE,0)),"Type not in the library",IF($B17="","Scope not set",IF(AND($B17="System",$C17=""),"System not set",IF(AND($B17="Equipment",$D17=""),"Equipment not set",IF($F17="","Responsible not set",IF($K17="","No target date",IF(AND($B17="Equipment",$C17&lt;&gt;"",IFERROR(INDEX(EQP_SYS,MATCH($D17,EQP_NOM,0)),"")&lt;&gt;$C17),"Equipment not in that system",IF(AND($U17=1,$M17=""),"Approved with no approval date",""))))))))))</f>
        <v/>
      </c>
      <c r="Q17" s="21" t="n"/>
      <c r="R17" s="23">
        <f>IF(OR($A17="",$B17=""),"",IF($B17="Equipment",IFERROR(INDEX(EQP_START,MATCH($D17,EQP_NOM,0)),""),IF($B17="System",IFERROR(INDEX(SYS_EARLIEST,MATCH($C17,SYS_ID,0)),""),IF($B17="All",CTR_EARLIEST,""))))</f>
        <v/>
      </c>
      <c r="S17" s="23">
        <f>IF(OR($A17="",$E17=""),"",IFERROR(IF(INDEX(TYP_ANCHOR,MATCH($A17,TYP_TYPE,0))="Commissioning Start",IF($R17="","",$R17-INDEX(TYP_LEAD,MATCH($A17,TYP_TYPE,0))),IF(INDEX(MS_PLAN,MATCH(INDEX(TYP_ANCHOR,MATCH($A17,TYP_TYPE,0)),MS_NOM,0))="","",INDEX(MS_PLAN,MATCH(INDEX(TYP_ANCHOR,MATCH($A17,TYP_TYPE,0)),MS_NOM,0))-INDEX(TYP_LEAD,MATCH($A17,TYP_TYPE,0)))),""))</f>
        <v/>
      </c>
      <c r="T17" s="26">
        <f>IF(OR($A17="",$E17=""),0,IF($V17=1,0,1))</f>
        <v/>
      </c>
      <c r="U17" s="26">
        <f>IF($T17=0,0,IF($M17&lt;&gt;"",1,IF(IFERROR(INDEX(WF_CLASS,MATCH($H17,WF_CODE,0)),"")="Done",1,0)))</f>
        <v/>
      </c>
      <c r="V17" s="26">
        <f>IF(OR($A17="",$E17=""),0,IF(IFERROR(INDEX(WF_CLASS,MATCH($H17,WF_CODE,0)),"")="Inactive",1,0))</f>
        <v/>
      </c>
      <c r="W17" s="24">
        <f>IF($A17="","",IFERROR(INDEX(TYP_PHASE,MATCH($A17,TYP_TYPE,0)),"-"))</f>
        <v/>
      </c>
      <c r="X17" s="24">
        <f>IF(AND($T17=1,$U17=0,N($N17)&gt;0),$N17+ROW()/1000000,"")</f>
        <v/>
      </c>
      <c r="Y17" s="24">
        <f>IF(AND($T17=1,$U17=0,OR($I17&lt;&gt;"",N($N17)&gt;0)),N($N17)+ROW()/1000000,"")</f>
        <v/>
      </c>
      <c r="Z17" s="24">
        <f>IF(AND($T17=1,$U17=0,$I17="",N($N17)&lt;=0,-N($N17)&lt;=HORIZON),N($N17)+ROW()/1000000,"")</f>
        <v/>
      </c>
    </row>
    <row r="18">
      <c r="A18" s="21" t="inlineStr">
        <is>
          <t>Safe System Of Work</t>
        </is>
      </c>
      <c r="B18" s="21" t="inlineStr">
        <is>
          <t>System</t>
        </is>
      </c>
      <c r="C18" s="21" t="inlineStr">
        <is>
          <t>SYS-TV</t>
        </is>
      </c>
      <c r="D18" s="21" t="n"/>
      <c r="E18" s="21" t="inlineStr">
        <is>
          <t>DMIC-SYS-TV-SSW-015</t>
        </is>
      </c>
      <c r="F18" s="21" t="inlineStr">
        <is>
          <t>D. Petrov</t>
        </is>
      </c>
      <c r="G18" s="21" t="inlineStr">
        <is>
          <t>R. Bellamy</t>
        </is>
      </c>
      <c r="H18" s="21" t="inlineStr">
        <is>
          <t>S4A - Approved</t>
        </is>
      </c>
      <c r="I18" s="22" t="n"/>
      <c r="J18" s="22" t="n"/>
      <c r="K18" s="23">
        <f>IF($A18="","",IF($J18&lt;&gt;"",$J18,$S18))</f>
        <v/>
      </c>
      <c r="L18" s="24">
        <f>IF(OR($A18="",$E18=""),"",IF($J18&lt;&gt;"","Manual",IF($S18="","-","Auto")))</f>
        <v/>
      </c>
      <c r="M18" s="22" t="n">
        <v>46258</v>
      </c>
      <c r="N18" s="25">
        <f>IF($T18=0,"",IF($U18=1,IF($M18="","",$M18-$K18),IF($K18="","",TODAY()-$K18)))</f>
        <v/>
      </c>
      <c r="O18" s="24">
        <f>IF(OR($A18="",$E18=""),"",IF($V18=1,S_INACT,IF(ISNA(MATCH($A18,TYP_TYPE,0)),S_TYPEKO,IF($U18=1,S_DONE,IF(AND($K18="",$R18=""),S_NOSCOPE,IF($K18="",S_NOTARGET,IF($N18&gt;0,S_LATE,IF($I18&lt;&gt;"",S_WIP,IF(-$N18&lt;=FEN_DOC,S_RISK,IF(-$N18&lt;=HORIZON,S_COMING,S_NOTYET))))))))))</f>
        <v/>
      </c>
      <c r="P18" s="24">
        <f>IF(OR($A18="",$E18=""),"",IF($V18=1,"",IF(ISNA(MATCH($A18,TYP_TYPE,0)),"Type not in the library",IF($B18="","Scope not set",IF(AND($B18="System",$C18=""),"System not set",IF(AND($B18="Equipment",$D18=""),"Equipment not set",IF($F18="","Responsible not set",IF($K18="","No target date",IF(AND($B18="Equipment",$C18&lt;&gt;"",IFERROR(INDEX(EQP_SYS,MATCH($D18,EQP_NOM,0)),"")&lt;&gt;$C18),"Equipment not in that system",IF(AND($U18=1,$M18=""),"Approved with no approval date",""))))))))))</f>
        <v/>
      </c>
      <c r="Q18" s="21" t="n"/>
      <c r="R18" s="23">
        <f>IF(OR($A18="",$B18=""),"",IF($B18="Equipment",IFERROR(INDEX(EQP_START,MATCH($D18,EQP_NOM,0)),""),IF($B18="System",IFERROR(INDEX(SYS_EARLIEST,MATCH($C18,SYS_ID,0)),""),IF($B18="All",CTR_EARLIEST,""))))</f>
        <v/>
      </c>
      <c r="S18" s="23">
        <f>IF(OR($A18="",$E18=""),"",IFERROR(IF(INDEX(TYP_ANCHOR,MATCH($A18,TYP_TYPE,0))="Commissioning Start",IF($R18="","",$R18-INDEX(TYP_LEAD,MATCH($A18,TYP_TYPE,0))),IF(INDEX(MS_PLAN,MATCH(INDEX(TYP_ANCHOR,MATCH($A18,TYP_TYPE,0)),MS_NOM,0))="","",INDEX(MS_PLAN,MATCH(INDEX(TYP_ANCHOR,MATCH($A18,TYP_TYPE,0)),MS_NOM,0))-INDEX(TYP_LEAD,MATCH($A18,TYP_TYPE,0)))),""))</f>
        <v/>
      </c>
      <c r="T18" s="26">
        <f>IF(OR($A18="",$E18=""),0,IF($V18=1,0,1))</f>
        <v/>
      </c>
      <c r="U18" s="26">
        <f>IF($T18=0,0,IF($M18&lt;&gt;"",1,IF(IFERROR(INDEX(WF_CLASS,MATCH($H18,WF_CODE,0)),"")="Done",1,0)))</f>
        <v/>
      </c>
      <c r="V18" s="26">
        <f>IF(OR($A18="",$E18=""),0,IF(IFERROR(INDEX(WF_CLASS,MATCH($H18,WF_CODE,0)),"")="Inactive",1,0))</f>
        <v/>
      </c>
      <c r="W18" s="24">
        <f>IF($A18="","",IFERROR(INDEX(TYP_PHASE,MATCH($A18,TYP_TYPE,0)),"-"))</f>
        <v/>
      </c>
      <c r="X18" s="24">
        <f>IF(AND($T18=1,$U18=0,N($N18)&gt;0),$N18+ROW()/1000000,"")</f>
        <v/>
      </c>
      <c r="Y18" s="24">
        <f>IF(AND($T18=1,$U18=0,OR($I18&lt;&gt;"",N($N18)&gt;0)),N($N18)+ROW()/1000000,"")</f>
        <v/>
      </c>
      <c r="Z18" s="24">
        <f>IF(AND($T18=1,$U18=0,$I18="",N($N18)&lt;=0,-N($N18)&lt;=HORIZON),N($N18)+ROW()/1000000,"")</f>
        <v/>
      </c>
    </row>
    <row r="19">
      <c r="A19" s="21" t="inlineStr">
        <is>
          <t>Risk Assessment And Method Statement</t>
        </is>
      </c>
      <c r="B19" s="21" t="inlineStr">
        <is>
          <t>System</t>
        </is>
      </c>
      <c r="C19" s="21" t="inlineStr">
        <is>
          <t>SYS-TV</t>
        </is>
      </c>
      <c r="D19" s="21" t="n"/>
      <c r="E19" s="21" t="inlineStr">
        <is>
          <t>DMIC-SYS-TV-RAM-016</t>
        </is>
      </c>
      <c r="F19" s="21" t="inlineStr">
        <is>
          <t>J. Whitfield</t>
        </is>
      </c>
      <c r="G19" s="21" t="inlineStr">
        <is>
          <t>N. Bergstrom</t>
        </is>
      </c>
      <c r="H19" s="21" t="inlineStr">
        <is>
          <t>S4 - For Internal Approval</t>
        </is>
      </c>
      <c r="I19" s="22" t="n">
        <v>46258</v>
      </c>
      <c r="J19" s="22" t="n"/>
      <c r="K19" s="23">
        <f>IF($A19="","",IF($J19&lt;&gt;"",$J19,$S19))</f>
        <v/>
      </c>
      <c r="L19" s="24">
        <f>IF(OR($A19="",$E19=""),"",IF($J19&lt;&gt;"","Manual",IF($S19="","-","Auto")))</f>
        <v/>
      </c>
      <c r="M19" s="22" t="n"/>
      <c r="N19" s="25">
        <f>IF($T19=0,"",IF($U19=1,IF($M19="","",$M19-$K19),IF($K19="","",TODAY()-$K19)))</f>
        <v/>
      </c>
      <c r="O19" s="24">
        <f>IF(OR($A19="",$E19=""),"",IF($V19=1,S_INACT,IF(ISNA(MATCH($A19,TYP_TYPE,0)),S_TYPEKO,IF($U19=1,S_DONE,IF(AND($K19="",$R19=""),S_NOSCOPE,IF($K19="",S_NOTARGET,IF($N19&gt;0,S_LATE,IF($I19&lt;&gt;"",S_WIP,IF(-$N19&lt;=FEN_DOC,S_RISK,IF(-$N19&lt;=HORIZON,S_COMING,S_NOTYET))))))))))</f>
        <v/>
      </c>
      <c r="P19" s="24">
        <f>IF(OR($A19="",$E19=""),"",IF($V19=1,"",IF(ISNA(MATCH($A19,TYP_TYPE,0)),"Type not in the library",IF($B19="","Scope not set",IF(AND($B19="System",$C19=""),"System not set",IF(AND($B19="Equipment",$D19=""),"Equipment not set",IF($F19="","Responsible not set",IF($K19="","No target date",IF(AND($B19="Equipment",$C19&lt;&gt;"",IFERROR(INDEX(EQP_SYS,MATCH($D19,EQP_NOM,0)),"")&lt;&gt;$C19),"Equipment not in that system",IF(AND($U19=1,$M19=""),"Approved with no approval date",""))))))))))</f>
        <v/>
      </c>
      <c r="Q19" s="21" t="n"/>
      <c r="R19" s="23">
        <f>IF(OR($A19="",$B19=""),"",IF($B19="Equipment",IFERROR(INDEX(EQP_START,MATCH($D19,EQP_NOM,0)),""),IF($B19="System",IFERROR(INDEX(SYS_EARLIEST,MATCH($C19,SYS_ID,0)),""),IF($B19="All",CTR_EARLIEST,""))))</f>
        <v/>
      </c>
      <c r="S19" s="23">
        <f>IF(OR($A19="",$E19=""),"",IFERROR(IF(INDEX(TYP_ANCHOR,MATCH($A19,TYP_TYPE,0))="Commissioning Start",IF($R19="","",$R19-INDEX(TYP_LEAD,MATCH($A19,TYP_TYPE,0))),IF(INDEX(MS_PLAN,MATCH(INDEX(TYP_ANCHOR,MATCH($A19,TYP_TYPE,0)),MS_NOM,0))="","",INDEX(MS_PLAN,MATCH(INDEX(TYP_ANCHOR,MATCH($A19,TYP_TYPE,0)),MS_NOM,0))-INDEX(TYP_LEAD,MATCH($A19,TYP_TYPE,0)))),""))</f>
        <v/>
      </c>
      <c r="T19" s="26">
        <f>IF(OR($A19="",$E19=""),0,IF($V19=1,0,1))</f>
        <v/>
      </c>
      <c r="U19" s="26">
        <f>IF($T19=0,0,IF($M19&lt;&gt;"",1,IF(IFERROR(INDEX(WF_CLASS,MATCH($H19,WF_CODE,0)),"")="Done",1,0)))</f>
        <v/>
      </c>
      <c r="V19" s="26">
        <f>IF(OR($A19="",$E19=""),0,IF(IFERROR(INDEX(WF_CLASS,MATCH($H19,WF_CODE,0)),"")="Inactive",1,0))</f>
        <v/>
      </c>
      <c r="W19" s="24">
        <f>IF($A19="","",IFERROR(INDEX(TYP_PHASE,MATCH($A19,TYP_TYPE,0)),"-"))</f>
        <v/>
      </c>
      <c r="X19" s="24">
        <f>IF(AND($T19=1,$U19=0,N($N19)&gt;0),$N19+ROW()/1000000,"")</f>
        <v/>
      </c>
      <c r="Y19" s="24">
        <f>IF(AND($T19=1,$U19=0,OR($I19&lt;&gt;"",N($N19)&gt;0)),N($N19)+ROW()/1000000,"")</f>
        <v/>
      </c>
      <c r="Z19" s="24">
        <f>IF(AND($T19=1,$U19=0,$I19="",N($N19)&lt;=0,-N($N19)&lt;=HORIZON),N($N19)+ROW()/1000000,"")</f>
        <v/>
      </c>
    </row>
    <row r="20">
      <c r="A20" s="21" t="inlineStr">
        <is>
          <t>System Commissioning Programme</t>
        </is>
      </c>
      <c r="B20" s="21" t="inlineStr">
        <is>
          <t>System</t>
        </is>
      </c>
      <c r="C20" s="21" t="inlineStr">
        <is>
          <t>SYS-TV</t>
        </is>
      </c>
      <c r="D20" s="21" t="n"/>
      <c r="E20" s="21" t="inlineStr">
        <is>
          <t>DMIC-SYS-TV-SCP-017</t>
        </is>
      </c>
      <c r="F20" s="21" t="inlineStr">
        <is>
          <t>P. Nakamura</t>
        </is>
      </c>
      <c r="G20" s="21" t="inlineStr">
        <is>
          <t>M. Haddad</t>
        </is>
      </c>
      <c r="H20" s="21" t="inlineStr">
        <is>
          <t>S6 - For Acceptance</t>
        </is>
      </c>
      <c r="I20" s="22" t="n">
        <v>46257</v>
      </c>
      <c r="J20" s="22" t="n"/>
      <c r="K20" s="23">
        <f>IF($A20="","",IF($J20&lt;&gt;"",$J20,$S20))</f>
        <v/>
      </c>
      <c r="L20" s="24">
        <f>IF(OR($A20="",$E20=""),"",IF($J20&lt;&gt;"","Manual",IF($S20="","-","Auto")))</f>
        <v/>
      </c>
      <c r="M20" s="22" t="n"/>
      <c r="N20" s="25">
        <f>IF($T20=0,"",IF($U20=1,IF($M20="","",$M20-$K20),IF($K20="","",TODAY()-$K20)))</f>
        <v/>
      </c>
      <c r="O20" s="24">
        <f>IF(OR($A20="",$E20=""),"",IF($V20=1,S_INACT,IF(ISNA(MATCH($A20,TYP_TYPE,0)),S_TYPEKO,IF($U20=1,S_DONE,IF(AND($K20="",$R20=""),S_NOSCOPE,IF($K20="",S_NOTARGET,IF($N20&gt;0,S_LATE,IF($I20&lt;&gt;"",S_WIP,IF(-$N20&lt;=FEN_DOC,S_RISK,IF(-$N20&lt;=HORIZON,S_COMING,S_NOTYET))))))))))</f>
        <v/>
      </c>
      <c r="P20" s="24">
        <f>IF(OR($A20="",$E20=""),"",IF($V20=1,"",IF(ISNA(MATCH($A20,TYP_TYPE,0)),"Type not in the library",IF($B20="","Scope not set",IF(AND($B20="System",$C20=""),"System not set",IF(AND($B20="Equipment",$D20=""),"Equipment not set",IF($F20="","Responsible not set",IF($K20="","No target date",IF(AND($B20="Equipment",$C20&lt;&gt;"",IFERROR(INDEX(EQP_SYS,MATCH($D20,EQP_NOM,0)),"")&lt;&gt;$C20),"Equipment not in that system",IF(AND($U20=1,$M20=""),"Approved with no approval date",""))))))))))</f>
        <v/>
      </c>
      <c r="Q20" s="21" t="n"/>
      <c r="R20" s="23">
        <f>IF(OR($A20="",$B20=""),"",IF($B20="Equipment",IFERROR(INDEX(EQP_START,MATCH($D20,EQP_NOM,0)),""),IF($B20="System",IFERROR(INDEX(SYS_EARLIEST,MATCH($C20,SYS_ID,0)),""),IF($B20="All",CTR_EARLIEST,""))))</f>
        <v/>
      </c>
      <c r="S20" s="23">
        <f>IF(OR($A20="",$E20=""),"",IFERROR(IF(INDEX(TYP_ANCHOR,MATCH($A20,TYP_TYPE,0))="Commissioning Start",IF($R20="","",$R20-INDEX(TYP_LEAD,MATCH($A20,TYP_TYPE,0))),IF(INDEX(MS_PLAN,MATCH(INDEX(TYP_ANCHOR,MATCH($A20,TYP_TYPE,0)),MS_NOM,0))="","",INDEX(MS_PLAN,MATCH(INDEX(TYP_ANCHOR,MATCH($A20,TYP_TYPE,0)),MS_NOM,0))-INDEX(TYP_LEAD,MATCH($A20,TYP_TYPE,0)))),""))</f>
        <v/>
      </c>
      <c r="T20" s="26">
        <f>IF(OR($A20="",$E20=""),0,IF($V20=1,0,1))</f>
        <v/>
      </c>
      <c r="U20" s="26">
        <f>IF($T20=0,0,IF($M20&lt;&gt;"",1,IF(IFERROR(INDEX(WF_CLASS,MATCH($H20,WF_CODE,0)),"")="Done",1,0)))</f>
        <v/>
      </c>
      <c r="V20" s="26">
        <f>IF(OR($A20="",$E20=""),0,IF(IFERROR(INDEX(WF_CLASS,MATCH($H20,WF_CODE,0)),"")="Inactive",1,0))</f>
        <v/>
      </c>
      <c r="W20" s="24">
        <f>IF($A20="","",IFERROR(INDEX(TYP_PHASE,MATCH($A20,TYP_TYPE,0)),"-"))</f>
        <v/>
      </c>
      <c r="X20" s="24">
        <f>IF(AND($T20=1,$U20=0,N($N20)&gt;0),$N20+ROW()/1000000,"")</f>
        <v/>
      </c>
      <c r="Y20" s="24">
        <f>IF(AND($T20=1,$U20=0,OR($I20&lt;&gt;"",N($N20)&gt;0)),N($N20)+ROW()/1000000,"")</f>
        <v/>
      </c>
      <c r="Z20" s="24">
        <f>IF(AND($T20=1,$U20=0,$I20="",N($N20)&lt;=0,-N($N20)&lt;=HORIZON),N($N20)+ROW()/1000000,"")</f>
        <v/>
      </c>
    </row>
    <row r="21">
      <c r="A21" s="21" t="inlineStr">
        <is>
          <t>Authority To Start Evidence</t>
        </is>
      </c>
      <c r="B21" s="21" t="inlineStr">
        <is>
          <t>System</t>
        </is>
      </c>
      <c r="C21" s="21" t="inlineStr">
        <is>
          <t>SYS-TV</t>
        </is>
      </c>
      <c r="D21" s="21" t="n"/>
      <c r="E21" s="21" t="inlineStr">
        <is>
          <t>DMIC-SYS-TV-ATS-018</t>
        </is>
      </c>
      <c r="F21" s="21" t="inlineStr">
        <is>
          <t>K. Rasmussen</t>
        </is>
      </c>
      <c r="G21" s="21" t="inlineStr">
        <is>
          <t>C. Vasquez</t>
        </is>
      </c>
      <c r="H21" s="21" t="inlineStr">
        <is>
          <t>S4A - Approved</t>
        </is>
      </c>
      <c r="I21" s="22" t="n"/>
      <c r="J21" s="22" t="n"/>
      <c r="K21" s="23">
        <f>IF($A21="","",IF($J21&lt;&gt;"",$J21,$S21))</f>
        <v/>
      </c>
      <c r="L21" s="24">
        <f>IF(OR($A21="",$E21=""),"",IF($J21&lt;&gt;"","Manual",IF($S21="","-","Auto")))</f>
        <v/>
      </c>
      <c r="M21" s="22" t="n">
        <v>46255</v>
      </c>
      <c r="N21" s="25">
        <f>IF($T21=0,"",IF($U21=1,IF($M21="","",$M21-$K21),IF($K21="","",TODAY()-$K21)))</f>
        <v/>
      </c>
      <c r="O21" s="24">
        <f>IF(OR($A21="",$E21=""),"",IF($V21=1,S_INACT,IF(ISNA(MATCH($A21,TYP_TYPE,0)),S_TYPEKO,IF($U21=1,S_DONE,IF(AND($K21="",$R21=""),S_NOSCOPE,IF($K21="",S_NOTARGET,IF($N21&gt;0,S_LATE,IF($I21&lt;&gt;"",S_WIP,IF(-$N21&lt;=FEN_DOC,S_RISK,IF(-$N21&lt;=HORIZON,S_COMING,S_NOTYET))))))))))</f>
        <v/>
      </c>
      <c r="P21" s="24">
        <f>IF(OR($A21="",$E21=""),"",IF($V21=1,"",IF(ISNA(MATCH($A21,TYP_TYPE,0)),"Type not in the library",IF($B21="","Scope not set",IF(AND($B21="System",$C21=""),"System not set",IF(AND($B21="Equipment",$D21=""),"Equipment not set",IF($F21="","Responsible not set",IF($K21="","No target date",IF(AND($B21="Equipment",$C21&lt;&gt;"",IFERROR(INDEX(EQP_SYS,MATCH($D21,EQP_NOM,0)),"")&lt;&gt;$C21),"Equipment not in that system",IF(AND($U21=1,$M21=""),"Approved with no approval date",""))))))))))</f>
        <v/>
      </c>
      <c r="Q21" s="21" t="n"/>
      <c r="R21" s="23">
        <f>IF(OR($A21="",$B21=""),"",IF($B21="Equipment",IFERROR(INDEX(EQP_START,MATCH($D21,EQP_NOM,0)),""),IF($B21="System",IFERROR(INDEX(SYS_EARLIEST,MATCH($C21,SYS_ID,0)),""),IF($B21="All",CTR_EARLIEST,""))))</f>
        <v/>
      </c>
      <c r="S21" s="23">
        <f>IF(OR($A21="",$E21=""),"",IFERROR(IF(INDEX(TYP_ANCHOR,MATCH($A21,TYP_TYPE,0))="Commissioning Start",IF($R21="","",$R21-INDEX(TYP_LEAD,MATCH($A21,TYP_TYPE,0))),IF(INDEX(MS_PLAN,MATCH(INDEX(TYP_ANCHOR,MATCH($A21,TYP_TYPE,0)),MS_NOM,0))="","",INDEX(MS_PLAN,MATCH(INDEX(TYP_ANCHOR,MATCH($A21,TYP_TYPE,0)),MS_NOM,0))-INDEX(TYP_LEAD,MATCH($A21,TYP_TYPE,0)))),""))</f>
        <v/>
      </c>
      <c r="T21" s="26">
        <f>IF(OR($A21="",$E21=""),0,IF($V21=1,0,1))</f>
        <v/>
      </c>
      <c r="U21" s="26">
        <f>IF($T21=0,0,IF($M21&lt;&gt;"",1,IF(IFERROR(INDEX(WF_CLASS,MATCH($H21,WF_CODE,0)),"")="Done",1,0)))</f>
        <v/>
      </c>
      <c r="V21" s="26">
        <f>IF(OR($A21="",$E21=""),0,IF(IFERROR(INDEX(WF_CLASS,MATCH($H21,WF_CODE,0)),"")="Inactive",1,0))</f>
        <v/>
      </c>
      <c r="W21" s="24">
        <f>IF($A21="","",IFERROR(INDEX(TYP_PHASE,MATCH($A21,TYP_TYPE,0)),"-"))</f>
        <v/>
      </c>
      <c r="X21" s="24">
        <f>IF(AND($T21=1,$U21=0,N($N21)&gt;0),$N21+ROW()/1000000,"")</f>
        <v/>
      </c>
      <c r="Y21" s="24">
        <f>IF(AND($T21=1,$U21=0,OR($I21&lt;&gt;"",N($N21)&gt;0)),N($N21)+ROW()/1000000,"")</f>
        <v/>
      </c>
      <c r="Z21" s="24">
        <f>IF(AND($T21=1,$U21=0,$I21="",N($N21)&lt;=0,-N($N21)&lt;=HORIZON),N($N21)+ROW()/1000000,"")</f>
        <v/>
      </c>
    </row>
    <row r="22">
      <c r="A22" s="21" t="inlineStr">
        <is>
          <t>Surveillance Programme</t>
        </is>
      </c>
      <c r="B22" s="21" t="inlineStr">
        <is>
          <t>System</t>
        </is>
      </c>
      <c r="C22" s="21" t="inlineStr">
        <is>
          <t>SYS-FA</t>
        </is>
      </c>
      <c r="D22" s="21" t="n"/>
      <c r="E22" s="21" t="inlineStr">
        <is>
          <t>DMIC-SYS-FA-SVP-019</t>
        </is>
      </c>
      <c r="F22" s="21" t="inlineStr">
        <is>
          <t>R. Bellamy</t>
        </is>
      </c>
      <c r="G22" s="21" t="inlineStr">
        <is>
          <t>H. Lindqvist</t>
        </is>
      </c>
      <c r="H22" s="21" t="inlineStr">
        <is>
          <t>W1 - Draft</t>
        </is>
      </c>
      <c r="I22" s="22" t="n">
        <v>46255</v>
      </c>
      <c r="J22" s="22" t="n"/>
      <c r="K22" s="23">
        <f>IF($A22="","",IF($J22&lt;&gt;"",$J22,$S22))</f>
        <v/>
      </c>
      <c r="L22" s="24">
        <f>IF(OR($A22="",$E22=""),"",IF($J22&lt;&gt;"","Manual",IF($S22="","-","Auto")))</f>
        <v/>
      </c>
      <c r="M22" s="22" t="n"/>
      <c r="N22" s="25">
        <f>IF($T22=0,"",IF($U22=1,IF($M22="","",$M22-$K22),IF($K22="","",TODAY()-$K22)))</f>
        <v/>
      </c>
      <c r="O22" s="24">
        <f>IF(OR($A22="",$E22=""),"",IF($V22=1,S_INACT,IF(ISNA(MATCH($A22,TYP_TYPE,0)),S_TYPEKO,IF($U22=1,S_DONE,IF(AND($K22="",$R22=""),S_NOSCOPE,IF($K22="",S_NOTARGET,IF($N22&gt;0,S_LATE,IF($I22&lt;&gt;"",S_WIP,IF(-$N22&lt;=FEN_DOC,S_RISK,IF(-$N22&lt;=HORIZON,S_COMING,S_NOTYET))))))))))</f>
        <v/>
      </c>
      <c r="P22" s="24">
        <f>IF(OR($A22="",$E22=""),"",IF($V22=1,"",IF(ISNA(MATCH($A22,TYP_TYPE,0)),"Type not in the library",IF($B22="","Scope not set",IF(AND($B22="System",$C22=""),"System not set",IF(AND($B22="Equipment",$D22=""),"Equipment not set",IF($F22="","Responsible not set",IF($K22="","No target date",IF(AND($B22="Equipment",$C22&lt;&gt;"",IFERROR(INDEX(EQP_SYS,MATCH($D22,EQP_NOM,0)),"")&lt;&gt;$C22),"Equipment not in that system",IF(AND($U22=1,$M22=""),"Approved with no approval date",""))))))))))</f>
        <v/>
      </c>
      <c r="Q22" s="21" t="n"/>
      <c r="R22" s="23">
        <f>IF(OR($A22="",$B22=""),"",IF($B22="Equipment",IFERROR(INDEX(EQP_START,MATCH($D22,EQP_NOM,0)),""),IF($B22="System",IFERROR(INDEX(SYS_EARLIEST,MATCH($C22,SYS_ID,0)),""),IF($B22="All",CTR_EARLIEST,""))))</f>
        <v/>
      </c>
      <c r="S22" s="23">
        <f>IF(OR($A22="",$E22=""),"",IFERROR(IF(INDEX(TYP_ANCHOR,MATCH($A22,TYP_TYPE,0))="Commissioning Start",IF($R22="","",$R22-INDEX(TYP_LEAD,MATCH($A22,TYP_TYPE,0))),IF(INDEX(MS_PLAN,MATCH(INDEX(TYP_ANCHOR,MATCH($A22,TYP_TYPE,0)),MS_NOM,0))="","",INDEX(MS_PLAN,MATCH(INDEX(TYP_ANCHOR,MATCH($A22,TYP_TYPE,0)),MS_NOM,0))-INDEX(TYP_LEAD,MATCH($A22,TYP_TYPE,0)))),""))</f>
        <v/>
      </c>
      <c r="T22" s="26">
        <f>IF(OR($A22="",$E22=""),0,IF($V22=1,0,1))</f>
        <v/>
      </c>
      <c r="U22" s="26">
        <f>IF($T22=0,0,IF($M22&lt;&gt;"",1,IF(IFERROR(INDEX(WF_CLASS,MATCH($H22,WF_CODE,0)),"")="Done",1,0)))</f>
        <v/>
      </c>
      <c r="V22" s="26">
        <f>IF(OR($A22="",$E22=""),0,IF(IFERROR(INDEX(WF_CLASS,MATCH($H22,WF_CODE,0)),"")="Inactive",1,0))</f>
        <v/>
      </c>
      <c r="W22" s="24">
        <f>IF($A22="","",IFERROR(INDEX(TYP_PHASE,MATCH($A22,TYP_TYPE,0)),"-"))</f>
        <v/>
      </c>
      <c r="X22" s="24">
        <f>IF(AND($T22=1,$U22=0,N($N22)&gt;0),$N22+ROW()/1000000,"")</f>
        <v/>
      </c>
      <c r="Y22" s="24">
        <f>IF(AND($T22=1,$U22=0,OR($I22&lt;&gt;"",N($N22)&gt;0)),N($N22)+ROW()/1000000,"")</f>
        <v/>
      </c>
      <c r="Z22" s="24">
        <f>IF(AND($T22=1,$U22=0,$I22="",N($N22)&lt;=0,-N($N22)&lt;=HORIZON),N($N22)+ROW()/1000000,"")</f>
        <v/>
      </c>
    </row>
    <row r="23">
      <c r="A23" s="21" t="inlineStr">
        <is>
          <t>Safe System Of Work</t>
        </is>
      </c>
      <c r="B23" s="21" t="inlineStr">
        <is>
          <t>System</t>
        </is>
      </c>
      <c r="C23" s="21" t="inlineStr">
        <is>
          <t>SYS-FA</t>
        </is>
      </c>
      <c r="D23" s="21" t="n"/>
      <c r="E23" s="21" t="inlineStr">
        <is>
          <t>DMIC-SYS-FA-SSW-020</t>
        </is>
      </c>
      <c r="F23" s="21" t="inlineStr">
        <is>
          <t>N. Bergstrom</t>
        </is>
      </c>
      <c r="G23" s="21" t="inlineStr">
        <is>
          <t>A. Mercer</t>
        </is>
      </c>
      <c r="H23" s="21" t="inlineStr">
        <is>
          <t>S3 - For Review</t>
        </is>
      </c>
      <c r="I23" s="22" t="n"/>
      <c r="J23" s="22" t="n"/>
      <c r="K23" s="23">
        <f>IF($A23="","",IF($J23&lt;&gt;"",$J23,$S23))</f>
        <v/>
      </c>
      <c r="L23" s="24">
        <f>IF(OR($A23="",$E23=""),"",IF($J23&lt;&gt;"","Manual",IF($S23="","-","Auto")))</f>
        <v/>
      </c>
      <c r="M23" s="22" t="n"/>
      <c r="N23" s="25">
        <f>IF($T23=0,"",IF($U23=1,IF($M23="","",$M23-$K23),IF($K23="","",TODAY()-$K23)))</f>
        <v/>
      </c>
      <c r="O23" s="24">
        <f>IF(OR($A23="",$E23=""),"",IF($V23=1,S_INACT,IF(ISNA(MATCH($A23,TYP_TYPE,0)),S_TYPEKO,IF($U23=1,S_DONE,IF(AND($K23="",$R23=""),S_NOSCOPE,IF($K23="",S_NOTARGET,IF($N23&gt;0,S_LATE,IF($I23&lt;&gt;"",S_WIP,IF(-$N23&lt;=FEN_DOC,S_RISK,IF(-$N23&lt;=HORIZON,S_COMING,S_NOTYET))))))))))</f>
        <v/>
      </c>
      <c r="P23" s="24">
        <f>IF(OR($A23="",$E23=""),"",IF($V23=1,"",IF(ISNA(MATCH($A23,TYP_TYPE,0)),"Type not in the library",IF($B23="","Scope not set",IF(AND($B23="System",$C23=""),"System not set",IF(AND($B23="Equipment",$D23=""),"Equipment not set",IF($F23="","Responsible not set",IF($K23="","No target date",IF(AND($B23="Equipment",$C23&lt;&gt;"",IFERROR(INDEX(EQP_SYS,MATCH($D23,EQP_NOM,0)),"")&lt;&gt;$C23),"Equipment not in that system",IF(AND($U23=1,$M23=""),"Approved with no approval date",""))))))))))</f>
        <v/>
      </c>
      <c r="Q23" s="21" t="n"/>
      <c r="R23" s="23">
        <f>IF(OR($A23="",$B23=""),"",IF($B23="Equipment",IFERROR(INDEX(EQP_START,MATCH($D23,EQP_NOM,0)),""),IF($B23="System",IFERROR(INDEX(SYS_EARLIEST,MATCH($C23,SYS_ID,0)),""),IF($B23="All",CTR_EARLIEST,""))))</f>
        <v/>
      </c>
      <c r="S23" s="23">
        <f>IF(OR($A23="",$E23=""),"",IFERROR(IF(INDEX(TYP_ANCHOR,MATCH($A23,TYP_TYPE,0))="Commissioning Start",IF($R23="","",$R23-INDEX(TYP_LEAD,MATCH($A23,TYP_TYPE,0))),IF(INDEX(MS_PLAN,MATCH(INDEX(TYP_ANCHOR,MATCH($A23,TYP_TYPE,0)),MS_NOM,0))="","",INDEX(MS_PLAN,MATCH(INDEX(TYP_ANCHOR,MATCH($A23,TYP_TYPE,0)),MS_NOM,0))-INDEX(TYP_LEAD,MATCH($A23,TYP_TYPE,0)))),""))</f>
        <v/>
      </c>
      <c r="T23" s="26">
        <f>IF(OR($A23="",$E23=""),0,IF($V23=1,0,1))</f>
        <v/>
      </c>
      <c r="U23" s="26">
        <f>IF($T23=0,0,IF($M23&lt;&gt;"",1,IF(IFERROR(INDEX(WF_CLASS,MATCH($H23,WF_CODE,0)),"")="Done",1,0)))</f>
        <v/>
      </c>
      <c r="V23" s="26">
        <f>IF(OR($A23="",$E23=""),0,IF(IFERROR(INDEX(WF_CLASS,MATCH($H23,WF_CODE,0)),"")="Inactive",1,0))</f>
        <v/>
      </c>
      <c r="W23" s="24">
        <f>IF($A23="","",IFERROR(INDEX(TYP_PHASE,MATCH($A23,TYP_TYPE,0)),"-"))</f>
        <v/>
      </c>
      <c r="X23" s="24">
        <f>IF(AND($T23=1,$U23=0,N($N23)&gt;0),$N23+ROW()/1000000,"")</f>
        <v/>
      </c>
      <c r="Y23" s="24">
        <f>IF(AND($T23=1,$U23=0,OR($I23&lt;&gt;"",N($N23)&gt;0)),N($N23)+ROW()/1000000,"")</f>
        <v/>
      </c>
      <c r="Z23" s="24">
        <f>IF(AND($T23=1,$U23=0,$I23="",N($N23)&lt;=0,-N($N23)&lt;=HORIZON),N($N23)+ROW()/1000000,"")</f>
        <v/>
      </c>
    </row>
    <row r="24">
      <c r="A24" s="21" t="inlineStr">
        <is>
          <t>Risk Assessment And Method Statement</t>
        </is>
      </c>
      <c r="B24" s="21" t="inlineStr">
        <is>
          <t>System</t>
        </is>
      </c>
      <c r="C24" s="21" t="inlineStr">
        <is>
          <t>SYS-FA</t>
        </is>
      </c>
      <c r="D24" s="21" t="n"/>
      <c r="E24" s="21" t="inlineStr">
        <is>
          <t>DMIC-SYS-FA-RAM-021</t>
        </is>
      </c>
      <c r="F24" s="21" t="inlineStr">
        <is>
          <t>M. Haddad</t>
        </is>
      </c>
      <c r="G24" s="21" t="inlineStr">
        <is>
          <t>S. Okonkwo</t>
        </is>
      </c>
      <c r="H24" s="21" t="inlineStr">
        <is>
          <t>S4 - For Internal Approval</t>
        </is>
      </c>
      <c r="I24" s="22" t="n"/>
      <c r="J24" s="22" t="n"/>
      <c r="K24" s="23">
        <f>IF($A24="","",IF($J24&lt;&gt;"",$J24,$S24))</f>
        <v/>
      </c>
      <c r="L24" s="24">
        <f>IF(OR($A24="",$E24=""),"",IF($J24&lt;&gt;"","Manual",IF($S24="","-","Auto")))</f>
        <v/>
      </c>
      <c r="M24" s="22" t="n"/>
      <c r="N24" s="25">
        <f>IF($T24=0,"",IF($U24=1,IF($M24="","",$M24-$K24),IF($K24="","",TODAY()-$K24)))</f>
        <v/>
      </c>
      <c r="O24" s="24">
        <f>IF(OR($A24="",$E24=""),"",IF($V24=1,S_INACT,IF(ISNA(MATCH($A24,TYP_TYPE,0)),S_TYPEKO,IF($U24=1,S_DONE,IF(AND($K24="",$R24=""),S_NOSCOPE,IF($K24="",S_NOTARGET,IF($N24&gt;0,S_LATE,IF($I24&lt;&gt;"",S_WIP,IF(-$N24&lt;=FEN_DOC,S_RISK,IF(-$N24&lt;=HORIZON,S_COMING,S_NOTYET))))))))))</f>
        <v/>
      </c>
      <c r="P24" s="24">
        <f>IF(OR($A24="",$E24=""),"",IF($V24=1,"",IF(ISNA(MATCH($A24,TYP_TYPE,0)),"Type not in the library",IF($B24="","Scope not set",IF(AND($B24="System",$C24=""),"System not set",IF(AND($B24="Equipment",$D24=""),"Equipment not set",IF($F24="","Responsible not set",IF($K24="","No target date",IF(AND($B24="Equipment",$C24&lt;&gt;"",IFERROR(INDEX(EQP_SYS,MATCH($D24,EQP_NOM,0)),"")&lt;&gt;$C24),"Equipment not in that system",IF(AND($U24=1,$M24=""),"Approved with no approval date",""))))))))))</f>
        <v/>
      </c>
      <c r="Q24" s="21" t="n"/>
      <c r="R24" s="23">
        <f>IF(OR($A24="",$B24=""),"",IF($B24="Equipment",IFERROR(INDEX(EQP_START,MATCH($D24,EQP_NOM,0)),""),IF($B24="System",IFERROR(INDEX(SYS_EARLIEST,MATCH($C24,SYS_ID,0)),""),IF($B24="All",CTR_EARLIEST,""))))</f>
        <v/>
      </c>
      <c r="S24" s="23">
        <f>IF(OR($A24="",$E24=""),"",IFERROR(IF(INDEX(TYP_ANCHOR,MATCH($A24,TYP_TYPE,0))="Commissioning Start",IF($R24="","",$R24-INDEX(TYP_LEAD,MATCH($A24,TYP_TYPE,0))),IF(INDEX(MS_PLAN,MATCH(INDEX(TYP_ANCHOR,MATCH($A24,TYP_TYPE,0)),MS_NOM,0))="","",INDEX(MS_PLAN,MATCH(INDEX(TYP_ANCHOR,MATCH($A24,TYP_TYPE,0)),MS_NOM,0))-INDEX(TYP_LEAD,MATCH($A24,TYP_TYPE,0)))),""))</f>
        <v/>
      </c>
      <c r="T24" s="26">
        <f>IF(OR($A24="",$E24=""),0,IF($V24=1,0,1))</f>
        <v/>
      </c>
      <c r="U24" s="26">
        <f>IF($T24=0,0,IF($M24&lt;&gt;"",1,IF(IFERROR(INDEX(WF_CLASS,MATCH($H24,WF_CODE,0)),"")="Done",1,0)))</f>
        <v/>
      </c>
      <c r="V24" s="26">
        <f>IF(OR($A24="",$E24=""),0,IF(IFERROR(INDEX(WF_CLASS,MATCH($H24,WF_CODE,0)),"")="Inactive",1,0))</f>
        <v/>
      </c>
      <c r="W24" s="24">
        <f>IF($A24="","",IFERROR(INDEX(TYP_PHASE,MATCH($A24,TYP_TYPE,0)),"-"))</f>
        <v/>
      </c>
      <c r="X24" s="24">
        <f>IF(AND($T24=1,$U24=0,N($N24)&gt;0),$N24+ROW()/1000000,"")</f>
        <v/>
      </c>
      <c r="Y24" s="24">
        <f>IF(AND($T24=1,$U24=0,OR($I24&lt;&gt;"",N($N24)&gt;0)),N($N24)+ROW()/1000000,"")</f>
        <v/>
      </c>
      <c r="Z24" s="24">
        <f>IF(AND($T24=1,$U24=0,$I24="",N($N24)&lt;=0,-N($N24)&lt;=HORIZON),N($N24)+ROW()/1000000,"")</f>
        <v/>
      </c>
    </row>
    <row r="25">
      <c r="A25" s="21" t="inlineStr">
        <is>
          <t>System Commissioning Programme</t>
        </is>
      </c>
      <c r="B25" s="21" t="inlineStr">
        <is>
          <t>System</t>
        </is>
      </c>
      <c r="C25" s="21" t="inlineStr">
        <is>
          <t>SYS-FA</t>
        </is>
      </c>
      <c r="D25" s="21" t="n"/>
      <c r="E25" s="21" t="inlineStr">
        <is>
          <t>DMIC-SYS-FA-SCP-022</t>
        </is>
      </c>
      <c r="F25" s="21" t="inlineStr">
        <is>
          <t>C. Vasquez</t>
        </is>
      </c>
      <c r="G25" s="21" t="inlineStr">
        <is>
          <t>L. Fontaine</t>
        </is>
      </c>
      <c r="H25" s="21" t="inlineStr">
        <is>
          <t>S6 - For Acceptance</t>
        </is>
      </c>
      <c r="I25" s="22" t="n"/>
      <c r="J25" s="22" t="n"/>
      <c r="K25" s="23">
        <f>IF($A25="","",IF($J25&lt;&gt;"",$J25,$S25))</f>
        <v/>
      </c>
      <c r="L25" s="24">
        <f>IF(OR($A25="",$E25=""),"",IF($J25&lt;&gt;"","Manual",IF($S25="","-","Auto")))</f>
        <v/>
      </c>
      <c r="M25" s="22" t="n"/>
      <c r="N25" s="25">
        <f>IF($T25=0,"",IF($U25=1,IF($M25="","",$M25-$K25),IF($K25="","",TODAY()-$K25)))</f>
        <v/>
      </c>
      <c r="O25" s="24">
        <f>IF(OR($A25="",$E25=""),"",IF($V25=1,S_INACT,IF(ISNA(MATCH($A25,TYP_TYPE,0)),S_TYPEKO,IF($U25=1,S_DONE,IF(AND($K25="",$R25=""),S_NOSCOPE,IF($K25="",S_NOTARGET,IF($N25&gt;0,S_LATE,IF($I25&lt;&gt;"",S_WIP,IF(-$N25&lt;=FEN_DOC,S_RISK,IF(-$N25&lt;=HORIZON,S_COMING,S_NOTYET))))))))))</f>
        <v/>
      </c>
      <c r="P25" s="24">
        <f>IF(OR($A25="",$E25=""),"",IF($V25=1,"",IF(ISNA(MATCH($A25,TYP_TYPE,0)),"Type not in the library",IF($B25="","Scope not set",IF(AND($B25="System",$C25=""),"System not set",IF(AND($B25="Equipment",$D25=""),"Equipment not set",IF($F25="","Responsible not set",IF($K25="","No target date",IF(AND($B25="Equipment",$C25&lt;&gt;"",IFERROR(INDEX(EQP_SYS,MATCH($D25,EQP_NOM,0)),"")&lt;&gt;$C25),"Equipment not in that system",IF(AND($U25=1,$M25=""),"Approved with no approval date",""))))))))))</f>
        <v/>
      </c>
      <c r="Q25" s="21" t="n"/>
      <c r="R25" s="23">
        <f>IF(OR($A25="",$B25=""),"",IF($B25="Equipment",IFERROR(INDEX(EQP_START,MATCH($D25,EQP_NOM,0)),""),IF($B25="System",IFERROR(INDEX(SYS_EARLIEST,MATCH($C25,SYS_ID,0)),""),IF($B25="All",CTR_EARLIEST,""))))</f>
        <v/>
      </c>
      <c r="S25" s="23">
        <f>IF(OR($A25="",$E25=""),"",IFERROR(IF(INDEX(TYP_ANCHOR,MATCH($A25,TYP_TYPE,0))="Commissioning Start",IF($R25="","",$R25-INDEX(TYP_LEAD,MATCH($A25,TYP_TYPE,0))),IF(INDEX(MS_PLAN,MATCH(INDEX(TYP_ANCHOR,MATCH($A25,TYP_TYPE,0)),MS_NOM,0))="","",INDEX(MS_PLAN,MATCH(INDEX(TYP_ANCHOR,MATCH($A25,TYP_TYPE,0)),MS_NOM,0))-INDEX(TYP_LEAD,MATCH($A25,TYP_TYPE,0)))),""))</f>
        <v/>
      </c>
      <c r="T25" s="26">
        <f>IF(OR($A25="",$E25=""),0,IF($V25=1,0,1))</f>
        <v/>
      </c>
      <c r="U25" s="26">
        <f>IF($T25=0,0,IF($M25&lt;&gt;"",1,IF(IFERROR(INDEX(WF_CLASS,MATCH($H25,WF_CODE,0)),"")="Done",1,0)))</f>
        <v/>
      </c>
      <c r="V25" s="26">
        <f>IF(OR($A25="",$E25=""),0,IF(IFERROR(INDEX(WF_CLASS,MATCH($H25,WF_CODE,0)),"")="Inactive",1,0))</f>
        <v/>
      </c>
      <c r="W25" s="24">
        <f>IF($A25="","",IFERROR(INDEX(TYP_PHASE,MATCH($A25,TYP_TYPE,0)),"-"))</f>
        <v/>
      </c>
      <c r="X25" s="24">
        <f>IF(AND($T25=1,$U25=0,N($N25)&gt;0),$N25+ROW()/1000000,"")</f>
        <v/>
      </c>
      <c r="Y25" s="24">
        <f>IF(AND($T25=1,$U25=0,OR($I25&lt;&gt;"",N($N25)&gt;0)),N($N25)+ROW()/1000000,"")</f>
        <v/>
      </c>
      <c r="Z25" s="24">
        <f>IF(AND($T25=1,$U25=0,$I25="",N($N25)&lt;=0,-N($N25)&lt;=HORIZON),N($N25)+ROW()/1000000,"")</f>
        <v/>
      </c>
    </row>
    <row r="26">
      <c r="A26" s="21" t="inlineStr">
        <is>
          <t>Authority To Start Evidence</t>
        </is>
      </c>
      <c r="B26" s="21" t="inlineStr">
        <is>
          <t>System</t>
        </is>
      </c>
      <c r="C26" s="21" t="inlineStr">
        <is>
          <t>SYS-FA</t>
        </is>
      </c>
      <c r="D26" s="21" t="n"/>
      <c r="E26" s="21" t="inlineStr">
        <is>
          <t>DMIC-SYS-FA-ATS-023</t>
        </is>
      </c>
      <c r="F26" s="21" t="inlineStr">
        <is>
          <t>H. Lindqvist</t>
        </is>
      </c>
      <c r="G26" s="21" t="inlineStr">
        <is>
          <t>D. Petrov</t>
        </is>
      </c>
      <c r="H26" s="21" t="inlineStr">
        <is>
          <t>S4B - Comments</t>
        </is>
      </c>
      <c r="I26" s="22" t="n"/>
      <c r="J26" s="22" t="n"/>
      <c r="K26" s="23">
        <f>IF($A26="","",IF($J26&lt;&gt;"",$J26,$S26))</f>
        <v/>
      </c>
      <c r="L26" s="24">
        <f>IF(OR($A26="",$E26=""),"",IF($J26&lt;&gt;"","Manual",IF($S26="","-","Auto")))</f>
        <v/>
      </c>
      <c r="M26" s="22" t="n"/>
      <c r="N26" s="25">
        <f>IF($T26=0,"",IF($U26=1,IF($M26="","",$M26-$K26),IF($K26="","",TODAY()-$K26)))</f>
        <v/>
      </c>
      <c r="O26" s="24">
        <f>IF(OR($A26="",$E26=""),"",IF($V26=1,S_INACT,IF(ISNA(MATCH($A26,TYP_TYPE,0)),S_TYPEKO,IF($U26=1,S_DONE,IF(AND($K26="",$R26=""),S_NOSCOPE,IF($K26="",S_NOTARGET,IF($N26&gt;0,S_LATE,IF($I26&lt;&gt;"",S_WIP,IF(-$N26&lt;=FEN_DOC,S_RISK,IF(-$N26&lt;=HORIZON,S_COMING,S_NOTYET))))))))))</f>
        <v/>
      </c>
      <c r="P26" s="24">
        <f>IF(OR($A26="",$E26=""),"",IF($V26=1,"",IF(ISNA(MATCH($A26,TYP_TYPE,0)),"Type not in the library",IF($B26="","Scope not set",IF(AND($B26="System",$C26=""),"System not set",IF(AND($B26="Equipment",$D26=""),"Equipment not set",IF($F26="","Responsible not set",IF($K26="","No target date",IF(AND($B26="Equipment",$C26&lt;&gt;"",IFERROR(INDEX(EQP_SYS,MATCH($D26,EQP_NOM,0)),"")&lt;&gt;$C26),"Equipment not in that system",IF(AND($U26=1,$M26=""),"Approved with no approval date",""))))))))))</f>
        <v/>
      </c>
      <c r="Q26" s="21" t="n"/>
      <c r="R26" s="23">
        <f>IF(OR($A26="",$B26=""),"",IF($B26="Equipment",IFERROR(INDEX(EQP_START,MATCH($D26,EQP_NOM,0)),""),IF($B26="System",IFERROR(INDEX(SYS_EARLIEST,MATCH($C26,SYS_ID,0)),""),IF($B26="All",CTR_EARLIEST,""))))</f>
        <v/>
      </c>
      <c r="S26" s="23">
        <f>IF(OR($A26="",$E26=""),"",IFERROR(IF(INDEX(TYP_ANCHOR,MATCH($A26,TYP_TYPE,0))="Commissioning Start",IF($R26="","",$R26-INDEX(TYP_LEAD,MATCH($A26,TYP_TYPE,0))),IF(INDEX(MS_PLAN,MATCH(INDEX(TYP_ANCHOR,MATCH($A26,TYP_TYPE,0)),MS_NOM,0))="","",INDEX(MS_PLAN,MATCH(INDEX(TYP_ANCHOR,MATCH($A26,TYP_TYPE,0)),MS_NOM,0))-INDEX(TYP_LEAD,MATCH($A26,TYP_TYPE,0)))),""))</f>
        <v/>
      </c>
      <c r="T26" s="26">
        <f>IF(OR($A26="",$E26=""),0,IF($V26=1,0,1))</f>
        <v/>
      </c>
      <c r="U26" s="26">
        <f>IF($T26=0,0,IF($M26&lt;&gt;"",1,IF(IFERROR(INDEX(WF_CLASS,MATCH($H26,WF_CODE,0)),"")="Done",1,0)))</f>
        <v/>
      </c>
      <c r="V26" s="26">
        <f>IF(OR($A26="",$E26=""),0,IF(IFERROR(INDEX(WF_CLASS,MATCH($H26,WF_CODE,0)),"")="Inactive",1,0))</f>
        <v/>
      </c>
      <c r="W26" s="24">
        <f>IF($A26="","",IFERROR(INDEX(TYP_PHASE,MATCH($A26,TYP_TYPE,0)),"-"))</f>
        <v/>
      </c>
      <c r="X26" s="24">
        <f>IF(AND($T26=1,$U26=0,N($N26)&gt;0),$N26+ROW()/1000000,"")</f>
        <v/>
      </c>
      <c r="Y26" s="24">
        <f>IF(AND($T26=1,$U26=0,OR($I26&lt;&gt;"",N($N26)&gt;0)),N($N26)+ROW()/1000000,"")</f>
        <v/>
      </c>
      <c r="Z26" s="24">
        <f>IF(AND($T26=1,$U26=0,$I26="",N($N26)&lt;=0,-N($N26)&lt;=HORIZON),N($N26)+ROW()/1000000,"")</f>
        <v/>
      </c>
    </row>
    <row r="27">
      <c r="A27" s="21" t="inlineStr">
        <is>
          <t>Surveillance Programme</t>
        </is>
      </c>
      <c r="B27" s="21" t="inlineStr">
        <is>
          <t>System</t>
        </is>
      </c>
      <c r="C27" s="21" t="inlineStr">
        <is>
          <t>SYS-LV</t>
        </is>
      </c>
      <c r="D27" s="21" t="n"/>
      <c r="E27" s="21" t="inlineStr">
        <is>
          <t>DMIC-SYS-LV-SVP-024</t>
        </is>
      </c>
      <c r="F27" s="21" t="inlineStr">
        <is>
          <t>A. Mercer</t>
        </is>
      </c>
      <c r="G27" s="21" t="inlineStr">
        <is>
          <t>J. Whitfield</t>
        </is>
      </c>
      <c r="H27" s="21" t="inlineStr"/>
      <c r="I27" s="22" t="n"/>
      <c r="J27" s="22" t="n"/>
      <c r="K27" s="23">
        <f>IF($A27="","",IF($J27&lt;&gt;"",$J27,$S27))</f>
        <v/>
      </c>
      <c r="L27" s="24">
        <f>IF(OR($A27="",$E27=""),"",IF($J27&lt;&gt;"","Manual",IF($S27="","-","Auto")))</f>
        <v/>
      </c>
      <c r="M27" s="22" t="n"/>
      <c r="N27" s="25">
        <f>IF($T27=0,"",IF($U27=1,IF($M27="","",$M27-$K27),IF($K27="","",TODAY()-$K27)))</f>
        <v/>
      </c>
      <c r="O27" s="24">
        <f>IF(OR($A27="",$E27=""),"",IF($V27=1,S_INACT,IF(ISNA(MATCH($A27,TYP_TYPE,0)),S_TYPEKO,IF($U27=1,S_DONE,IF(AND($K27="",$R27=""),S_NOSCOPE,IF($K27="",S_NOTARGET,IF($N27&gt;0,S_LATE,IF($I27&lt;&gt;"",S_WIP,IF(-$N27&lt;=FEN_DOC,S_RISK,IF(-$N27&lt;=HORIZON,S_COMING,S_NOTYET))))))))))</f>
        <v/>
      </c>
      <c r="P27" s="24">
        <f>IF(OR($A27="",$E27=""),"",IF($V27=1,"",IF(ISNA(MATCH($A27,TYP_TYPE,0)),"Type not in the library",IF($B27="","Scope not set",IF(AND($B27="System",$C27=""),"System not set",IF(AND($B27="Equipment",$D27=""),"Equipment not set",IF($F27="","Responsible not set",IF($K27="","No target date",IF(AND($B27="Equipment",$C27&lt;&gt;"",IFERROR(INDEX(EQP_SYS,MATCH($D27,EQP_NOM,0)),"")&lt;&gt;$C27),"Equipment not in that system",IF(AND($U27=1,$M27=""),"Approved with no approval date",""))))))))))</f>
        <v/>
      </c>
      <c r="Q27" s="21" t="n"/>
      <c r="R27" s="23">
        <f>IF(OR($A27="",$B27=""),"",IF($B27="Equipment",IFERROR(INDEX(EQP_START,MATCH($D27,EQP_NOM,0)),""),IF($B27="System",IFERROR(INDEX(SYS_EARLIEST,MATCH($C27,SYS_ID,0)),""),IF($B27="All",CTR_EARLIEST,""))))</f>
        <v/>
      </c>
      <c r="S27" s="23">
        <f>IF(OR($A27="",$E27=""),"",IFERROR(IF(INDEX(TYP_ANCHOR,MATCH($A27,TYP_TYPE,0))="Commissioning Start",IF($R27="","",$R27-INDEX(TYP_LEAD,MATCH($A27,TYP_TYPE,0))),IF(INDEX(MS_PLAN,MATCH(INDEX(TYP_ANCHOR,MATCH($A27,TYP_TYPE,0)),MS_NOM,0))="","",INDEX(MS_PLAN,MATCH(INDEX(TYP_ANCHOR,MATCH($A27,TYP_TYPE,0)),MS_NOM,0))-INDEX(TYP_LEAD,MATCH($A27,TYP_TYPE,0)))),""))</f>
        <v/>
      </c>
      <c r="T27" s="26">
        <f>IF(OR($A27="",$E27=""),0,IF($V27=1,0,1))</f>
        <v/>
      </c>
      <c r="U27" s="26">
        <f>IF($T27=0,0,IF($M27&lt;&gt;"",1,IF(IFERROR(INDEX(WF_CLASS,MATCH($H27,WF_CODE,0)),"")="Done",1,0)))</f>
        <v/>
      </c>
      <c r="V27" s="26">
        <f>IF(OR($A27="",$E27=""),0,IF(IFERROR(INDEX(WF_CLASS,MATCH($H27,WF_CODE,0)),"")="Inactive",1,0))</f>
        <v/>
      </c>
      <c r="W27" s="24">
        <f>IF($A27="","",IFERROR(INDEX(TYP_PHASE,MATCH($A27,TYP_TYPE,0)),"-"))</f>
        <v/>
      </c>
      <c r="X27" s="24">
        <f>IF(AND($T27=1,$U27=0,N($N27)&gt;0),$N27+ROW()/1000000,"")</f>
        <v/>
      </c>
      <c r="Y27" s="24">
        <f>IF(AND($T27=1,$U27=0,OR($I27&lt;&gt;"",N($N27)&gt;0)),N($N27)+ROW()/1000000,"")</f>
        <v/>
      </c>
      <c r="Z27" s="24">
        <f>IF(AND($T27=1,$U27=0,$I27="",N($N27)&lt;=0,-N($N27)&lt;=HORIZON),N($N27)+ROW()/1000000,"")</f>
        <v/>
      </c>
    </row>
    <row r="28">
      <c r="A28" s="21" t="inlineStr">
        <is>
          <t>Safe System Of Work</t>
        </is>
      </c>
      <c r="B28" s="21" t="inlineStr">
        <is>
          <t>System</t>
        </is>
      </c>
      <c r="C28" s="21" t="inlineStr">
        <is>
          <t>SYS-LV</t>
        </is>
      </c>
      <c r="D28" s="21" t="n"/>
      <c r="E28" s="21" t="inlineStr">
        <is>
          <t>DMIC-SYS-LV-SSW-025</t>
        </is>
      </c>
      <c r="F28" s="21" t="inlineStr">
        <is>
          <t>S. Okonkwo</t>
        </is>
      </c>
      <c r="G28" s="21" t="inlineStr">
        <is>
          <t>P. Nakamura</t>
        </is>
      </c>
      <c r="H28" s="21" t="inlineStr">
        <is>
          <t>W0 - Work In Progress</t>
        </is>
      </c>
      <c r="I28" s="22" t="n"/>
      <c r="J28" s="22" t="n"/>
      <c r="K28" s="23">
        <f>IF($A28="","",IF($J28&lt;&gt;"",$J28,$S28))</f>
        <v/>
      </c>
      <c r="L28" s="24">
        <f>IF(OR($A28="",$E28=""),"",IF($J28&lt;&gt;"","Manual",IF($S28="","-","Auto")))</f>
        <v/>
      </c>
      <c r="M28" s="22" t="n"/>
      <c r="N28" s="25">
        <f>IF($T28=0,"",IF($U28=1,IF($M28="","",$M28-$K28),IF($K28="","",TODAY()-$K28)))</f>
        <v/>
      </c>
      <c r="O28" s="24">
        <f>IF(OR($A28="",$E28=""),"",IF($V28=1,S_INACT,IF(ISNA(MATCH($A28,TYP_TYPE,0)),S_TYPEKO,IF($U28=1,S_DONE,IF(AND($K28="",$R28=""),S_NOSCOPE,IF($K28="",S_NOTARGET,IF($N28&gt;0,S_LATE,IF($I28&lt;&gt;"",S_WIP,IF(-$N28&lt;=FEN_DOC,S_RISK,IF(-$N28&lt;=HORIZON,S_COMING,S_NOTYET))))))))))</f>
        <v/>
      </c>
      <c r="P28" s="24">
        <f>IF(OR($A28="",$E28=""),"",IF($V28=1,"",IF(ISNA(MATCH($A28,TYP_TYPE,0)),"Type not in the library",IF($B28="","Scope not set",IF(AND($B28="System",$C28=""),"System not set",IF(AND($B28="Equipment",$D28=""),"Equipment not set",IF($F28="","Responsible not set",IF($K28="","No target date",IF(AND($B28="Equipment",$C28&lt;&gt;"",IFERROR(INDEX(EQP_SYS,MATCH($D28,EQP_NOM,0)),"")&lt;&gt;$C28),"Equipment not in that system",IF(AND($U28=1,$M28=""),"Approved with no approval date",""))))))))))</f>
        <v/>
      </c>
      <c r="Q28" s="21" t="n"/>
      <c r="R28" s="23">
        <f>IF(OR($A28="",$B28=""),"",IF($B28="Equipment",IFERROR(INDEX(EQP_START,MATCH($D28,EQP_NOM,0)),""),IF($B28="System",IFERROR(INDEX(SYS_EARLIEST,MATCH($C28,SYS_ID,0)),""),IF($B28="All",CTR_EARLIEST,""))))</f>
        <v/>
      </c>
      <c r="S28" s="23">
        <f>IF(OR($A28="",$E28=""),"",IFERROR(IF(INDEX(TYP_ANCHOR,MATCH($A28,TYP_TYPE,0))="Commissioning Start",IF($R28="","",$R28-INDEX(TYP_LEAD,MATCH($A28,TYP_TYPE,0))),IF(INDEX(MS_PLAN,MATCH(INDEX(TYP_ANCHOR,MATCH($A28,TYP_TYPE,0)),MS_NOM,0))="","",INDEX(MS_PLAN,MATCH(INDEX(TYP_ANCHOR,MATCH($A28,TYP_TYPE,0)),MS_NOM,0))-INDEX(TYP_LEAD,MATCH($A28,TYP_TYPE,0)))),""))</f>
        <v/>
      </c>
      <c r="T28" s="26">
        <f>IF(OR($A28="",$E28=""),0,IF($V28=1,0,1))</f>
        <v/>
      </c>
      <c r="U28" s="26">
        <f>IF($T28=0,0,IF($M28&lt;&gt;"",1,IF(IFERROR(INDEX(WF_CLASS,MATCH($H28,WF_CODE,0)),"")="Done",1,0)))</f>
        <v/>
      </c>
      <c r="V28" s="26">
        <f>IF(OR($A28="",$E28=""),0,IF(IFERROR(INDEX(WF_CLASS,MATCH($H28,WF_CODE,0)),"")="Inactive",1,0))</f>
        <v/>
      </c>
      <c r="W28" s="24">
        <f>IF($A28="","",IFERROR(INDEX(TYP_PHASE,MATCH($A28,TYP_TYPE,0)),"-"))</f>
        <v/>
      </c>
      <c r="X28" s="24">
        <f>IF(AND($T28=1,$U28=0,N($N28)&gt;0),$N28+ROW()/1000000,"")</f>
        <v/>
      </c>
      <c r="Y28" s="24">
        <f>IF(AND($T28=1,$U28=0,OR($I28&lt;&gt;"",N($N28)&gt;0)),N($N28)+ROW()/1000000,"")</f>
        <v/>
      </c>
      <c r="Z28" s="24">
        <f>IF(AND($T28=1,$U28=0,$I28="",N($N28)&lt;=0,-N($N28)&lt;=HORIZON),N($N28)+ROW()/1000000,"")</f>
        <v/>
      </c>
    </row>
    <row r="29">
      <c r="A29" s="21" t="inlineStr">
        <is>
          <t>Risk Assessment And Method Statement</t>
        </is>
      </c>
      <c r="B29" s="21" t="inlineStr">
        <is>
          <t>System</t>
        </is>
      </c>
      <c r="C29" s="21" t="inlineStr">
        <is>
          <t>SYS-LV</t>
        </is>
      </c>
      <c r="D29" s="21" t="n"/>
      <c r="E29" s="21" t="inlineStr">
        <is>
          <t>DMIC-SYS-LV-RAM-026</t>
        </is>
      </c>
      <c r="F29" s="21" t="inlineStr">
        <is>
          <t>L. Fontaine</t>
        </is>
      </c>
      <c r="G29" s="21" t="inlineStr">
        <is>
          <t>K. Rasmussen</t>
        </is>
      </c>
      <c r="H29" s="21" t="inlineStr"/>
      <c r="I29" s="22" t="n"/>
      <c r="J29" s="22" t="n"/>
      <c r="K29" s="23">
        <f>IF($A29="","",IF($J29&lt;&gt;"",$J29,$S29))</f>
        <v/>
      </c>
      <c r="L29" s="24">
        <f>IF(OR($A29="",$E29=""),"",IF($J29&lt;&gt;"","Manual",IF($S29="","-","Auto")))</f>
        <v/>
      </c>
      <c r="M29" s="22" t="n"/>
      <c r="N29" s="25">
        <f>IF($T29=0,"",IF($U29=1,IF($M29="","",$M29-$K29),IF($K29="","",TODAY()-$K29)))</f>
        <v/>
      </c>
      <c r="O29" s="24">
        <f>IF(OR($A29="",$E29=""),"",IF($V29=1,S_INACT,IF(ISNA(MATCH($A29,TYP_TYPE,0)),S_TYPEKO,IF($U29=1,S_DONE,IF(AND($K29="",$R29=""),S_NOSCOPE,IF($K29="",S_NOTARGET,IF($N29&gt;0,S_LATE,IF($I29&lt;&gt;"",S_WIP,IF(-$N29&lt;=FEN_DOC,S_RISK,IF(-$N29&lt;=HORIZON,S_COMING,S_NOTYET))))))))))</f>
        <v/>
      </c>
      <c r="P29" s="24">
        <f>IF(OR($A29="",$E29=""),"",IF($V29=1,"",IF(ISNA(MATCH($A29,TYP_TYPE,0)),"Type not in the library",IF($B29="","Scope not set",IF(AND($B29="System",$C29=""),"System not set",IF(AND($B29="Equipment",$D29=""),"Equipment not set",IF($F29="","Responsible not set",IF($K29="","No target date",IF(AND($B29="Equipment",$C29&lt;&gt;"",IFERROR(INDEX(EQP_SYS,MATCH($D29,EQP_NOM,0)),"")&lt;&gt;$C29),"Equipment not in that system",IF(AND($U29=1,$M29=""),"Approved with no approval date",""))))))))))</f>
        <v/>
      </c>
      <c r="Q29" s="21" t="n"/>
      <c r="R29" s="23">
        <f>IF(OR($A29="",$B29=""),"",IF($B29="Equipment",IFERROR(INDEX(EQP_START,MATCH($D29,EQP_NOM,0)),""),IF($B29="System",IFERROR(INDEX(SYS_EARLIEST,MATCH($C29,SYS_ID,0)),""),IF($B29="All",CTR_EARLIEST,""))))</f>
        <v/>
      </c>
      <c r="S29" s="23">
        <f>IF(OR($A29="",$E29=""),"",IFERROR(IF(INDEX(TYP_ANCHOR,MATCH($A29,TYP_TYPE,0))="Commissioning Start",IF($R29="","",$R29-INDEX(TYP_LEAD,MATCH($A29,TYP_TYPE,0))),IF(INDEX(MS_PLAN,MATCH(INDEX(TYP_ANCHOR,MATCH($A29,TYP_TYPE,0)),MS_NOM,0))="","",INDEX(MS_PLAN,MATCH(INDEX(TYP_ANCHOR,MATCH($A29,TYP_TYPE,0)),MS_NOM,0))-INDEX(TYP_LEAD,MATCH($A29,TYP_TYPE,0)))),""))</f>
        <v/>
      </c>
      <c r="T29" s="26">
        <f>IF(OR($A29="",$E29=""),0,IF($V29=1,0,1))</f>
        <v/>
      </c>
      <c r="U29" s="26">
        <f>IF($T29=0,0,IF($M29&lt;&gt;"",1,IF(IFERROR(INDEX(WF_CLASS,MATCH($H29,WF_CODE,0)),"")="Done",1,0)))</f>
        <v/>
      </c>
      <c r="V29" s="26">
        <f>IF(OR($A29="",$E29=""),0,IF(IFERROR(INDEX(WF_CLASS,MATCH($H29,WF_CODE,0)),"")="Inactive",1,0))</f>
        <v/>
      </c>
      <c r="W29" s="24">
        <f>IF($A29="","",IFERROR(INDEX(TYP_PHASE,MATCH($A29,TYP_TYPE,0)),"-"))</f>
        <v/>
      </c>
      <c r="X29" s="24">
        <f>IF(AND($T29=1,$U29=0,N($N29)&gt;0),$N29+ROW()/1000000,"")</f>
        <v/>
      </c>
      <c r="Y29" s="24">
        <f>IF(AND($T29=1,$U29=0,OR($I29&lt;&gt;"",N($N29)&gt;0)),N($N29)+ROW()/1000000,"")</f>
        <v/>
      </c>
      <c r="Z29" s="24">
        <f>IF(AND($T29=1,$U29=0,$I29="",N($N29)&lt;=0,-N($N29)&lt;=HORIZON),N($N29)+ROW()/1000000,"")</f>
        <v/>
      </c>
    </row>
    <row r="30">
      <c r="A30" s="21" t="inlineStr">
        <is>
          <t>System Commissioning Programme</t>
        </is>
      </c>
      <c r="B30" s="21" t="inlineStr">
        <is>
          <t>System</t>
        </is>
      </c>
      <c r="C30" s="21" t="inlineStr">
        <is>
          <t>SYS-LV</t>
        </is>
      </c>
      <c r="D30" s="21" t="n"/>
      <c r="E30" s="21" t="inlineStr">
        <is>
          <t>DMIC-SYS-LV-SCP-027</t>
        </is>
      </c>
      <c r="F30" s="21" t="inlineStr">
        <is>
          <t>D. Petrov</t>
        </is>
      </c>
      <c r="G30" s="21" t="inlineStr">
        <is>
          <t>R. Bellamy</t>
        </is>
      </c>
      <c r="H30" s="21" t="inlineStr"/>
      <c r="I30" s="22" t="n"/>
      <c r="J30" s="22" t="n"/>
      <c r="K30" s="23">
        <f>IF($A30="","",IF($J30&lt;&gt;"",$J30,$S30))</f>
        <v/>
      </c>
      <c r="L30" s="24">
        <f>IF(OR($A30="",$E30=""),"",IF($J30&lt;&gt;"","Manual",IF($S30="","-","Auto")))</f>
        <v/>
      </c>
      <c r="M30" s="22" t="n"/>
      <c r="N30" s="25">
        <f>IF($T30=0,"",IF($U30=1,IF($M30="","",$M30-$K30),IF($K30="","",TODAY()-$K30)))</f>
        <v/>
      </c>
      <c r="O30" s="24">
        <f>IF(OR($A30="",$E30=""),"",IF($V30=1,S_INACT,IF(ISNA(MATCH($A30,TYP_TYPE,0)),S_TYPEKO,IF($U30=1,S_DONE,IF(AND($K30="",$R30=""),S_NOSCOPE,IF($K30="",S_NOTARGET,IF($N30&gt;0,S_LATE,IF($I30&lt;&gt;"",S_WIP,IF(-$N30&lt;=FEN_DOC,S_RISK,IF(-$N30&lt;=HORIZON,S_COMING,S_NOTYET))))))))))</f>
        <v/>
      </c>
      <c r="P30" s="24">
        <f>IF(OR($A30="",$E30=""),"",IF($V30=1,"",IF(ISNA(MATCH($A30,TYP_TYPE,0)),"Type not in the library",IF($B30="","Scope not set",IF(AND($B30="System",$C30=""),"System not set",IF(AND($B30="Equipment",$D30=""),"Equipment not set",IF($F30="","Responsible not set",IF($K30="","No target date",IF(AND($B30="Equipment",$C30&lt;&gt;"",IFERROR(INDEX(EQP_SYS,MATCH($D30,EQP_NOM,0)),"")&lt;&gt;$C30),"Equipment not in that system",IF(AND($U30=1,$M30=""),"Approved with no approval date",""))))))))))</f>
        <v/>
      </c>
      <c r="Q30" s="21" t="n"/>
      <c r="R30" s="23">
        <f>IF(OR($A30="",$B30=""),"",IF($B30="Equipment",IFERROR(INDEX(EQP_START,MATCH($D30,EQP_NOM,0)),""),IF($B30="System",IFERROR(INDEX(SYS_EARLIEST,MATCH($C30,SYS_ID,0)),""),IF($B30="All",CTR_EARLIEST,""))))</f>
        <v/>
      </c>
      <c r="S30" s="23">
        <f>IF(OR($A30="",$E30=""),"",IFERROR(IF(INDEX(TYP_ANCHOR,MATCH($A30,TYP_TYPE,0))="Commissioning Start",IF($R30="","",$R30-INDEX(TYP_LEAD,MATCH($A30,TYP_TYPE,0))),IF(INDEX(MS_PLAN,MATCH(INDEX(TYP_ANCHOR,MATCH($A30,TYP_TYPE,0)),MS_NOM,0))="","",INDEX(MS_PLAN,MATCH(INDEX(TYP_ANCHOR,MATCH($A30,TYP_TYPE,0)),MS_NOM,0))-INDEX(TYP_LEAD,MATCH($A30,TYP_TYPE,0)))),""))</f>
        <v/>
      </c>
      <c r="T30" s="26">
        <f>IF(OR($A30="",$E30=""),0,IF($V30=1,0,1))</f>
        <v/>
      </c>
      <c r="U30" s="26">
        <f>IF($T30=0,0,IF($M30&lt;&gt;"",1,IF(IFERROR(INDEX(WF_CLASS,MATCH($H30,WF_CODE,0)),"")="Done",1,0)))</f>
        <v/>
      </c>
      <c r="V30" s="26">
        <f>IF(OR($A30="",$E30=""),0,IF(IFERROR(INDEX(WF_CLASS,MATCH($H30,WF_CODE,0)),"")="Inactive",1,0))</f>
        <v/>
      </c>
      <c r="W30" s="24">
        <f>IF($A30="","",IFERROR(INDEX(TYP_PHASE,MATCH($A30,TYP_TYPE,0)),"-"))</f>
        <v/>
      </c>
      <c r="X30" s="24">
        <f>IF(AND($T30=1,$U30=0,N($N30)&gt;0),$N30+ROW()/1000000,"")</f>
        <v/>
      </c>
      <c r="Y30" s="24">
        <f>IF(AND($T30=1,$U30=0,OR($I30&lt;&gt;"",N($N30)&gt;0)),N($N30)+ROW()/1000000,"")</f>
        <v/>
      </c>
      <c r="Z30" s="24">
        <f>IF(AND($T30=1,$U30=0,$I30="",N($N30)&lt;=0,-N($N30)&lt;=HORIZON),N($N30)+ROW()/1000000,"")</f>
        <v/>
      </c>
    </row>
    <row r="31">
      <c r="A31" s="21" t="inlineStr">
        <is>
          <t>Surveillance Programme</t>
        </is>
      </c>
      <c r="B31" s="21" t="inlineStr">
        <is>
          <t>System</t>
        </is>
      </c>
      <c r="C31" s="21" t="inlineStr">
        <is>
          <t>SYS-CC</t>
        </is>
      </c>
      <c r="D31" s="21" t="n"/>
      <c r="E31" s="21" t="inlineStr">
        <is>
          <t>DMIC-SYS-CC-SVP-028</t>
        </is>
      </c>
      <c r="F31" s="21" t="inlineStr">
        <is>
          <t>J. Whitfield</t>
        </is>
      </c>
      <c r="G31" s="21" t="inlineStr">
        <is>
          <t>N. Bergstrom</t>
        </is>
      </c>
      <c r="H31" s="21" t="inlineStr"/>
      <c r="I31" s="22" t="n"/>
      <c r="J31" s="22" t="n"/>
      <c r="K31" s="23">
        <f>IF($A31="","",IF($J31&lt;&gt;"",$J31,$S31))</f>
        <v/>
      </c>
      <c r="L31" s="24">
        <f>IF(OR($A31="",$E31=""),"",IF($J31&lt;&gt;"","Manual",IF($S31="","-","Auto")))</f>
        <v/>
      </c>
      <c r="M31" s="22" t="n"/>
      <c r="N31" s="25">
        <f>IF($T31=0,"",IF($U31=1,IF($M31="","",$M31-$K31),IF($K31="","",TODAY()-$K31)))</f>
        <v/>
      </c>
      <c r="O31" s="24">
        <f>IF(OR($A31="",$E31=""),"",IF($V31=1,S_INACT,IF(ISNA(MATCH($A31,TYP_TYPE,0)),S_TYPEKO,IF($U31=1,S_DONE,IF(AND($K31="",$R31=""),S_NOSCOPE,IF($K31="",S_NOTARGET,IF($N31&gt;0,S_LATE,IF($I31&lt;&gt;"",S_WIP,IF(-$N31&lt;=FEN_DOC,S_RISK,IF(-$N31&lt;=HORIZON,S_COMING,S_NOTYET))))))))))</f>
        <v/>
      </c>
      <c r="P31" s="24">
        <f>IF(OR($A31="",$E31=""),"",IF($V31=1,"",IF(ISNA(MATCH($A31,TYP_TYPE,0)),"Type not in the library",IF($B31="","Scope not set",IF(AND($B31="System",$C31=""),"System not set",IF(AND($B31="Equipment",$D31=""),"Equipment not set",IF($F31="","Responsible not set",IF($K31="","No target date",IF(AND($B31="Equipment",$C31&lt;&gt;"",IFERROR(INDEX(EQP_SYS,MATCH($D31,EQP_NOM,0)),"")&lt;&gt;$C31),"Equipment not in that system",IF(AND($U31=1,$M31=""),"Approved with no approval date",""))))))))))</f>
        <v/>
      </c>
      <c r="Q31" s="21" t="n"/>
      <c r="R31" s="23">
        <f>IF(OR($A31="",$B31=""),"",IF($B31="Equipment",IFERROR(INDEX(EQP_START,MATCH($D31,EQP_NOM,0)),""),IF($B31="System",IFERROR(INDEX(SYS_EARLIEST,MATCH($C31,SYS_ID,0)),""),IF($B31="All",CTR_EARLIEST,""))))</f>
        <v/>
      </c>
      <c r="S31" s="23">
        <f>IF(OR($A31="",$E31=""),"",IFERROR(IF(INDEX(TYP_ANCHOR,MATCH($A31,TYP_TYPE,0))="Commissioning Start",IF($R31="","",$R31-INDEX(TYP_LEAD,MATCH($A31,TYP_TYPE,0))),IF(INDEX(MS_PLAN,MATCH(INDEX(TYP_ANCHOR,MATCH($A31,TYP_TYPE,0)),MS_NOM,0))="","",INDEX(MS_PLAN,MATCH(INDEX(TYP_ANCHOR,MATCH($A31,TYP_TYPE,0)),MS_NOM,0))-INDEX(TYP_LEAD,MATCH($A31,TYP_TYPE,0)))),""))</f>
        <v/>
      </c>
      <c r="T31" s="26">
        <f>IF(OR($A31="",$E31=""),0,IF($V31=1,0,1))</f>
        <v/>
      </c>
      <c r="U31" s="26">
        <f>IF($T31=0,0,IF($M31&lt;&gt;"",1,IF(IFERROR(INDEX(WF_CLASS,MATCH($H31,WF_CODE,0)),"")="Done",1,0)))</f>
        <v/>
      </c>
      <c r="V31" s="26">
        <f>IF(OR($A31="",$E31=""),0,IF(IFERROR(INDEX(WF_CLASS,MATCH($H31,WF_CODE,0)),"")="Inactive",1,0))</f>
        <v/>
      </c>
      <c r="W31" s="24">
        <f>IF($A31="","",IFERROR(INDEX(TYP_PHASE,MATCH($A31,TYP_TYPE,0)),"-"))</f>
        <v/>
      </c>
      <c r="X31" s="24">
        <f>IF(AND($T31=1,$U31=0,N($N31)&gt;0),$N31+ROW()/1000000,"")</f>
        <v/>
      </c>
      <c r="Y31" s="24">
        <f>IF(AND($T31=1,$U31=0,OR($I31&lt;&gt;"",N($N31)&gt;0)),N($N31)+ROW()/1000000,"")</f>
        <v/>
      </c>
      <c r="Z31" s="24">
        <f>IF(AND($T31=1,$U31=0,$I31="",N($N31)&lt;=0,-N($N31)&lt;=HORIZON),N($N31)+ROW()/1000000,"")</f>
        <v/>
      </c>
    </row>
    <row r="32">
      <c r="A32" s="21" t="inlineStr">
        <is>
          <t>Safe System Of Work</t>
        </is>
      </c>
      <c r="B32" s="21" t="inlineStr">
        <is>
          <t>System</t>
        </is>
      </c>
      <c r="C32" s="21" t="inlineStr">
        <is>
          <t>SYS-CC</t>
        </is>
      </c>
      <c r="D32" s="21" t="n"/>
      <c r="E32" s="21" t="inlineStr">
        <is>
          <t>DMIC-SYS-CC-SSW-029</t>
        </is>
      </c>
      <c r="F32" s="21" t="inlineStr">
        <is>
          <t>P. Nakamura</t>
        </is>
      </c>
      <c r="G32" s="21" t="inlineStr">
        <is>
          <t>M. Haddad</t>
        </is>
      </c>
      <c r="H32" s="21" t="inlineStr"/>
      <c r="I32" s="22" t="n"/>
      <c r="J32" s="22" t="n"/>
      <c r="K32" s="23">
        <f>IF($A32="","",IF($J32&lt;&gt;"",$J32,$S32))</f>
        <v/>
      </c>
      <c r="L32" s="24">
        <f>IF(OR($A32="",$E32=""),"",IF($J32&lt;&gt;"","Manual",IF($S32="","-","Auto")))</f>
        <v/>
      </c>
      <c r="M32" s="22" t="n"/>
      <c r="N32" s="25">
        <f>IF($T32=0,"",IF($U32=1,IF($M32="","",$M32-$K32),IF($K32="","",TODAY()-$K32)))</f>
        <v/>
      </c>
      <c r="O32" s="24">
        <f>IF(OR($A32="",$E32=""),"",IF($V32=1,S_INACT,IF(ISNA(MATCH($A32,TYP_TYPE,0)),S_TYPEKO,IF($U32=1,S_DONE,IF(AND($K32="",$R32=""),S_NOSCOPE,IF($K32="",S_NOTARGET,IF($N32&gt;0,S_LATE,IF($I32&lt;&gt;"",S_WIP,IF(-$N32&lt;=FEN_DOC,S_RISK,IF(-$N32&lt;=HORIZON,S_COMING,S_NOTYET))))))))))</f>
        <v/>
      </c>
      <c r="P32" s="24">
        <f>IF(OR($A32="",$E32=""),"",IF($V32=1,"",IF(ISNA(MATCH($A32,TYP_TYPE,0)),"Type not in the library",IF($B32="","Scope not set",IF(AND($B32="System",$C32=""),"System not set",IF(AND($B32="Equipment",$D32=""),"Equipment not set",IF($F32="","Responsible not set",IF($K32="","No target date",IF(AND($B32="Equipment",$C32&lt;&gt;"",IFERROR(INDEX(EQP_SYS,MATCH($D32,EQP_NOM,0)),"")&lt;&gt;$C32),"Equipment not in that system",IF(AND($U32=1,$M32=""),"Approved with no approval date",""))))))))))</f>
        <v/>
      </c>
      <c r="Q32" s="21" t="n"/>
      <c r="R32" s="23">
        <f>IF(OR($A32="",$B32=""),"",IF($B32="Equipment",IFERROR(INDEX(EQP_START,MATCH($D32,EQP_NOM,0)),""),IF($B32="System",IFERROR(INDEX(SYS_EARLIEST,MATCH($C32,SYS_ID,0)),""),IF($B32="All",CTR_EARLIEST,""))))</f>
        <v/>
      </c>
      <c r="S32" s="23">
        <f>IF(OR($A32="",$E32=""),"",IFERROR(IF(INDEX(TYP_ANCHOR,MATCH($A32,TYP_TYPE,0))="Commissioning Start",IF($R32="","",$R32-INDEX(TYP_LEAD,MATCH($A32,TYP_TYPE,0))),IF(INDEX(MS_PLAN,MATCH(INDEX(TYP_ANCHOR,MATCH($A32,TYP_TYPE,0)),MS_NOM,0))="","",INDEX(MS_PLAN,MATCH(INDEX(TYP_ANCHOR,MATCH($A32,TYP_TYPE,0)),MS_NOM,0))-INDEX(TYP_LEAD,MATCH($A32,TYP_TYPE,0)))),""))</f>
        <v/>
      </c>
      <c r="T32" s="26">
        <f>IF(OR($A32="",$E32=""),0,IF($V32=1,0,1))</f>
        <v/>
      </c>
      <c r="U32" s="26">
        <f>IF($T32=0,0,IF($M32&lt;&gt;"",1,IF(IFERROR(INDEX(WF_CLASS,MATCH($H32,WF_CODE,0)),"")="Done",1,0)))</f>
        <v/>
      </c>
      <c r="V32" s="26">
        <f>IF(OR($A32="",$E32=""),0,IF(IFERROR(INDEX(WF_CLASS,MATCH($H32,WF_CODE,0)),"")="Inactive",1,0))</f>
        <v/>
      </c>
      <c r="W32" s="24">
        <f>IF($A32="","",IFERROR(INDEX(TYP_PHASE,MATCH($A32,TYP_TYPE,0)),"-"))</f>
        <v/>
      </c>
      <c r="X32" s="24">
        <f>IF(AND($T32=1,$U32=0,N($N32)&gt;0),$N32+ROW()/1000000,"")</f>
        <v/>
      </c>
      <c r="Y32" s="24">
        <f>IF(AND($T32=1,$U32=0,OR($I32&lt;&gt;"",N($N32)&gt;0)),N($N32)+ROW()/1000000,"")</f>
        <v/>
      </c>
      <c r="Z32" s="24">
        <f>IF(AND($T32=1,$U32=0,$I32="",N($N32)&lt;=0,-N($N32)&lt;=HORIZON),N($N32)+ROW()/1000000,"")</f>
        <v/>
      </c>
    </row>
    <row r="33">
      <c r="A33" s="21" t="inlineStr">
        <is>
          <t>Risk Assessment And Method Statement</t>
        </is>
      </c>
      <c r="B33" s="21" t="inlineStr">
        <is>
          <t>System</t>
        </is>
      </c>
      <c r="C33" s="21" t="inlineStr">
        <is>
          <t>SYS-CC</t>
        </is>
      </c>
      <c r="D33" s="21" t="n"/>
      <c r="E33" s="21" t="inlineStr">
        <is>
          <t>DMIC-SYS-CC-RAM-030</t>
        </is>
      </c>
      <c r="F33" s="21" t="inlineStr">
        <is>
          <t>K. Rasmussen</t>
        </is>
      </c>
      <c r="G33" s="21" t="inlineStr">
        <is>
          <t>C. Vasquez</t>
        </is>
      </c>
      <c r="H33" s="21" t="inlineStr">
        <is>
          <t>W0 - Work In Progress</t>
        </is>
      </c>
      <c r="I33" s="22" t="n"/>
      <c r="J33" s="22" t="n"/>
      <c r="K33" s="23">
        <f>IF($A33="","",IF($J33&lt;&gt;"",$J33,$S33))</f>
        <v/>
      </c>
      <c r="L33" s="24">
        <f>IF(OR($A33="",$E33=""),"",IF($J33&lt;&gt;"","Manual",IF($S33="","-","Auto")))</f>
        <v/>
      </c>
      <c r="M33" s="22" t="n"/>
      <c r="N33" s="25">
        <f>IF($T33=0,"",IF($U33=1,IF($M33="","",$M33-$K33),IF($K33="","",TODAY()-$K33)))</f>
        <v/>
      </c>
      <c r="O33" s="24">
        <f>IF(OR($A33="",$E33=""),"",IF($V33=1,S_INACT,IF(ISNA(MATCH($A33,TYP_TYPE,0)),S_TYPEKO,IF($U33=1,S_DONE,IF(AND($K33="",$R33=""),S_NOSCOPE,IF($K33="",S_NOTARGET,IF($N33&gt;0,S_LATE,IF($I33&lt;&gt;"",S_WIP,IF(-$N33&lt;=FEN_DOC,S_RISK,IF(-$N33&lt;=HORIZON,S_COMING,S_NOTYET))))))))))</f>
        <v/>
      </c>
      <c r="P33" s="24">
        <f>IF(OR($A33="",$E33=""),"",IF($V33=1,"",IF(ISNA(MATCH($A33,TYP_TYPE,0)),"Type not in the library",IF($B33="","Scope not set",IF(AND($B33="System",$C33=""),"System not set",IF(AND($B33="Equipment",$D33=""),"Equipment not set",IF($F33="","Responsible not set",IF($K33="","No target date",IF(AND($B33="Equipment",$C33&lt;&gt;"",IFERROR(INDEX(EQP_SYS,MATCH($D33,EQP_NOM,0)),"")&lt;&gt;$C33),"Equipment not in that system",IF(AND($U33=1,$M33=""),"Approved with no approval date",""))))))))))</f>
        <v/>
      </c>
      <c r="Q33" s="21" t="n"/>
      <c r="R33" s="23">
        <f>IF(OR($A33="",$B33=""),"",IF($B33="Equipment",IFERROR(INDEX(EQP_START,MATCH($D33,EQP_NOM,0)),""),IF($B33="System",IFERROR(INDEX(SYS_EARLIEST,MATCH($C33,SYS_ID,0)),""),IF($B33="All",CTR_EARLIEST,""))))</f>
        <v/>
      </c>
      <c r="S33" s="23">
        <f>IF(OR($A33="",$E33=""),"",IFERROR(IF(INDEX(TYP_ANCHOR,MATCH($A33,TYP_TYPE,0))="Commissioning Start",IF($R33="","",$R33-INDEX(TYP_LEAD,MATCH($A33,TYP_TYPE,0))),IF(INDEX(MS_PLAN,MATCH(INDEX(TYP_ANCHOR,MATCH($A33,TYP_TYPE,0)),MS_NOM,0))="","",INDEX(MS_PLAN,MATCH(INDEX(TYP_ANCHOR,MATCH($A33,TYP_TYPE,0)),MS_NOM,0))-INDEX(TYP_LEAD,MATCH($A33,TYP_TYPE,0)))),""))</f>
        <v/>
      </c>
      <c r="T33" s="26">
        <f>IF(OR($A33="",$E33=""),0,IF($V33=1,0,1))</f>
        <v/>
      </c>
      <c r="U33" s="26">
        <f>IF($T33=0,0,IF($M33&lt;&gt;"",1,IF(IFERROR(INDEX(WF_CLASS,MATCH($H33,WF_CODE,0)),"")="Done",1,0)))</f>
        <v/>
      </c>
      <c r="V33" s="26">
        <f>IF(OR($A33="",$E33=""),0,IF(IFERROR(INDEX(WF_CLASS,MATCH($H33,WF_CODE,0)),"")="Inactive",1,0))</f>
        <v/>
      </c>
      <c r="W33" s="24">
        <f>IF($A33="","",IFERROR(INDEX(TYP_PHASE,MATCH($A33,TYP_TYPE,0)),"-"))</f>
        <v/>
      </c>
      <c r="X33" s="24">
        <f>IF(AND($T33=1,$U33=0,N($N33)&gt;0),$N33+ROW()/1000000,"")</f>
        <v/>
      </c>
      <c r="Y33" s="24">
        <f>IF(AND($T33=1,$U33=0,OR($I33&lt;&gt;"",N($N33)&gt;0)),N($N33)+ROW()/1000000,"")</f>
        <v/>
      </c>
      <c r="Z33" s="24">
        <f>IF(AND($T33=1,$U33=0,$I33="",N($N33)&lt;=0,-N($N33)&lt;=HORIZON),N($N33)+ROW()/1000000,"")</f>
        <v/>
      </c>
    </row>
    <row r="34">
      <c r="A34" s="21" t="inlineStr">
        <is>
          <t>Commissioning Procedure</t>
        </is>
      </c>
      <c r="B34" s="21" t="inlineStr">
        <is>
          <t>Equipment</t>
        </is>
      </c>
      <c r="C34" s="21" t="inlineStr">
        <is>
          <t>SYS-TP</t>
        </is>
      </c>
      <c r="D34" s="21" t="inlineStr">
        <is>
          <t>TP-BSS-01 Bulk Supply Substation</t>
        </is>
      </c>
      <c r="E34" s="21" t="inlineStr">
        <is>
          <t>DMIC-SYS-TP-CPR-031</t>
        </is>
      </c>
      <c r="F34" s="21" t="inlineStr">
        <is>
          <t>R. Bellamy</t>
        </is>
      </c>
      <c r="G34" s="21" t="inlineStr">
        <is>
          <t>H. Lindqvist</t>
        </is>
      </c>
      <c r="H34" s="21" t="inlineStr">
        <is>
          <t>S4 - For Internal Approval</t>
        </is>
      </c>
      <c r="I34" s="22" t="n">
        <v>46173</v>
      </c>
      <c r="J34" s="22" t="n"/>
      <c r="K34" s="23">
        <f>IF($A34="","",IF($J34&lt;&gt;"",$J34,$S34))</f>
        <v/>
      </c>
      <c r="L34" s="24">
        <f>IF(OR($A34="",$E34=""),"",IF($J34&lt;&gt;"","Manual",IF($S34="","-","Auto")))</f>
        <v/>
      </c>
      <c r="M34" s="22" t="n"/>
      <c r="N34" s="25">
        <f>IF($T34=0,"",IF($U34=1,IF($M34="","",$M34-$K34),IF($K34="","",TODAY()-$K34)))</f>
        <v/>
      </c>
      <c r="O34" s="24">
        <f>IF(OR($A34="",$E34=""),"",IF($V34=1,S_INACT,IF(ISNA(MATCH($A34,TYP_TYPE,0)),S_TYPEKO,IF($U34=1,S_DONE,IF(AND($K34="",$R34=""),S_NOSCOPE,IF($K34="",S_NOTARGET,IF($N34&gt;0,S_LATE,IF($I34&lt;&gt;"",S_WIP,IF(-$N34&lt;=FEN_DOC,S_RISK,IF(-$N34&lt;=HORIZON,S_COMING,S_NOTYET))))))))))</f>
        <v/>
      </c>
      <c r="P34" s="24">
        <f>IF(OR($A34="",$E34=""),"",IF($V34=1,"",IF(ISNA(MATCH($A34,TYP_TYPE,0)),"Type not in the library",IF($B34="","Scope not set",IF(AND($B34="System",$C34=""),"System not set",IF(AND($B34="Equipment",$D34=""),"Equipment not set",IF($F34="","Responsible not set",IF($K34="","No target date",IF(AND($B34="Equipment",$C34&lt;&gt;"",IFERROR(INDEX(EQP_SYS,MATCH($D34,EQP_NOM,0)),"")&lt;&gt;$C34),"Equipment not in that system",IF(AND($U34=1,$M34=""),"Approved with no approval date",""))))))))))</f>
        <v/>
      </c>
      <c r="Q34" s="21" t="n"/>
      <c r="R34" s="23">
        <f>IF(OR($A34="",$B34=""),"",IF($B34="Equipment",IFERROR(INDEX(EQP_START,MATCH($D34,EQP_NOM,0)),""),IF($B34="System",IFERROR(INDEX(SYS_EARLIEST,MATCH($C34,SYS_ID,0)),""),IF($B34="All",CTR_EARLIEST,""))))</f>
        <v/>
      </c>
      <c r="S34" s="23">
        <f>IF(OR($A34="",$E34=""),"",IFERROR(IF(INDEX(TYP_ANCHOR,MATCH($A34,TYP_TYPE,0))="Commissioning Start",IF($R34="","",$R34-INDEX(TYP_LEAD,MATCH($A34,TYP_TYPE,0))),IF(INDEX(MS_PLAN,MATCH(INDEX(TYP_ANCHOR,MATCH($A34,TYP_TYPE,0)),MS_NOM,0))="","",INDEX(MS_PLAN,MATCH(INDEX(TYP_ANCHOR,MATCH($A34,TYP_TYPE,0)),MS_NOM,0))-INDEX(TYP_LEAD,MATCH($A34,TYP_TYPE,0)))),""))</f>
        <v/>
      </c>
      <c r="T34" s="26">
        <f>IF(OR($A34="",$E34=""),0,IF($V34=1,0,1))</f>
        <v/>
      </c>
      <c r="U34" s="26">
        <f>IF($T34=0,0,IF($M34&lt;&gt;"",1,IF(IFERROR(INDEX(WF_CLASS,MATCH($H34,WF_CODE,0)),"")="Done",1,0)))</f>
        <v/>
      </c>
      <c r="V34" s="26">
        <f>IF(OR($A34="",$E34=""),0,IF(IFERROR(INDEX(WF_CLASS,MATCH($H34,WF_CODE,0)),"")="Inactive",1,0))</f>
        <v/>
      </c>
      <c r="W34" s="24">
        <f>IF($A34="","",IFERROR(INDEX(TYP_PHASE,MATCH($A34,TYP_TYPE,0)),"-"))</f>
        <v/>
      </c>
      <c r="X34" s="24">
        <f>IF(AND($T34=1,$U34=0,N($N34)&gt;0),$N34+ROW()/1000000,"")</f>
        <v/>
      </c>
      <c r="Y34" s="24">
        <f>IF(AND($T34=1,$U34=0,OR($I34&lt;&gt;"",N($N34)&gt;0)),N($N34)+ROW()/1000000,"")</f>
        <v/>
      </c>
      <c r="Z34" s="24">
        <f>IF(AND($T34=1,$U34=0,$I34="",N($N34)&lt;=0,-N($N34)&lt;=HORIZON),N($N34)+ROW()/1000000,"")</f>
        <v/>
      </c>
    </row>
    <row r="35">
      <c r="A35" s="21" t="inlineStr">
        <is>
          <t>Inspection and Test Plan</t>
        </is>
      </c>
      <c r="B35" s="21" t="inlineStr">
        <is>
          <t>Equipment</t>
        </is>
      </c>
      <c r="C35" s="21" t="inlineStr">
        <is>
          <t>SYS-TP</t>
        </is>
      </c>
      <c r="D35" s="21" t="inlineStr">
        <is>
          <t>TP-BSS-01 Bulk Supply Substation</t>
        </is>
      </c>
      <c r="E35" s="21" t="inlineStr">
        <is>
          <t>DMIC-SYS-TP-ITP-032</t>
        </is>
      </c>
      <c r="F35" s="21" t="inlineStr">
        <is>
          <t>N. Bergstrom</t>
        </is>
      </c>
      <c r="G35" s="21" t="inlineStr">
        <is>
          <t>A. Mercer</t>
        </is>
      </c>
      <c r="H35" s="21" t="inlineStr">
        <is>
          <t>P6 - For Construction</t>
        </is>
      </c>
      <c r="I35" s="22" t="n"/>
      <c r="J35" s="22" t="n"/>
      <c r="K35" s="23">
        <f>IF($A35="","",IF($J35&lt;&gt;"",$J35,$S35))</f>
        <v/>
      </c>
      <c r="L35" s="24">
        <f>IF(OR($A35="",$E35=""),"",IF($J35&lt;&gt;"","Manual",IF($S35="","-","Auto")))</f>
        <v/>
      </c>
      <c r="M35" s="22" t="n">
        <v>46234</v>
      </c>
      <c r="N35" s="25">
        <f>IF($T35=0,"",IF($U35=1,IF($M35="","",$M35-$K35),IF($K35="","",TODAY()-$K35)))</f>
        <v/>
      </c>
      <c r="O35" s="24">
        <f>IF(OR($A35="",$E35=""),"",IF($V35=1,S_INACT,IF(ISNA(MATCH($A35,TYP_TYPE,0)),S_TYPEKO,IF($U35=1,S_DONE,IF(AND($K35="",$R35=""),S_NOSCOPE,IF($K35="",S_NOTARGET,IF($N35&gt;0,S_LATE,IF($I35&lt;&gt;"",S_WIP,IF(-$N35&lt;=FEN_DOC,S_RISK,IF(-$N35&lt;=HORIZON,S_COMING,S_NOTYET))))))))))</f>
        <v/>
      </c>
      <c r="P35" s="24">
        <f>IF(OR($A35="",$E35=""),"",IF($V35=1,"",IF(ISNA(MATCH($A35,TYP_TYPE,0)),"Type not in the library",IF($B35="","Scope not set",IF(AND($B35="System",$C35=""),"System not set",IF(AND($B35="Equipment",$D35=""),"Equipment not set",IF($F35="","Responsible not set",IF($K35="","No target date",IF(AND($B35="Equipment",$C35&lt;&gt;"",IFERROR(INDEX(EQP_SYS,MATCH($D35,EQP_NOM,0)),"")&lt;&gt;$C35),"Equipment not in that system",IF(AND($U35=1,$M35=""),"Approved with no approval date",""))))))))))</f>
        <v/>
      </c>
      <c r="Q35" s="21" t="n"/>
      <c r="R35" s="23">
        <f>IF(OR($A35="",$B35=""),"",IF($B35="Equipment",IFERROR(INDEX(EQP_START,MATCH($D35,EQP_NOM,0)),""),IF($B35="System",IFERROR(INDEX(SYS_EARLIEST,MATCH($C35,SYS_ID,0)),""),IF($B35="All",CTR_EARLIEST,""))))</f>
        <v/>
      </c>
      <c r="S35" s="23">
        <f>IF(OR($A35="",$E35=""),"",IFERROR(IF(INDEX(TYP_ANCHOR,MATCH($A35,TYP_TYPE,0))="Commissioning Start",IF($R35="","",$R35-INDEX(TYP_LEAD,MATCH($A35,TYP_TYPE,0))),IF(INDEX(MS_PLAN,MATCH(INDEX(TYP_ANCHOR,MATCH($A35,TYP_TYPE,0)),MS_NOM,0))="","",INDEX(MS_PLAN,MATCH(INDEX(TYP_ANCHOR,MATCH($A35,TYP_TYPE,0)),MS_NOM,0))-INDEX(TYP_LEAD,MATCH($A35,TYP_TYPE,0)))),""))</f>
        <v/>
      </c>
      <c r="T35" s="26">
        <f>IF(OR($A35="",$E35=""),0,IF($V35=1,0,1))</f>
        <v/>
      </c>
      <c r="U35" s="26">
        <f>IF($T35=0,0,IF($M35&lt;&gt;"",1,IF(IFERROR(INDEX(WF_CLASS,MATCH($H35,WF_CODE,0)),"")="Done",1,0)))</f>
        <v/>
      </c>
      <c r="V35" s="26">
        <f>IF(OR($A35="",$E35=""),0,IF(IFERROR(INDEX(WF_CLASS,MATCH($H35,WF_CODE,0)),"")="Inactive",1,0))</f>
        <v/>
      </c>
      <c r="W35" s="24">
        <f>IF($A35="","",IFERROR(INDEX(TYP_PHASE,MATCH($A35,TYP_TYPE,0)),"-"))</f>
        <v/>
      </c>
      <c r="X35" s="24">
        <f>IF(AND($T35=1,$U35=0,N($N35)&gt;0),$N35+ROW()/1000000,"")</f>
        <v/>
      </c>
      <c r="Y35" s="24">
        <f>IF(AND($T35=1,$U35=0,OR($I35&lt;&gt;"",N($N35)&gt;0)),N($N35)+ROW()/1000000,"")</f>
        <v/>
      </c>
      <c r="Z35" s="24">
        <f>IF(AND($T35=1,$U35=0,$I35="",N($N35)&lt;=0,-N($N35)&lt;=HORIZON),N($N35)+ROW()/1000000,"")</f>
        <v/>
      </c>
    </row>
    <row r="36">
      <c r="A36" s="21" t="inlineStr">
        <is>
          <t>Planned End Of Erection Status Report</t>
        </is>
      </c>
      <c r="B36" s="21" t="inlineStr">
        <is>
          <t>Equipment</t>
        </is>
      </c>
      <c r="C36" s="21" t="inlineStr">
        <is>
          <t>SYS-TP</t>
        </is>
      </c>
      <c r="D36" s="21" t="inlineStr">
        <is>
          <t>TP-BSS-01 Bulk Supply Substation</t>
        </is>
      </c>
      <c r="E36" s="21" t="inlineStr">
        <is>
          <t>DMIC-SYS-TP-PER-033</t>
        </is>
      </c>
      <c r="F36" s="21" t="inlineStr">
        <is>
          <t>M. Haddad</t>
        </is>
      </c>
      <c r="G36" s="21" t="inlineStr">
        <is>
          <t>S. Okonkwo</t>
        </is>
      </c>
      <c r="H36" s="21" t="inlineStr">
        <is>
          <t>S4A - Approved</t>
        </is>
      </c>
      <c r="I36" s="22" t="n"/>
      <c r="J36" s="22" t="n"/>
      <c r="K36" s="23">
        <f>IF($A36="","",IF($J36&lt;&gt;"",$J36,$S36))</f>
        <v/>
      </c>
      <c r="L36" s="24">
        <f>IF(OR($A36="",$E36=""),"",IF($J36&lt;&gt;"","Manual",IF($S36="","-","Auto")))</f>
        <v/>
      </c>
      <c r="M36" s="22" t="n">
        <v>46254</v>
      </c>
      <c r="N36" s="25">
        <f>IF($T36=0,"",IF($U36=1,IF($M36="","",$M36-$K36),IF($K36="","",TODAY()-$K36)))</f>
        <v/>
      </c>
      <c r="O36" s="24">
        <f>IF(OR($A36="",$E36=""),"",IF($V36=1,S_INACT,IF(ISNA(MATCH($A36,TYP_TYPE,0)),S_TYPEKO,IF($U36=1,S_DONE,IF(AND($K36="",$R36=""),S_NOSCOPE,IF($K36="",S_NOTARGET,IF($N36&gt;0,S_LATE,IF($I36&lt;&gt;"",S_WIP,IF(-$N36&lt;=FEN_DOC,S_RISK,IF(-$N36&lt;=HORIZON,S_COMING,S_NOTYET))))))))))</f>
        <v/>
      </c>
      <c r="P36" s="24">
        <f>IF(OR($A36="",$E36=""),"",IF($V36=1,"",IF(ISNA(MATCH($A36,TYP_TYPE,0)),"Type not in the library",IF($B36="","Scope not set",IF(AND($B36="System",$C36=""),"System not set",IF(AND($B36="Equipment",$D36=""),"Equipment not set",IF($F36="","Responsible not set",IF($K36="","No target date",IF(AND($B36="Equipment",$C36&lt;&gt;"",IFERROR(INDEX(EQP_SYS,MATCH($D36,EQP_NOM,0)),"")&lt;&gt;$C36),"Equipment not in that system",IF(AND($U36=1,$M36=""),"Approved with no approval date",""))))))))))</f>
        <v/>
      </c>
      <c r="Q36" s="21" t="n"/>
      <c r="R36" s="23">
        <f>IF(OR($A36="",$B36=""),"",IF($B36="Equipment",IFERROR(INDEX(EQP_START,MATCH($D36,EQP_NOM,0)),""),IF($B36="System",IFERROR(INDEX(SYS_EARLIEST,MATCH($C36,SYS_ID,0)),""),IF($B36="All",CTR_EARLIEST,""))))</f>
        <v/>
      </c>
      <c r="S36" s="23">
        <f>IF(OR($A36="",$E36=""),"",IFERROR(IF(INDEX(TYP_ANCHOR,MATCH($A36,TYP_TYPE,0))="Commissioning Start",IF($R36="","",$R36-INDEX(TYP_LEAD,MATCH($A36,TYP_TYPE,0))),IF(INDEX(MS_PLAN,MATCH(INDEX(TYP_ANCHOR,MATCH($A36,TYP_TYPE,0)),MS_NOM,0))="","",INDEX(MS_PLAN,MATCH(INDEX(TYP_ANCHOR,MATCH($A36,TYP_TYPE,0)),MS_NOM,0))-INDEX(TYP_LEAD,MATCH($A36,TYP_TYPE,0)))),""))</f>
        <v/>
      </c>
      <c r="T36" s="26">
        <f>IF(OR($A36="",$E36=""),0,IF($V36=1,0,1))</f>
        <v/>
      </c>
      <c r="U36" s="26">
        <f>IF($T36=0,0,IF($M36&lt;&gt;"",1,IF(IFERROR(INDEX(WF_CLASS,MATCH($H36,WF_CODE,0)),"")="Done",1,0)))</f>
        <v/>
      </c>
      <c r="V36" s="26">
        <f>IF(OR($A36="",$E36=""),0,IF(IFERROR(INDEX(WF_CLASS,MATCH($H36,WF_CODE,0)),"")="Inactive",1,0))</f>
        <v/>
      </c>
      <c r="W36" s="24">
        <f>IF($A36="","",IFERROR(INDEX(TYP_PHASE,MATCH($A36,TYP_TYPE,0)),"-"))</f>
        <v/>
      </c>
      <c r="X36" s="24">
        <f>IF(AND($T36=1,$U36=0,N($N36)&gt;0),$N36+ROW()/1000000,"")</f>
        <v/>
      </c>
      <c r="Y36" s="24">
        <f>IF(AND($T36=1,$U36=0,OR($I36&lt;&gt;"",N($N36)&gt;0)),N($N36)+ROW()/1000000,"")</f>
        <v/>
      </c>
      <c r="Z36" s="24">
        <f>IF(AND($T36=1,$U36=0,$I36="",N($N36)&lt;=0,-N($N36)&lt;=HORIZON),N($N36)+ROW()/1000000,"")</f>
        <v/>
      </c>
    </row>
    <row r="37">
      <c r="A37" s="21" t="inlineStr">
        <is>
          <t>Commissioning Procedure</t>
        </is>
      </c>
      <c r="B37" s="21" t="inlineStr">
        <is>
          <t>Equipment</t>
        </is>
      </c>
      <c r="C37" s="21" t="inlineStr">
        <is>
          <t>SYS-TP</t>
        </is>
      </c>
      <c r="D37" s="21" t="inlineStr">
        <is>
          <t>TP-TSS-02 Traction Substation Alpha</t>
        </is>
      </c>
      <c r="E37" s="21" t="inlineStr">
        <is>
          <t>DMIC-SYS-TP-CPR-034</t>
        </is>
      </c>
      <c r="F37" s="21" t="inlineStr">
        <is>
          <t>C. Vasquez</t>
        </is>
      </c>
      <c r="G37" s="21" t="inlineStr">
        <is>
          <t>L. Fontaine</t>
        </is>
      </c>
      <c r="H37" s="21" t="inlineStr">
        <is>
          <t>P1 - For Implementation</t>
        </is>
      </c>
      <c r="I37" s="22" t="n"/>
      <c r="J37" s="22" t="n"/>
      <c r="K37" s="23">
        <f>IF($A37="","",IF($J37&lt;&gt;"",$J37,$S37))</f>
        <v/>
      </c>
      <c r="L37" s="24">
        <f>IF(OR($A37="",$E37=""),"",IF($J37&lt;&gt;"","Manual",IF($S37="","-","Auto")))</f>
        <v/>
      </c>
      <c r="M37" s="22" t="n">
        <v>46245</v>
      </c>
      <c r="N37" s="25">
        <f>IF($T37=0,"",IF($U37=1,IF($M37="","",$M37-$K37),IF($K37="","",TODAY()-$K37)))</f>
        <v/>
      </c>
      <c r="O37" s="24">
        <f>IF(OR($A37="",$E37=""),"",IF($V37=1,S_INACT,IF(ISNA(MATCH($A37,TYP_TYPE,0)),S_TYPEKO,IF($U37=1,S_DONE,IF(AND($K37="",$R37=""),S_NOSCOPE,IF($K37="",S_NOTARGET,IF($N37&gt;0,S_LATE,IF($I37&lt;&gt;"",S_WIP,IF(-$N37&lt;=FEN_DOC,S_RISK,IF(-$N37&lt;=HORIZON,S_COMING,S_NOTYET))))))))))</f>
        <v/>
      </c>
      <c r="P37" s="24">
        <f>IF(OR($A37="",$E37=""),"",IF($V37=1,"",IF(ISNA(MATCH($A37,TYP_TYPE,0)),"Type not in the library",IF($B37="","Scope not set",IF(AND($B37="System",$C37=""),"System not set",IF(AND($B37="Equipment",$D37=""),"Equipment not set",IF($F37="","Responsible not set",IF($K37="","No target date",IF(AND($B37="Equipment",$C37&lt;&gt;"",IFERROR(INDEX(EQP_SYS,MATCH($D37,EQP_NOM,0)),"")&lt;&gt;$C37),"Equipment not in that system",IF(AND($U37=1,$M37=""),"Approved with no approval date",""))))))))))</f>
        <v/>
      </c>
      <c r="Q37" s="21" t="n"/>
      <c r="R37" s="23">
        <f>IF(OR($A37="",$B37=""),"",IF($B37="Equipment",IFERROR(INDEX(EQP_START,MATCH($D37,EQP_NOM,0)),""),IF($B37="System",IFERROR(INDEX(SYS_EARLIEST,MATCH($C37,SYS_ID,0)),""),IF($B37="All",CTR_EARLIEST,""))))</f>
        <v/>
      </c>
      <c r="S37" s="23">
        <f>IF(OR($A37="",$E37=""),"",IFERROR(IF(INDEX(TYP_ANCHOR,MATCH($A37,TYP_TYPE,0))="Commissioning Start",IF($R37="","",$R37-INDEX(TYP_LEAD,MATCH($A37,TYP_TYPE,0))),IF(INDEX(MS_PLAN,MATCH(INDEX(TYP_ANCHOR,MATCH($A37,TYP_TYPE,0)),MS_NOM,0))="","",INDEX(MS_PLAN,MATCH(INDEX(TYP_ANCHOR,MATCH($A37,TYP_TYPE,0)),MS_NOM,0))-INDEX(TYP_LEAD,MATCH($A37,TYP_TYPE,0)))),""))</f>
        <v/>
      </c>
      <c r="T37" s="26">
        <f>IF(OR($A37="",$E37=""),0,IF($V37=1,0,1))</f>
        <v/>
      </c>
      <c r="U37" s="26">
        <f>IF($T37=0,0,IF($M37&lt;&gt;"",1,IF(IFERROR(INDEX(WF_CLASS,MATCH($H37,WF_CODE,0)),"")="Done",1,0)))</f>
        <v/>
      </c>
      <c r="V37" s="26">
        <f>IF(OR($A37="",$E37=""),0,IF(IFERROR(INDEX(WF_CLASS,MATCH($H37,WF_CODE,0)),"")="Inactive",1,0))</f>
        <v/>
      </c>
      <c r="W37" s="24">
        <f>IF($A37="","",IFERROR(INDEX(TYP_PHASE,MATCH($A37,TYP_TYPE,0)),"-"))</f>
        <v/>
      </c>
      <c r="X37" s="24">
        <f>IF(AND($T37=1,$U37=0,N($N37)&gt;0),$N37+ROW()/1000000,"")</f>
        <v/>
      </c>
      <c r="Y37" s="24">
        <f>IF(AND($T37=1,$U37=0,OR($I37&lt;&gt;"",N($N37)&gt;0)),N($N37)+ROW()/1000000,"")</f>
        <v/>
      </c>
      <c r="Z37" s="24">
        <f>IF(AND($T37=1,$U37=0,$I37="",N($N37)&lt;=0,-N($N37)&lt;=HORIZON),N($N37)+ROW()/1000000,"")</f>
        <v/>
      </c>
    </row>
    <row r="38">
      <c r="A38" s="21" t="inlineStr">
        <is>
          <t>Inspection and Test Plan</t>
        </is>
      </c>
      <c r="B38" s="21" t="inlineStr">
        <is>
          <t>Equipment</t>
        </is>
      </c>
      <c r="C38" s="21" t="inlineStr">
        <is>
          <t>SYS-TP</t>
        </is>
      </c>
      <c r="D38" s="21" t="inlineStr">
        <is>
          <t>TP-TSS-02 Traction Substation Alpha</t>
        </is>
      </c>
      <c r="E38" s="21" t="inlineStr">
        <is>
          <t>DMIC-SYS-TP-ITP-035</t>
        </is>
      </c>
      <c r="F38" s="21" t="inlineStr">
        <is>
          <t>H. Lindqvist</t>
        </is>
      </c>
      <c r="G38" s="21" t="inlineStr">
        <is>
          <t>D. Petrov</t>
        </is>
      </c>
      <c r="H38" s="21" t="inlineStr">
        <is>
          <t>P6 - For Construction</t>
        </is>
      </c>
      <c r="I38" s="22" t="n"/>
      <c r="J38" s="22" t="n"/>
      <c r="K38" s="23">
        <f>IF($A38="","",IF($J38&lt;&gt;"",$J38,$S38))</f>
        <v/>
      </c>
      <c r="L38" s="24">
        <f>IF(OR($A38="",$E38=""),"",IF($J38&lt;&gt;"","Manual",IF($S38="","-","Auto")))</f>
        <v/>
      </c>
      <c r="M38" s="22" t="n">
        <v>46246</v>
      </c>
      <c r="N38" s="25">
        <f>IF($T38=0,"",IF($U38=1,IF($M38="","",$M38-$K38),IF($K38="","",TODAY()-$K38)))</f>
        <v/>
      </c>
      <c r="O38" s="24">
        <f>IF(OR($A38="",$E38=""),"",IF($V38=1,S_INACT,IF(ISNA(MATCH($A38,TYP_TYPE,0)),S_TYPEKO,IF($U38=1,S_DONE,IF(AND($K38="",$R38=""),S_NOSCOPE,IF($K38="",S_NOTARGET,IF($N38&gt;0,S_LATE,IF($I38&lt;&gt;"",S_WIP,IF(-$N38&lt;=FEN_DOC,S_RISK,IF(-$N38&lt;=HORIZON,S_COMING,S_NOTYET))))))))))</f>
        <v/>
      </c>
      <c r="P38" s="24">
        <f>IF(OR($A38="",$E38=""),"",IF($V38=1,"",IF(ISNA(MATCH($A38,TYP_TYPE,0)),"Type not in the library",IF($B38="","Scope not set",IF(AND($B38="System",$C38=""),"System not set",IF(AND($B38="Equipment",$D38=""),"Equipment not set",IF($F38="","Responsible not set",IF($K38="","No target date",IF(AND($B38="Equipment",$C38&lt;&gt;"",IFERROR(INDEX(EQP_SYS,MATCH($D38,EQP_NOM,0)),"")&lt;&gt;$C38),"Equipment not in that system",IF(AND($U38=1,$M38=""),"Approved with no approval date",""))))))))))</f>
        <v/>
      </c>
      <c r="Q38" s="21" t="n"/>
      <c r="R38" s="23">
        <f>IF(OR($A38="",$B38=""),"",IF($B38="Equipment",IFERROR(INDEX(EQP_START,MATCH($D38,EQP_NOM,0)),""),IF($B38="System",IFERROR(INDEX(SYS_EARLIEST,MATCH($C38,SYS_ID,0)),""),IF($B38="All",CTR_EARLIEST,""))))</f>
        <v/>
      </c>
      <c r="S38" s="23">
        <f>IF(OR($A38="",$E38=""),"",IFERROR(IF(INDEX(TYP_ANCHOR,MATCH($A38,TYP_TYPE,0))="Commissioning Start",IF($R38="","",$R38-INDEX(TYP_LEAD,MATCH($A38,TYP_TYPE,0))),IF(INDEX(MS_PLAN,MATCH(INDEX(TYP_ANCHOR,MATCH($A38,TYP_TYPE,0)),MS_NOM,0))="","",INDEX(MS_PLAN,MATCH(INDEX(TYP_ANCHOR,MATCH($A38,TYP_TYPE,0)),MS_NOM,0))-INDEX(TYP_LEAD,MATCH($A38,TYP_TYPE,0)))),""))</f>
        <v/>
      </c>
      <c r="T38" s="26">
        <f>IF(OR($A38="",$E38=""),0,IF($V38=1,0,1))</f>
        <v/>
      </c>
      <c r="U38" s="26">
        <f>IF($T38=0,0,IF($M38&lt;&gt;"",1,IF(IFERROR(INDEX(WF_CLASS,MATCH($H38,WF_CODE,0)),"")="Done",1,0)))</f>
        <v/>
      </c>
      <c r="V38" s="26">
        <f>IF(OR($A38="",$E38=""),0,IF(IFERROR(INDEX(WF_CLASS,MATCH($H38,WF_CODE,0)),"")="Inactive",1,0))</f>
        <v/>
      </c>
      <c r="W38" s="24">
        <f>IF($A38="","",IFERROR(INDEX(TYP_PHASE,MATCH($A38,TYP_TYPE,0)),"-"))</f>
        <v/>
      </c>
      <c r="X38" s="24">
        <f>IF(AND($T38=1,$U38=0,N($N38)&gt;0),$N38+ROW()/1000000,"")</f>
        <v/>
      </c>
      <c r="Y38" s="24">
        <f>IF(AND($T38=1,$U38=0,OR($I38&lt;&gt;"",N($N38)&gt;0)),N($N38)+ROW()/1000000,"")</f>
        <v/>
      </c>
      <c r="Z38" s="24">
        <f>IF(AND($T38=1,$U38=0,$I38="",N($N38)&lt;=0,-N($N38)&lt;=HORIZON),N($N38)+ROW()/1000000,"")</f>
        <v/>
      </c>
    </row>
    <row r="39">
      <c r="A39" s="21" t="inlineStr">
        <is>
          <t>Planned End Of Erection Status Report</t>
        </is>
      </c>
      <c r="B39" s="21" t="inlineStr">
        <is>
          <t>Equipment</t>
        </is>
      </c>
      <c r="C39" s="21" t="inlineStr">
        <is>
          <t>SYS-TP</t>
        </is>
      </c>
      <c r="D39" s="21" t="inlineStr">
        <is>
          <t>TP-TSS-02 Traction Substation Alpha</t>
        </is>
      </c>
      <c r="E39" s="21" t="inlineStr">
        <is>
          <t>DMIC-SYS-TP-PER-036</t>
        </is>
      </c>
      <c r="F39" s="21" t="inlineStr">
        <is>
          <t>A. Mercer</t>
        </is>
      </c>
      <c r="G39" s="21" t="inlineStr">
        <is>
          <t>J. Whitfield</t>
        </is>
      </c>
      <c r="H39" s="21" t="inlineStr">
        <is>
          <t>S4A - Approved</t>
        </is>
      </c>
      <c r="I39" s="22" t="n"/>
      <c r="J39" s="22" t="n"/>
      <c r="K39" s="23">
        <f>IF($A39="","",IF($J39&lt;&gt;"",$J39,$S39))</f>
        <v/>
      </c>
      <c r="L39" s="24">
        <f>IF(OR($A39="",$E39=""),"",IF($J39&lt;&gt;"","Manual",IF($S39="","-","Auto")))</f>
        <v/>
      </c>
      <c r="M39" s="22" t="n">
        <v>46258</v>
      </c>
      <c r="N39" s="25">
        <f>IF($T39=0,"",IF($U39=1,IF($M39="","",$M39-$K39),IF($K39="","",TODAY()-$K39)))</f>
        <v/>
      </c>
      <c r="O39" s="24">
        <f>IF(OR($A39="",$E39=""),"",IF($V39=1,S_INACT,IF(ISNA(MATCH($A39,TYP_TYPE,0)),S_TYPEKO,IF($U39=1,S_DONE,IF(AND($K39="",$R39=""),S_NOSCOPE,IF($K39="",S_NOTARGET,IF($N39&gt;0,S_LATE,IF($I39&lt;&gt;"",S_WIP,IF(-$N39&lt;=FEN_DOC,S_RISK,IF(-$N39&lt;=HORIZON,S_COMING,S_NOTYET))))))))))</f>
        <v/>
      </c>
      <c r="P39" s="24">
        <f>IF(OR($A39="",$E39=""),"",IF($V39=1,"",IF(ISNA(MATCH($A39,TYP_TYPE,0)),"Type not in the library",IF($B39="","Scope not set",IF(AND($B39="System",$C39=""),"System not set",IF(AND($B39="Equipment",$D39=""),"Equipment not set",IF($F39="","Responsible not set",IF($K39="","No target date",IF(AND($B39="Equipment",$C39&lt;&gt;"",IFERROR(INDEX(EQP_SYS,MATCH($D39,EQP_NOM,0)),"")&lt;&gt;$C39),"Equipment not in that system",IF(AND($U39=1,$M39=""),"Approved with no approval date",""))))))))))</f>
        <v/>
      </c>
      <c r="Q39" s="21" t="n"/>
      <c r="R39" s="23">
        <f>IF(OR($A39="",$B39=""),"",IF($B39="Equipment",IFERROR(INDEX(EQP_START,MATCH($D39,EQP_NOM,0)),""),IF($B39="System",IFERROR(INDEX(SYS_EARLIEST,MATCH($C39,SYS_ID,0)),""),IF($B39="All",CTR_EARLIEST,""))))</f>
        <v/>
      </c>
      <c r="S39" s="23">
        <f>IF(OR($A39="",$E39=""),"",IFERROR(IF(INDEX(TYP_ANCHOR,MATCH($A39,TYP_TYPE,0))="Commissioning Start",IF($R39="","",$R39-INDEX(TYP_LEAD,MATCH($A39,TYP_TYPE,0))),IF(INDEX(MS_PLAN,MATCH(INDEX(TYP_ANCHOR,MATCH($A39,TYP_TYPE,0)),MS_NOM,0))="","",INDEX(MS_PLAN,MATCH(INDEX(TYP_ANCHOR,MATCH($A39,TYP_TYPE,0)),MS_NOM,0))-INDEX(TYP_LEAD,MATCH($A39,TYP_TYPE,0)))),""))</f>
        <v/>
      </c>
      <c r="T39" s="26">
        <f>IF(OR($A39="",$E39=""),0,IF($V39=1,0,1))</f>
        <v/>
      </c>
      <c r="U39" s="26">
        <f>IF($T39=0,0,IF($M39&lt;&gt;"",1,IF(IFERROR(INDEX(WF_CLASS,MATCH($H39,WF_CODE,0)),"")="Done",1,0)))</f>
        <v/>
      </c>
      <c r="V39" s="26">
        <f>IF(OR($A39="",$E39=""),0,IF(IFERROR(INDEX(WF_CLASS,MATCH($H39,WF_CODE,0)),"")="Inactive",1,0))</f>
        <v/>
      </c>
      <c r="W39" s="24">
        <f>IF($A39="","",IFERROR(INDEX(TYP_PHASE,MATCH($A39,TYP_TYPE,0)),"-"))</f>
        <v/>
      </c>
      <c r="X39" s="24">
        <f>IF(AND($T39=1,$U39=0,N($N39)&gt;0),$N39+ROW()/1000000,"")</f>
        <v/>
      </c>
      <c r="Y39" s="24">
        <f>IF(AND($T39=1,$U39=0,OR($I39&lt;&gt;"",N($N39)&gt;0)),N($N39)+ROW()/1000000,"")</f>
        <v/>
      </c>
      <c r="Z39" s="24">
        <f>IF(AND($T39=1,$U39=0,$I39="",N($N39)&lt;=0,-N($N39)&lt;=HORIZON),N($N39)+ROW()/1000000,"")</f>
        <v/>
      </c>
    </row>
    <row r="40">
      <c r="A40" s="21" t="inlineStr">
        <is>
          <t>Commissioning Procedure</t>
        </is>
      </c>
      <c r="B40" s="21" t="inlineStr">
        <is>
          <t>Equipment</t>
        </is>
      </c>
      <c r="C40" s="21" t="inlineStr">
        <is>
          <t>SYS-TP</t>
        </is>
      </c>
      <c r="D40" s="21" t="inlineStr">
        <is>
          <t>TP-TSS-03 Traction Substation Bravo</t>
        </is>
      </c>
      <c r="E40" s="21" t="inlineStr">
        <is>
          <t>DMIC-SYS-TP-CPR-037</t>
        </is>
      </c>
      <c r="F40" s="21" t="inlineStr">
        <is>
          <t>S. Okonkwo</t>
        </is>
      </c>
      <c r="G40" s="21" t="inlineStr">
        <is>
          <t>P. Nakamura</t>
        </is>
      </c>
      <c r="H40" s="21" t="inlineStr">
        <is>
          <t>A2 - Superseded</t>
        </is>
      </c>
      <c r="I40" s="22" t="n"/>
      <c r="J40" s="22" t="n"/>
      <c r="K40" s="23">
        <f>IF($A40="","",IF($J40&lt;&gt;"",$J40,$S40))</f>
        <v/>
      </c>
      <c r="L40" s="24">
        <f>IF(OR($A40="",$E40=""),"",IF($J40&lt;&gt;"","Manual",IF($S40="","-","Auto")))</f>
        <v/>
      </c>
      <c r="M40" s="22" t="n">
        <v>46257</v>
      </c>
      <c r="N40" s="25">
        <f>IF($T40=0,"",IF($U40=1,IF($M40="","",$M40-$K40),IF($K40="","",TODAY()-$K40)))</f>
        <v/>
      </c>
      <c r="O40" s="24">
        <f>IF(OR($A40="",$E40=""),"",IF($V40=1,S_INACT,IF(ISNA(MATCH($A40,TYP_TYPE,0)),S_TYPEKO,IF($U40=1,S_DONE,IF(AND($K40="",$R40=""),S_NOSCOPE,IF($K40="",S_NOTARGET,IF($N40&gt;0,S_LATE,IF($I40&lt;&gt;"",S_WIP,IF(-$N40&lt;=FEN_DOC,S_RISK,IF(-$N40&lt;=HORIZON,S_COMING,S_NOTYET))))))))))</f>
        <v/>
      </c>
      <c r="P40" s="24">
        <f>IF(OR($A40="",$E40=""),"",IF($V40=1,"",IF(ISNA(MATCH($A40,TYP_TYPE,0)),"Type not in the library",IF($B40="","Scope not set",IF(AND($B40="System",$C40=""),"System not set",IF(AND($B40="Equipment",$D40=""),"Equipment not set",IF($F40="","Responsible not set",IF($K40="","No target date",IF(AND($B40="Equipment",$C40&lt;&gt;"",IFERROR(INDEX(EQP_SYS,MATCH($D40,EQP_NOM,0)),"")&lt;&gt;$C40),"Equipment not in that system",IF(AND($U40=1,$M40=""),"Approved with no approval date",""))))))))))</f>
        <v/>
      </c>
      <c r="Q40" s="21" t="n"/>
      <c r="R40" s="23">
        <f>IF(OR($A40="",$B40=""),"",IF($B40="Equipment",IFERROR(INDEX(EQP_START,MATCH($D40,EQP_NOM,0)),""),IF($B40="System",IFERROR(INDEX(SYS_EARLIEST,MATCH($C40,SYS_ID,0)),""),IF($B40="All",CTR_EARLIEST,""))))</f>
        <v/>
      </c>
      <c r="S40" s="23">
        <f>IF(OR($A40="",$E40=""),"",IFERROR(IF(INDEX(TYP_ANCHOR,MATCH($A40,TYP_TYPE,0))="Commissioning Start",IF($R40="","",$R40-INDEX(TYP_LEAD,MATCH($A40,TYP_TYPE,0))),IF(INDEX(MS_PLAN,MATCH(INDEX(TYP_ANCHOR,MATCH($A40,TYP_TYPE,0)),MS_NOM,0))="","",INDEX(MS_PLAN,MATCH(INDEX(TYP_ANCHOR,MATCH($A40,TYP_TYPE,0)),MS_NOM,0))-INDEX(TYP_LEAD,MATCH($A40,TYP_TYPE,0)))),""))</f>
        <v/>
      </c>
      <c r="T40" s="26">
        <f>IF(OR($A40="",$E40=""),0,IF($V40=1,0,1))</f>
        <v/>
      </c>
      <c r="U40" s="26">
        <f>IF($T40=0,0,IF($M40&lt;&gt;"",1,IF(IFERROR(INDEX(WF_CLASS,MATCH($H40,WF_CODE,0)),"")="Done",1,0)))</f>
        <v/>
      </c>
      <c r="V40" s="26">
        <f>IF(OR($A40="",$E40=""),0,IF(IFERROR(INDEX(WF_CLASS,MATCH($H40,WF_CODE,0)),"")="Inactive",1,0))</f>
        <v/>
      </c>
      <c r="W40" s="24">
        <f>IF($A40="","",IFERROR(INDEX(TYP_PHASE,MATCH($A40,TYP_TYPE,0)),"-"))</f>
        <v/>
      </c>
      <c r="X40" s="24">
        <f>IF(AND($T40=1,$U40=0,N($N40)&gt;0),$N40+ROW()/1000000,"")</f>
        <v/>
      </c>
      <c r="Y40" s="24">
        <f>IF(AND($T40=1,$U40=0,OR($I40&lt;&gt;"",N($N40)&gt;0)),N($N40)+ROW()/1000000,"")</f>
        <v/>
      </c>
      <c r="Z40" s="24">
        <f>IF(AND($T40=1,$U40=0,$I40="",N($N40)&lt;=0,-N($N40)&lt;=HORIZON),N($N40)+ROW()/1000000,"")</f>
        <v/>
      </c>
    </row>
    <row r="41">
      <c r="A41" s="21" t="inlineStr">
        <is>
          <t>Inspection and Test Plan</t>
        </is>
      </c>
      <c r="B41" s="21" t="inlineStr">
        <is>
          <t>Equipment</t>
        </is>
      </c>
      <c r="C41" s="21" t="inlineStr">
        <is>
          <t>SYS-TP</t>
        </is>
      </c>
      <c r="D41" s="21" t="inlineStr">
        <is>
          <t>TP-TSS-03 Traction Substation Bravo</t>
        </is>
      </c>
      <c r="E41" s="21" t="inlineStr">
        <is>
          <t>DMIC-SYS-TP-ITP-038</t>
        </is>
      </c>
      <c r="F41" s="21" t="inlineStr">
        <is>
          <t>L. Fontaine</t>
        </is>
      </c>
      <c r="G41" s="21" t="inlineStr">
        <is>
          <t>K. Rasmussen</t>
        </is>
      </c>
      <c r="H41" s="21" t="inlineStr">
        <is>
          <t>S4B - Comments</t>
        </is>
      </c>
      <c r="I41" s="22" t="n">
        <v>46206</v>
      </c>
      <c r="J41" s="22" t="n"/>
      <c r="K41" s="23">
        <f>IF($A41="","",IF($J41&lt;&gt;"",$J41,$S41))</f>
        <v/>
      </c>
      <c r="L41" s="24">
        <f>IF(OR($A41="",$E41=""),"",IF($J41&lt;&gt;"","Manual",IF($S41="","-","Auto")))</f>
        <v/>
      </c>
      <c r="M41" s="22" t="n"/>
      <c r="N41" s="25">
        <f>IF($T41=0,"",IF($U41=1,IF($M41="","",$M41-$K41),IF($K41="","",TODAY()-$K41)))</f>
        <v/>
      </c>
      <c r="O41" s="24">
        <f>IF(OR($A41="",$E41=""),"",IF($V41=1,S_INACT,IF(ISNA(MATCH($A41,TYP_TYPE,0)),S_TYPEKO,IF($U41=1,S_DONE,IF(AND($K41="",$R41=""),S_NOSCOPE,IF($K41="",S_NOTARGET,IF($N41&gt;0,S_LATE,IF($I41&lt;&gt;"",S_WIP,IF(-$N41&lt;=FEN_DOC,S_RISK,IF(-$N41&lt;=HORIZON,S_COMING,S_NOTYET))))))))))</f>
        <v/>
      </c>
      <c r="P41" s="24">
        <f>IF(OR($A41="",$E41=""),"",IF($V41=1,"",IF(ISNA(MATCH($A41,TYP_TYPE,0)),"Type not in the library",IF($B41="","Scope not set",IF(AND($B41="System",$C41=""),"System not set",IF(AND($B41="Equipment",$D41=""),"Equipment not set",IF($F41="","Responsible not set",IF($K41="","No target date",IF(AND($B41="Equipment",$C41&lt;&gt;"",IFERROR(INDEX(EQP_SYS,MATCH($D41,EQP_NOM,0)),"")&lt;&gt;$C41),"Equipment not in that system",IF(AND($U41=1,$M41=""),"Approved with no approval date",""))))))))))</f>
        <v/>
      </c>
      <c r="Q41" s="21" t="n"/>
      <c r="R41" s="23">
        <f>IF(OR($A41="",$B41=""),"",IF($B41="Equipment",IFERROR(INDEX(EQP_START,MATCH($D41,EQP_NOM,0)),""),IF($B41="System",IFERROR(INDEX(SYS_EARLIEST,MATCH($C41,SYS_ID,0)),""),IF($B41="All",CTR_EARLIEST,""))))</f>
        <v/>
      </c>
      <c r="S41" s="23">
        <f>IF(OR($A41="",$E41=""),"",IFERROR(IF(INDEX(TYP_ANCHOR,MATCH($A41,TYP_TYPE,0))="Commissioning Start",IF($R41="","",$R41-INDEX(TYP_LEAD,MATCH($A41,TYP_TYPE,0))),IF(INDEX(MS_PLAN,MATCH(INDEX(TYP_ANCHOR,MATCH($A41,TYP_TYPE,0)),MS_NOM,0))="","",INDEX(MS_PLAN,MATCH(INDEX(TYP_ANCHOR,MATCH($A41,TYP_TYPE,0)),MS_NOM,0))-INDEX(TYP_LEAD,MATCH($A41,TYP_TYPE,0)))),""))</f>
        <v/>
      </c>
      <c r="T41" s="26">
        <f>IF(OR($A41="",$E41=""),0,IF($V41=1,0,1))</f>
        <v/>
      </c>
      <c r="U41" s="26">
        <f>IF($T41=0,0,IF($M41&lt;&gt;"",1,IF(IFERROR(INDEX(WF_CLASS,MATCH($H41,WF_CODE,0)),"")="Done",1,0)))</f>
        <v/>
      </c>
      <c r="V41" s="26">
        <f>IF(OR($A41="",$E41=""),0,IF(IFERROR(INDEX(WF_CLASS,MATCH($H41,WF_CODE,0)),"")="Inactive",1,0))</f>
        <v/>
      </c>
      <c r="W41" s="24">
        <f>IF($A41="","",IFERROR(INDEX(TYP_PHASE,MATCH($A41,TYP_TYPE,0)),"-"))</f>
        <v/>
      </c>
      <c r="X41" s="24">
        <f>IF(AND($T41=1,$U41=0,N($N41)&gt;0),$N41+ROW()/1000000,"")</f>
        <v/>
      </c>
      <c r="Y41" s="24">
        <f>IF(AND($T41=1,$U41=0,OR($I41&lt;&gt;"",N($N41)&gt;0)),N($N41)+ROW()/1000000,"")</f>
        <v/>
      </c>
      <c r="Z41" s="24">
        <f>IF(AND($T41=1,$U41=0,$I41="",N($N41)&lt;=0,-N($N41)&lt;=HORIZON),N($N41)+ROW()/1000000,"")</f>
        <v/>
      </c>
    </row>
    <row r="42">
      <c r="A42" s="21" t="inlineStr">
        <is>
          <t>Planned End Of Erection Status Report</t>
        </is>
      </c>
      <c r="B42" s="21" t="inlineStr">
        <is>
          <t>Equipment</t>
        </is>
      </c>
      <c r="C42" s="21" t="inlineStr">
        <is>
          <t>SYS-TP</t>
        </is>
      </c>
      <c r="D42" s="21" t="inlineStr">
        <is>
          <t>TP-TSS-03 Traction Substation Bravo</t>
        </is>
      </c>
      <c r="E42" s="21" t="inlineStr">
        <is>
          <t>DMIC-SYS-TP-PER-039</t>
        </is>
      </c>
      <c r="F42" s="21" t="inlineStr">
        <is>
          <t>D. Petrov</t>
        </is>
      </c>
      <c r="G42" s="21" t="inlineStr">
        <is>
          <t>R. Bellamy</t>
        </is>
      </c>
      <c r="H42" s="21" t="inlineStr">
        <is>
          <t>S4A - Approved</t>
        </is>
      </c>
      <c r="I42" s="22" t="n"/>
      <c r="J42" s="22" t="n"/>
      <c r="K42" s="23">
        <f>IF($A42="","",IF($J42&lt;&gt;"",$J42,$S42))</f>
        <v/>
      </c>
      <c r="L42" s="24">
        <f>IF(OR($A42="",$E42=""),"",IF($J42&lt;&gt;"","Manual",IF($S42="","-","Auto")))</f>
        <v/>
      </c>
      <c r="M42" s="22" t="n">
        <v>46255</v>
      </c>
      <c r="N42" s="25">
        <f>IF($T42=0,"",IF($U42=1,IF($M42="","",$M42-$K42),IF($K42="","",TODAY()-$K42)))</f>
        <v/>
      </c>
      <c r="O42" s="24">
        <f>IF(OR($A42="",$E42=""),"",IF($V42=1,S_INACT,IF(ISNA(MATCH($A42,TYP_TYPE,0)),S_TYPEKO,IF($U42=1,S_DONE,IF(AND($K42="",$R42=""),S_NOSCOPE,IF($K42="",S_NOTARGET,IF($N42&gt;0,S_LATE,IF($I42&lt;&gt;"",S_WIP,IF(-$N42&lt;=FEN_DOC,S_RISK,IF(-$N42&lt;=HORIZON,S_COMING,S_NOTYET))))))))))</f>
        <v/>
      </c>
      <c r="P42" s="24">
        <f>IF(OR($A42="",$E42=""),"",IF($V42=1,"",IF(ISNA(MATCH($A42,TYP_TYPE,0)),"Type not in the library",IF($B42="","Scope not set",IF(AND($B42="System",$C42=""),"System not set",IF(AND($B42="Equipment",$D42=""),"Equipment not set",IF($F42="","Responsible not set",IF($K42="","No target date",IF(AND($B42="Equipment",$C42&lt;&gt;"",IFERROR(INDEX(EQP_SYS,MATCH($D42,EQP_NOM,0)),"")&lt;&gt;$C42),"Equipment not in that system",IF(AND($U42=1,$M42=""),"Approved with no approval date",""))))))))))</f>
        <v/>
      </c>
      <c r="Q42" s="21" t="n"/>
      <c r="R42" s="23">
        <f>IF(OR($A42="",$B42=""),"",IF($B42="Equipment",IFERROR(INDEX(EQP_START,MATCH($D42,EQP_NOM,0)),""),IF($B42="System",IFERROR(INDEX(SYS_EARLIEST,MATCH($C42,SYS_ID,0)),""),IF($B42="All",CTR_EARLIEST,""))))</f>
        <v/>
      </c>
      <c r="S42" s="23">
        <f>IF(OR($A42="",$E42=""),"",IFERROR(IF(INDEX(TYP_ANCHOR,MATCH($A42,TYP_TYPE,0))="Commissioning Start",IF($R42="","",$R42-INDEX(TYP_LEAD,MATCH($A42,TYP_TYPE,0))),IF(INDEX(MS_PLAN,MATCH(INDEX(TYP_ANCHOR,MATCH($A42,TYP_TYPE,0)),MS_NOM,0))="","",INDEX(MS_PLAN,MATCH(INDEX(TYP_ANCHOR,MATCH($A42,TYP_TYPE,0)),MS_NOM,0))-INDEX(TYP_LEAD,MATCH($A42,TYP_TYPE,0)))),""))</f>
        <v/>
      </c>
      <c r="T42" s="26">
        <f>IF(OR($A42="",$E42=""),0,IF($V42=1,0,1))</f>
        <v/>
      </c>
      <c r="U42" s="26">
        <f>IF($T42=0,0,IF($M42&lt;&gt;"",1,IF(IFERROR(INDEX(WF_CLASS,MATCH($H42,WF_CODE,0)),"")="Done",1,0)))</f>
        <v/>
      </c>
      <c r="V42" s="26">
        <f>IF(OR($A42="",$E42=""),0,IF(IFERROR(INDEX(WF_CLASS,MATCH($H42,WF_CODE,0)),"")="Inactive",1,0))</f>
        <v/>
      </c>
      <c r="W42" s="24">
        <f>IF($A42="","",IFERROR(INDEX(TYP_PHASE,MATCH($A42,TYP_TYPE,0)),"-"))</f>
        <v/>
      </c>
      <c r="X42" s="24">
        <f>IF(AND($T42=1,$U42=0,N($N42)&gt;0),$N42+ROW()/1000000,"")</f>
        <v/>
      </c>
      <c r="Y42" s="24">
        <f>IF(AND($T42=1,$U42=0,OR($I42&lt;&gt;"",N($N42)&gt;0)),N($N42)+ROW()/1000000,"")</f>
        <v/>
      </c>
      <c r="Z42" s="24">
        <f>IF(AND($T42=1,$U42=0,$I42="",N($N42)&lt;=0,-N($N42)&lt;=HORIZON),N($N42)+ROW()/1000000,"")</f>
        <v/>
      </c>
    </row>
    <row r="43">
      <c r="A43" s="21" t="inlineStr">
        <is>
          <t>Commissioning Procedure</t>
        </is>
      </c>
      <c r="B43" s="21" t="inlineStr">
        <is>
          <t>Equipment</t>
        </is>
      </c>
      <c r="C43" s="21" t="inlineStr">
        <is>
          <t>SYS-TP</t>
        </is>
      </c>
      <c r="D43" s="21" t="inlineStr">
        <is>
          <t>TP-OHL-04 Overhead Line Section A</t>
        </is>
      </c>
      <c r="E43" s="21" t="inlineStr">
        <is>
          <t>DMIC-SYS-TP-CPR-040</t>
        </is>
      </c>
      <c r="F43" s="21" t="inlineStr">
        <is>
          <t>J. Whitfield</t>
        </is>
      </c>
      <c r="G43" s="21" t="inlineStr">
        <is>
          <t>N. Bergstrom</t>
        </is>
      </c>
      <c r="H43" s="21" t="inlineStr">
        <is>
          <t>P1 - For Implementation</t>
        </is>
      </c>
      <c r="I43" s="22" t="n"/>
      <c r="J43" s="22" t="n"/>
      <c r="K43" s="23">
        <f>IF($A43="","",IF($J43&lt;&gt;"",$J43,$S43))</f>
        <v/>
      </c>
      <c r="L43" s="24">
        <f>IF(OR($A43="",$E43=""),"",IF($J43&lt;&gt;"","Manual",IF($S43="","-","Auto")))</f>
        <v/>
      </c>
      <c r="M43" s="22" t="n">
        <v>46254</v>
      </c>
      <c r="N43" s="25">
        <f>IF($T43=0,"",IF($U43=1,IF($M43="","",$M43-$K43),IF($K43="","",TODAY()-$K43)))</f>
        <v/>
      </c>
      <c r="O43" s="24">
        <f>IF(OR($A43="",$E43=""),"",IF($V43=1,S_INACT,IF(ISNA(MATCH($A43,TYP_TYPE,0)),S_TYPEKO,IF($U43=1,S_DONE,IF(AND($K43="",$R43=""),S_NOSCOPE,IF($K43="",S_NOTARGET,IF($N43&gt;0,S_LATE,IF($I43&lt;&gt;"",S_WIP,IF(-$N43&lt;=FEN_DOC,S_RISK,IF(-$N43&lt;=HORIZON,S_COMING,S_NOTYET))))))))))</f>
        <v/>
      </c>
      <c r="P43" s="24">
        <f>IF(OR($A43="",$E43=""),"",IF($V43=1,"",IF(ISNA(MATCH($A43,TYP_TYPE,0)),"Type not in the library",IF($B43="","Scope not set",IF(AND($B43="System",$C43=""),"System not set",IF(AND($B43="Equipment",$D43=""),"Equipment not set",IF($F43="","Responsible not set",IF($K43="","No target date",IF(AND($B43="Equipment",$C43&lt;&gt;"",IFERROR(INDEX(EQP_SYS,MATCH($D43,EQP_NOM,0)),"")&lt;&gt;$C43),"Equipment not in that system",IF(AND($U43=1,$M43=""),"Approved with no approval date",""))))))))))</f>
        <v/>
      </c>
      <c r="Q43" s="21" t="n"/>
      <c r="R43" s="23">
        <f>IF(OR($A43="",$B43=""),"",IF($B43="Equipment",IFERROR(INDEX(EQP_START,MATCH($D43,EQP_NOM,0)),""),IF($B43="System",IFERROR(INDEX(SYS_EARLIEST,MATCH($C43,SYS_ID,0)),""),IF($B43="All",CTR_EARLIEST,""))))</f>
        <v/>
      </c>
      <c r="S43" s="23">
        <f>IF(OR($A43="",$E43=""),"",IFERROR(IF(INDEX(TYP_ANCHOR,MATCH($A43,TYP_TYPE,0))="Commissioning Start",IF($R43="","",$R43-INDEX(TYP_LEAD,MATCH($A43,TYP_TYPE,0))),IF(INDEX(MS_PLAN,MATCH(INDEX(TYP_ANCHOR,MATCH($A43,TYP_TYPE,0)),MS_NOM,0))="","",INDEX(MS_PLAN,MATCH(INDEX(TYP_ANCHOR,MATCH($A43,TYP_TYPE,0)),MS_NOM,0))-INDEX(TYP_LEAD,MATCH($A43,TYP_TYPE,0)))),""))</f>
        <v/>
      </c>
      <c r="T43" s="26">
        <f>IF(OR($A43="",$E43=""),0,IF($V43=1,0,1))</f>
        <v/>
      </c>
      <c r="U43" s="26">
        <f>IF($T43=0,0,IF($M43&lt;&gt;"",1,IF(IFERROR(INDEX(WF_CLASS,MATCH($H43,WF_CODE,0)),"")="Done",1,0)))</f>
        <v/>
      </c>
      <c r="V43" s="26">
        <f>IF(OR($A43="",$E43=""),0,IF(IFERROR(INDEX(WF_CLASS,MATCH($H43,WF_CODE,0)),"")="Inactive",1,0))</f>
        <v/>
      </c>
      <c r="W43" s="24">
        <f>IF($A43="","",IFERROR(INDEX(TYP_PHASE,MATCH($A43,TYP_TYPE,0)),"-"))</f>
        <v/>
      </c>
      <c r="X43" s="24">
        <f>IF(AND($T43=1,$U43=0,N($N43)&gt;0),$N43+ROW()/1000000,"")</f>
        <v/>
      </c>
      <c r="Y43" s="24">
        <f>IF(AND($T43=1,$U43=0,OR($I43&lt;&gt;"",N($N43)&gt;0)),N($N43)+ROW()/1000000,"")</f>
        <v/>
      </c>
      <c r="Z43" s="24">
        <f>IF(AND($T43=1,$U43=0,$I43="",N($N43)&lt;=0,-N($N43)&lt;=HORIZON),N($N43)+ROW()/1000000,"")</f>
        <v/>
      </c>
    </row>
    <row r="44">
      <c r="A44" s="21" t="inlineStr">
        <is>
          <t>Inspection and Test Plan</t>
        </is>
      </c>
      <c r="B44" s="21" t="inlineStr">
        <is>
          <t>Equipment</t>
        </is>
      </c>
      <c r="C44" s="21" t="inlineStr">
        <is>
          <t>SYS-TP</t>
        </is>
      </c>
      <c r="D44" s="21" t="inlineStr">
        <is>
          <t>TP-OHL-04 Overhead Line Section A</t>
        </is>
      </c>
      <c r="E44" s="21" t="inlineStr">
        <is>
          <t>DMIC-SYS-TP-ITP-041</t>
        </is>
      </c>
      <c r="F44" s="21" t="inlineStr">
        <is>
          <t>P. Nakamura</t>
        </is>
      </c>
      <c r="G44" s="21" t="inlineStr">
        <is>
          <t>M. Haddad</t>
        </is>
      </c>
      <c r="H44" s="21" t="inlineStr">
        <is>
          <t>P6 - For Construction</t>
        </is>
      </c>
      <c r="I44" s="22" t="n"/>
      <c r="J44" s="22" t="n"/>
      <c r="K44" s="23">
        <f>IF($A44="","",IF($J44&lt;&gt;"",$J44,$S44))</f>
        <v/>
      </c>
      <c r="L44" s="24">
        <f>IF(OR($A44="",$E44=""),"",IF($J44&lt;&gt;"","Manual",IF($S44="","-","Auto")))</f>
        <v/>
      </c>
      <c r="M44" s="22" t="n">
        <v>46253</v>
      </c>
      <c r="N44" s="25">
        <f>IF($T44=0,"",IF($U44=1,IF($M44="","",$M44-$K44),IF($K44="","",TODAY()-$K44)))</f>
        <v/>
      </c>
      <c r="O44" s="24">
        <f>IF(OR($A44="",$E44=""),"",IF($V44=1,S_INACT,IF(ISNA(MATCH($A44,TYP_TYPE,0)),S_TYPEKO,IF($U44=1,S_DONE,IF(AND($K44="",$R44=""),S_NOSCOPE,IF($K44="",S_NOTARGET,IF($N44&gt;0,S_LATE,IF($I44&lt;&gt;"",S_WIP,IF(-$N44&lt;=FEN_DOC,S_RISK,IF(-$N44&lt;=HORIZON,S_COMING,S_NOTYET))))))))))</f>
        <v/>
      </c>
      <c r="P44" s="24">
        <f>IF(OR($A44="",$E44=""),"",IF($V44=1,"",IF(ISNA(MATCH($A44,TYP_TYPE,0)),"Type not in the library",IF($B44="","Scope not set",IF(AND($B44="System",$C44=""),"System not set",IF(AND($B44="Equipment",$D44=""),"Equipment not set",IF($F44="","Responsible not set",IF($K44="","No target date",IF(AND($B44="Equipment",$C44&lt;&gt;"",IFERROR(INDEX(EQP_SYS,MATCH($D44,EQP_NOM,0)),"")&lt;&gt;$C44),"Equipment not in that system",IF(AND($U44=1,$M44=""),"Approved with no approval date",""))))))))))</f>
        <v/>
      </c>
      <c r="Q44" s="21" t="n"/>
      <c r="R44" s="23">
        <f>IF(OR($A44="",$B44=""),"",IF($B44="Equipment",IFERROR(INDEX(EQP_START,MATCH($D44,EQP_NOM,0)),""),IF($B44="System",IFERROR(INDEX(SYS_EARLIEST,MATCH($C44,SYS_ID,0)),""),IF($B44="All",CTR_EARLIEST,""))))</f>
        <v/>
      </c>
      <c r="S44" s="23">
        <f>IF(OR($A44="",$E44=""),"",IFERROR(IF(INDEX(TYP_ANCHOR,MATCH($A44,TYP_TYPE,0))="Commissioning Start",IF($R44="","",$R44-INDEX(TYP_LEAD,MATCH($A44,TYP_TYPE,0))),IF(INDEX(MS_PLAN,MATCH(INDEX(TYP_ANCHOR,MATCH($A44,TYP_TYPE,0)),MS_NOM,0))="","",INDEX(MS_PLAN,MATCH(INDEX(TYP_ANCHOR,MATCH($A44,TYP_TYPE,0)),MS_NOM,0))-INDEX(TYP_LEAD,MATCH($A44,TYP_TYPE,0)))),""))</f>
        <v/>
      </c>
      <c r="T44" s="26">
        <f>IF(OR($A44="",$E44=""),0,IF($V44=1,0,1))</f>
        <v/>
      </c>
      <c r="U44" s="26">
        <f>IF($T44=0,0,IF($M44&lt;&gt;"",1,IF(IFERROR(INDEX(WF_CLASS,MATCH($H44,WF_CODE,0)),"")="Done",1,0)))</f>
        <v/>
      </c>
      <c r="V44" s="26">
        <f>IF(OR($A44="",$E44=""),0,IF(IFERROR(INDEX(WF_CLASS,MATCH($H44,WF_CODE,0)),"")="Inactive",1,0))</f>
        <v/>
      </c>
      <c r="W44" s="24">
        <f>IF($A44="","",IFERROR(INDEX(TYP_PHASE,MATCH($A44,TYP_TYPE,0)),"-"))</f>
        <v/>
      </c>
      <c r="X44" s="24">
        <f>IF(AND($T44=1,$U44=0,N($N44)&gt;0),$N44+ROW()/1000000,"")</f>
        <v/>
      </c>
      <c r="Y44" s="24">
        <f>IF(AND($T44=1,$U44=0,OR($I44&lt;&gt;"",N($N44)&gt;0)),N($N44)+ROW()/1000000,"")</f>
        <v/>
      </c>
      <c r="Z44" s="24">
        <f>IF(AND($T44=1,$U44=0,$I44="",N($N44)&lt;=0,-N($N44)&lt;=HORIZON),N($N44)+ROW()/1000000,"")</f>
        <v/>
      </c>
    </row>
    <row r="45">
      <c r="A45" s="21" t="inlineStr">
        <is>
          <t>Planned End Of Erection Status Report</t>
        </is>
      </c>
      <c r="B45" s="21" t="inlineStr">
        <is>
          <t>Equipment</t>
        </is>
      </c>
      <c r="C45" s="21" t="inlineStr">
        <is>
          <t>SYS-TP</t>
        </is>
      </c>
      <c r="D45" s="21" t="inlineStr">
        <is>
          <t>TP-OHL-04 Overhead Line Section A</t>
        </is>
      </c>
      <c r="E45" s="21" t="inlineStr">
        <is>
          <t>DMIC-SYS-TP-PER-042</t>
        </is>
      </c>
      <c r="F45" s="21" t="inlineStr">
        <is>
          <t>K. Rasmussen</t>
        </is>
      </c>
      <c r="G45" s="21" t="inlineStr">
        <is>
          <t>C. Vasquez</t>
        </is>
      </c>
      <c r="H45" s="21" t="inlineStr">
        <is>
          <t>S4A - Approved</t>
        </is>
      </c>
      <c r="I45" s="22" t="n"/>
      <c r="J45" s="22" t="n"/>
      <c r="K45" s="23">
        <f>IF($A45="","",IF($J45&lt;&gt;"",$J45,$S45))</f>
        <v/>
      </c>
      <c r="L45" s="24">
        <f>IF(OR($A45="",$E45=""),"",IF($J45&lt;&gt;"","Manual",IF($S45="","-","Auto")))</f>
        <v/>
      </c>
      <c r="M45" s="22" t="n">
        <v>46259</v>
      </c>
      <c r="N45" s="25">
        <f>IF($T45=0,"",IF($U45=1,IF($M45="","",$M45-$K45),IF($K45="","",TODAY()-$K45)))</f>
        <v/>
      </c>
      <c r="O45" s="24">
        <f>IF(OR($A45="",$E45=""),"",IF($V45=1,S_INACT,IF(ISNA(MATCH($A45,TYP_TYPE,0)),S_TYPEKO,IF($U45=1,S_DONE,IF(AND($K45="",$R45=""),S_NOSCOPE,IF($K45="",S_NOTARGET,IF($N45&gt;0,S_LATE,IF($I45&lt;&gt;"",S_WIP,IF(-$N45&lt;=FEN_DOC,S_RISK,IF(-$N45&lt;=HORIZON,S_COMING,S_NOTYET))))))))))</f>
        <v/>
      </c>
      <c r="P45" s="24">
        <f>IF(OR($A45="",$E45=""),"",IF($V45=1,"",IF(ISNA(MATCH($A45,TYP_TYPE,0)),"Type not in the library",IF($B45="","Scope not set",IF(AND($B45="System",$C45=""),"System not set",IF(AND($B45="Equipment",$D45=""),"Equipment not set",IF($F45="","Responsible not set",IF($K45="","No target date",IF(AND($B45="Equipment",$C45&lt;&gt;"",IFERROR(INDEX(EQP_SYS,MATCH($D45,EQP_NOM,0)),"")&lt;&gt;$C45),"Equipment not in that system",IF(AND($U45=1,$M45=""),"Approved with no approval date",""))))))))))</f>
        <v/>
      </c>
      <c r="Q45" s="21" t="n"/>
      <c r="R45" s="23">
        <f>IF(OR($A45="",$B45=""),"",IF($B45="Equipment",IFERROR(INDEX(EQP_START,MATCH($D45,EQP_NOM,0)),""),IF($B45="System",IFERROR(INDEX(SYS_EARLIEST,MATCH($C45,SYS_ID,0)),""),IF($B45="All",CTR_EARLIEST,""))))</f>
        <v/>
      </c>
      <c r="S45" s="23">
        <f>IF(OR($A45="",$E45=""),"",IFERROR(IF(INDEX(TYP_ANCHOR,MATCH($A45,TYP_TYPE,0))="Commissioning Start",IF($R45="","",$R45-INDEX(TYP_LEAD,MATCH($A45,TYP_TYPE,0))),IF(INDEX(MS_PLAN,MATCH(INDEX(TYP_ANCHOR,MATCH($A45,TYP_TYPE,0)),MS_NOM,0))="","",INDEX(MS_PLAN,MATCH(INDEX(TYP_ANCHOR,MATCH($A45,TYP_TYPE,0)),MS_NOM,0))-INDEX(TYP_LEAD,MATCH($A45,TYP_TYPE,0)))),""))</f>
        <v/>
      </c>
      <c r="T45" s="26">
        <f>IF(OR($A45="",$E45=""),0,IF($V45=1,0,1))</f>
        <v/>
      </c>
      <c r="U45" s="26">
        <f>IF($T45=0,0,IF($M45&lt;&gt;"",1,IF(IFERROR(INDEX(WF_CLASS,MATCH($H45,WF_CODE,0)),"")="Done",1,0)))</f>
        <v/>
      </c>
      <c r="V45" s="26">
        <f>IF(OR($A45="",$E45=""),0,IF(IFERROR(INDEX(WF_CLASS,MATCH($H45,WF_CODE,0)),"")="Inactive",1,0))</f>
        <v/>
      </c>
      <c r="W45" s="24">
        <f>IF($A45="","",IFERROR(INDEX(TYP_PHASE,MATCH($A45,TYP_TYPE,0)),"-"))</f>
        <v/>
      </c>
      <c r="X45" s="24">
        <f>IF(AND($T45=1,$U45=0,N($N45)&gt;0),$N45+ROW()/1000000,"")</f>
        <v/>
      </c>
      <c r="Y45" s="24">
        <f>IF(AND($T45=1,$U45=0,OR($I45&lt;&gt;"",N($N45)&gt;0)),N($N45)+ROW()/1000000,"")</f>
        <v/>
      </c>
      <c r="Z45" s="24">
        <f>IF(AND($T45=1,$U45=0,$I45="",N($N45)&lt;=0,-N($N45)&lt;=HORIZON),N($N45)+ROW()/1000000,"")</f>
        <v/>
      </c>
    </row>
    <row r="46">
      <c r="A46" s="21" t="inlineStr">
        <is>
          <t>Commissioning Procedure</t>
        </is>
      </c>
      <c r="B46" s="21" t="inlineStr">
        <is>
          <t>Equipment</t>
        </is>
      </c>
      <c r="C46" s="21" t="inlineStr">
        <is>
          <t>SYS-SG</t>
        </is>
      </c>
      <c r="D46" s="21" t="inlineStr">
        <is>
          <t>SG-IXL-01 Interlocking Cabinet North</t>
        </is>
      </c>
      <c r="E46" s="21" t="inlineStr">
        <is>
          <t>DMIC-SYS-SG-CPR-043</t>
        </is>
      </c>
      <c r="F46" s="21" t="inlineStr">
        <is>
          <t>R. Bellamy</t>
        </is>
      </c>
      <c r="G46" s="21" t="inlineStr">
        <is>
          <t>H. Lindqvist</t>
        </is>
      </c>
      <c r="H46" s="21" t="inlineStr">
        <is>
          <t>P1 - For Implementation</t>
        </is>
      </c>
      <c r="I46" s="22" t="n"/>
      <c r="J46" s="22" t="n"/>
      <c r="K46" s="23">
        <f>IF($A46="","",IF($J46&lt;&gt;"",$J46,$S46))</f>
        <v/>
      </c>
      <c r="L46" s="24">
        <f>IF(OR($A46="",$E46=""),"",IF($J46&lt;&gt;"","Manual",IF($S46="","-","Auto")))</f>
        <v/>
      </c>
      <c r="M46" s="22" t="n">
        <v>46258</v>
      </c>
      <c r="N46" s="25">
        <f>IF($T46=0,"",IF($U46=1,IF($M46="","",$M46-$K46),IF($K46="","",TODAY()-$K46)))</f>
        <v/>
      </c>
      <c r="O46" s="24">
        <f>IF(OR($A46="",$E46=""),"",IF($V46=1,S_INACT,IF(ISNA(MATCH($A46,TYP_TYPE,0)),S_TYPEKO,IF($U46=1,S_DONE,IF(AND($K46="",$R46=""),S_NOSCOPE,IF($K46="",S_NOTARGET,IF($N46&gt;0,S_LATE,IF($I46&lt;&gt;"",S_WIP,IF(-$N46&lt;=FEN_DOC,S_RISK,IF(-$N46&lt;=HORIZON,S_COMING,S_NOTYET))))))))))</f>
        <v/>
      </c>
      <c r="P46" s="24">
        <f>IF(OR($A46="",$E46=""),"",IF($V46=1,"",IF(ISNA(MATCH($A46,TYP_TYPE,0)),"Type not in the library",IF($B46="","Scope not set",IF(AND($B46="System",$C46=""),"System not set",IF(AND($B46="Equipment",$D46=""),"Equipment not set",IF($F46="","Responsible not set",IF($K46="","No target date",IF(AND($B46="Equipment",$C46&lt;&gt;"",IFERROR(INDEX(EQP_SYS,MATCH($D46,EQP_NOM,0)),"")&lt;&gt;$C46),"Equipment not in that system",IF(AND($U46=1,$M46=""),"Approved with no approval date",""))))))))))</f>
        <v/>
      </c>
      <c r="Q46" s="21" t="n"/>
      <c r="R46" s="23">
        <f>IF(OR($A46="",$B46=""),"",IF($B46="Equipment",IFERROR(INDEX(EQP_START,MATCH($D46,EQP_NOM,0)),""),IF($B46="System",IFERROR(INDEX(SYS_EARLIEST,MATCH($C46,SYS_ID,0)),""),IF($B46="All",CTR_EARLIEST,""))))</f>
        <v/>
      </c>
      <c r="S46" s="23">
        <f>IF(OR($A46="",$E46=""),"",IFERROR(IF(INDEX(TYP_ANCHOR,MATCH($A46,TYP_TYPE,0))="Commissioning Start",IF($R46="","",$R46-INDEX(TYP_LEAD,MATCH($A46,TYP_TYPE,0))),IF(INDEX(MS_PLAN,MATCH(INDEX(TYP_ANCHOR,MATCH($A46,TYP_TYPE,0)),MS_NOM,0))="","",INDEX(MS_PLAN,MATCH(INDEX(TYP_ANCHOR,MATCH($A46,TYP_TYPE,0)),MS_NOM,0))-INDEX(TYP_LEAD,MATCH($A46,TYP_TYPE,0)))),""))</f>
        <v/>
      </c>
      <c r="T46" s="26">
        <f>IF(OR($A46="",$E46=""),0,IF($V46=1,0,1))</f>
        <v/>
      </c>
      <c r="U46" s="26">
        <f>IF($T46=0,0,IF($M46&lt;&gt;"",1,IF(IFERROR(INDEX(WF_CLASS,MATCH($H46,WF_CODE,0)),"")="Done",1,0)))</f>
        <v/>
      </c>
      <c r="V46" s="26">
        <f>IF(OR($A46="",$E46=""),0,IF(IFERROR(INDEX(WF_CLASS,MATCH($H46,WF_CODE,0)),"")="Inactive",1,0))</f>
        <v/>
      </c>
      <c r="W46" s="24">
        <f>IF($A46="","",IFERROR(INDEX(TYP_PHASE,MATCH($A46,TYP_TYPE,0)),"-"))</f>
        <v/>
      </c>
      <c r="X46" s="24">
        <f>IF(AND($T46=1,$U46=0,N($N46)&gt;0),$N46+ROW()/1000000,"")</f>
        <v/>
      </c>
      <c r="Y46" s="24">
        <f>IF(AND($T46=1,$U46=0,OR($I46&lt;&gt;"",N($N46)&gt;0)),N($N46)+ROW()/1000000,"")</f>
        <v/>
      </c>
      <c r="Z46" s="24">
        <f>IF(AND($T46=1,$U46=0,$I46="",N($N46)&lt;=0,-N($N46)&lt;=HORIZON),N($N46)+ROW()/1000000,"")</f>
        <v/>
      </c>
    </row>
    <row r="47">
      <c r="A47" s="21" t="inlineStr">
        <is>
          <t>Inspection and Test Plan</t>
        </is>
      </c>
      <c r="B47" s="21" t="inlineStr">
        <is>
          <t>Equipment</t>
        </is>
      </c>
      <c r="C47" s="21" t="inlineStr">
        <is>
          <t>SYS-SG</t>
        </is>
      </c>
      <c r="D47" s="21" t="inlineStr">
        <is>
          <t>SG-IXL-01 Interlocking Cabinet North</t>
        </is>
      </c>
      <c r="E47" s="21" t="inlineStr">
        <is>
          <t>DMIC-SYS-SG-ITP-044</t>
        </is>
      </c>
      <c r="F47" s="21" t="inlineStr">
        <is>
          <t>N. Bergstrom</t>
        </is>
      </c>
      <c r="G47" s="21" t="inlineStr">
        <is>
          <t>A. Mercer</t>
        </is>
      </c>
      <c r="H47" s="21" t="inlineStr">
        <is>
          <t>P6 - For Construction</t>
        </is>
      </c>
      <c r="I47" s="22" t="n"/>
      <c r="J47" s="22" t="n"/>
      <c r="K47" s="23">
        <f>IF($A47="","",IF($J47&lt;&gt;"",$J47,$S47))</f>
        <v/>
      </c>
      <c r="L47" s="24">
        <f>IF(OR($A47="",$E47=""),"",IF($J47&lt;&gt;"","Manual",IF($S47="","-","Auto")))</f>
        <v/>
      </c>
      <c r="M47" s="22" t="n">
        <v>46257</v>
      </c>
      <c r="N47" s="25">
        <f>IF($T47=0,"",IF($U47=1,IF($M47="","",$M47-$K47),IF($K47="","",TODAY()-$K47)))</f>
        <v/>
      </c>
      <c r="O47" s="24">
        <f>IF(OR($A47="",$E47=""),"",IF($V47=1,S_INACT,IF(ISNA(MATCH($A47,TYP_TYPE,0)),S_TYPEKO,IF($U47=1,S_DONE,IF(AND($K47="",$R47=""),S_NOSCOPE,IF($K47="",S_NOTARGET,IF($N47&gt;0,S_LATE,IF($I47&lt;&gt;"",S_WIP,IF(-$N47&lt;=FEN_DOC,S_RISK,IF(-$N47&lt;=HORIZON,S_COMING,S_NOTYET))))))))))</f>
        <v/>
      </c>
      <c r="P47" s="24">
        <f>IF(OR($A47="",$E47=""),"",IF($V47=1,"",IF(ISNA(MATCH($A47,TYP_TYPE,0)),"Type not in the library",IF($B47="","Scope not set",IF(AND($B47="System",$C47=""),"System not set",IF(AND($B47="Equipment",$D47=""),"Equipment not set",IF($F47="","Responsible not set",IF($K47="","No target date",IF(AND($B47="Equipment",$C47&lt;&gt;"",IFERROR(INDEX(EQP_SYS,MATCH($D47,EQP_NOM,0)),"")&lt;&gt;$C47),"Equipment not in that system",IF(AND($U47=1,$M47=""),"Approved with no approval date",""))))))))))</f>
        <v/>
      </c>
      <c r="Q47" s="21" t="n"/>
      <c r="R47" s="23">
        <f>IF(OR($A47="",$B47=""),"",IF($B47="Equipment",IFERROR(INDEX(EQP_START,MATCH($D47,EQP_NOM,0)),""),IF($B47="System",IFERROR(INDEX(SYS_EARLIEST,MATCH($C47,SYS_ID,0)),""),IF($B47="All",CTR_EARLIEST,""))))</f>
        <v/>
      </c>
      <c r="S47" s="23">
        <f>IF(OR($A47="",$E47=""),"",IFERROR(IF(INDEX(TYP_ANCHOR,MATCH($A47,TYP_TYPE,0))="Commissioning Start",IF($R47="","",$R47-INDEX(TYP_LEAD,MATCH($A47,TYP_TYPE,0))),IF(INDEX(MS_PLAN,MATCH(INDEX(TYP_ANCHOR,MATCH($A47,TYP_TYPE,0)),MS_NOM,0))="","",INDEX(MS_PLAN,MATCH(INDEX(TYP_ANCHOR,MATCH($A47,TYP_TYPE,0)),MS_NOM,0))-INDEX(TYP_LEAD,MATCH($A47,TYP_TYPE,0)))),""))</f>
        <v/>
      </c>
      <c r="T47" s="26">
        <f>IF(OR($A47="",$E47=""),0,IF($V47=1,0,1))</f>
        <v/>
      </c>
      <c r="U47" s="26">
        <f>IF($T47=0,0,IF($M47&lt;&gt;"",1,IF(IFERROR(INDEX(WF_CLASS,MATCH($H47,WF_CODE,0)),"")="Done",1,0)))</f>
        <v/>
      </c>
      <c r="V47" s="26">
        <f>IF(OR($A47="",$E47=""),0,IF(IFERROR(INDEX(WF_CLASS,MATCH($H47,WF_CODE,0)),"")="Inactive",1,0))</f>
        <v/>
      </c>
      <c r="W47" s="24">
        <f>IF($A47="","",IFERROR(INDEX(TYP_PHASE,MATCH($A47,TYP_TYPE,0)),"-"))</f>
        <v/>
      </c>
      <c r="X47" s="24">
        <f>IF(AND($T47=1,$U47=0,N($N47)&gt;0),$N47+ROW()/1000000,"")</f>
        <v/>
      </c>
      <c r="Y47" s="24">
        <f>IF(AND($T47=1,$U47=0,OR($I47&lt;&gt;"",N($N47)&gt;0)),N($N47)+ROW()/1000000,"")</f>
        <v/>
      </c>
      <c r="Z47" s="24">
        <f>IF(AND($T47=1,$U47=0,$I47="",N($N47)&lt;=0,-N($N47)&lt;=HORIZON),N($N47)+ROW()/1000000,"")</f>
        <v/>
      </c>
    </row>
    <row r="48">
      <c r="A48" s="21" t="inlineStr">
        <is>
          <t>Planned End Of Erection Status Report</t>
        </is>
      </c>
      <c r="B48" s="21" t="inlineStr">
        <is>
          <t>Equipment</t>
        </is>
      </c>
      <c r="C48" s="21" t="inlineStr">
        <is>
          <t>SYS-SG</t>
        </is>
      </c>
      <c r="D48" s="21" t="inlineStr">
        <is>
          <t>SG-IXL-01 Interlocking Cabinet North</t>
        </is>
      </c>
      <c r="E48" s="21" t="inlineStr">
        <is>
          <t>DMIC-SYS-SG-PER-045</t>
        </is>
      </c>
      <c r="F48" s="21" t="inlineStr">
        <is>
          <t>M. Haddad</t>
        </is>
      </c>
      <c r="G48" s="21" t="inlineStr">
        <is>
          <t>S. Okonkwo</t>
        </is>
      </c>
      <c r="H48" s="21" t="inlineStr">
        <is>
          <t>S3 - For Review</t>
        </is>
      </c>
      <c r="I48" s="22" t="n"/>
      <c r="J48" s="22" t="n"/>
      <c r="K48" s="23">
        <f>IF($A48="","",IF($J48&lt;&gt;"",$J48,$S48))</f>
        <v/>
      </c>
      <c r="L48" s="24">
        <f>IF(OR($A48="",$E48=""),"",IF($J48&lt;&gt;"","Manual",IF($S48="","-","Auto")))</f>
        <v/>
      </c>
      <c r="M48" s="22" t="n"/>
      <c r="N48" s="25">
        <f>IF($T48=0,"",IF($U48=1,IF($M48="","",$M48-$K48),IF($K48="","",TODAY()-$K48)))</f>
        <v/>
      </c>
      <c r="O48" s="24">
        <f>IF(OR($A48="",$E48=""),"",IF($V48=1,S_INACT,IF(ISNA(MATCH($A48,TYP_TYPE,0)),S_TYPEKO,IF($U48=1,S_DONE,IF(AND($K48="",$R48=""),S_NOSCOPE,IF($K48="",S_NOTARGET,IF($N48&gt;0,S_LATE,IF($I48&lt;&gt;"",S_WIP,IF(-$N48&lt;=FEN_DOC,S_RISK,IF(-$N48&lt;=HORIZON,S_COMING,S_NOTYET))))))))))</f>
        <v/>
      </c>
      <c r="P48" s="24">
        <f>IF(OR($A48="",$E48=""),"",IF($V48=1,"",IF(ISNA(MATCH($A48,TYP_TYPE,0)),"Type not in the library",IF($B48="","Scope not set",IF(AND($B48="System",$C48=""),"System not set",IF(AND($B48="Equipment",$D48=""),"Equipment not set",IF($F48="","Responsible not set",IF($K48="","No target date",IF(AND($B48="Equipment",$C48&lt;&gt;"",IFERROR(INDEX(EQP_SYS,MATCH($D48,EQP_NOM,0)),"")&lt;&gt;$C48),"Equipment not in that system",IF(AND($U48=1,$M48=""),"Approved with no approval date",""))))))))))</f>
        <v/>
      </c>
      <c r="Q48" s="21" t="n"/>
      <c r="R48" s="23">
        <f>IF(OR($A48="",$B48=""),"",IF($B48="Equipment",IFERROR(INDEX(EQP_START,MATCH($D48,EQP_NOM,0)),""),IF($B48="System",IFERROR(INDEX(SYS_EARLIEST,MATCH($C48,SYS_ID,0)),""),IF($B48="All",CTR_EARLIEST,""))))</f>
        <v/>
      </c>
      <c r="S48" s="23">
        <f>IF(OR($A48="",$E48=""),"",IFERROR(IF(INDEX(TYP_ANCHOR,MATCH($A48,TYP_TYPE,0))="Commissioning Start",IF($R48="","",$R48-INDEX(TYP_LEAD,MATCH($A48,TYP_TYPE,0))),IF(INDEX(MS_PLAN,MATCH(INDEX(TYP_ANCHOR,MATCH($A48,TYP_TYPE,0)),MS_NOM,0))="","",INDEX(MS_PLAN,MATCH(INDEX(TYP_ANCHOR,MATCH($A48,TYP_TYPE,0)),MS_NOM,0))-INDEX(TYP_LEAD,MATCH($A48,TYP_TYPE,0)))),""))</f>
        <v/>
      </c>
      <c r="T48" s="26">
        <f>IF(OR($A48="",$E48=""),0,IF($V48=1,0,1))</f>
        <v/>
      </c>
      <c r="U48" s="26">
        <f>IF($T48=0,0,IF($M48&lt;&gt;"",1,IF(IFERROR(INDEX(WF_CLASS,MATCH($H48,WF_CODE,0)),"")="Done",1,0)))</f>
        <v/>
      </c>
      <c r="V48" s="26">
        <f>IF(OR($A48="",$E48=""),0,IF(IFERROR(INDEX(WF_CLASS,MATCH($H48,WF_CODE,0)),"")="Inactive",1,0))</f>
        <v/>
      </c>
      <c r="W48" s="24">
        <f>IF($A48="","",IFERROR(INDEX(TYP_PHASE,MATCH($A48,TYP_TYPE,0)),"-"))</f>
        <v/>
      </c>
      <c r="X48" s="24">
        <f>IF(AND($T48=1,$U48=0,N($N48)&gt;0),$N48+ROW()/1000000,"")</f>
        <v/>
      </c>
      <c r="Y48" s="24">
        <f>IF(AND($T48=1,$U48=0,OR($I48&lt;&gt;"",N($N48)&gt;0)),N($N48)+ROW()/1000000,"")</f>
        <v/>
      </c>
      <c r="Z48" s="24">
        <f>IF(AND($T48=1,$U48=0,$I48="",N($N48)&lt;=0,-N($N48)&lt;=HORIZON),N($N48)+ROW()/1000000,"")</f>
        <v/>
      </c>
    </row>
    <row r="49">
      <c r="A49" s="21" t="inlineStr">
        <is>
          <t>Commissioning Procedure</t>
        </is>
      </c>
      <c r="B49" s="21" t="inlineStr">
        <is>
          <t>Equipment</t>
        </is>
      </c>
      <c r="C49" s="21" t="inlineStr">
        <is>
          <t>SYS-SG</t>
        </is>
      </c>
      <c r="D49" s="21" t="inlineStr">
        <is>
          <t>SG-IXL-02 Interlocking Cabinet South</t>
        </is>
      </c>
      <c r="E49" s="21" t="inlineStr">
        <is>
          <t>DMIC-SYS-SG-CPR-046</t>
        </is>
      </c>
      <c r="F49" s="21" t="inlineStr">
        <is>
          <t>C. Vasquez</t>
        </is>
      </c>
      <c r="G49" s="21" t="inlineStr">
        <is>
          <t>L. Fontaine</t>
        </is>
      </c>
      <c r="H49" s="21" t="inlineStr">
        <is>
          <t>P1 - For Implementation</t>
        </is>
      </c>
      <c r="I49" s="22" t="n"/>
      <c r="J49" s="22" t="n"/>
      <c r="K49" s="23">
        <f>IF($A49="","",IF($J49&lt;&gt;"",$J49,$S49))</f>
        <v/>
      </c>
      <c r="L49" s="24">
        <f>IF(OR($A49="",$E49=""),"",IF($J49&lt;&gt;"","Manual",IF($S49="","-","Auto")))</f>
        <v/>
      </c>
      <c r="M49" s="22" t="n">
        <v>46255</v>
      </c>
      <c r="N49" s="25">
        <f>IF($T49=0,"",IF($U49=1,IF($M49="","",$M49-$K49),IF($K49="","",TODAY()-$K49)))</f>
        <v/>
      </c>
      <c r="O49" s="24">
        <f>IF(OR($A49="",$E49=""),"",IF($V49=1,S_INACT,IF(ISNA(MATCH($A49,TYP_TYPE,0)),S_TYPEKO,IF($U49=1,S_DONE,IF(AND($K49="",$R49=""),S_NOSCOPE,IF($K49="",S_NOTARGET,IF($N49&gt;0,S_LATE,IF($I49&lt;&gt;"",S_WIP,IF(-$N49&lt;=FEN_DOC,S_RISK,IF(-$N49&lt;=HORIZON,S_COMING,S_NOTYET))))))))))</f>
        <v/>
      </c>
      <c r="P49" s="24">
        <f>IF(OR($A49="",$E49=""),"",IF($V49=1,"",IF(ISNA(MATCH($A49,TYP_TYPE,0)),"Type not in the library",IF($B49="","Scope not set",IF(AND($B49="System",$C49=""),"System not set",IF(AND($B49="Equipment",$D49=""),"Equipment not set",IF($F49="","Responsible not set",IF($K49="","No target date",IF(AND($B49="Equipment",$C49&lt;&gt;"",IFERROR(INDEX(EQP_SYS,MATCH($D49,EQP_NOM,0)),"")&lt;&gt;$C49),"Equipment not in that system",IF(AND($U49=1,$M49=""),"Approved with no approval date",""))))))))))</f>
        <v/>
      </c>
      <c r="Q49" s="21" t="n"/>
      <c r="R49" s="23">
        <f>IF(OR($A49="",$B49=""),"",IF($B49="Equipment",IFERROR(INDEX(EQP_START,MATCH($D49,EQP_NOM,0)),""),IF($B49="System",IFERROR(INDEX(SYS_EARLIEST,MATCH($C49,SYS_ID,0)),""),IF($B49="All",CTR_EARLIEST,""))))</f>
        <v/>
      </c>
      <c r="S49" s="23">
        <f>IF(OR($A49="",$E49=""),"",IFERROR(IF(INDEX(TYP_ANCHOR,MATCH($A49,TYP_TYPE,0))="Commissioning Start",IF($R49="","",$R49-INDEX(TYP_LEAD,MATCH($A49,TYP_TYPE,0))),IF(INDEX(MS_PLAN,MATCH(INDEX(TYP_ANCHOR,MATCH($A49,TYP_TYPE,0)),MS_NOM,0))="","",INDEX(MS_PLAN,MATCH(INDEX(TYP_ANCHOR,MATCH($A49,TYP_TYPE,0)),MS_NOM,0))-INDEX(TYP_LEAD,MATCH($A49,TYP_TYPE,0)))),""))</f>
        <v/>
      </c>
      <c r="T49" s="26">
        <f>IF(OR($A49="",$E49=""),0,IF($V49=1,0,1))</f>
        <v/>
      </c>
      <c r="U49" s="26">
        <f>IF($T49=0,0,IF($M49&lt;&gt;"",1,IF(IFERROR(INDEX(WF_CLASS,MATCH($H49,WF_CODE,0)),"")="Done",1,0)))</f>
        <v/>
      </c>
      <c r="V49" s="26">
        <f>IF(OR($A49="",$E49=""),0,IF(IFERROR(INDEX(WF_CLASS,MATCH($H49,WF_CODE,0)),"")="Inactive",1,0))</f>
        <v/>
      </c>
      <c r="W49" s="24">
        <f>IF($A49="","",IFERROR(INDEX(TYP_PHASE,MATCH($A49,TYP_TYPE,0)),"-"))</f>
        <v/>
      </c>
      <c r="X49" s="24">
        <f>IF(AND($T49=1,$U49=0,N($N49)&gt;0),$N49+ROW()/1000000,"")</f>
        <v/>
      </c>
      <c r="Y49" s="24">
        <f>IF(AND($T49=1,$U49=0,OR($I49&lt;&gt;"",N($N49)&gt;0)),N($N49)+ROW()/1000000,"")</f>
        <v/>
      </c>
      <c r="Z49" s="24">
        <f>IF(AND($T49=1,$U49=0,$I49="",N($N49)&lt;=0,-N($N49)&lt;=HORIZON),N($N49)+ROW()/1000000,"")</f>
        <v/>
      </c>
    </row>
    <row r="50">
      <c r="A50" s="21" t="inlineStr">
        <is>
          <t>Inspection and Test Plan</t>
        </is>
      </c>
      <c r="B50" s="21" t="inlineStr">
        <is>
          <t>Equipment</t>
        </is>
      </c>
      <c r="C50" s="21" t="inlineStr">
        <is>
          <t>SYS-SG</t>
        </is>
      </c>
      <c r="D50" s="21" t="inlineStr">
        <is>
          <t>SG-IXL-02 Interlocking Cabinet South</t>
        </is>
      </c>
      <c r="E50" s="21" t="inlineStr">
        <is>
          <t>DMIC-SYS-SG-ITP-047</t>
        </is>
      </c>
      <c r="F50" s="21" t="inlineStr">
        <is>
          <t>H. Lindqvist</t>
        </is>
      </c>
      <c r="G50" s="21" t="inlineStr">
        <is>
          <t>D. Petrov</t>
        </is>
      </c>
      <c r="H50" s="21" t="inlineStr">
        <is>
          <t>P6 - For Construction</t>
        </is>
      </c>
      <c r="I50" s="22" t="n"/>
      <c r="J50" s="22" t="n"/>
      <c r="K50" s="23">
        <f>IF($A50="","",IF($J50&lt;&gt;"",$J50,$S50))</f>
        <v/>
      </c>
      <c r="L50" s="24">
        <f>IF(OR($A50="",$E50=""),"",IF($J50&lt;&gt;"","Manual",IF($S50="","-","Auto")))</f>
        <v/>
      </c>
      <c r="M50" s="22" t="n">
        <v>46254</v>
      </c>
      <c r="N50" s="25">
        <f>IF($T50=0,"",IF($U50=1,IF($M50="","",$M50-$K50),IF($K50="","",TODAY()-$K50)))</f>
        <v/>
      </c>
      <c r="O50" s="24">
        <f>IF(OR($A50="",$E50=""),"",IF($V50=1,S_INACT,IF(ISNA(MATCH($A50,TYP_TYPE,0)),S_TYPEKO,IF($U50=1,S_DONE,IF(AND($K50="",$R50=""),S_NOSCOPE,IF($K50="",S_NOTARGET,IF($N50&gt;0,S_LATE,IF($I50&lt;&gt;"",S_WIP,IF(-$N50&lt;=FEN_DOC,S_RISK,IF(-$N50&lt;=HORIZON,S_COMING,S_NOTYET))))))))))</f>
        <v/>
      </c>
      <c r="P50" s="24">
        <f>IF(OR($A50="",$E50=""),"",IF($V50=1,"",IF(ISNA(MATCH($A50,TYP_TYPE,0)),"Type not in the library",IF($B50="","Scope not set",IF(AND($B50="System",$C50=""),"System not set",IF(AND($B50="Equipment",$D50=""),"Equipment not set",IF($F50="","Responsible not set",IF($K50="","No target date",IF(AND($B50="Equipment",$C50&lt;&gt;"",IFERROR(INDEX(EQP_SYS,MATCH($D50,EQP_NOM,0)),"")&lt;&gt;$C50),"Equipment not in that system",IF(AND($U50=1,$M50=""),"Approved with no approval date",""))))))))))</f>
        <v/>
      </c>
      <c r="Q50" s="21" t="n"/>
      <c r="R50" s="23">
        <f>IF(OR($A50="",$B50=""),"",IF($B50="Equipment",IFERROR(INDEX(EQP_START,MATCH($D50,EQP_NOM,0)),""),IF($B50="System",IFERROR(INDEX(SYS_EARLIEST,MATCH($C50,SYS_ID,0)),""),IF($B50="All",CTR_EARLIEST,""))))</f>
        <v/>
      </c>
      <c r="S50" s="23">
        <f>IF(OR($A50="",$E50=""),"",IFERROR(IF(INDEX(TYP_ANCHOR,MATCH($A50,TYP_TYPE,0))="Commissioning Start",IF($R50="","",$R50-INDEX(TYP_LEAD,MATCH($A50,TYP_TYPE,0))),IF(INDEX(MS_PLAN,MATCH(INDEX(TYP_ANCHOR,MATCH($A50,TYP_TYPE,0)),MS_NOM,0))="","",INDEX(MS_PLAN,MATCH(INDEX(TYP_ANCHOR,MATCH($A50,TYP_TYPE,0)),MS_NOM,0))-INDEX(TYP_LEAD,MATCH($A50,TYP_TYPE,0)))),""))</f>
        <v/>
      </c>
      <c r="T50" s="26">
        <f>IF(OR($A50="",$E50=""),0,IF($V50=1,0,1))</f>
        <v/>
      </c>
      <c r="U50" s="26">
        <f>IF($T50=0,0,IF($M50&lt;&gt;"",1,IF(IFERROR(INDEX(WF_CLASS,MATCH($H50,WF_CODE,0)),"")="Done",1,0)))</f>
        <v/>
      </c>
      <c r="V50" s="26">
        <f>IF(OR($A50="",$E50=""),0,IF(IFERROR(INDEX(WF_CLASS,MATCH($H50,WF_CODE,0)),"")="Inactive",1,0))</f>
        <v/>
      </c>
      <c r="W50" s="24">
        <f>IF($A50="","",IFERROR(INDEX(TYP_PHASE,MATCH($A50,TYP_TYPE,0)),"-"))</f>
        <v/>
      </c>
      <c r="X50" s="24">
        <f>IF(AND($T50=1,$U50=0,N($N50)&gt;0),$N50+ROW()/1000000,"")</f>
        <v/>
      </c>
      <c r="Y50" s="24">
        <f>IF(AND($T50=1,$U50=0,OR($I50&lt;&gt;"",N($N50)&gt;0)),N($N50)+ROW()/1000000,"")</f>
        <v/>
      </c>
      <c r="Z50" s="24">
        <f>IF(AND($T50=1,$U50=0,$I50="",N($N50)&lt;=0,-N($N50)&lt;=HORIZON),N($N50)+ROW()/1000000,"")</f>
        <v/>
      </c>
    </row>
    <row r="51">
      <c r="A51" s="21" t="inlineStr">
        <is>
          <t>Planned End Of Erection Status Report</t>
        </is>
      </c>
      <c r="B51" s="21" t="inlineStr">
        <is>
          <t>Equipment</t>
        </is>
      </c>
      <c r="C51" s="21" t="inlineStr">
        <is>
          <t>SYS-SG</t>
        </is>
      </c>
      <c r="D51" s="21" t="inlineStr">
        <is>
          <t>SG-IXL-02 Interlocking Cabinet South</t>
        </is>
      </c>
      <c r="E51" s="21" t="inlineStr">
        <is>
          <t>DMIC-SYS-SG-PER-048</t>
        </is>
      </c>
      <c r="F51" s="21" t="inlineStr">
        <is>
          <t>A. Mercer</t>
        </is>
      </c>
      <c r="G51" s="21" t="inlineStr">
        <is>
          <t>J. Whitfield</t>
        </is>
      </c>
      <c r="H51" s="21" t="inlineStr">
        <is>
          <t>S4A - Approved</t>
        </is>
      </c>
      <c r="I51" s="22" t="n"/>
      <c r="J51" s="22" t="n"/>
      <c r="K51" s="23">
        <f>IF($A51="","",IF($J51&lt;&gt;"",$J51,$S51))</f>
        <v/>
      </c>
      <c r="L51" s="24">
        <f>IF(OR($A51="",$E51=""),"",IF($J51&lt;&gt;"","Manual",IF($S51="","-","Auto")))</f>
        <v/>
      </c>
      <c r="M51" s="22" t="n">
        <v>46253</v>
      </c>
      <c r="N51" s="25">
        <f>IF($T51=0,"",IF($U51=1,IF($M51="","",$M51-$K51),IF($K51="","",TODAY()-$K51)))</f>
        <v/>
      </c>
      <c r="O51" s="24">
        <f>IF(OR($A51="",$E51=""),"",IF($V51=1,S_INACT,IF(ISNA(MATCH($A51,TYP_TYPE,0)),S_TYPEKO,IF($U51=1,S_DONE,IF(AND($K51="",$R51=""),S_NOSCOPE,IF($K51="",S_NOTARGET,IF($N51&gt;0,S_LATE,IF($I51&lt;&gt;"",S_WIP,IF(-$N51&lt;=FEN_DOC,S_RISK,IF(-$N51&lt;=HORIZON,S_COMING,S_NOTYET))))))))))</f>
        <v/>
      </c>
      <c r="P51" s="24">
        <f>IF(OR($A51="",$E51=""),"",IF($V51=1,"",IF(ISNA(MATCH($A51,TYP_TYPE,0)),"Type not in the library",IF($B51="","Scope not set",IF(AND($B51="System",$C51=""),"System not set",IF(AND($B51="Equipment",$D51=""),"Equipment not set",IF($F51="","Responsible not set",IF($K51="","No target date",IF(AND($B51="Equipment",$C51&lt;&gt;"",IFERROR(INDEX(EQP_SYS,MATCH($D51,EQP_NOM,0)),"")&lt;&gt;$C51),"Equipment not in that system",IF(AND($U51=1,$M51=""),"Approved with no approval date",""))))))))))</f>
        <v/>
      </c>
      <c r="Q51" s="21" t="n"/>
      <c r="R51" s="23">
        <f>IF(OR($A51="",$B51=""),"",IF($B51="Equipment",IFERROR(INDEX(EQP_START,MATCH($D51,EQP_NOM,0)),""),IF($B51="System",IFERROR(INDEX(SYS_EARLIEST,MATCH($C51,SYS_ID,0)),""),IF($B51="All",CTR_EARLIEST,""))))</f>
        <v/>
      </c>
      <c r="S51" s="23">
        <f>IF(OR($A51="",$E51=""),"",IFERROR(IF(INDEX(TYP_ANCHOR,MATCH($A51,TYP_TYPE,0))="Commissioning Start",IF($R51="","",$R51-INDEX(TYP_LEAD,MATCH($A51,TYP_TYPE,0))),IF(INDEX(MS_PLAN,MATCH(INDEX(TYP_ANCHOR,MATCH($A51,TYP_TYPE,0)),MS_NOM,0))="","",INDEX(MS_PLAN,MATCH(INDEX(TYP_ANCHOR,MATCH($A51,TYP_TYPE,0)),MS_NOM,0))-INDEX(TYP_LEAD,MATCH($A51,TYP_TYPE,0)))),""))</f>
        <v/>
      </c>
      <c r="T51" s="26">
        <f>IF(OR($A51="",$E51=""),0,IF($V51=1,0,1))</f>
        <v/>
      </c>
      <c r="U51" s="26">
        <f>IF($T51=0,0,IF($M51&lt;&gt;"",1,IF(IFERROR(INDEX(WF_CLASS,MATCH($H51,WF_CODE,0)),"")="Done",1,0)))</f>
        <v/>
      </c>
      <c r="V51" s="26">
        <f>IF(OR($A51="",$E51=""),0,IF(IFERROR(INDEX(WF_CLASS,MATCH($H51,WF_CODE,0)),"")="Inactive",1,0))</f>
        <v/>
      </c>
      <c r="W51" s="24">
        <f>IF($A51="","",IFERROR(INDEX(TYP_PHASE,MATCH($A51,TYP_TYPE,0)),"-"))</f>
        <v/>
      </c>
      <c r="X51" s="24">
        <f>IF(AND($T51=1,$U51=0,N($N51)&gt;0),$N51+ROW()/1000000,"")</f>
        <v/>
      </c>
      <c r="Y51" s="24">
        <f>IF(AND($T51=1,$U51=0,OR($I51&lt;&gt;"",N($N51)&gt;0)),N($N51)+ROW()/1000000,"")</f>
        <v/>
      </c>
      <c r="Z51" s="24">
        <f>IF(AND($T51=1,$U51=0,$I51="",N($N51)&lt;=0,-N($N51)&lt;=HORIZON),N($N51)+ROW()/1000000,"")</f>
        <v/>
      </c>
    </row>
    <row r="52">
      <c r="A52" s="21" t="inlineStr">
        <is>
          <t>Commissioning Procedure</t>
        </is>
      </c>
      <c r="B52" s="21" t="inlineStr">
        <is>
          <t>Equipment</t>
        </is>
      </c>
      <c r="C52" s="21" t="inlineStr">
        <is>
          <t>SYS-SG</t>
        </is>
      </c>
      <c r="D52" s="21" t="inlineStr">
        <is>
          <t>SG-ATP-03 ATP Trackside Equipment</t>
        </is>
      </c>
      <c r="E52" s="21" t="inlineStr">
        <is>
          <t>DMIC-SYS-SG-CPR-049</t>
        </is>
      </c>
      <c r="F52" s="21" t="inlineStr">
        <is>
          <t>S. Okonkwo</t>
        </is>
      </c>
      <c r="G52" s="21" t="inlineStr">
        <is>
          <t>P. Nakamura</t>
        </is>
      </c>
      <c r="H52" s="21" t="inlineStr">
        <is>
          <t>P1 - For Implementation</t>
        </is>
      </c>
      <c r="I52" s="22" t="n"/>
      <c r="J52" s="22" t="n"/>
      <c r="K52" s="23">
        <f>IF($A52="","",IF($J52&lt;&gt;"",$J52,$S52))</f>
        <v/>
      </c>
      <c r="L52" s="24">
        <f>IF(OR($A52="",$E52=""),"",IF($J52&lt;&gt;"","Manual",IF($S52="","-","Auto")))</f>
        <v/>
      </c>
      <c r="M52" s="22" t="n">
        <v>46259</v>
      </c>
      <c r="N52" s="25">
        <f>IF($T52=0,"",IF($U52=1,IF($M52="","",$M52-$K52),IF($K52="","",TODAY()-$K52)))</f>
        <v/>
      </c>
      <c r="O52" s="24">
        <f>IF(OR($A52="",$E52=""),"",IF($V52=1,S_INACT,IF(ISNA(MATCH($A52,TYP_TYPE,0)),S_TYPEKO,IF($U52=1,S_DONE,IF(AND($K52="",$R52=""),S_NOSCOPE,IF($K52="",S_NOTARGET,IF($N52&gt;0,S_LATE,IF($I52&lt;&gt;"",S_WIP,IF(-$N52&lt;=FEN_DOC,S_RISK,IF(-$N52&lt;=HORIZON,S_COMING,S_NOTYET))))))))))</f>
        <v/>
      </c>
      <c r="P52" s="24">
        <f>IF(OR($A52="",$E52=""),"",IF($V52=1,"",IF(ISNA(MATCH($A52,TYP_TYPE,0)),"Type not in the library",IF($B52="","Scope not set",IF(AND($B52="System",$C52=""),"System not set",IF(AND($B52="Equipment",$D52=""),"Equipment not set",IF($F52="","Responsible not set",IF($K52="","No target date",IF(AND($B52="Equipment",$C52&lt;&gt;"",IFERROR(INDEX(EQP_SYS,MATCH($D52,EQP_NOM,0)),"")&lt;&gt;$C52),"Equipment not in that system",IF(AND($U52=1,$M52=""),"Approved with no approval date",""))))))))))</f>
        <v/>
      </c>
      <c r="Q52" s="21" t="n"/>
      <c r="R52" s="23">
        <f>IF(OR($A52="",$B52=""),"",IF($B52="Equipment",IFERROR(INDEX(EQP_START,MATCH($D52,EQP_NOM,0)),""),IF($B52="System",IFERROR(INDEX(SYS_EARLIEST,MATCH($C52,SYS_ID,0)),""),IF($B52="All",CTR_EARLIEST,""))))</f>
        <v/>
      </c>
      <c r="S52" s="23">
        <f>IF(OR($A52="",$E52=""),"",IFERROR(IF(INDEX(TYP_ANCHOR,MATCH($A52,TYP_TYPE,0))="Commissioning Start",IF($R52="","",$R52-INDEX(TYP_LEAD,MATCH($A52,TYP_TYPE,0))),IF(INDEX(MS_PLAN,MATCH(INDEX(TYP_ANCHOR,MATCH($A52,TYP_TYPE,0)),MS_NOM,0))="","",INDEX(MS_PLAN,MATCH(INDEX(TYP_ANCHOR,MATCH($A52,TYP_TYPE,0)),MS_NOM,0))-INDEX(TYP_LEAD,MATCH($A52,TYP_TYPE,0)))),""))</f>
        <v/>
      </c>
      <c r="T52" s="26">
        <f>IF(OR($A52="",$E52=""),0,IF($V52=1,0,1))</f>
        <v/>
      </c>
      <c r="U52" s="26">
        <f>IF($T52=0,0,IF($M52&lt;&gt;"",1,IF(IFERROR(INDEX(WF_CLASS,MATCH($H52,WF_CODE,0)),"")="Done",1,0)))</f>
        <v/>
      </c>
      <c r="V52" s="26">
        <f>IF(OR($A52="",$E52=""),0,IF(IFERROR(INDEX(WF_CLASS,MATCH($H52,WF_CODE,0)),"")="Inactive",1,0))</f>
        <v/>
      </c>
      <c r="W52" s="24">
        <f>IF($A52="","",IFERROR(INDEX(TYP_PHASE,MATCH($A52,TYP_TYPE,0)),"-"))</f>
        <v/>
      </c>
      <c r="X52" s="24">
        <f>IF(AND($T52=1,$U52=0,N($N52)&gt;0),$N52+ROW()/1000000,"")</f>
        <v/>
      </c>
      <c r="Y52" s="24">
        <f>IF(AND($T52=1,$U52=0,OR($I52&lt;&gt;"",N($N52)&gt;0)),N($N52)+ROW()/1000000,"")</f>
        <v/>
      </c>
      <c r="Z52" s="24">
        <f>IF(AND($T52=1,$U52=0,$I52="",N($N52)&lt;=0,-N($N52)&lt;=HORIZON),N($N52)+ROW()/1000000,"")</f>
        <v/>
      </c>
    </row>
    <row r="53">
      <c r="A53" s="21" t="inlineStr">
        <is>
          <t>Inspection and Test Plan</t>
        </is>
      </c>
      <c r="B53" s="21" t="inlineStr">
        <is>
          <t>Equipment</t>
        </is>
      </c>
      <c r="C53" s="21" t="inlineStr">
        <is>
          <t>SYS-SG</t>
        </is>
      </c>
      <c r="D53" s="21" t="inlineStr">
        <is>
          <t>SG-ATP-03 ATP Trackside Equipment</t>
        </is>
      </c>
      <c r="E53" s="21" t="inlineStr">
        <is>
          <t>DMIC-SYS-SG-ITP-050</t>
        </is>
      </c>
      <c r="F53" s="21" t="inlineStr">
        <is>
          <t>L. Fontaine</t>
        </is>
      </c>
      <c r="G53" s="21" t="inlineStr">
        <is>
          <t>K. Rasmussen</t>
        </is>
      </c>
      <c r="H53" s="21" t="inlineStr">
        <is>
          <t>P6 - For Construction</t>
        </is>
      </c>
      <c r="I53" s="22" t="n"/>
      <c r="J53" s="22" t="n"/>
      <c r="K53" s="23">
        <f>IF($A53="","",IF($J53&lt;&gt;"",$J53,$S53))</f>
        <v/>
      </c>
      <c r="L53" s="24">
        <f>IF(OR($A53="",$E53=""),"",IF($J53&lt;&gt;"","Manual",IF($S53="","-","Auto")))</f>
        <v/>
      </c>
      <c r="M53" s="22" t="n">
        <v>46258</v>
      </c>
      <c r="N53" s="25">
        <f>IF($T53=0,"",IF($U53=1,IF($M53="","",$M53-$K53),IF($K53="","",TODAY()-$K53)))</f>
        <v/>
      </c>
      <c r="O53" s="24">
        <f>IF(OR($A53="",$E53=""),"",IF($V53=1,S_INACT,IF(ISNA(MATCH($A53,TYP_TYPE,0)),S_TYPEKO,IF($U53=1,S_DONE,IF(AND($K53="",$R53=""),S_NOSCOPE,IF($K53="",S_NOTARGET,IF($N53&gt;0,S_LATE,IF($I53&lt;&gt;"",S_WIP,IF(-$N53&lt;=FEN_DOC,S_RISK,IF(-$N53&lt;=HORIZON,S_COMING,S_NOTYET))))))))))</f>
        <v/>
      </c>
      <c r="P53" s="24">
        <f>IF(OR($A53="",$E53=""),"",IF($V53=1,"",IF(ISNA(MATCH($A53,TYP_TYPE,0)),"Type not in the library",IF($B53="","Scope not set",IF(AND($B53="System",$C53=""),"System not set",IF(AND($B53="Equipment",$D53=""),"Equipment not set",IF($F53="","Responsible not set",IF($K53="","No target date",IF(AND($B53="Equipment",$C53&lt;&gt;"",IFERROR(INDEX(EQP_SYS,MATCH($D53,EQP_NOM,0)),"")&lt;&gt;$C53),"Equipment not in that system",IF(AND($U53=1,$M53=""),"Approved with no approval date",""))))))))))</f>
        <v/>
      </c>
      <c r="Q53" s="21" t="n"/>
      <c r="R53" s="23">
        <f>IF(OR($A53="",$B53=""),"",IF($B53="Equipment",IFERROR(INDEX(EQP_START,MATCH($D53,EQP_NOM,0)),""),IF($B53="System",IFERROR(INDEX(SYS_EARLIEST,MATCH($C53,SYS_ID,0)),""),IF($B53="All",CTR_EARLIEST,""))))</f>
        <v/>
      </c>
      <c r="S53" s="23">
        <f>IF(OR($A53="",$E53=""),"",IFERROR(IF(INDEX(TYP_ANCHOR,MATCH($A53,TYP_TYPE,0))="Commissioning Start",IF($R53="","",$R53-INDEX(TYP_LEAD,MATCH($A53,TYP_TYPE,0))),IF(INDEX(MS_PLAN,MATCH(INDEX(TYP_ANCHOR,MATCH($A53,TYP_TYPE,0)),MS_NOM,0))="","",INDEX(MS_PLAN,MATCH(INDEX(TYP_ANCHOR,MATCH($A53,TYP_TYPE,0)),MS_NOM,0))-INDEX(TYP_LEAD,MATCH($A53,TYP_TYPE,0)))),""))</f>
        <v/>
      </c>
      <c r="T53" s="26">
        <f>IF(OR($A53="",$E53=""),0,IF($V53=1,0,1))</f>
        <v/>
      </c>
      <c r="U53" s="26">
        <f>IF($T53=0,0,IF($M53&lt;&gt;"",1,IF(IFERROR(INDEX(WF_CLASS,MATCH($H53,WF_CODE,0)),"")="Done",1,0)))</f>
        <v/>
      </c>
      <c r="V53" s="26">
        <f>IF(OR($A53="",$E53=""),0,IF(IFERROR(INDEX(WF_CLASS,MATCH($H53,WF_CODE,0)),"")="Inactive",1,0))</f>
        <v/>
      </c>
      <c r="W53" s="24">
        <f>IF($A53="","",IFERROR(INDEX(TYP_PHASE,MATCH($A53,TYP_TYPE,0)),"-"))</f>
        <v/>
      </c>
      <c r="X53" s="24">
        <f>IF(AND($T53=1,$U53=0,N($N53)&gt;0),$N53+ROW()/1000000,"")</f>
        <v/>
      </c>
      <c r="Y53" s="24">
        <f>IF(AND($T53=1,$U53=0,OR($I53&lt;&gt;"",N($N53)&gt;0)),N($N53)+ROW()/1000000,"")</f>
        <v/>
      </c>
      <c r="Z53" s="24">
        <f>IF(AND($T53=1,$U53=0,$I53="",N($N53)&lt;=0,-N($N53)&lt;=HORIZON),N($N53)+ROW()/1000000,"")</f>
        <v/>
      </c>
    </row>
    <row r="54">
      <c r="A54" s="21" t="inlineStr">
        <is>
          <t>Planned End Of Erection Status Report</t>
        </is>
      </c>
      <c r="B54" s="21" t="inlineStr">
        <is>
          <t>Equipment</t>
        </is>
      </c>
      <c r="C54" s="21" t="inlineStr">
        <is>
          <t>SYS-SG</t>
        </is>
      </c>
      <c r="D54" s="21" t="inlineStr">
        <is>
          <t>SG-ATP-03 ATP Trackside Equipment</t>
        </is>
      </c>
      <c r="E54" s="21" t="inlineStr">
        <is>
          <t>DMIC-SYS-SG-PER-051</t>
        </is>
      </c>
      <c r="F54" s="21" t="inlineStr">
        <is>
          <t>D. Petrov</t>
        </is>
      </c>
      <c r="G54" s="21" t="inlineStr">
        <is>
          <t>R. Bellamy</t>
        </is>
      </c>
      <c r="H54" s="21" t="inlineStr">
        <is>
          <t>S4A - Approved</t>
        </is>
      </c>
      <c r="I54" s="22" t="n"/>
      <c r="J54" s="22" t="n"/>
      <c r="K54" s="23">
        <f>IF($A54="","",IF($J54&lt;&gt;"",$J54,$S54))</f>
        <v/>
      </c>
      <c r="L54" s="24">
        <f>IF(OR($A54="",$E54=""),"",IF($J54&lt;&gt;"","Manual",IF($S54="","-","Auto")))</f>
        <v/>
      </c>
      <c r="M54" s="22" t="n">
        <v>46257</v>
      </c>
      <c r="N54" s="25">
        <f>IF($T54=0,"",IF($U54=1,IF($M54="","",$M54-$K54),IF($K54="","",TODAY()-$K54)))</f>
        <v/>
      </c>
      <c r="O54" s="24">
        <f>IF(OR($A54="",$E54=""),"",IF($V54=1,S_INACT,IF(ISNA(MATCH($A54,TYP_TYPE,0)),S_TYPEKO,IF($U54=1,S_DONE,IF(AND($K54="",$R54=""),S_NOSCOPE,IF($K54="",S_NOTARGET,IF($N54&gt;0,S_LATE,IF($I54&lt;&gt;"",S_WIP,IF(-$N54&lt;=FEN_DOC,S_RISK,IF(-$N54&lt;=HORIZON,S_COMING,S_NOTYET))))))))))</f>
        <v/>
      </c>
      <c r="P54" s="24">
        <f>IF(OR($A54="",$E54=""),"",IF($V54=1,"",IF(ISNA(MATCH($A54,TYP_TYPE,0)),"Type not in the library",IF($B54="","Scope not set",IF(AND($B54="System",$C54=""),"System not set",IF(AND($B54="Equipment",$D54=""),"Equipment not set",IF($F54="","Responsible not set",IF($K54="","No target date",IF(AND($B54="Equipment",$C54&lt;&gt;"",IFERROR(INDEX(EQP_SYS,MATCH($D54,EQP_NOM,0)),"")&lt;&gt;$C54),"Equipment not in that system",IF(AND($U54=1,$M54=""),"Approved with no approval date",""))))))))))</f>
        <v/>
      </c>
      <c r="Q54" s="21" t="n"/>
      <c r="R54" s="23">
        <f>IF(OR($A54="",$B54=""),"",IF($B54="Equipment",IFERROR(INDEX(EQP_START,MATCH($D54,EQP_NOM,0)),""),IF($B54="System",IFERROR(INDEX(SYS_EARLIEST,MATCH($C54,SYS_ID,0)),""),IF($B54="All",CTR_EARLIEST,""))))</f>
        <v/>
      </c>
      <c r="S54" s="23">
        <f>IF(OR($A54="",$E54=""),"",IFERROR(IF(INDEX(TYP_ANCHOR,MATCH($A54,TYP_TYPE,0))="Commissioning Start",IF($R54="","",$R54-INDEX(TYP_LEAD,MATCH($A54,TYP_TYPE,0))),IF(INDEX(MS_PLAN,MATCH(INDEX(TYP_ANCHOR,MATCH($A54,TYP_TYPE,0)),MS_NOM,0))="","",INDEX(MS_PLAN,MATCH(INDEX(TYP_ANCHOR,MATCH($A54,TYP_TYPE,0)),MS_NOM,0))-INDEX(TYP_LEAD,MATCH($A54,TYP_TYPE,0)))),""))</f>
        <v/>
      </c>
      <c r="T54" s="26">
        <f>IF(OR($A54="",$E54=""),0,IF($V54=1,0,1))</f>
        <v/>
      </c>
      <c r="U54" s="26">
        <f>IF($T54=0,0,IF($M54&lt;&gt;"",1,IF(IFERROR(INDEX(WF_CLASS,MATCH($H54,WF_CODE,0)),"")="Done",1,0)))</f>
        <v/>
      </c>
      <c r="V54" s="26">
        <f>IF(OR($A54="",$E54=""),0,IF(IFERROR(INDEX(WF_CLASS,MATCH($H54,WF_CODE,0)),"")="Inactive",1,0))</f>
        <v/>
      </c>
      <c r="W54" s="24">
        <f>IF($A54="","",IFERROR(INDEX(TYP_PHASE,MATCH($A54,TYP_TYPE,0)),"-"))</f>
        <v/>
      </c>
      <c r="X54" s="24">
        <f>IF(AND($T54=1,$U54=0,N($N54)&gt;0),$N54+ROW()/1000000,"")</f>
        <v/>
      </c>
      <c r="Y54" s="24">
        <f>IF(AND($T54=1,$U54=0,OR($I54&lt;&gt;"",N($N54)&gt;0)),N($N54)+ROW()/1000000,"")</f>
        <v/>
      </c>
      <c r="Z54" s="24">
        <f>IF(AND($T54=1,$U54=0,$I54="",N($N54)&lt;=0,-N($N54)&lt;=HORIZON),N($N54)+ROW()/1000000,"")</f>
        <v/>
      </c>
    </row>
    <row r="55">
      <c r="A55" s="21" t="inlineStr">
        <is>
          <t>Commissioning Procedure</t>
        </is>
      </c>
      <c r="B55" s="21" t="inlineStr">
        <is>
          <t>Equipment</t>
        </is>
      </c>
      <c r="C55" s="21" t="inlineStr">
        <is>
          <t>SYS-SG</t>
        </is>
      </c>
      <c r="D55" s="21" t="inlineStr">
        <is>
          <t>SG-OCC-04 Signalling Workstations</t>
        </is>
      </c>
      <c r="E55" s="21" t="inlineStr">
        <is>
          <t>DMIC-SYS-SG-CPR-052</t>
        </is>
      </c>
      <c r="F55" s="21" t="inlineStr">
        <is>
          <t>J. Whitfield</t>
        </is>
      </c>
      <c r="G55" s="21" t="inlineStr">
        <is>
          <t>N. Bergstrom</t>
        </is>
      </c>
      <c r="H55" s="21" t="inlineStr">
        <is>
          <t>S6 - For Acceptance</t>
        </is>
      </c>
      <c r="I55" s="22" t="n"/>
      <c r="J55" s="22" t="n"/>
      <c r="K55" s="23">
        <f>IF($A55="","",IF($J55&lt;&gt;"",$J55,$S55))</f>
        <v/>
      </c>
      <c r="L55" s="24">
        <f>IF(OR($A55="",$E55=""),"",IF($J55&lt;&gt;"","Manual",IF($S55="","-","Auto")))</f>
        <v/>
      </c>
      <c r="M55" s="22" t="n"/>
      <c r="N55" s="25">
        <f>IF($T55=0,"",IF($U55=1,IF($M55="","",$M55-$K55),IF($K55="","",TODAY()-$K55)))</f>
        <v/>
      </c>
      <c r="O55" s="24">
        <f>IF(OR($A55="",$E55=""),"",IF($V55=1,S_INACT,IF(ISNA(MATCH($A55,TYP_TYPE,0)),S_TYPEKO,IF($U55=1,S_DONE,IF(AND($K55="",$R55=""),S_NOSCOPE,IF($K55="",S_NOTARGET,IF($N55&gt;0,S_LATE,IF($I55&lt;&gt;"",S_WIP,IF(-$N55&lt;=FEN_DOC,S_RISK,IF(-$N55&lt;=HORIZON,S_COMING,S_NOTYET))))))))))</f>
        <v/>
      </c>
      <c r="P55" s="24">
        <f>IF(OR($A55="",$E55=""),"",IF($V55=1,"",IF(ISNA(MATCH($A55,TYP_TYPE,0)),"Type not in the library",IF($B55="","Scope not set",IF(AND($B55="System",$C55=""),"System not set",IF(AND($B55="Equipment",$D55=""),"Equipment not set",IF($F55="","Responsible not set",IF($K55="","No target date",IF(AND($B55="Equipment",$C55&lt;&gt;"",IFERROR(INDEX(EQP_SYS,MATCH($D55,EQP_NOM,0)),"")&lt;&gt;$C55),"Equipment not in that system",IF(AND($U55=1,$M55=""),"Approved with no approval date",""))))))))))</f>
        <v/>
      </c>
      <c r="Q55" s="21" t="n"/>
      <c r="R55" s="23">
        <f>IF(OR($A55="",$B55=""),"",IF($B55="Equipment",IFERROR(INDEX(EQP_START,MATCH($D55,EQP_NOM,0)),""),IF($B55="System",IFERROR(INDEX(SYS_EARLIEST,MATCH($C55,SYS_ID,0)),""),IF($B55="All",CTR_EARLIEST,""))))</f>
        <v/>
      </c>
      <c r="S55" s="23">
        <f>IF(OR($A55="",$E55=""),"",IFERROR(IF(INDEX(TYP_ANCHOR,MATCH($A55,TYP_TYPE,0))="Commissioning Start",IF($R55="","",$R55-INDEX(TYP_LEAD,MATCH($A55,TYP_TYPE,0))),IF(INDEX(MS_PLAN,MATCH(INDEX(TYP_ANCHOR,MATCH($A55,TYP_TYPE,0)),MS_NOM,0))="","",INDEX(MS_PLAN,MATCH(INDEX(TYP_ANCHOR,MATCH($A55,TYP_TYPE,0)),MS_NOM,0))-INDEX(TYP_LEAD,MATCH($A55,TYP_TYPE,0)))),""))</f>
        <v/>
      </c>
      <c r="T55" s="26">
        <f>IF(OR($A55="",$E55=""),0,IF($V55=1,0,1))</f>
        <v/>
      </c>
      <c r="U55" s="26">
        <f>IF($T55=0,0,IF($M55&lt;&gt;"",1,IF(IFERROR(INDEX(WF_CLASS,MATCH($H55,WF_CODE,0)),"")="Done",1,0)))</f>
        <v/>
      </c>
      <c r="V55" s="26">
        <f>IF(OR($A55="",$E55=""),0,IF(IFERROR(INDEX(WF_CLASS,MATCH($H55,WF_CODE,0)),"")="Inactive",1,0))</f>
        <v/>
      </c>
      <c r="W55" s="24">
        <f>IF($A55="","",IFERROR(INDEX(TYP_PHASE,MATCH($A55,TYP_TYPE,0)),"-"))</f>
        <v/>
      </c>
      <c r="X55" s="24">
        <f>IF(AND($T55=1,$U55=0,N($N55)&gt;0),$N55+ROW()/1000000,"")</f>
        <v/>
      </c>
      <c r="Y55" s="24">
        <f>IF(AND($T55=1,$U55=0,OR($I55&lt;&gt;"",N($N55)&gt;0)),N($N55)+ROW()/1000000,"")</f>
        <v/>
      </c>
      <c r="Z55" s="24">
        <f>IF(AND($T55=1,$U55=0,$I55="",N($N55)&lt;=0,-N($N55)&lt;=HORIZON),N($N55)+ROW()/1000000,"")</f>
        <v/>
      </c>
    </row>
    <row r="56">
      <c r="A56" s="21" t="inlineStr">
        <is>
          <t>Inspection and Test Plan</t>
        </is>
      </c>
      <c r="B56" s="21" t="inlineStr">
        <is>
          <t>Equipment</t>
        </is>
      </c>
      <c r="C56" s="21" t="inlineStr">
        <is>
          <t>SYS-SG</t>
        </is>
      </c>
      <c r="D56" s="21" t="inlineStr">
        <is>
          <t>SG-OCC-04 Signalling Workstations</t>
        </is>
      </c>
      <c r="E56" s="21" t="inlineStr">
        <is>
          <t>DMIC-SYS-SG-ITP-053</t>
        </is>
      </c>
      <c r="F56" s="21" t="inlineStr">
        <is>
          <t>P. Nakamura</t>
        </is>
      </c>
      <c r="G56" s="21" t="inlineStr">
        <is>
          <t>M. Haddad</t>
        </is>
      </c>
      <c r="H56" s="21" t="inlineStr">
        <is>
          <t>P6 - For Construction</t>
        </is>
      </c>
      <c r="I56" s="22" t="n"/>
      <c r="J56" s="22" t="n"/>
      <c r="K56" s="23">
        <f>IF($A56="","",IF($J56&lt;&gt;"",$J56,$S56))</f>
        <v/>
      </c>
      <c r="L56" s="24">
        <f>IF(OR($A56="",$E56=""),"",IF($J56&lt;&gt;"","Manual",IF($S56="","-","Auto")))</f>
        <v/>
      </c>
      <c r="M56" s="22" t="n">
        <v>46255</v>
      </c>
      <c r="N56" s="25">
        <f>IF($T56=0,"",IF($U56=1,IF($M56="","",$M56-$K56),IF($K56="","",TODAY()-$K56)))</f>
        <v/>
      </c>
      <c r="O56" s="24">
        <f>IF(OR($A56="",$E56=""),"",IF($V56=1,S_INACT,IF(ISNA(MATCH($A56,TYP_TYPE,0)),S_TYPEKO,IF($U56=1,S_DONE,IF(AND($K56="",$R56=""),S_NOSCOPE,IF($K56="",S_NOTARGET,IF($N56&gt;0,S_LATE,IF($I56&lt;&gt;"",S_WIP,IF(-$N56&lt;=FEN_DOC,S_RISK,IF(-$N56&lt;=HORIZON,S_COMING,S_NOTYET))))))))))</f>
        <v/>
      </c>
      <c r="P56" s="24">
        <f>IF(OR($A56="",$E56=""),"",IF($V56=1,"",IF(ISNA(MATCH($A56,TYP_TYPE,0)),"Type not in the library",IF($B56="","Scope not set",IF(AND($B56="System",$C56=""),"System not set",IF(AND($B56="Equipment",$D56=""),"Equipment not set",IF($F56="","Responsible not set",IF($K56="","No target date",IF(AND($B56="Equipment",$C56&lt;&gt;"",IFERROR(INDEX(EQP_SYS,MATCH($D56,EQP_NOM,0)),"")&lt;&gt;$C56),"Equipment not in that system",IF(AND($U56=1,$M56=""),"Approved with no approval date",""))))))))))</f>
        <v/>
      </c>
      <c r="Q56" s="21" t="n"/>
      <c r="R56" s="23">
        <f>IF(OR($A56="",$B56=""),"",IF($B56="Equipment",IFERROR(INDEX(EQP_START,MATCH($D56,EQP_NOM,0)),""),IF($B56="System",IFERROR(INDEX(SYS_EARLIEST,MATCH($C56,SYS_ID,0)),""),IF($B56="All",CTR_EARLIEST,""))))</f>
        <v/>
      </c>
      <c r="S56" s="23">
        <f>IF(OR($A56="",$E56=""),"",IFERROR(IF(INDEX(TYP_ANCHOR,MATCH($A56,TYP_TYPE,0))="Commissioning Start",IF($R56="","",$R56-INDEX(TYP_LEAD,MATCH($A56,TYP_TYPE,0))),IF(INDEX(MS_PLAN,MATCH(INDEX(TYP_ANCHOR,MATCH($A56,TYP_TYPE,0)),MS_NOM,0))="","",INDEX(MS_PLAN,MATCH(INDEX(TYP_ANCHOR,MATCH($A56,TYP_TYPE,0)),MS_NOM,0))-INDEX(TYP_LEAD,MATCH($A56,TYP_TYPE,0)))),""))</f>
        <v/>
      </c>
      <c r="T56" s="26">
        <f>IF(OR($A56="",$E56=""),0,IF($V56=1,0,1))</f>
        <v/>
      </c>
      <c r="U56" s="26">
        <f>IF($T56=0,0,IF($M56&lt;&gt;"",1,IF(IFERROR(INDEX(WF_CLASS,MATCH($H56,WF_CODE,0)),"")="Done",1,0)))</f>
        <v/>
      </c>
      <c r="V56" s="26">
        <f>IF(OR($A56="",$E56=""),0,IF(IFERROR(INDEX(WF_CLASS,MATCH($H56,WF_CODE,0)),"")="Inactive",1,0))</f>
        <v/>
      </c>
      <c r="W56" s="24">
        <f>IF($A56="","",IFERROR(INDEX(TYP_PHASE,MATCH($A56,TYP_TYPE,0)),"-"))</f>
        <v/>
      </c>
      <c r="X56" s="24">
        <f>IF(AND($T56=1,$U56=0,N($N56)&gt;0),$N56+ROW()/1000000,"")</f>
        <v/>
      </c>
      <c r="Y56" s="24">
        <f>IF(AND($T56=1,$U56=0,OR($I56&lt;&gt;"",N($N56)&gt;0)),N($N56)+ROW()/1000000,"")</f>
        <v/>
      </c>
      <c r="Z56" s="24">
        <f>IF(AND($T56=1,$U56=0,$I56="",N($N56)&lt;=0,-N($N56)&lt;=HORIZON),N($N56)+ROW()/1000000,"")</f>
        <v/>
      </c>
    </row>
    <row r="57">
      <c r="A57" s="21" t="inlineStr">
        <is>
          <t>Planned End Of Erection Status Report</t>
        </is>
      </c>
      <c r="B57" s="21" t="inlineStr">
        <is>
          <t>Equipment</t>
        </is>
      </c>
      <c r="C57" s="21" t="inlineStr">
        <is>
          <t>SYS-SG</t>
        </is>
      </c>
      <c r="D57" s="21" t="inlineStr">
        <is>
          <t>SG-OCC-04 Signalling Workstations</t>
        </is>
      </c>
      <c r="E57" s="21" t="inlineStr">
        <is>
          <t>DMIC-SYS-SG-PER-054</t>
        </is>
      </c>
      <c r="F57" s="21" t="inlineStr">
        <is>
          <t>K. Rasmussen</t>
        </is>
      </c>
      <c r="G57" s="21" t="inlineStr">
        <is>
          <t>C. Vasquez</t>
        </is>
      </c>
      <c r="H57" s="21" t="inlineStr">
        <is>
          <t>S4A - Approved</t>
        </is>
      </c>
      <c r="I57" s="22" t="n"/>
      <c r="J57" s="22" t="n"/>
      <c r="K57" s="23">
        <f>IF($A57="","",IF($J57&lt;&gt;"",$J57,$S57))</f>
        <v/>
      </c>
      <c r="L57" s="24">
        <f>IF(OR($A57="",$E57=""),"",IF($J57&lt;&gt;"","Manual",IF($S57="","-","Auto")))</f>
        <v/>
      </c>
      <c r="M57" s="22" t="n">
        <v>46254</v>
      </c>
      <c r="N57" s="25">
        <f>IF($T57=0,"",IF($U57=1,IF($M57="","",$M57-$K57),IF($K57="","",TODAY()-$K57)))</f>
        <v/>
      </c>
      <c r="O57" s="24">
        <f>IF(OR($A57="",$E57=""),"",IF($V57=1,S_INACT,IF(ISNA(MATCH($A57,TYP_TYPE,0)),S_TYPEKO,IF($U57=1,S_DONE,IF(AND($K57="",$R57=""),S_NOSCOPE,IF($K57="",S_NOTARGET,IF($N57&gt;0,S_LATE,IF($I57&lt;&gt;"",S_WIP,IF(-$N57&lt;=FEN_DOC,S_RISK,IF(-$N57&lt;=HORIZON,S_COMING,S_NOTYET))))))))))</f>
        <v/>
      </c>
      <c r="P57" s="24">
        <f>IF(OR($A57="",$E57=""),"",IF($V57=1,"",IF(ISNA(MATCH($A57,TYP_TYPE,0)),"Type not in the library",IF($B57="","Scope not set",IF(AND($B57="System",$C57=""),"System not set",IF(AND($B57="Equipment",$D57=""),"Equipment not set",IF($F57="","Responsible not set",IF($K57="","No target date",IF(AND($B57="Equipment",$C57&lt;&gt;"",IFERROR(INDEX(EQP_SYS,MATCH($D57,EQP_NOM,0)),"")&lt;&gt;$C57),"Equipment not in that system",IF(AND($U57=1,$M57=""),"Approved with no approval date",""))))))))))</f>
        <v/>
      </c>
      <c r="Q57" s="21" t="n"/>
      <c r="R57" s="23">
        <f>IF(OR($A57="",$B57=""),"",IF($B57="Equipment",IFERROR(INDEX(EQP_START,MATCH($D57,EQP_NOM,0)),""),IF($B57="System",IFERROR(INDEX(SYS_EARLIEST,MATCH($C57,SYS_ID,0)),""),IF($B57="All",CTR_EARLIEST,""))))</f>
        <v/>
      </c>
      <c r="S57" s="23">
        <f>IF(OR($A57="",$E57=""),"",IFERROR(IF(INDEX(TYP_ANCHOR,MATCH($A57,TYP_TYPE,0))="Commissioning Start",IF($R57="","",$R57-INDEX(TYP_LEAD,MATCH($A57,TYP_TYPE,0))),IF(INDEX(MS_PLAN,MATCH(INDEX(TYP_ANCHOR,MATCH($A57,TYP_TYPE,0)),MS_NOM,0))="","",INDEX(MS_PLAN,MATCH(INDEX(TYP_ANCHOR,MATCH($A57,TYP_TYPE,0)),MS_NOM,0))-INDEX(TYP_LEAD,MATCH($A57,TYP_TYPE,0)))),""))</f>
        <v/>
      </c>
      <c r="T57" s="26">
        <f>IF(OR($A57="",$E57=""),0,IF($V57=1,0,1))</f>
        <v/>
      </c>
      <c r="U57" s="26">
        <f>IF($T57=0,0,IF($M57&lt;&gt;"",1,IF(IFERROR(INDEX(WF_CLASS,MATCH($H57,WF_CODE,0)),"")="Done",1,0)))</f>
        <v/>
      </c>
      <c r="V57" s="26">
        <f>IF(OR($A57="",$E57=""),0,IF(IFERROR(INDEX(WF_CLASS,MATCH($H57,WF_CODE,0)),"")="Inactive",1,0))</f>
        <v/>
      </c>
      <c r="W57" s="24">
        <f>IF($A57="","",IFERROR(INDEX(TYP_PHASE,MATCH($A57,TYP_TYPE,0)),"-"))</f>
        <v/>
      </c>
      <c r="X57" s="24">
        <f>IF(AND($T57=1,$U57=0,N($N57)&gt;0),$N57+ROW()/1000000,"")</f>
        <v/>
      </c>
      <c r="Y57" s="24">
        <f>IF(AND($T57=1,$U57=0,OR($I57&lt;&gt;"",N($N57)&gt;0)),N($N57)+ROW()/1000000,"")</f>
        <v/>
      </c>
      <c r="Z57" s="24">
        <f>IF(AND($T57=1,$U57=0,$I57="",N($N57)&lt;=0,-N($N57)&lt;=HORIZON),N($N57)+ROW()/1000000,"")</f>
        <v/>
      </c>
    </row>
    <row r="58">
      <c r="A58" s="21" t="inlineStr">
        <is>
          <t>Commissioning Procedure</t>
        </is>
      </c>
      <c r="B58" s="21" t="inlineStr">
        <is>
          <t>Equipment</t>
        </is>
      </c>
      <c r="C58" s="21" t="inlineStr">
        <is>
          <t>SYS-TV</t>
        </is>
      </c>
      <c r="D58" s="21" t="inlineStr">
        <is>
          <t>TV-JET-01 Jet Fan Array Tunnel 1</t>
        </is>
      </c>
      <c r="E58" s="21" t="inlineStr">
        <is>
          <t>DMIC-SYS-TV-CPR-055</t>
        </is>
      </c>
      <c r="F58" s="21" t="inlineStr">
        <is>
          <t>R. Bellamy</t>
        </is>
      </c>
      <c r="G58" s="21" t="inlineStr">
        <is>
          <t>H. Lindqvist</t>
        </is>
      </c>
      <c r="H58" s="21" t="inlineStr">
        <is>
          <t>S3 - For Review</t>
        </is>
      </c>
      <c r="I58" s="22" t="n"/>
      <c r="J58" s="22" t="n"/>
      <c r="K58" s="23">
        <f>IF($A58="","",IF($J58&lt;&gt;"",$J58,$S58))</f>
        <v/>
      </c>
      <c r="L58" s="24">
        <f>IF(OR($A58="",$E58=""),"",IF($J58&lt;&gt;"","Manual",IF($S58="","-","Auto")))</f>
        <v/>
      </c>
      <c r="M58" s="22" t="n"/>
      <c r="N58" s="25">
        <f>IF($T58=0,"",IF($U58=1,IF($M58="","",$M58-$K58),IF($K58="","",TODAY()-$K58)))</f>
        <v/>
      </c>
      <c r="O58" s="24">
        <f>IF(OR($A58="",$E58=""),"",IF($V58=1,S_INACT,IF(ISNA(MATCH($A58,TYP_TYPE,0)),S_TYPEKO,IF($U58=1,S_DONE,IF(AND($K58="",$R58=""),S_NOSCOPE,IF($K58="",S_NOTARGET,IF($N58&gt;0,S_LATE,IF($I58&lt;&gt;"",S_WIP,IF(-$N58&lt;=FEN_DOC,S_RISK,IF(-$N58&lt;=HORIZON,S_COMING,S_NOTYET))))))))))</f>
        <v/>
      </c>
      <c r="P58" s="24">
        <f>IF(OR($A58="",$E58=""),"",IF($V58=1,"",IF(ISNA(MATCH($A58,TYP_TYPE,0)),"Type not in the library",IF($B58="","Scope not set",IF(AND($B58="System",$C58=""),"System not set",IF(AND($B58="Equipment",$D58=""),"Equipment not set",IF($F58="","Responsible not set",IF($K58="","No target date",IF(AND($B58="Equipment",$C58&lt;&gt;"",IFERROR(INDEX(EQP_SYS,MATCH($D58,EQP_NOM,0)),"")&lt;&gt;$C58),"Equipment not in that system",IF(AND($U58=1,$M58=""),"Approved with no approval date",""))))))))))</f>
        <v/>
      </c>
      <c r="Q58" s="21" t="n"/>
      <c r="R58" s="23">
        <f>IF(OR($A58="",$B58=""),"",IF($B58="Equipment",IFERROR(INDEX(EQP_START,MATCH($D58,EQP_NOM,0)),""),IF($B58="System",IFERROR(INDEX(SYS_EARLIEST,MATCH($C58,SYS_ID,0)),""),IF($B58="All",CTR_EARLIEST,""))))</f>
        <v/>
      </c>
      <c r="S58" s="23">
        <f>IF(OR($A58="",$E58=""),"",IFERROR(IF(INDEX(TYP_ANCHOR,MATCH($A58,TYP_TYPE,0))="Commissioning Start",IF($R58="","",$R58-INDEX(TYP_LEAD,MATCH($A58,TYP_TYPE,0))),IF(INDEX(MS_PLAN,MATCH(INDEX(TYP_ANCHOR,MATCH($A58,TYP_TYPE,0)),MS_NOM,0))="","",INDEX(MS_PLAN,MATCH(INDEX(TYP_ANCHOR,MATCH($A58,TYP_TYPE,0)),MS_NOM,0))-INDEX(TYP_LEAD,MATCH($A58,TYP_TYPE,0)))),""))</f>
        <v/>
      </c>
      <c r="T58" s="26">
        <f>IF(OR($A58="",$E58=""),0,IF($V58=1,0,1))</f>
        <v/>
      </c>
      <c r="U58" s="26">
        <f>IF($T58=0,0,IF($M58&lt;&gt;"",1,IF(IFERROR(INDEX(WF_CLASS,MATCH($H58,WF_CODE,0)),"")="Done",1,0)))</f>
        <v/>
      </c>
      <c r="V58" s="26">
        <f>IF(OR($A58="",$E58=""),0,IF(IFERROR(INDEX(WF_CLASS,MATCH($H58,WF_CODE,0)),"")="Inactive",1,0))</f>
        <v/>
      </c>
      <c r="W58" s="24">
        <f>IF($A58="","",IFERROR(INDEX(TYP_PHASE,MATCH($A58,TYP_TYPE,0)),"-"))</f>
        <v/>
      </c>
      <c r="X58" s="24">
        <f>IF(AND($T58=1,$U58=0,N($N58)&gt;0),$N58+ROW()/1000000,"")</f>
        <v/>
      </c>
      <c r="Y58" s="24">
        <f>IF(AND($T58=1,$U58=0,OR($I58&lt;&gt;"",N($N58)&gt;0)),N($N58)+ROW()/1000000,"")</f>
        <v/>
      </c>
      <c r="Z58" s="24">
        <f>IF(AND($T58=1,$U58=0,$I58="",N($N58)&lt;=0,-N($N58)&lt;=HORIZON),N($N58)+ROW()/1000000,"")</f>
        <v/>
      </c>
    </row>
    <row r="59">
      <c r="A59" s="21" t="inlineStr">
        <is>
          <t>Inspection and Test Plan</t>
        </is>
      </c>
      <c r="B59" s="21" t="inlineStr">
        <is>
          <t>Equipment</t>
        </is>
      </c>
      <c r="C59" s="21" t="inlineStr">
        <is>
          <t>SYS-TV</t>
        </is>
      </c>
      <c r="D59" s="21" t="inlineStr">
        <is>
          <t>TV-JET-01 Jet Fan Array Tunnel 1</t>
        </is>
      </c>
      <c r="E59" s="21" t="inlineStr">
        <is>
          <t>DMIC-SYS-TV-ITP-056</t>
        </is>
      </c>
      <c r="F59" s="21" t="inlineStr">
        <is>
          <t>N. Bergstrom</t>
        </is>
      </c>
      <c r="G59" s="21" t="inlineStr">
        <is>
          <t>A. Mercer</t>
        </is>
      </c>
      <c r="H59" s="21" t="inlineStr">
        <is>
          <t>S4 - For Internal Approval</t>
        </is>
      </c>
      <c r="I59" s="22" t="n"/>
      <c r="J59" s="22" t="n"/>
      <c r="K59" s="23">
        <f>IF($A59="","",IF($J59&lt;&gt;"",$J59,$S59))</f>
        <v/>
      </c>
      <c r="L59" s="24">
        <f>IF(OR($A59="",$E59=""),"",IF($J59&lt;&gt;"","Manual",IF($S59="","-","Auto")))</f>
        <v/>
      </c>
      <c r="M59" s="22" t="n"/>
      <c r="N59" s="25">
        <f>IF($T59=0,"",IF($U59=1,IF($M59="","",$M59-$K59),IF($K59="","",TODAY()-$K59)))</f>
        <v/>
      </c>
      <c r="O59" s="24">
        <f>IF(OR($A59="",$E59=""),"",IF($V59=1,S_INACT,IF(ISNA(MATCH($A59,TYP_TYPE,0)),S_TYPEKO,IF($U59=1,S_DONE,IF(AND($K59="",$R59=""),S_NOSCOPE,IF($K59="",S_NOTARGET,IF($N59&gt;0,S_LATE,IF($I59&lt;&gt;"",S_WIP,IF(-$N59&lt;=FEN_DOC,S_RISK,IF(-$N59&lt;=HORIZON,S_COMING,S_NOTYET))))))))))</f>
        <v/>
      </c>
      <c r="P59" s="24">
        <f>IF(OR($A59="",$E59=""),"",IF($V59=1,"",IF(ISNA(MATCH($A59,TYP_TYPE,0)),"Type not in the library",IF($B59="","Scope not set",IF(AND($B59="System",$C59=""),"System not set",IF(AND($B59="Equipment",$D59=""),"Equipment not set",IF($F59="","Responsible not set",IF($K59="","No target date",IF(AND($B59="Equipment",$C59&lt;&gt;"",IFERROR(INDEX(EQP_SYS,MATCH($D59,EQP_NOM,0)),"")&lt;&gt;$C59),"Equipment not in that system",IF(AND($U59=1,$M59=""),"Approved with no approval date",""))))))))))</f>
        <v/>
      </c>
      <c r="Q59" s="21" t="n"/>
      <c r="R59" s="23">
        <f>IF(OR($A59="",$B59=""),"",IF($B59="Equipment",IFERROR(INDEX(EQP_START,MATCH($D59,EQP_NOM,0)),""),IF($B59="System",IFERROR(INDEX(SYS_EARLIEST,MATCH($C59,SYS_ID,0)),""),IF($B59="All",CTR_EARLIEST,""))))</f>
        <v/>
      </c>
      <c r="S59" s="23">
        <f>IF(OR($A59="",$E59=""),"",IFERROR(IF(INDEX(TYP_ANCHOR,MATCH($A59,TYP_TYPE,0))="Commissioning Start",IF($R59="","",$R59-INDEX(TYP_LEAD,MATCH($A59,TYP_TYPE,0))),IF(INDEX(MS_PLAN,MATCH(INDEX(TYP_ANCHOR,MATCH($A59,TYP_TYPE,0)),MS_NOM,0))="","",INDEX(MS_PLAN,MATCH(INDEX(TYP_ANCHOR,MATCH($A59,TYP_TYPE,0)),MS_NOM,0))-INDEX(TYP_LEAD,MATCH($A59,TYP_TYPE,0)))),""))</f>
        <v/>
      </c>
      <c r="T59" s="26">
        <f>IF(OR($A59="",$E59=""),0,IF($V59=1,0,1))</f>
        <v/>
      </c>
      <c r="U59" s="26">
        <f>IF($T59=0,0,IF($M59&lt;&gt;"",1,IF(IFERROR(INDEX(WF_CLASS,MATCH($H59,WF_CODE,0)),"")="Done",1,0)))</f>
        <v/>
      </c>
      <c r="V59" s="26">
        <f>IF(OR($A59="",$E59=""),0,IF(IFERROR(INDEX(WF_CLASS,MATCH($H59,WF_CODE,0)),"")="Inactive",1,0))</f>
        <v/>
      </c>
      <c r="W59" s="24">
        <f>IF($A59="","",IFERROR(INDEX(TYP_PHASE,MATCH($A59,TYP_TYPE,0)),"-"))</f>
        <v/>
      </c>
      <c r="X59" s="24">
        <f>IF(AND($T59=1,$U59=0,N($N59)&gt;0),$N59+ROW()/1000000,"")</f>
        <v/>
      </c>
      <c r="Y59" s="24">
        <f>IF(AND($T59=1,$U59=0,OR($I59&lt;&gt;"",N($N59)&gt;0)),N($N59)+ROW()/1000000,"")</f>
        <v/>
      </c>
      <c r="Z59" s="24">
        <f>IF(AND($T59=1,$U59=0,$I59="",N($N59)&lt;=0,-N($N59)&lt;=HORIZON),N($N59)+ROW()/1000000,"")</f>
        <v/>
      </c>
    </row>
    <row r="60">
      <c r="A60" s="21" t="inlineStr">
        <is>
          <t>Planned End Of Erection Status Report</t>
        </is>
      </c>
      <c r="B60" s="21" t="inlineStr">
        <is>
          <t>Equipment</t>
        </is>
      </c>
      <c r="C60" s="21" t="inlineStr">
        <is>
          <t>SYS-TV</t>
        </is>
      </c>
      <c r="D60" s="21" t="inlineStr">
        <is>
          <t>TV-JET-01 Jet Fan Array Tunnel 1</t>
        </is>
      </c>
      <c r="E60" s="21" t="inlineStr">
        <is>
          <t>DMIC-SYS-TV-PER-057</t>
        </is>
      </c>
      <c r="F60" s="21" t="inlineStr">
        <is>
          <t>M. Haddad</t>
        </is>
      </c>
      <c r="G60" s="21" t="inlineStr">
        <is>
          <t>S. Okonkwo</t>
        </is>
      </c>
      <c r="H60" s="21" t="inlineStr">
        <is>
          <t>S4A - Approved</t>
        </is>
      </c>
      <c r="I60" s="22" t="n"/>
      <c r="J60" s="22" t="n"/>
      <c r="K60" s="23">
        <f>IF($A60="","",IF($J60&lt;&gt;"",$J60,$S60))</f>
        <v/>
      </c>
      <c r="L60" s="24">
        <f>IF(OR($A60="",$E60=""),"",IF($J60&lt;&gt;"","Manual",IF($S60="","-","Auto")))</f>
        <v/>
      </c>
      <c r="M60" s="22" t="n">
        <v>46258</v>
      </c>
      <c r="N60" s="25">
        <f>IF($T60=0,"",IF($U60=1,IF($M60="","",$M60-$K60),IF($K60="","",TODAY()-$K60)))</f>
        <v/>
      </c>
      <c r="O60" s="24">
        <f>IF(OR($A60="",$E60=""),"",IF($V60=1,S_INACT,IF(ISNA(MATCH($A60,TYP_TYPE,0)),S_TYPEKO,IF($U60=1,S_DONE,IF(AND($K60="",$R60=""),S_NOSCOPE,IF($K60="",S_NOTARGET,IF($N60&gt;0,S_LATE,IF($I60&lt;&gt;"",S_WIP,IF(-$N60&lt;=FEN_DOC,S_RISK,IF(-$N60&lt;=HORIZON,S_COMING,S_NOTYET))))))))))</f>
        <v/>
      </c>
      <c r="P60" s="24">
        <f>IF(OR($A60="",$E60=""),"",IF($V60=1,"",IF(ISNA(MATCH($A60,TYP_TYPE,0)),"Type not in the library",IF($B60="","Scope not set",IF(AND($B60="System",$C60=""),"System not set",IF(AND($B60="Equipment",$D60=""),"Equipment not set",IF($F60="","Responsible not set",IF($K60="","No target date",IF(AND($B60="Equipment",$C60&lt;&gt;"",IFERROR(INDEX(EQP_SYS,MATCH($D60,EQP_NOM,0)),"")&lt;&gt;$C60),"Equipment not in that system",IF(AND($U60=1,$M60=""),"Approved with no approval date",""))))))))))</f>
        <v/>
      </c>
      <c r="Q60" s="21" t="n"/>
      <c r="R60" s="23">
        <f>IF(OR($A60="",$B60=""),"",IF($B60="Equipment",IFERROR(INDEX(EQP_START,MATCH($D60,EQP_NOM,0)),""),IF($B60="System",IFERROR(INDEX(SYS_EARLIEST,MATCH($C60,SYS_ID,0)),""),IF($B60="All",CTR_EARLIEST,""))))</f>
        <v/>
      </c>
      <c r="S60" s="23">
        <f>IF(OR($A60="",$E60=""),"",IFERROR(IF(INDEX(TYP_ANCHOR,MATCH($A60,TYP_TYPE,0))="Commissioning Start",IF($R60="","",$R60-INDEX(TYP_LEAD,MATCH($A60,TYP_TYPE,0))),IF(INDEX(MS_PLAN,MATCH(INDEX(TYP_ANCHOR,MATCH($A60,TYP_TYPE,0)),MS_NOM,0))="","",INDEX(MS_PLAN,MATCH(INDEX(TYP_ANCHOR,MATCH($A60,TYP_TYPE,0)),MS_NOM,0))-INDEX(TYP_LEAD,MATCH($A60,TYP_TYPE,0)))),""))</f>
        <v/>
      </c>
      <c r="T60" s="26">
        <f>IF(OR($A60="",$E60=""),0,IF($V60=1,0,1))</f>
        <v/>
      </c>
      <c r="U60" s="26">
        <f>IF($T60=0,0,IF($M60&lt;&gt;"",1,IF(IFERROR(INDEX(WF_CLASS,MATCH($H60,WF_CODE,0)),"")="Done",1,0)))</f>
        <v/>
      </c>
      <c r="V60" s="26">
        <f>IF(OR($A60="",$E60=""),0,IF(IFERROR(INDEX(WF_CLASS,MATCH($H60,WF_CODE,0)),"")="Inactive",1,0))</f>
        <v/>
      </c>
      <c r="W60" s="24">
        <f>IF($A60="","",IFERROR(INDEX(TYP_PHASE,MATCH($A60,TYP_TYPE,0)),"-"))</f>
        <v/>
      </c>
      <c r="X60" s="24">
        <f>IF(AND($T60=1,$U60=0,N($N60)&gt;0),$N60+ROW()/1000000,"")</f>
        <v/>
      </c>
      <c r="Y60" s="24">
        <f>IF(AND($T60=1,$U60=0,OR($I60&lt;&gt;"",N($N60)&gt;0)),N($N60)+ROW()/1000000,"")</f>
        <v/>
      </c>
      <c r="Z60" s="24">
        <f>IF(AND($T60=1,$U60=0,$I60="",N($N60)&lt;=0,-N($N60)&lt;=HORIZON),N($N60)+ROW()/1000000,"")</f>
        <v/>
      </c>
    </row>
    <row r="61">
      <c r="A61" s="21" t="inlineStr">
        <is>
          <t>Commissioning Procedure</t>
        </is>
      </c>
      <c r="B61" s="21" t="inlineStr">
        <is>
          <t>Equipment</t>
        </is>
      </c>
      <c r="C61" s="21" t="inlineStr">
        <is>
          <t>SYS-TV</t>
        </is>
      </c>
      <c r="D61" s="21" t="inlineStr">
        <is>
          <t>TV-JET-02 Jet Fan Array Tunnel 2</t>
        </is>
      </c>
      <c r="E61" s="21" t="inlineStr">
        <is>
          <t>DMIC-SYS-TV-CPR-058</t>
        </is>
      </c>
      <c r="F61" s="21" t="inlineStr">
        <is>
          <t>C. Vasquez</t>
        </is>
      </c>
      <c r="G61" s="21" t="inlineStr">
        <is>
          <t>L. Fontaine</t>
        </is>
      </c>
      <c r="H61" s="21" t="inlineStr">
        <is>
          <t>S4B - Comments</t>
        </is>
      </c>
      <c r="I61" s="22" t="n"/>
      <c r="J61" s="22" t="n"/>
      <c r="K61" s="23">
        <f>IF($A61="","",IF($J61&lt;&gt;"",$J61,$S61))</f>
        <v/>
      </c>
      <c r="L61" s="24">
        <f>IF(OR($A61="",$E61=""),"",IF($J61&lt;&gt;"","Manual",IF($S61="","-","Auto")))</f>
        <v/>
      </c>
      <c r="M61" s="22" t="n"/>
      <c r="N61" s="25">
        <f>IF($T61=0,"",IF($U61=1,IF($M61="","",$M61-$K61),IF($K61="","",TODAY()-$K61)))</f>
        <v/>
      </c>
      <c r="O61" s="24">
        <f>IF(OR($A61="",$E61=""),"",IF($V61=1,S_INACT,IF(ISNA(MATCH($A61,TYP_TYPE,0)),S_TYPEKO,IF($U61=1,S_DONE,IF(AND($K61="",$R61=""),S_NOSCOPE,IF($K61="",S_NOTARGET,IF($N61&gt;0,S_LATE,IF($I61&lt;&gt;"",S_WIP,IF(-$N61&lt;=FEN_DOC,S_RISK,IF(-$N61&lt;=HORIZON,S_COMING,S_NOTYET))))))))))</f>
        <v/>
      </c>
      <c r="P61" s="24">
        <f>IF(OR($A61="",$E61=""),"",IF($V61=1,"",IF(ISNA(MATCH($A61,TYP_TYPE,0)),"Type not in the library",IF($B61="","Scope not set",IF(AND($B61="System",$C61=""),"System not set",IF(AND($B61="Equipment",$D61=""),"Equipment not set",IF($F61="","Responsible not set",IF($K61="","No target date",IF(AND($B61="Equipment",$C61&lt;&gt;"",IFERROR(INDEX(EQP_SYS,MATCH($D61,EQP_NOM,0)),"")&lt;&gt;$C61),"Equipment not in that system",IF(AND($U61=1,$M61=""),"Approved with no approval date",""))))))))))</f>
        <v/>
      </c>
      <c r="Q61" s="21" t="n"/>
      <c r="R61" s="23">
        <f>IF(OR($A61="",$B61=""),"",IF($B61="Equipment",IFERROR(INDEX(EQP_START,MATCH($D61,EQP_NOM,0)),""),IF($B61="System",IFERROR(INDEX(SYS_EARLIEST,MATCH($C61,SYS_ID,0)),""),IF($B61="All",CTR_EARLIEST,""))))</f>
        <v/>
      </c>
      <c r="S61" s="23">
        <f>IF(OR($A61="",$E61=""),"",IFERROR(IF(INDEX(TYP_ANCHOR,MATCH($A61,TYP_TYPE,0))="Commissioning Start",IF($R61="","",$R61-INDEX(TYP_LEAD,MATCH($A61,TYP_TYPE,0))),IF(INDEX(MS_PLAN,MATCH(INDEX(TYP_ANCHOR,MATCH($A61,TYP_TYPE,0)),MS_NOM,0))="","",INDEX(MS_PLAN,MATCH(INDEX(TYP_ANCHOR,MATCH($A61,TYP_TYPE,0)),MS_NOM,0))-INDEX(TYP_LEAD,MATCH($A61,TYP_TYPE,0)))),""))</f>
        <v/>
      </c>
      <c r="T61" s="26">
        <f>IF(OR($A61="",$E61=""),0,IF($V61=1,0,1))</f>
        <v/>
      </c>
      <c r="U61" s="26">
        <f>IF($T61=0,0,IF($M61&lt;&gt;"",1,IF(IFERROR(INDEX(WF_CLASS,MATCH($H61,WF_CODE,0)),"")="Done",1,0)))</f>
        <v/>
      </c>
      <c r="V61" s="26">
        <f>IF(OR($A61="",$E61=""),0,IF(IFERROR(INDEX(WF_CLASS,MATCH($H61,WF_CODE,0)),"")="Inactive",1,0))</f>
        <v/>
      </c>
      <c r="W61" s="24">
        <f>IF($A61="","",IFERROR(INDEX(TYP_PHASE,MATCH($A61,TYP_TYPE,0)),"-"))</f>
        <v/>
      </c>
      <c r="X61" s="24">
        <f>IF(AND($T61=1,$U61=0,N($N61)&gt;0),$N61+ROW()/1000000,"")</f>
        <v/>
      </c>
      <c r="Y61" s="24">
        <f>IF(AND($T61=1,$U61=0,OR($I61&lt;&gt;"",N($N61)&gt;0)),N($N61)+ROW()/1000000,"")</f>
        <v/>
      </c>
      <c r="Z61" s="24">
        <f>IF(AND($T61=1,$U61=0,$I61="",N($N61)&lt;=0,-N($N61)&lt;=HORIZON),N($N61)+ROW()/1000000,"")</f>
        <v/>
      </c>
    </row>
    <row r="62">
      <c r="A62" s="21" t="inlineStr">
        <is>
          <t>Inspection and Test Plan</t>
        </is>
      </c>
      <c r="B62" s="21" t="inlineStr">
        <is>
          <t>Equipment</t>
        </is>
      </c>
      <c r="C62" s="21" t="inlineStr">
        <is>
          <t>SYS-TV</t>
        </is>
      </c>
      <c r="D62" s="21" t="inlineStr">
        <is>
          <t>TV-JET-02 Jet Fan Array Tunnel 2</t>
        </is>
      </c>
      <c r="E62" s="21" t="inlineStr">
        <is>
          <t>DMIC-SYS-TV-ITP-059</t>
        </is>
      </c>
      <c r="F62" s="21" t="inlineStr">
        <is>
          <t>H. Lindqvist</t>
        </is>
      </c>
      <c r="G62" s="21" t="inlineStr">
        <is>
          <t>D. Petrov</t>
        </is>
      </c>
      <c r="H62" s="21" t="inlineStr">
        <is>
          <t>W1 - Draft</t>
        </is>
      </c>
      <c r="I62" s="22" t="n"/>
      <c r="J62" s="22" t="n"/>
      <c r="K62" s="23">
        <f>IF($A62="","",IF($J62&lt;&gt;"",$J62,$S62))</f>
        <v/>
      </c>
      <c r="L62" s="24">
        <f>IF(OR($A62="",$E62=""),"",IF($J62&lt;&gt;"","Manual",IF($S62="","-","Auto")))</f>
        <v/>
      </c>
      <c r="M62" s="22" t="n"/>
      <c r="N62" s="25">
        <f>IF($T62=0,"",IF($U62=1,IF($M62="","",$M62-$K62),IF($K62="","",TODAY()-$K62)))</f>
        <v/>
      </c>
      <c r="O62" s="24">
        <f>IF(OR($A62="",$E62=""),"",IF($V62=1,S_INACT,IF(ISNA(MATCH($A62,TYP_TYPE,0)),S_TYPEKO,IF($U62=1,S_DONE,IF(AND($K62="",$R62=""),S_NOSCOPE,IF($K62="",S_NOTARGET,IF($N62&gt;0,S_LATE,IF($I62&lt;&gt;"",S_WIP,IF(-$N62&lt;=FEN_DOC,S_RISK,IF(-$N62&lt;=HORIZON,S_COMING,S_NOTYET))))))))))</f>
        <v/>
      </c>
      <c r="P62" s="24">
        <f>IF(OR($A62="",$E62=""),"",IF($V62=1,"",IF(ISNA(MATCH($A62,TYP_TYPE,0)),"Type not in the library",IF($B62="","Scope not set",IF(AND($B62="System",$C62=""),"System not set",IF(AND($B62="Equipment",$D62=""),"Equipment not set",IF($F62="","Responsible not set",IF($K62="","No target date",IF(AND($B62="Equipment",$C62&lt;&gt;"",IFERROR(INDEX(EQP_SYS,MATCH($D62,EQP_NOM,0)),"")&lt;&gt;$C62),"Equipment not in that system",IF(AND($U62=1,$M62=""),"Approved with no approval date",""))))))))))</f>
        <v/>
      </c>
      <c r="Q62" s="21" t="n"/>
      <c r="R62" s="23">
        <f>IF(OR($A62="",$B62=""),"",IF($B62="Equipment",IFERROR(INDEX(EQP_START,MATCH($D62,EQP_NOM,0)),""),IF($B62="System",IFERROR(INDEX(SYS_EARLIEST,MATCH($C62,SYS_ID,0)),""),IF($B62="All",CTR_EARLIEST,""))))</f>
        <v/>
      </c>
      <c r="S62" s="23">
        <f>IF(OR($A62="",$E62=""),"",IFERROR(IF(INDEX(TYP_ANCHOR,MATCH($A62,TYP_TYPE,0))="Commissioning Start",IF($R62="","",$R62-INDEX(TYP_LEAD,MATCH($A62,TYP_TYPE,0))),IF(INDEX(MS_PLAN,MATCH(INDEX(TYP_ANCHOR,MATCH($A62,TYP_TYPE,0)),MS_NOM,0))="","",INDEX(MS_PLAN,MATCH(INDEX(TYP_ANCHOR,MATCH($A62,TYP_TYPE,0)),MS_NOM,0))-INDEX(TYP_LEAD,MATCH($A62,TYP_TYPE,0)))),""))</f>
        <v/>
      </c>
      <c r="T62" s="26">
        <f>IF(OR($A62="",$E62=""),0,IF($V62=1,0,1))</f>
        <v/>
      </c>
      <c r="U62" s="26">
        <f>IF($T62=0,0,IF($M62&lt;&gt;"",1,IF(IFERROR(INDEX(WF_CLASS,MATCH($H62,WF_CODE,0)),"")="Done",1,0)))</f>
        <v/>
      </c>
      <c r="V62" s="26">
        <f>IF(OR($A62="",$E62=""),0,IF(IFERROR(INDEX(WF_CLASS,MATCH($H62,WF_CODE,0)),"")="Inactive",1,0))</f>
        <v/>
      </c>
      <c r="W62" s="24">
        <f>IF($A62="","",IFERROR(INDEX(TYP_PHASE,MATCH($A62,TYP_TYPE,0)),"-"))</f>
        <v/>
      </c>
      <c r="X62" s="24">
        <f>IF(AND($T62=1,$U62=0,N($N62)&gt;0),$N62+ROW()/1000000,"")</f>
        <v/>
      </c>
      <c r="Y62" s="24">
        <f>IF(AND($T62=1,$U62=0,OR($I62&lt;&gt;"",N($N62)&gt;0)),N($N62)+ROW()/1000000,"")</f>
        <v/>
      </c>
      <c r="Z62" s="24">
        <f>IF(AND($T62=1,$U62=0,$I62="",N($N62)&lt;=0,-N($N62)&lt;=HORIZON),N($N62)+ROW()/1000000,"")</f>
        <v/>
      </c>
    </row>
    <row r="63">
      <c r="A63" s="21" t="inlineStr">
        <is>
          <t>Planned End Of Erection Status Report</t>
        </is>
      </c>
      <c r="B63" s="21" t="inlineStr">
        <is>
          <t>Equipment</t>
        </is>
      </c>
      <c r="C63" s="21" t="inlineStr">
        <is>
          <t>SYS-TV</t>
        </is>
      </c>
      <c r="D63" s="21" t="inlineStr">
        <is>
          <t>TV-JET-02 Jet Fan Array Tunnel 2</t>
        </is>
      </c>
      <c r="E63" s="21" t="inlineStr">
        <is>
          <t>DMIC-SYS-TV-PER-060</t>
        </is>
      </c>
      <c r="F63" s="21" t="inlineStr">
        <is>
          <t>A. Mercer</t>
        </is>
      </c>
      <c r="G63" s="21" t="inlineStr">
        <is>
          <t>J. Whitfield</t>
        </is>
      </c>
      <c r="H63" s="21" t="inlineStr">
        <is>
          <t>S4A - Approved</t>
        </is>
      </c>
      <c r="I63" s="22" t="n"/>
      <c r="J63" s="22" t="n"/>
      <c r="K63" s="23">
        <f>IF($A63="","",IF($J63&lt;&gt;"",$J63,$S63))</f>
        <v/>
      </c>
      <c r="L63" s="24">
        <f>IF(OR($A63="",$E63=""),"",IF($J63&lt;&gt;"","Manual",IF($S63="","-","Auto")))</f>
        <v/>
      </c>
      <c r="M63" s="22" t="n">
        <v>46255</v>
      </c>
      <c r="N63" s="25">
        <f>IF($T63=0,"",IF($U63=1,IF($M63="","",$M63-$K63),IF($K63="","",TODAY()-$K63)))</f>
        <v/>
      </c>
      <c r="O63" s="24">
        <f>IF(OR($A63="",$E63=""),"",IF($V63=1,S_INACT,IF(ISNA(MATCH($A63,TYP_TYPE,0)),S_TYPEKO,IF($U63=1,S_DONE,IF(AND($K63="",$R63=""),S_NOSCOPE,IF($K63="",S_NOTARGET,IF($N63&gt;0,S_LATE,IF($I63&lt;&gt;"",S_WIP,IF(-$N63&lt;=FEN_DOC,S_RISK,IF(-$N63&lt;=HORIZON,S_COMING,S_NOTYET))))))))))</f>
        <v/>
      </c>
      <c r="P63" s="24">
        <f>IF(OR($A63="",$E63=""),"",IF($V63=1,"",IF(ISNA(MATCH($A63,TYP_TYPE,0)),"Type not in the library",IF($B63="","Scope not set",IF(AND($B63="System",$C63=""),"System not set",IF(AND($B63="Equipment",$D63=""),"Equipment not set",IF($F63="","Responsible not set",IF($K63="","No target date",IF(AND($B63="Equipment",$C63&lt;&gt;"",IFERROR(INDEX(EQP_SYS,MATCH($D63,EQP_NOM,0)),"")&lt;&gt;$C63),"Equipment not in that system",IF(AND($U63=1,$M63=""),"Approved with no approval date",""))))))))))</f>
        <v/>
      </c>
      <c r="Q63" s="21" t="n"/>
      <c r="R63" s="23">
        <f>IF(OR($A63="",$B63=""),"",IF($B63="Equipment",IFERROR(INDEX(EQP_START,MATCH($D63,EQP_NOM,0)),""),IF($B63="System",IFERROR(INDEX(SYS_EARLIEST,MATCH($C63,SYS_ID,0)),""),IF($B63="All",CTR_EARLIEST,""))))</f>
        <v/>
      </c>
      <c r="S63" s="23">
        <f>IF(OR($A63="",$E63=""),"",IFERROR(IF(INDEX(TYP_ANCHOR,MATCH($A63,TYP_TYPE,0))="Commissioning Start",IF($R63="","",$R63-INDEX(TYP_LEAD,MATCH($A63,TYP_TYPE,0))),IF(INDEX(MS_PLAN,MATCH(INDEX(TYP_ANCHOR,MATCH($A63,TYP_TYPE,0)),MS_NOM,0))="","",INDEX(MS_PLAN,MATCH(INDEX(TYP_ANCHOR,MATCH($A63,TYP_TYPE,0)),MS_NOM,0))-INDEX(TYP_LEAD,MATCH($A63,TYP_TYPE,0)))),""))</f>
        <v/>
      </c>
      <c r="T63" s="26">
        <f>IF(OR($A63="",$E63=""),0,IF($V63=1,0,1))</f>
        <v/>
      </c>
      <c r="U63" s="26">
        <f>IF($T63=0,0,IF($M63&lt;&gt;"",1,IF(IFERROR(INDEX(WF_CLASS,MATCH($H63,WF_CODE,0)),"")="Done",1,0)))</f>
        <v/>
      </c>
      <c r="V63" s="26">
        <f>IF(OR($A63="",$E63=""),0,IF(IFERROR(INDEX(WF_CLASS,MATCH($H63,WF_CODE,0)),"")="Inactive",1,0))</f>
        <v/>
      </c>
      <c r="W63" s="24">
        <f>IF($A63="","",IFERROR(INDEX(TYP_PHASE,MATCH($A63,TYP_TYPE,0)),"-"))</f>
        <v/>
      </c>
      <c r="X63" s="24">
        <f>IF(AND($T63=1,$U63=0,N($N63)&gt;0),$N63+ROW()/1000000,"")</f>
        <v/>
      </c>
      <c r="Y63" s="24">
        <f>IF(AND($T63=1,$U63=0,OR($I63&lt;&gt;"",N($N63)&gt;0)),N($N63)+ROW()/1000000,"")</f>
        <v/>
      </c>
      <c r="Z63" s="24">
        <f>IF(AND($T63=1,$U63=0,$I63="",N($N63)&lt;=0,-N($N63)&lt;=HORIZON),N($N63)+ROW()/1000000,"")</f>
        <v/>
      </c>
    </row>
    <row r="64">
      <c r="A64" s="21" t="inlineStr">
        <is>
          <t>Commissioning Procedure</t>
        </is>
      </c>
      <c r="B64" s="21" t="inlineStr">
        <is>
          <t>Equipment</t>
        </is>
      </c>
      <c r="C64" s="21" t="inlineStr">
        <is>
          <t>SYS-TV</t>
        </is>
      </c>
      <c r="D64" s="21" t="inlineStr">
        <is>
          <t>TV-SMK-03 Smoke Extraction Plant</t>
        </is>
      </c>
      <c r="E64" s="21" t="inlineStr">
        <is>
          <t>DMIC-SYS-TV-CPR-061</t>
        </is>
      </c>
      <c r="F64" s="21" t="inlineStr">
        <is>
          <t>S. Okonkwo</t>
        </is>
      </c>
      <c r="G64" s="21" t="inlineStr">
        <is>
          <t>P. Nakamura</t>
        </is>
      </c>
      <c r="H64" s="21" t="inlineStr">
        <is>
          <t>S4 - For Internal Approval</t>
        </is>
      </c>
      <c r="I64" s="22" t="n"/>
      <c r="J64" s="22" t="n"/>
      <c r="K64" s="23">
        <f>IF($A64="","",IF($J64&lt;&gt;"",$J64,$S64))</f>
        <v/>
      </c>
      <c r="L64" s="24">
        <f>IF(OR($A64="",$E64=""),"",IF($J64&lt;&gt;"","Manual",IF($S64="","-","Auto")))</f>
        <v/>
      </c>
      <c r="M64" s="22" t="n"/>
      <c r="N64" s="25">
        <f>IF($T64=0,"",IF($U64=1,IF($M64="","",$M64-$K64),IF($K64="","",TODAY()-$K64)))</f>
        <v/>
      </c>
      <c r="O64" s="24">
        <f>IF(OR($A64="",$E64=""),"",IF($V64=1,S_INACT,IF(ISNA(MATCH($A64,TYP_TYPE,0)),S_TYPEKO,IF($U64=1,S_DONE,IF(AND($K64="",$R64=""),S_NOSCOPE,IF($K64="",S_NOTARGET,IF($N64&gt;0,S_LATE,IF($I64&lt;&gt;"",S_WIP,IF(-$N64&lt;=FEN_DOC,S_RISK,IF(-$N64&lt;=HORIZON,S_COMING,S_NOTYET))))))))))</f>
        <v/>
      </c>
      <c r="P64" s="24">
        <f>IF(OR($A64="",$E64=""),"",IF($V64=1,"",IF(ISNA(MATCH($A64,TYP_TYPE,0)),"Type not in the library",IF($B64="","Scope not set",IF(AND($B64="System",$C64=""),"System not set",IF(AND($B64="Equipment",$D64=""),"Equipment not set",IF($F64="","Responsible not set",IF($K64="","No target date",IF(AND($B64="Equipment",$C64&lt;&gt;"",IFERROR(INDEX(EQP_SYS,MATCH($D64,EQP_NOM,0)),"")&lt;&gt;$C64),"Equipment not in that system",IF(AND($U64=1,$M64=""),"Approved with no approval date",""))))))))))</f>
        <v/>
      </c>
      <c r="Q64" s="21" t="n"/>
      <c r="R64" s="23">
        <f>IF(OR($A64="",$B64=""),"",IF($B64="Equipment",IFERROR(INDEX(EQP_START,MATCH($D64,EQP_NOM,0)),""),IF($B64="System",IFERROR(INDEX(SYS_EARLIEST,MATCH($C64,SYS_ID,0)),""),IF($B64="All",CTR_EARLIEST,""))))</f>
        <v/>
      </c>
      <c r="S64" s="23">
        <f>IF(OR($A64="",$E64=""),"",IFERROR(IF(INDEX(TYP_ANCHOR,MATCH($A64,TYP_TYPE,0))="Commissioning Start",IF($R64="","",$R64-INDEX(TYP_LEAD,MATCH($A64,TYP_TYPE,0))),IF(INDEX(MS_PLAN,MATCH(INDEX(TYP_ANCHOR,MATCH($A64,TYP_TYPE,0)),MS_NOM,0))="","",INDEX(MS_PLAN,MATCH(INDEX(TYP_ANCHOR,MATCH($A64,TYP_TYPE,0)),MS_NOM,0))-INDEX(TYP_LEAD,MATCH($A64,TYP_TYPE,0)))),""))</f>
        <v/>
      </c>
      <c r="T64" s="26">
        <f>IF(OR($A64="",$E64=""),0,IF($V64=1,0,1))</f>
        <v/>
      </c>
      <c r="U64" s="26">
        <f>IF($T64=0,0,IF($M64&lt;&gt;"",1,IF(IFERROR(INDEX(WF_CLASS,MATCH($H64,WF_CODE,0)),"")="Done",1,0)))</f>
        <v/>
      </c>
      <c r="V64" s="26">
        <f>IF(OR($A64="",$E64=""),0,IF(IFERROR(INDEX(WF_CLASS,MATCH($H64,WF_CODE,0)),"")="Inactive",1,0))</f>
        <v/>
      </c>
      <c r="W64" s="24">
        <f>IF($A64="","",IFERROR(INDEX(TYP_PHASE,MATCH($A64,TYP_TYPE,0)),"-"))</f>
        <v/>
      </c>
      <c r="X64" s="24">
        <f>IF(AND($T64=1,$U64=0,N($N64)&gt;0),$N64+ROW()/1000000,"")</f>
        <v/>
      </c>
      <c r="Y64" s="24">
        <f>IF(AND($T64=1,$U64=0,OR($I64&lt;&gt;"",N($N64)&gt;0)),N($N64)+ROW()/1000000,"")</f>
        <v/>
      </c>
      <c r="Z64" s="24">
        <f>IF(AND($T64=1,$U64=0,$I64="",N($N64)&lt;=0,-N($N64)&lt;=HORIZON),N($N64)+ROW()/1000000,"")</f>
        <v/>
      </c>
    </row>
    <row r="65">
      <c r="A65" s="21" t="inlineStr">
        <is>
          <t>Inspection and Test Plan</t>
        </is>
      </c>
      <c r="B65" s="21" t="inlineStr">
        <is>
          <t>Equipment</t>
        </is>
      </c>
      <c r="C65" s="21" t="inlineStr">
        <is>
          <t>SYS-TV</t>
        </is>
      </c>
      <c r="D65" s="21" t="inlineStr">
        <is>
          <t>TV-SMK-03 Smoke Extraction Plant</t>
        </is>
      </c>
      <c r="E65" s="21" t="inlineStr">
        <is>
          <t>DMIC-SYS-TV-ITP-062</t>
        </is>
      </c>
      <c r="F65" s="21" t="inlineStr">
        <is>
          <t>L. Fontaine</t>
        </is>
      </c>
      <c r="G65" s="21" t="inlineStr">
        <is>
          <t>K. Rasmussen</t>
        </is>
      </c>
      <c r="H65" s="21" t="inlineStr">
        <is>
          <t>S6 - For Acceptance</t>
        </is>
      </c>
      <c r="I65" s="22" t="n"/>
      <c r="J65" s="22" t="n"/>
      <c r="K65" s="23">
        <f>IF($A65="","",IF($J65&lt;&gt;"",$J65,$S65))</f>
        <v/>
      </c>
      <c r="L65" s="24">
        <f>IF(OR($A65="",$E65=""),"",IF($J65&lt;&gt;"","Manual",IF($S65="","-","Auto")))</f>
        <v/>
      </c>
      <c r="M65" s="22" t="n"/>
      <c r="N65" s="25">
        <f>IF($T65=0,"",IF($U65=1,IF($M65="","",$M65-$K65),IF($K65="","",TODAY()-$K65)))</f>
        <v/>
      </c>
      <c r="O65" s="24">
        <f>IF(OR($A65="",$E65=""),"",IF($V65=1,S_INACT,IF(ISNA(MATCH($A65,TYP_TYPE,0)),S_TYPEKO,IF($U65=1,S_DONE,IF(AND($K65="",$R65=""),S_NOSCOPE,IF($K65="",S_NOTARGET,IF($N65&gt;0,S_LATE,IF($I65&lt;&gt;"",S_WIP,IF(-$N65&lt;=FEN_DOC,S_RISK,IF(-$N65&lt;=HORIZON,S_COMING,S_NOTYET))))))))))</f>
        <v/>
      </c>
      <c r="P65" s="24">
        <f>IF(OR($A65="",$E65=""),"",IF($V65=1,"",IF(ISNA(MATCH($A65,TYP_TYPE,0)),"Type not in the library",IF($B65="","Scope not set",IF(AND($B65="System",$C65=""),"System not set",IF(AND($B65="Equipment",$D65=""),"Equipment not set",IF($F65="","Responsible not set",IF($K65="","No target date",IF(AND($B65="Equipment",$C65&lt;&gt;"",IFERROR(INDEX(EQP_SYS,MATCH($D65,EQP_NOM,0)),"")&lt;&gt;$C65),"Equipment not in that system",IF(AND($U65=1,$M65=""),"Approved with no approval date",""))))))))))</f>
        <v/>
      </c>
      <c r="Q65" s="21" t="n"/>
      <c r="R65" s="23">
        <f>IF(OR($A65="",$B65=""),"",IF($B65="Equipment",IFERROR(INDEX(EQP_START,MATCH($D65,EQP_NOM,0)),""),IF($B65="System",IFERROR(INDEX(SYS_EARLIEST,MATCH($C65,SYS_ID,0)),""),IF($B65="All",CTR_EARLIEST,""))))</f>
        <v/>
      </c>
      <c r="S65" s="23">
        <f>IF(OR($A65="",$E65=""),"",IFERROR(IF(INDEX(TYP_ANCHOR,MATCH($A65,TYP_TYPE,0))="Commissioning Start",IF($R65="","",$R65-INDEX(TYP_LEAD,MATCH($A65,TYP_TYPE,0))),IF(INDEX(MS_PLAN,MATCH(INDEX(TYP_ANCHOR,MATCH($A65,TYP_TYPE,0)),MS_NOM,0))="","",INDEX(MS_PLAN,MATCH(INDEX(TYP_ANCHOR,MATCH($A65,TYP_TYPE,0)),MS_NOM,0))-INDEX(TYP_LEAD,MATCH($A65,TYP_TYPE,0)))),""))</f>
        <v/>
      </c>
      <c r="T65" s="26">
        <f>IF(OR($A65="",$E65=""),0,IF($V65=1,0,1))</f>
        <v/>
      </c>
      <c r="U65" s="26">
        <f>IF($T65=0,0,IF($M65&lt;&gt;"",1,IF(IFERROR(INDEX(WF_CLASS,MATCH($H65,WF_CODE,0)),"")="Done",1,0)))</f>
        <v/>
      </c>
      <c r="V65" s="26">
        <f>IF(OR($A65="",$E65=""),0,IF(IFERROR(INDEX(WF_CLASS,MATCH($H65,WF_CODE,0)),"")="Inactive",1,0))</f>
        <v/>
      </c>
      <c r="W65" s="24">
        <f>IF($A65="","",IFERROR(INDEX(TYP_PHASE,MATCH($A65,TYP_TYPE,0)),"-"))</f>
        <v/>
      </c>
      <c r="X65" s="24">
        <f>IF(AND($T65=1,$U65=0,N($N65)&gt;0),$N65+ROW()/1000000,"")</f>
        <v/>
      </c>
      <c r="Y65" s="24">
        <f>IF(AND($T65=1,$U65=0,OR($I65&lt;&gt;"",N($N65)&gt;0)),N($N65)+ROW()/1000000,"")</f>
        <v/>
      </c>
      <c r="Z65" s="24">
        <f>IF(AND($T65=1,$U65=0,$I65="",N($N65)&lt;=0,-N($N65)&lt;=HORIZON),N($N65)+ROW()/1000000,"")</f>
        <v/>
      </c>
    </row>
    <row r="66">
      <c r="A66" s="21" t="inlineStr">
        <is>
          <t>Planned End Of Erection Status Report</t>
        </is>
      </c>
      <c r="B66" s="21" t="inlineStr">
        <is>
          <t>Equipment</t>
        </is>
      </c>
      <c r="C66" s="21" t="inlineStr">
        <is>
          <t>SYS-TV</t>
        </is>
      </c>
      <c r="D66" s="21" t="inlineStr">
        <is>
          <t>TV-SMK-03 Smoke Extraction Plant</t>
        </is>
      </c>
      <c r="E66" s="21" t="inlineStr">
        <is>
          <t>DMIC-SYS-TV-PER-063</t>
        </is>
      </c>
      <c r="F66" s="21" t="inlineStr">
        <is>
          <t>D. Petrov</t>
        </is>
      </c>
      <c r="G66" s="21" t="inlineStr">
        <is>
          <t>R. Bellamy</t>
        </is>
      </c>
      <c r="H66" s="21" t="inlineStr">
        <is>
          <t>S4A - Approved</t>
        </is>
      </c>
      <c r="I66" s="22" t="n"/>
      <c r="J66" s="22" t="n"/>
      <c r="K66" s="23">
        <f>IF($A66="","",IF($J66&lt;&gt;"",$J66,$S66))</f>
        <v/>
      </c>
      <c r="L66" s="24">
        <f>IF(OR($A66="",$E66=""),"",IF($J66&lt;&gt;"","Manual",IF($S66="","-","Auto")))</f>
        <v/>
      </c>
      <c r="M66" s="22" t="n">
        <v>46259</v>
      </c>
      <c r="N66" s="25">
        <f>IF($T66=0,"",IF($U66=1,IF($M66="","",$M66-$K66),IF($K66="","",TODAY()-$K66)))</f>
        <v/>
      </c>
      <c r="O66" s="24">
        <f>IF(OR($A66="",$E66=""),"",IF($V66=1,S_INACT,IF(ISNA(MATCH($A66,TYP_TYPE,0)),S_TYPEKO,IF($U66=1,S_DONE,IF(AND($K66="",$R66=""),S_NOSCOPE,IF($K66="",S_NOTARGET,IF($N66&gt;0,S_LATE,IF($I66&lt;&gt;"",S_WIP,IF(-$N66&lt;=FEN_DOC,S_RISK,IF(-$N66&lt;=HORIZON,S_COMING,S_NOTYET))))))))))</f>
        <v/>
      </c>
      <c r="P66" s="24">
        <f>IF(OR($A66="",$E66=""),"",IF($V66=1,"",IF(ISNA(MATCH($A66,TYP_TYPE,0)),"Type not in the library",IF($B66="","Scope not set",IF(AND($B66="System",$C66=""),"System not set",IF(AND($B66="Equipment",$D66=""),"Equipment not set",IF($F66="","Responsible not set",IF($K66="","No target date",IF(AND($B66="Equipment",$C66&lt;&gt;"",IFERROR(INDEX(EQP_SYS,MATCH($D66,EQP_NOM,0)),"")&lt;&gt;$C66),"Equipment not in that system",IF(AND($U66=1,$M66=""),"Approved with no approval date",""))))))))))</f>
        <v/>
      </c>
      <c r="Q66" s="21" t="n"/>
      <c r="R66" s="23">
        <f>IF(OR($A66="",$B66=""),"",IF($B66="Equipment",IFERROR(INDEX(EQP_START,MATCH($D66,EQP_NOM,0)),""),IF($B66="System",IFERROR(INDEX(SYS_EARLIEST,MATCH($C66,SYS_ID,0)),""),IF($B66="All",CTR_EARLIEST,""))))</f>
        <v/>
      </c>
      <c r="S66" s="23">
        <f>IF(OR($A66="",$E66=""),"",IFERROR(IF(INDEX(TYP_ANCHOR,MATCH($A66,TYP_TYPE,0))="Commissioning Start",IF($R66="","",$R66-INDEX(TYP_LEAD,MATCH($A66,TYP_TYPE,0))),IF(INDEX(MS_PLAN,MATCH(INDEX(TYP_ANCHOR,MATCH($A66,TYP_TYPE,0)),MS_NOM,0))="","",INDEX(MS_PLAN,MATCH(INDEX(TYP_ANCHOR,MATCH($A66,TYP_TYPE,0)),MS_NOM,0))-INDEX(TYP_LEAD,MATCH($A66,TYP_TYPE,0)))),""))</f>
        <v/>
      </c>
      <c r="T66" s="26">
        <f>IF(OR($A66="",$E66=""),0,IF($V66=1,0,1))</f>
        <v/>
      </c>
      <c r="U66" s="26">
        <f>IF($T66=0,0,IF($M66&lt;&gt;"",1,IF(IFERROR(INDEX(WF_CLASS,MATCH($H66,WF_CODE,0)),"")="Done",1,0)))</f>
        <v/>
      </c>
      <c r="V66" s="26">
        <f>IF(OR($A66="",$E66=""),0,IF(IFERROR(INDEX(WF_CLASS,MATCH($H66,WF_CODE,0)),"")="Inactive",1,0))</f>
        <v/>
      </c>
      <c r="W66" s="24">
        <f>IF($A66="","",IFERROR(INDEX(TYP_PHASE,MATCH($A66,TYP_TYPE,0)),"-"))</f>
        <v/>
      </c>
      <c r="X66" s="24">
        <f>IF(AND($T66=1,$U66=0,N($N66)&gt;0),$N66+ROW()/1000000,"")</f>
        <v/>
      </c>
      <c r="Y66" s="24">
        <f>IF(AND($T66=1,$U66=0,OR($I66&lt;&gt;"",N($N66)&gt;0)),N($N66)+ROW()/1000000,"")</f>
        <v/>
      </c>
      <c r="Z66" s="24">
        <f>IF(AND($T66=1,$U66=0,$I66="",N($N66)&lt;=0,-N($N66)&lt;=HORIZON),N($N66)+ROW()/1000000,"")</f>
        <v/>
      </c>
    </row>
    <row r="67">
      <c r="A67" s="21" t="inlineStr">
        <is>
          <t>Commissioning Procedure</t>
        </is>
      </c>
      <c r="B67" s="21" t="inlineStr">
        <is>
          <t>Equipment</t>
        </is>
      </c>
      <c r="C67" s="21" t="inlineStr">
        <is>
          <t>SYS-FA</t>
        </is>
      </c>
      <c r="D67" s="21" t="inlineStr">
        <is>
          <t>FA-PAN-01 Fire Panel Main</t>
        </is>
      </c>
      <c r="E67" s="21" t="inlineStr">
        <is>
          <t>DMIC-SYS-FA-CPR-064</t>
        </is>
      </c>
      <c r="F67" s="21" t="inlineStr">
        <is>
          <t>J. Whitfield</t>
        </is>
      </c>
      <c r="G67" s="21" t="inlineStr">
        <is>
          <t>N. Bergstrom</t>
        </is>
      </c>
      <c r="H67" s="21" t="inlineStr">
        <is>
          <t>W1 - Draft</t>
        </is>
      </c>
      <c r="I67" s="22" t="n"/>
      <c r="J67" s="22" t="n"/>
      <c r="K67" s="23">
        <f>IF($A67="","",IF($J67&lt;&gt;"",$J67,$S67))</f>
        <v/>
      </c>
      <c r="L67" s="24">
        <f>IF(OR($A67="",$E67=""),"",IF($J67&lt;&gt;"","Manual",IF($S67="","-","Auto")))</f>
        <v/>
      </c>
      <c r="M67" s="22" t="n"/>
      <c r="N67" s="25">
        <f>IF($T67=0,"",IF($U67=1,IF($M67="","",$M67-$K67),IF($K67="","",TODAY()-$K67)))</f>
        <v/>
      </c>
      <c r="O67" s="24">
        <f>IF(OR($A67="",$E67=""),"",IF($V67=1,S_INACT,IF(ISNA(MATCH($A67,TYP_TYPE,0)),S_TYPEKO,IF($U67=1,S_DONE,IF(AND($K67="",$R67=""),S_NOSCOPE,IF($K67="",S_NOTARGET,IF($N67&gt;0,S_LATE,IF($I67&lt;&gt;"",S_WIP,IF(-$N67&lt;=FEN_DOC,S_RISK,IF(-$N67&lt;=HORIZON,S_COMING,S_NOTYET))))))))))</f>
        <v/>
      </c>
      <c r="P67" s="24">
        <f>IF(OR($A67="",$E67=""),"",IF($V67=1,"",IF(ISNA(MATCH($A67,TYP_TYPE,0)),"Type not in the library",IF($B67="","Scope not set",IF(AND($B67="System",$C67=""),"System not set",IF(AND($B67="Equipment",$D67=""),"Equipment not set",IF($F67="","Responsible not set",IF($K67="","No target date",IF(AND($B67="Equipment",$C67&lt;&gt;"",IFERROR(INDEX(EQP_SYS,MATCH($D67,EQP_NOM,0)),"")&lt;&gt;$C67),"Equipment not in that system",IF(AND($U67=1,$M67=""),"Approved with no approval date",""))))))))))</f>
        <v/>
      </c>
      <c r="Q67" s="21" t="n"/>
      <c r="R67" s="23">
        <f>IF(OR($A67="",$B67=""),"",IF($B67="Equipment",IFERROR(INDEX(EQP_START,MATCH($D67,EQP_NOM,0)),""),IF($B67="System",IFERROR(INDEX(SYS_EARLIEST,MATCH($C67,SYS_ID,0)),""),IF($B67="All",CTR_EARLIEST,""))))</f>
        <v/>
      </c>
      <c r="S67" s="23">
        <f>IF(OR($A67="",$E67=""),"",IFERROR(IF(INDEX(TYP_ANCHOR,MATCH($A67,TYP_TYPE,0))="Commissioning Start",IF($R67="","",$R67-INDEX(TYP_LEAD,MATCH($A67,TYP_TYPE,0))),IF(INDEX(MS_PLAN,MATCH(INDEX(TYP_ANCHOR,MATCH($A67,TYP_TYPE,0)),MS_NOM,0))="","",INDEX(MS_PLAN,MATCH(INDEX(TYP_ANCHOR,MATCH($A67,TYP_TYPE,0)),MS_NOM,0))-INDEX(TYP_LEAD,MATCH($A67,TYP_TYPE,0)))),""))</f>
        <v/>
      </c>
      <c r="T67" s="26">
        <f>IF(OR($A67="",$E67=""),0,IF($V67=1,0,1))</f>
        <v/>
      </c>
      <c r="U67" s="26">
        <f>IF($T67=0,0,IF($M67&lt;&gt;"",1,IF(IFERROR(INDEX(WF_CLASS,MATCH($H67,WF_CODE,0)),"")="Done",1,0)))</f>
        <v/>
      </c>
      <c r="V67" s="26">
        <f>IF(OR($A67="",$E67=""),0,IF(IFERROR(INDEX(WF_CLASS,MATCH($H67,WF_CODE,0)),"")="Inactive",1,0))</f>
        <v/>
      </c>
      <c r="W67" s="24">
        <f>IF($A67="","",IFERROR(INDEX(TYP_PHASE,MATCH($A67,TYP_TYPE,0)),"-"))</f>
        <v/>
      </c>
      <c r="X67" s="24">
        <f>IF(AND($T67=1,$U67=0,N($N67)&gt;0),$N67+ROW()/1000000,"")</f>
        <v/>
      </c>
      <c r="Y67" s="24">
        <f>IF(AND($T67=1,$U67=0,OR($I67&lt;&gt;"",N($N67)&gt;0)),N($N67)+ROW()/1000000,"")</f>
        <v/>
      </c>
      <c r="Z67" s="24">
        <f>IF(AND($T67=1,$U67=0,$I67="",N($N67)&lt;=0,-N($N67)&lt;=HORIZON),N($N67)+ROW()/1000000,"")</f>
        <v/>
      </c>
    </row>
    <row r="68">
      <c r="A68" s="21" t="inlineStr">
        <is>
          <t>Inspection and Test Plan</t>
        </is>
      </c>
      <c r="B68" s="21" t="inlineStr">
        <is>
          <t>Equipment</t>
        </is>
      </c>
      <c r="C68" s="21" t="inlineStr">
        <is>
          <t>SYS-FA</t>
        </is>
      </c>
      <c r="D68" s="21" t="inlineStr">
        <is>
          <t>FA-PAN-01 Fire Panel Main</t>
        </is>
      </c>
      <c r="E68" s="21" t="inlineStr">
        <is>
          <t>DMIC-SYS-FA-ITP-065</t>
        </is>
      </c>
      <c r="F68" s="21" t="inlineStr">
        <is>
          <t>P. Nakamura</t>
        </is>
      </c>
      <c r="G68" s="21" t="inlineStr">
        <is>
          <t>M. Haddad</t>
        </is>
      </c>
      <c r="H68" s="21" t="inlineStr">
        <is>
          <t>S3 - For Review</t>
        </is>
      </c>
      <c r="I68" s="22" t="n"/>
      <c r="J68" s="22" t="n"/>
      <c r="K68" s="23">
        <f>IF($A68="","",IF($J68&lt;&gt;"",$J68,$S68))</f>
        <v/>
      </c>
      <c r="L68" s="24">
        <f>IF(OR($A68="",$E68=""),"",IF($J68&lt;&gt;"","Manual",IF($S68="","-","Auto")))</f>
        <v/>
      </c>
      <c r="M68" s="22" t="n"/>
      <c r="N68" s="25">
        <f>IF($T68=0,"",IF($U68=1,IF($M68="","",$M68-$K68),IF($K68="","",TODAY()-$K68)))</f>
        <v/>
      </c>
      <c r="O68" s="24">
        <f>IF(OR($A68="",$E68=""),"",IF($V68=1,S_INACT,IF(ISNA(MATCH($A68,TYP_TYPE,0)),S_TYPEKO,IF($U68=1,S_DONE,IF(AND($K68="",$R68=""),S_NOSCOPE,IF($K68="",S_NOTARGET,IF($N68&gt;0,S_LATE,IF($I68&lt;&gt;"",S_WIP,IF(-$N68&lt;=FEN_DOC,S_RISK,IF(-$N68&lt;=HORIZON,S_COMING,S_NOTYET))))))))))</f>
        <v/>
      </c>
      <c r="P68" s="24">
        <f>IF(OR($A68="",$E68=""),"",IF($V68=1,"",IF(ISNA(MATCH($A68,TYP_TYPE,0)),"Type not in the library",IF($B68="","Scope not set",IF(AND($B68="System",$C68=""),"System not set",IF(AND($B68="Equipment",$D68=""),"Equipment not set",IF($F68="","Responsible not set",IF($K68="","No target date",IF(AND($B68="Equipment",$C68&lt;&gt;"",IFERROR(INDEX(EQP_SYS,MATCH($D68,EQP_NOM,0)),"")&lt;&gt;$C68),"Equipment not in that system",IF(AND($U68=1,$M68=""),"Approved with no approval date",""))))))))))</f>
        <v/>
      </c>
      <c r="Q68" s="21" t="n"/>
      <c r="R68" s="23">
        <f>IF(OR($A68="",$B68=""),"",IF($B68="Equipment",IFERROR(INDEX(EQP_START,MATCH($D68,EQP_NOM,0)),""),IF($B68="System",IFERROR(INDEX(SYS_EARLIEST,MATCH($C68,SYS_ID,0)),""),IF($B68="All",CTR_EARLIEST,""))))</f>
        <v/>
      </c>
      <c r="S68" s="23">
        <f>IF(OR($A68="",$E68=""),"",IFERROR(IF(INDEX(TYP_ANCHOR,MATCH($A68,TYP_TYPE,0))="Commissioning Start",IF($R68="","",$R68-INDEX(TYP_LEAD,MATCH($A68,TYP_TYPE,0))),IF(INDEX(MS_PLAN,MATCH(INDEX(TYP_ANCHOR,MATCH($A68,TYP_TYPE,0)),MS_NOM,0))="","",INDEX(MS_PLAN,MATCH(INDEX(TYP_ANCHOR,MATCH($A68,TYP_TYPE,0)),MS_NOM,0))-INDEX(TYP_LEAD,MATCH($A68,TYP_TYPE,0)))),""))</f>
        <v/>
      </c>
      <c r="T68" s="26">
        <f>IF(OR($A68="",$E68=""),0,IF($V68=1,0,1))</f>
        <v/>
      </c>
      <c r="U68" s="26">
        <f>IF($T68=0,0,IF($M68&lt;&gt;"",1,IF(IFERROR(INDEX(WF_CLASS,MATCH($H68,WF_CODE,0)),"")="Done",1,0)))</f>
        <v/>
      </c>
      <c r="V68" s="26">
        <f>IF(OR($A68="",$E68=""),0,IF(IFERROR(INDEX(WF_CLASS,MATCH($H68,WF_CODE,0)),"")="Inactive",1,0))</f>
        <v/>
      </c>
      <c r="W68" s="24">
        <f>IF($A68="","",IFERROR(INDEX(TYP_PHASE,MATCH($A68,TYP_TYPE,0)),"-"))</f>
        <v/>
      </c>
      <c r="X68" s="24">
        <f>IF(AND($T68=1,$U68=0,N($N68)&gt;0),$N68+ROW()/1000000,"")</f>
        <v/>
      </c>
      <c r="Y68" s="24">
        <f>IF(AND($T68=1,$U68=0,OR($I68&lt;&gt;"",N($N68)&gt;0)),N($N68)+ROW()/1000000,"")</f>
        <v/>
      </c>
      <c r="Z68" s="24">
        <f>IF(AND($T68=1,$U68=0,$I68="",N($N68)&lt;=0,-N($N68)&lt;=HORIZON),N($N68)+ROW()/1000000,"")</f>
        <v/>
      </c>
    </row>
    <row r="69">
      <c r="A69" s="21" t="inlineStr">
        <is>
          <t>Planned End Of Erection Status Report</t>
        </is>
      </c>
      <c r="B69" s="21" t="inlineStr">
        <is>
          <t>Equipment</t>
        </is>
      </c>
      <c r="C69" s="21" t="inlineStr">
        <is>
          <t>SYS-FA</t>
        </is>
      </c>
      <c r="D69" s="21" t="inlineStr">
        <is>
          <t>FA-PAN-01 Fire Panel Main</t>
        </is>
      </c>
      <c r="E69" s="21" t="inlineStr">
        <is>
          <t>DMIC-SYS-FA-PER-066</t>
        </is>
      </c>
      <c r="F69" s="21" t="inlineStr">
        <is>
          <t>K. Rasmussen</t>
        </is>
      </c>
      <c r="G69" s="21" t="inlineStr">
        <is>
          <t>C. Vasquez</t>
        </is>
      </c>
      <c r="H69" s="21" t="inlineStr">
        <is>
          <t>S4 - For Internal Approval</t>
        </is>
      </c>
      <c r="I69" s="22" t="n"/>
      <c r="J69" s="22" t="n"/>
      <c r="K69" s="23">
        <f>IF($A69="","",IF($J69&lt;&gt;"",$J69,$S69))</f>
        <v/>
      </c>
      <c r="L69" s="24">
        <f>IF(OR($A69="",$E69=""),"",IF($J69&lt;&gt;"","Manual",IF($S69="","-","Auto")))</f>
        <v/>
      </c>
      <c r="M69" s="22" t="n"/>
      <c r="N69" s="25">
        <f>IF($T69=0,"",IF($U69=1,IF($M69="","",$M69-$K69),IF($K69="","",TODAY()-$K69)))</f>
        <v/>
      </c>
      <c r="O69" s="24">
        <f>IF(OR($A69="",$E69=""),"",IF($V69=1,S_INACT,IF(ISNA(MATCH($A69,TYP_TYPE,0)),S_TYPEKO,IF($U69=1,S_DONE,IF(AND($K69="",$R69=""),S_NOSCOPE,IF($K69="",S_NOTARGET,IF($N69&gt;0,S_LATE,IF($I69&lt;&gt;"",S_WIP,IF(-$N69&lt;=FEN_DOC,S_RISK,IF(-$N69&lt;=HORIZON,S_COMING,S_NOTYET))))))))))</f>
        <v/>
      </c>
      <c r="P69" s="24">
        <f>IF(OR($A69="",$E69=""),"",IF($V69=1,"",IF(ISNA(MATCH($A69,TYP_TYPE,0)),"Type not in the library",IF($B69="","Scope not set",IF(AND($B69="System",$C69=""),"System not set",IF(AND($B69="Equipment",$D69=""),"Equipment not set",IF($F69="","Responsible not set",IF($K69="","No target date",IF(AND($B69="Equipment",$C69&lt;&gt;"",IFERROR(INDEX(EQP_SYS,MATCH($D69,EQP_NOM,0)),"")&lt;&gt;$C69),"Equipment not in that system",IF(AND($U69=1,$M69=""),"Approved with no approval date",""))))))))))</f>
        <v/>
      </c>
      <c r="Q69" s="21" t="n"/>
      <c r="R69" s="23">
        <f>IF(OR($A69="",$B69=""),"",IF($B69="Equipment",IFERROR(INDEX(EQP_START,MATCH($D69,EQP_NOM,0)),""),IF($B69="System",IFERROR(INDEX(SYS_EARLIEST,MATCH($C69,SYS_ID,0)),""),IF($B69="All",CTR_EARLIEST,""))))</f>
        <v/>
      </c>
      <c r="S69" s="23">
        <f>IF(OR($A69="",$E69=""),"",IFERROR(IF(INDEX(TYP_ANCHOR,MATCH($A69,TYP_TYPE,0))="Commissioning Start",IF($R69="","",$R69-INDEX(TYP_LEAD,MATCH($A69,TYP_TYPE,0))),IF(INDEX(MS_PLAN,MATCH(INDEX(TYP_ANCHOR,MATCH($A69,TYP_TYPE,0)),MS_NOM,0))="","",INDEX(MS_PLAN,MATCH(INDEX(TYP_ANCHOR,MATCH($A69,TYP_TYPE,0)),MS_NOM,0))-INDEX(TYP_LEAD,MATCH($A69,TYP_TYPE,0)))),""))</f>
        <v/>
      </c>
      <c r="T69" s="26">
        <f>IF(OR($A69="",$E69=""),0,IF($V69=1,0,1))</f>
        <v/>
      </c>
      <c r="U69" s="26">
        <f>IF($T69=0,0,IF($M69&lt;&gt;"",1,IF(IFERROR(INDEX(WF_CLASS,MATCH($H69,WF_CODE,0)),"")="Done",1,0)))</f>
        <v/>
      </c>
      <c r="V69" s="26">
        <f>IF(OR($A69="",$E69=""),0,IF(IFERROR(INDEX(WF_CLASS,MATCH($H69,WF_CODE,0)),"")="Inactive",1,0))</f>
        <v/>
      </c>
      <c r="W69" s="24">
        <f>IF($A69="","",IFERROR(INDEX(TYP_PHASE,MATCH($A69,TYP_TYPE,0)),"-"))</f>
        <v/>
      </c>
      <c r="X69" s="24">
        <f>IF(AND($T69=1,$U69=0,N($N69)&gt;0),$N69+ROW()/1000000,"")</f>
        <v/>
      </c>
      <c r="Y69" s="24">
        <f>IF(AND($T69=1,$U69=0,OR($I69&lt;&gt;"",N($N69)&gt;0)),N($N69)+ROW()/1000000,"")</f>
        <v/>
      </c>
      <c r="Z69" s="24">
        <f>IF(AND($T69=1,$U69=0,$I69="",N($N69)&lt;=0,-N($N69)&lt;=HORIZON),N($N69)+ROW()/1000000,"")</f>
        <v/>
      </c>
    </row>
    <row r="70">
      <c r="A70" s="21" t="inlineStr">
        <is>
          <t>Commissioning Procedure</t>
        </is>
      </c>
      <c r="B70" s="21" t="inlineStr">
        <is>
          <t>Equipment</t>
        </is>
      </c>
      <c r="C70" s="21" t="inlineStr">
        <is>
          <t>SYS-FA</t>
        </is>
      </c>
      <c r="D70" s="21" t="inlineStr">
        <is>
          <t>FA-DET-02 Detection Loop Zone A</t>
        </is>
      </c>
      <c r="E70" s="21" t="inlineStr">
        <is>
          <t>DMIC-SYS-FA-CPR-067</t>
        </is>
      </c>
      <c r="F70" s="21" t="inlineStr">
        <is>
          <t>R. Bellamy</t>
        </is>
      </c>
      <c r="G70" s="21" t="inlineStr">
        <is>
          <t>H. Lindqvist</t>
        </is>
      </c>
      <c r="H70" s="21" t="inlineStr">
        <is>
          <t>S6 - For Acceptance</t>
        </is>
      </c>
      <c r="I70" s="22" t="n"/>
      <c r="J70" s="22" t="n"/>
      <c r="K70" s="23">
        <f>IF($A70="","",IF($J70&lt;&gt;"",$J70,$S70))</f>
        <v/>
      </c>
      <c r="L70" s="24">
        <f>IF(OR($A70="",$E70=""),"",IF($J70&lt;&gt;"","Manual",IF($S70="","-","Auto")))</f>
        <v/>
      </c>
      <c r="M70" s="22" t="n"/>
      <c r="N70" s="25">
        <f>IF($T70=0,"",IF($U70=1,IF($M70="","",$M70-$K70),IF($K70="","",TODAY()-$K70)))</f>
        <v/>
      </c>
      <c r="O70" s="24">
        <f>IF(OR($A70="",$E70=""),"",IF($V70=1,S_INACT,IF(ISNA(MATCH($A70,TYP_TYPE,0)),S_TYPEKO,IF($U70=1,S_DONE,IF(AND($K70="",$R70=""),S_NOSCOPE,IF($K70="",S_NOTARGET,IF($N70&gt;0,S_LATE,IF($I70&lt;&gt;"",S_WIP,IF(-$N70&lt;=FEN_DOC,S_RISK,IF(-$N70&lt;=HORIZON,S_COMING,S_NOTYET))))))))))</f>
        <v/>
      </c>
      <c r="P70" s="24">
        <f>IF(OR($A70="",$E70=""),"",IF($V70=1,"",IF(ISNA(MATCH($A70,TYP_TYPE,0)),"Type not in the library",IF($B70="","Scope not set",IF(AND($B70="System",$C70=""),"System not set",IF(AND($B70="Equipment",$D70=""),"Equipment not set",IF($F70="","Responsible not set",IF($K70="","No target date",IF(AND($B70="Equipment",$C70&lt;&gt;"",IFERROR(INDEX(EQP_SYS,MATCH($D70,EQP_NOM,0)),"")&lt;&gt;$C70),"Equipment not in that system",IF(AND($U70=1,$M70=""),"Approved with no approval date",""))))))))))</f>
        <v/>
      </c>
      <c r="Q70" s="21" t="n"/>
      <c r="R70" s="23">
        <f>IF(OR($A70="",$B70=""),"",IF($B70="Equipment",IFERROR(INDEX(EQP_START,MATCH($D70,EQP_NOM,0)),""),IF($B70="System",IFERROR(INDEX(SYS_EARLIEST,MATCH($C70,SYS_ID,0)),""),IF($B70="All",CTR_EARLIEST,""))))</f>
        <v/>
      </c>
      <c r="S70" s="23">
        <f>IF(OR($A70="",$E70=""),"",IFERROR(IF(INDEX(TYP_ANCHOR,MATCH($A70,TYP_TYPE,0))="Commissioning Start",IF($R70="","",$R70-INDEX(TYP_LEAD,MATCH($A70,TYP_TYPE,0))),IF(INDEX(MS_PLAN,MATCH(INDEX(TYP_ANCHOR,MATCH($A70,TYP_TYPE,0)),MS_NOM,0))="","",INDEX(MS_PLAN,MATCH(INDEX(TYP_ANCHOR,MATCH($A70,TYP_TYPE,0)),MS_NOM,0))-INDEX(TYP_LEAD,MATCH($A70,TYP_TYPE,0)))),""))</f>
        <v/>
      </c>
      <c r="T70" s="26">
        <f>IF(OR($A70="",$E70=""),0,IF($V70=1,0,1))</f>
        <v/>
      </c>
      <c r="U70" s="26">
        <f>IF($T70=0,0,IF($M70&lt;&gt;"",1,IF(IFERROR(INDEX(WF_CLASS,MATCH($H70,WF_CODE,0)),"")="Done",1,0)))</f>
        <v/>
      </c>
      <c r="V70" s="26">
        <f>IF(OR($A70="",$E70=""),0,IF(IFERROR(INDEX(WF_CLASS,MATCH($H70,WF_CODE,0)),"")="Inactive",1,0))</f>
        <v/>
      </c>
      <c r="W70" s="24">
        <f>IF($A70="","",IFERROR(INDEX(TYP_PHASE,MATCH($A70,TYP_TYPE,0)),"-"))</f>
        <v/>
      </c>
      <c r="X70" s="24">
        <f>IF(AND($T70=1,$U70=0,N($N70)&gt;0),$N70+ROW()/1000000,"")</f>
        <v/>
      </c>
      <c r="Y70" s="24">
        <f>IF(AND($T70=1,$U70=0,OR($I70&lt;&gt;"",N($N70)&gt;0)),N($N70)+ROW()/1000000,"")</f>
        <v/>
      </c>
      <c r="Z70" s="24">
        <f>IF(AND($T70=1,$U70=0,$I70="",N($N70)&lt;=0,-N($N70)&lt;=HORIZON),N($N70)+ROW()/1000000,"")</f>
        <v/>
      </c>
    </row>
    <row r="71">
      <c r="A71" s="21" t="inlineStr">
        <is>
          <t>Inspection and Test Plan</t>
        </is>
      </c>
      <c r="B71" s="21" t="inlineStr">
        <is>
          <t>Equipment</t>
        </is>
      </c>
      <c r="C71" s="21" t="inlineStr">
        <is>
          <t>SYS-FA</t>
        </is>
      </c>
      <c r="D71" s="21" t="inlineStr">
        <is>
          <t>FA-DET-02 Detection Loop Zone A</t>
        </is>
      </c>
      <c r="E71" s="21" t="inlineStr">
        <is>
          <t>DMIC-SYS-FA-ITP-068</t>
        </is>
      </c>
      <c r="F71" s="21" t="inlineStr">
        <is>
          <t>N. Bergstrom</t>
        </is>
      </c>
      <c r="G71" s="21" t="inlineStr">
        <is>
          <t>A. Mercer</t>
        </is>
      </c>
      <c r="H71" s="21" t="inlineStr">
        <is>
          <t>S4B - Comments</t>
        </is>
      </c>
      <c r="I71" s="22" t="n"/>
      <c r="J71" s="22" t="n"/>
      <c r="K71" s="23">
        <f>IF($A71="","",IF($J71&lt;&gt;"",$J71,$S71))</f>
        <v/>
      </c>
      <c r="L71" s="24">
        <f>IF(OR($A71="",$E71=""),"",IF($J71&lt;&gt;"","Manual",IF($S71="","-","Auto")))</f>
        <v/>
      </c>
      <c r="M71" s="22" t="n"/>
      <c r="N71" s="25">
        <f>IF($T71=0,"",IF($U71=1,IF($M71="","",$M71-$K71),IF($K71="","",TODAY()-$K71)))</f>
        <v/>
      </c>
      <c r="O71" s="24">
        <f>IF(OR($A71="",$E71=""),"",IF($V71=1,S_INACT,IF(ISNA(MATCH($A71,TYP_TYPE,0)),S_TYPEKO,IF($U71=1,S_DONE,IF(AND($K71="",$R71=""),S_NOSCOPE,IF($K71="",S_NOTARGET,IF($N71&gt;0,S_LATE,IF($I71&lt;&gt;"",S_WIP,IF(-$N71&lt;=FEN_DOC,S_RISK,IF(-$N71&lt;=HORIZON,S_COMING,S_NOTYET))))))))))</f>
        <v/>
      </c>
      <c r="P71" s="24">
        <f>IF(OR($A71="",$E71=""),"",IF($V71=1,"",IF(ISNA(MATCH($A71,TYP_TYPE,0)),"Type not in the library",IF($B71="","Scope not set",IF(AND($B71="System",$C71=""),"System not set",IF(AND($B71="Equipment",$D71=""),"Equipment not set",IF($F71="","Responsible not set",IF($K71="","No target date",IF(AND($B71="Equipment",$C71&lt;&gt;"",IFERROR(INDEX(EQP_SYS,MATCH($D71,EQP_NOM,0)),"")&lt;&gt;$C71),"Equipment not in that system",IF(AND($U71=1,$M71=""),"Approved with no approval date",""))))))))))</f>
        <v/>
      </c>
      <c r="Q71" s="21" t="n"/>
      <c r="R71" s="23">
        <f>IF(OR($A71="",$B71=""),"",IF($B71="Equipment",IFERROR(INDEX(EQP_START,MATCH($D71,EQP_NOM,0)),""),IF($B71="System",IFERROR(INDEX(SYS_EARLIEST,MATCH($C71,SYS_ID,0)),""),IF($B71="All",CTR_EARLIEST,""))))</f>
        <v/>
      </c>
      <c r="S71" s="23">
        <f>IF(OR($A71="",$E71=""),"",IFERROR(IF(INDEX(TYP_ANCHOR,MATCH($A71,TYP_TYPE,0))="Commissioning Start",IF($R71="","",$R71-INDEX(TYP_LEAD,MATCH($A71,TYP_TYPE,0))),IF(INDEX(MS_PLAN,MATCH(INDEX(TYP_ANCHOR,MATCH($A71,TYP_TYPE,0)),MS_NOM,0))="","",INDEX(MS_PLAN,MATCH(INDEX(TYP_ANCHOR,MATCH($A71,TYP_TYPE,0)),MS_NOM,0))-INDEX(TYP_LEAD,MATCH($A71,TYP_TYPE,0)))),""))</f>
        <v/>
      </c>
      <c r="T71" s="26">
        <f>IF(OR($A71="",$E71=""),0,IF($V71=1,0,1))</f>
        <v/>
      </c>
      <c r="U71" s="26">
        <f>IF($T71=0,0,IF($M71&lt;&gt;"",1,IF(IFERROR(INDEX(WF_CLASS,MATCH($H71,WF_CODE,0)),"")="Done",1,0)))</f>
        <v/>
      </c>
      <c r="V71" s="26">
        <f>IF(OR($A71="",$E71=""),0,IF(IFERROR(INDEX(WF_CLASS,MATCH($H71,WF_CODE,0)),"")="Inactive",1,0))</f>
        <v/>
      </c>
      <c r="W71" s="24">
        <f>IF($A71="","",IFERROR(INDEX(TYP_PHASE,MATCH($A71,TYP_TYPE,0)),"-"))</f>
        <v/>
      </c>
      <c r="X71" s="24">
        <f>IF(AND($T71=1,$U71=0,N($N71)&gt;0),$N71+ROW()/1000000,"")</f>
        <v/>
      </c>
      <c r="Y71" s="24">
        <f>IF(AND($T71=1,$U71=0,OR($I71&lt;&gt;"",N($N71)&gt;0)),N($N71)+ROW()/1000000,"")</f>
        <v/>
      </c>
      <c r="Z71" s="24">
        <f>IF(AND($T71=1,$U71=0,$I71="",N($N71)&lt;=0,-N($N71)&lt;=HORIZON),N($N71)+ROW()/1000000,"")</f>
        <v/>
      </c>
    </row>
    <row r="72">
      <c r="A72" s="21" t="inlineStr">
        <is>
          <t>Planned End Of Erection Status Report</t>
        </is>
      </c>
      <c r="B72" s="21" t="inlineStr">
        <is>
          <t>Equipment</t>
        </is>
      </c>
      <c r="C72" s="21" t="inlineStr">
        <is>
          <t>SYS-FA</t>
        </is>
      </c>
      <c r="D72" s="21" t="inlineStr">
        <is>
          <t>FA-DET-02 Detection Loop Zone A</t>
        </is>
      </c>
      <c r="E72" s="21" t="inlineStr">
        <is>
          <t>DMIC-SYS-FA-PER-069</t>
        </is>
      </c>
      <c r="F72" s="21" t="inlineStr">
        <is>
          <t>M. Haddad</t>
        </is>
      </c>
      <c r="G72" s="21" t="inlineStr">
        <is>
          <t>S. Okonkwo</t>
        </is>
      </c>
      <c r="H72" s="21" t="inlineStr">
        <is>
          <t>W1 - Draft</t>
        </is>
      </c>
      <c r="I72" s="22" t="n"/>
      <c r="J72" s="22" t="n"/>
      <c r="K72" s="23">
        <f>IF($A72="","",IF($J72&lt;&gt;"",$J72,$S72))</f>
        <v/>
      </c>
      <c r="L72" s="24">
        <f>IF(OR($A72="",$E72=""),"",IF($J72&lt;&gt;"","Manual",IF($S72="","-","Auto")))</f>
        <v/>
      </c>
      <c r="M72" s="22" t="n"/>
      <c r="N72" s="25">
        <f>IF($T72=0,"",IF($U72=1,IF($M72="","",$M72-$K72),IF($K72="","",TODAY()-$K72)))</f>
        <v/>
      </c>
      <c r="O72" s="24">
        <f>IF(OR($A72="",$E72=""),"",IF($V72=1,S_INACT,IF(ISNA(MATCH($A72,TYP_TYPE,0)),S_TYPEKO,IF($U72=1,S_DONE,IF(AND($K72="",$R72=""),S_NOSCOPE,IF($K72="",S_NOTARGET,IF($N72&gt;0,S_LATE,IF($I72&lt;&gt;"",S_WIP,IF(-$N72&lt;=FEN_DOC,S_RISK,IF(-$N72&lt;=HORIZON,S_COMING,S_NOTYET))))))))))</f>
        <v/>
      </c>
      <c r="P72" s="24">
        <f>IF(OR($A72="",$E72=""),"",IF($V72=1,"",IF(ISNA(MATCH($A72,TYP_TYPE,0)),"Type not in the library",IF($B72="","Scope not set",IF(AND($B72="System",$C72=""),"System not set",IF(AND($B72="Equipment",$D72=""),"Equipment not set",IF($F72="","Responsible not set",IF($K72="","No target date",IF(AND($B72="Equipment",$C72&lt;&gt;"",IFERROR(INDEX(EQP_SYS,MATCH($D72,EQP_NOM,0)),"")&lt;&gt;$C72),"Equipment not in that system",IF(AND($U72=1,$M72=""),"Approved with no approval date",""))))))))))</f>
        <v/>
      </c>
      <c r="Q72" s="21" t="n"/>
      <c r="R72" s="23">
        <f>IF(OR($A72="",$B72=""),"",IF($B72="Equipment",IFERROR(INDEX(EQP_START,MATCH($D72,EQP_NOM,0)),""),IF($B72="System",IFERROR(INDEX(SYS_EARLIEST,MATCH($C72,SYS_ID,0)),""),IF($B72="All",CTR_EARLIEST,""))))</f>
        <v/>
      </c>
      <c r="S72" s="23">
        <f>IF(OR($A72="",$E72=""),"",IFERROR(IF(INDEX(TYP_ANCHOR,MATCH($A72,TYP_TYPE,0))="Commissioning Start",IF($R72="","",$R72-INDEX(TYP_LEAD,MATCH($A72,TYP_TYPE,0))),IF(INDEX(MS_PLAN,MATCH(INDEX(TYP_ANCHOR,MATCH($A72,TYP_TYPE,0)),MS_NOM,0))="","",INDEX(MS_PLAN,MATCH(INDEX(TYP_ANCHOR,MATCH($A72,TYP_TYPE,0)),MS_NOM,0))-INDEX(TYP_LEAD,MATCH($A72,TYP_TYPE,0)))),""))</f>
        <v/>
      </c>
      <c r="T72" s="26">
        <f>IF(OR($A72="",$E72=""),0,IF($V72=1,0,1))</f>
        <v/>
      </c>
      <c r="U72" s="26">
        <f>IF($T72=0,0,IF($M72&lt;&gt;"",1,IF(IFERROR(INDEX(WF_CLASS,MATCH($H72,WF_CODE,0)),"")="Done",1,0)))</f>
        <v/>
      </c>
      <c r="V72" s="26">
        <f>IF(OR($A72="",$E72=""),0,IF(IFERROR(INDEX(WF_CLASS,MATCH($H72,WF_CODE,0)),"")="Inactive",1,0))</f>
        <v/>
      </c>
      <c r="W72" s="24">
        <f>IF($A72="","",IFERROR(INDEX(TYP_PHASE,MATCH($A72,TYP_TYPE,0)),"-"))</f>
        <v/>
      </c>
      <c r="X72" s="24">
        <f>IF(AND($T72=1,$U72=0,N($N72)&gt;0),$N72+ROW()/1000000,"")</f>
        <v/>
      </c>
      <c r="Y72" s="24">
        <f>IF(AND($T72=1,$U72=0,OR($I72&lt;&gt;"",N($N72)&gt;0)),N($N72)+ROW()/1000000,"")</f>
        <v/>
      </c>
      <c r="Z72" s="24">
        <f>IF(AND($T72=1,$U72=0,$I72="",N($N72)&lt;=0,-N($N72)&lt;=HORIZON),N($N72)+ROW()/1000000,"")</f>
        <v/>
      </c>
    </row>
    <row r="73">
      <c r="A73" s="21" t="inlineStr">
        <is>
          <t>Commissioning Procedure</t>
        </is>
      </c>
      <c r="B73" s="21" t="inlineStr">
        <is>
          <t>Equipment</t>
        </is>
      </c>
      <c r="C73" s="21" t="inlineStr">
        <is>
          <t>SYS-FA</t>
        </is>
      </c>
      <c r="D73" s="21" t="inlineStr">
        <is>
          <t>FA-SUP-03 Suppression Skid</t>
        </is>
      </c>
      <c r="E73" s="21" t="inlineStr">
        <is>
          <t>DMIC-SYS-FA-CPR-070</t>
        </is>
      </c>
      <c r="F73" s="21" t="inlineStr">
        <is>
          <t>C. Vasquez</t>
        </is>
      </c>
      <c r="G73" s="21" t="inlineStr">
        <is>
          <t>L. Fontaine</t>
        </is>
      </c>
      <c r="H73" s="21" t="inlineStr">
        <is>
          <t>S3 - For Review</t>
        </is>
      </c>
      <c r="I73" s="22" t="n"/>
      <c r="J73" s="22" t="n"/>
      <c r="K73" s="23">
        <f>IF($A73="","",IF($J73&lt;&gt;"",$J73,$S73))</f>
        <v/>
      </c>
      <c r="L73" s="24">
        <f>IF(OR($A73="",$E73=""),"",IF($J73&lt;&gt;"","Manual",IF($S73="","-","Auto")))</f>
        <v/>
      </c>
      <c r="M73" s="22" t="n"/>
      <c r="N73" s="25">
        <f>IF($T73=0,"",IF($U73=1,IF($M73="","",$M73-$K73),IF($K73="","",TODAY()-$K73)))</f>
        <v/>
      </c>
      <c r="O73" s="24">
        <f>IF(OR($A73="",$E73=""),"",IF($V73=1,S_INACT,IF(ISNA(MATCH($A73,TYP_TYPE,0)),S_TYPEKO,IF($U73=1,S_DONE,IF(AND($K73="",$R73=""),S_NOSCOPE,IF($K73="",S_NOTARGET,IF($N73&gt;0,S_LATE,IF($I73&lt;&gt;"",S_WIP,IF(-$N73&lt;=FEN_DOC,S_RISK,IF(-$N73&lt;=HORIZON,S_COMING,S_NOTYET))))))))))</f>
        <v/>
      </c>
      <c r="P73" s="24">
        <f>IF(OR($A73="",$E73=""),"",IF($V73=1,"",IF(ISNA(MATCH($A73,TYP_TYPE,0)),"Type not in the library",IF($B73="","Scope not set",IF(AND($B73="System",$C73=""),"System not set",IF(AND($B73="Equipment",$D73=""),"Equipment not set",IF($F73="","Responsible not set",IF($K73="","No target date",IF(AND($B73="Equipment",$C73&lt;&gt;"",IFERROR(INDEX(EQP_SYS,MATCH($D73,EQP_NOM,0)),"")&lt;&gt;$C73),"Equipment not in that system",IF(AND($U73=1,$M73=""),"Approved with no approval date",""))))))))))</f>
        <v/>
      </c>
      <c r="Q73" s="21" t="n"/>
      <c r="R73" s="23">
        <f>IF(OR($A73="",$B73=""),"",IF($B73="Equipment",IFERROR(INDEX(EQP_START,MATCH($D73,EQP_NOM,0)),""),IF($B73="System",IFERROR(INDEX(SYS_EARLIEST,MATCH($C73,SYS_ID,0)),""),IF($B73="All",CTR_EARLIEST,""))))</f>
        <v/>
      </c>
      <c r="S73" s="23">
        <f>IF(OR($A73="",$E73=""),"",IFERROR(IF(INDEX(TYP_ANCHOR,MATCH($A73,TYP_TYPE,0))="Commissioning Start",IF($R73="","",$R73-INDEX(TYP_LEAD,MATCH($A73,TYP_TYPE,0))),IF(INDEX(MS_PLAN,MATCH(INDEX(TYP_ANCHOR,MATCH($A73,TYP_TYPE,0)),MS_NOM,0))="","",INDEX(MS_PLAN,MATCH(INDEX(TYP_ANCHOR,MATCH($A73,TYP_TYPE,0)),MS_NOM,0))-INDEX(TYP_LEAD,MATCH($A73,TYP_TYPE,0)))),""))</f>
        <v/>
      </c>
      <c r="T73" s="26">
        <f>IF(OR($A73="",$E73=""),0,IF($V73=1,0,1))</f>
        <v/>
      </c>
      <c r="U73" s="26">
        <f>IF($T73=0,0,IF($M73&lt;&gt;"",1,IF(IFERROR(INDEX(WF_CLASS,MATCH($H73,WF_CODE,0)),"")="Done",1,0)))</f>
        <v/>
      </c>
      <c r="V73" s="26">
        <f>IF(OR($A73="",$E73=""),0,IF(IFERROR(INDEX(WF_CLASS,MATCH($H73,WF_CODE,0)),"")="Inactive",1,0))</f>
        <v/>
      </c>
      <c r="W73" s="24">
        <f>IF($A73="","",IFERROR(INDEX(TYP_PHASE,MATCH($A73,TYP_TYPE,0)),"-"))</f>
        <v/>
      </c>
      <c r="X73" s="24">
        <f>IF(AND($T73=1,$U73=0,N($N73)&gt;0),$N73+ROW()/1000000,"")</f>
        <v/>
      </c>
      <c r="Y73" s="24">
        <f>IF(AND($T73=1,$U73=0,OR($I73&lt;&gt;"",N($N73)&gt;0)),N($N73)+ROW()/1000000,"")</f>
        <v/>
      </c>
      <c r="Z73" s="24">
        <f>IF(AND($T73=1,$U73=0,$I73="",N($N73)&lt;=0,-N($N73)&lt;=HORIZON),N($N73)+ROW()/1000000,"")</f>
        <v/>
      </c>
    </row>
    <row r="74">
      <c r="A74" s="21" t="inlineStr">
        <is>
          <t>Inspection and Test Plan</t>
        </is>
      </c>
      <c r="B74" s="21" t="inlineStr">
        <is>
          <t>Equipment</t>
        </is>
      </c>
      <c r="C74" s="21" t="inlineStr">
        <is>
          <t>SYS-FA</t>
        </is>
      </c>
      <c r="D74" s="21" t="inlineStr">
        <is>
          <t>FA-SUP-03 Suppression Skid</t>
        </is>
      </c>
      <c r="E74" s="21" t="inlineStr">
        <is>
          <t>DMIC-SYS-FA-ITP-071</t>
        </is>
      </c>
      <c r="F74" s="21" t="inlineStr">
        <is>
          <t>H. Lindqvist</t>
        </is>
      </c>
      <c r="G74" s="21" t="inlineStr">
        <is>
          <t>D. Petrov</t>
        </is>
      </c>
      <c r="H74" s="21" t="inlineStr">
        <is>
          <t>S4 - For Internal Approval</t>
        </is>
      </c>
      <c r="I74" s="22" t="n"/>
      <c r="J74" s="22" t="n"/>
      <c r="K74" s="23">
        <f>IF($A74="","",IF($J74&lt;&gt;"",$J74,$S74))</f>
        <v/>
      </c>
      <c r="L74" s="24">
        <f>IF(OR($A74="",$E74=""),"",IF($J74&lt;&gt;"","Manual",IF($S74="","-","Auto")))</f>
        <v/>
      </c>
      <c r="M74" s="22" t="n"/>
      <c r="N74" s="25">
        <f>IF($T74=0,"",IF($U74=1,IF($M74="","",$M74-$K74),IF($K74="","",TODAY()-$K74)))</f>
        <v/>
      </c>
      <c r="O74" s="24">
        <f>IF(OR($A74="",$E74=""),"",IF($V74=1,S_INACT,IF(ISNA(MATCH($A74,TYP_TYPE,0)),S_TYPEKO,IF($U74=1,S_DONE,IF(AND($K74="",$R74=""),S_NOSCOPE,IF($K74="",S_NOTARGET,IF($N74&gt;0,S_LATE,IF($I74&lt;&gt;"",S_WIP,IF(-$N74&lt;=FEN_DOC,S_RISK,IF(-$N74&lt;=HORIZON,S_COMING,S_NOTYET))))))))))</f>
        <v/>
      </c>
      <c r="P74" s="24">
        <f>IF(OR($A74="",$E74=""),"",IF($V74=1,"",IF(ISNA(MATCH($A74,TYP_TYPE,0)),"Type not in the library",IF($B74="","Scope not set",IF(AND($B74="System",$C74=""),"System not set",IF(AND($B74="Equipment",$D74=""),"Equipment not set",IF($F74="","Responsible not set",IF($K74="","No target date",IF(AND($B74="Equipment",$C74&lt;&gt;"",IFERROR(INDEX(EQP_SYS,MATCH($D74,EQP_NOM,0)),"")&lt;&gt;$C74),"Equipment not in that system",IF(AND($U74=1,$M74=""),"Approved with no approval date",""))))))))))</f>
        <v/>
      </c>
      <c r="Q74" s="21" t="n"/>
      <c r="R74" s="23">
        <f>IF(OR($A74="",$B74=""),"",IF($B74="Equipment",IFERROR(INDEX(EQP_START,MATCH($D74,EQP_NOM,0)),""),IF($B74="System",IFERROR(INDEX(SYS_EARLIEST,MATCH($C74,SYS_ID,0)),""),IF($B74="All",CTR_EARLIEST,""))))</f>
        <v/>
      </c>
      <c r="S74" s="23">
        <f>IF(OR($A74="",$E74=""),"",IFERROR(IF(INDEX(TYP_ANCHOR,MATCH($A74,TYP_TYPE,0))="Commissioning Start",IF($R74="","",$R74-INDEX(TYP_LEAD,MATCH($A74,TYP_TYPE,0))),IF(INDEX(MS_PLAN,MATCH(INDEX(TYP_ANCHOR,MATCH($A74,TYP_TYPE,0)),MS_NOM,0))="","",INDEX(MS_PLAN,MATCH(INDEX(TYP_ANCHOR,MATCH($A74,TYP_TYPE,0)),MS_NOM,0))-INDEX(TYP_LEAD,MATCH($A74,TYP_TYPE,0)))),""))</f>
        <v/>
      </c>
      <c r="T74" s="26">
        <f>IF(OR($A74="",$E74=""),0,IF($V74=1,0,1))</f>
        <v/>
      </c>
      <c r="U74" s="26">
        <f>IF($T74=0,0,IF($M74&lt;&gt;"",1,IF(IFERROR(INDEX(WF_CLASS,MATCH($H74,WF_CODE,0)),"")="Done",1,0)))</f>
        <v/>
      </c>
      <c r="V74" s="26">
        <f>IF(OR($A74="",$E74=""),0,IF(IFERROR(INDEX(WF_CLASS,MATCH($H74,WF_CODE,0)),"")="Inactive",1,0))</f>
        <v/>
      </c>
      <c r="W74" s="24">
        <f>IF($A74="","",IFERROR(INDEX(TYP_PHASE,MATCH($A74,TYP_TYPE,0)),"-"))</f>
        <v/>
      </c>
      <c r="X74" s="24">
        <f>IF(AND($T74=1,$U74=0,N($N74)&gt;0),$N74+ROW()/1000000,"")</f>
        <v/>
      </c>
      <c r="Y74" s="24">
        <f>IF(AND($T74=1,$U74=0,OR($I74&lt;&gt;"",N($N74)&gt;0)),N($N74)+ROW()/1000000,"")</f>
        <v/>
      </c>
      <c r="Z74" s="24">
        <f>IF(AND($T74=1,$U74=0,$I74="",N($N74)&lt;=0,-N($N74)&lt;=HORIZON),N($N74)+ROW()/1000000,"")</f>
        <v/>
      </c>
    </row>
    <row r="75">
      <c r="A75" s="21" t="inlineStr">
        <is>
          <t>Commissioning Procedure</t>
        </is>
      </c>
      <c r="B75" s="21" t="inlineStr">
        <is>
          <t>Equipment</t>
        </is>
      </c>
      <c r="C75" s="21" t="inlineStr">
        <is>
          <t>SYS-LV</t>
        </is>
      </c>
      <c r="D75" s="21" t="inlineStr">
        <is>
          <t>LV-SWB-01 Main LV Switchboard</t>
        </is>
      </c>
      <c r="E75" s="21" t="inlineStr">
        <is>
          <t>DMIC-SYS-LV-CPR-072</t>
        </is>
      </c>
      <c r="F75" s="21" t="inlineStr">
        <is>
          <t>A. Mercer</t>
        </is>
      </c>
      <c r="G75" s="21" t="inlineStr">
        <is>
          <t>J. Whitfield</t>
        </is>
      </c>
      <c r="H75" s="21" t="inlineStr"/>
      <c r="I75" s="22" t="n"/>
      <c r="J75" s="22" t="n"/>
      <c r="K75" s="23">
        <f>IF($A75="","",IF($J75&lt;&gt;"",$J75,$S75))</f>
        <v/>
      </c>
      <c r="L75" s="24">
        <f>IF(OR($A75="",$E75=""),"",IF($J75&lt;&gt;"","Manual",IF($S75="","-","Auto")))</f>
        <v/>
      </c>
      <c r="M75" s="22" t="n"/>
      <c r="N75" s="25">
        <f>IF($T75=0,"",IF($U75=1,IF($M75="","",$M75-$K75),IF($K75="","",TODAY()-$K75)))</f>
        <v/>
      </c>
      <c r="O75" s="24">
        <f>IF(OR($A75="",$E75=""),"",IF($V75=1,S_INACT,IF(ISNA(MATCH($A75,TYP_TYPE,0)),S_TYPEKO,IF($U75=1,S_DONE,IF(AND($K75="",$R75=""),S_NOSCOPE,IF($K75="",S_NOTARGET,IF($N75&gt;0,S_LATE,IF($I75&lt;&gt;"",S_WIP,IF(-$N75&lt;=FEN_DOC,S_RISK,IF(-$N75&lt;=HORIZON,S_COMING,S_NOTYET))))))))))</f>
        <v/>
      </c>
      <c r="P75" s="24">
        <f>IF(OR($A75="",$E75=""),"",IF($V75=1,"",IF(ISNA(MATCH($A75,TYP_TYPE,0)),"Type not in the library",IF($B75="","Scope not set",IF(AND($B75="System",$C75=""),"System not set",IF(AND($B75="Equipment",$D75=""),"Equipment not set",IF($F75="","Responsible not set",IF($K75="","No target date",IF(AND($B75="Equipment",$C75&lt;&gt;"",IFERROR(INDEX(EQP_SYS,MATCH($D75,EQP_NOM,0)),"")&lt;&gt;$C75),"Equipment not in that system",IF(AND($U75=1,$M75=""),"Approved with no approval date",""))))))))))</f>
        <v/>
      </c>
      <c r="Q75" s="21" t="n"/>
      <c r="R75" s="23">
        <f>IF(OR($A75="",$B75=""),"",IF($B75="Equipment",IFERROR(INDEX(EQP_START,MATCH($D75,EQP_NOM,0)),""),IF($B75="System",IFERROR(INDEX(SYS_EARLIEST,MATCH($C75,SYS_ID,0)),""),IF($B75="All",CTR_EARLIEST,""))))</f>
        <v/>
      </c>
      <c r="S75" s="23">
        <f>IF(OR($A75="",$E75=""),"",IFERROR(IF(INDEX(TYP_ANCHOR,MATCH($A75,TYP_TYPE,0))="Commissioning Start",IF($R75="","",$R75-INDEX(TYP_LEAD,MATCH($A75,TYP_TYPE,0))),IF(INDEX(MS_PLAN,MATCH(INDEX(TYP_ANCHOR,MATCH($A75,TYP_TYPE,0)),MS_NOM,0))="","",INDEX(MS_PLAN,MATCH(INDEX(TYP_ANCHOR,MATCH($A75,TYP_TYPE,0)),MS_NOM,0))-INDEX(TYP_LEAD,MATCH($A75,TYP_TYPE,0)))),""))</f>
        <v/>
      </c>
      <c r="T75" s="26">
        <f>IF(OR($A75="",$E75=""),0,IF($V75=1,0,1))</f>
        <v/>
      </c>
      <c r="U75" s="26">
        <f>IF($T75=0,0,IF($M75&lt;&gt;"",1,IF(IFERROR(INDEX(WF_CLASS,MATCH($H75,WF_CODE,0)),"")="Done",1,0)))</f>
        <v/>
      </c>
      <c r="V75" s="26">
        <f>IF(OR($A75="",$E75=""),0,IF(IFERROR(INDEX(WF_CLASS,MATCH($H75,WF_CODE,0)),"")="Inactive",1,0))</f>
        <v/>
      </c>
      <c r="W75" s="24">
        <f>IF($A75="","",IFERROR(INDEX(TYP_PHASE,MATCH($A75,TYP_TYPE,0)),"-"))</f>
        <v/>
      </c>
      <c r="X75" s="24">
        <f>IF(AND($T75=1,$U75=0,N($N75)&gt;0),$N75+ROW()/1000000,"")</f>
        <v/>
      </c>
      <c r="Y75" s="24">
        <f>IF(AND($T75=1,$U75=0,OR($I75&lt;&gt;"",N($N75)&gt;0)),N($N75)+ROW()/1000000,"")</f>
        <v/>
      </c>
      <c r="Z75" s="24">
        <f>IF(AND($T75=1,$U75=0,$I75="",N($N75)&lt;=0,-N($N75)&lt;=HORIZON),N($N75)+ROW()/1000000,"")</f>
        <v/>
      </c>
    </row>
    <row r="76">
      <c r="A76" s="21" t="inlineStr">
        <is>
          <t>Inspection and Test Plan</t>
        </is>
      </c>
      <c r="B76" s="21" t="inlineStr">
        <is>
          <t>Equipment</t>
        </is>
      </c>
      <c r="C76" s="21" t="inlineStr">
        <is>
          <t>SYS-LV</t>
        </is>
      </c>
      <c r="D76" s="21" t="inlineStr">
        <is>
          <t>LV-SWB-01 Main LV Switchboard</t>
        </is>
      </c>
      <c r="E76" s="21" t="inlineStr">
        <is>
          <t>DMIC-SYS-LV-ITP-073</t>
        </is>
      </c>
      <c r="F76" s="21" t="inlineStr">
        <is>
          <t>S. Okonkwo</t>
        </is>
      </c>
      <c r="G76" s="21" t="inlineStr">
        <is>
          <t>P. Nakamura</t>
        </is>
      </c>
      <c r="H76" s="21" t="inlineStr"/>
      <c r="I76" s="22" t="n"/>
      <c r="J76" s="22" t="n"/>
      <c r="K76" s="23">
        <f>IF($A76="","",IF($J76&lt;&gt;"",$J76,$S76))</f>
        <v/>
      </c>
      <c r="L76" s="24">
        <f>IF(OR($A76="",$E76=""),"",IF($J76&lt;&gt;"","Manual",IF($S76="","-","Auto")))</f>
        <v/>
      </c>
      <c r="M76" s="22" t="n"/>
      <c r="N76" s="25">
        <f>IF($T76=0,"",IF($U76=1,IF($M76="","",$M76-$K76),IF($K76="","",TODAY()-$K76)))</f>
        <v/>
      </c>
      <c r="O76" s="24">
        <f>IF(OR($A76="",$E76=""),"",IF($V76=1,S_INACT,IF(ISNA(MATCH($A76,TYP_TYPE,0)),S_TYPEKO,IF($U76=1,S_DONE,IF(AND($K76="",$R76=""),S_NOSCOPE,IF($K76="",S_NOTARGET,IF($N76&gt;0,S_LATE,IF($I76&lt;&gt;"",S_WIP,IF(-$N76&lt;=FEN_DOC,S_RISK,IF(-$N76&lt;=HORIZON,S_COMING,S_NOTYET))))))))))</f>
        <v/>
      </c>
      <c r="P76" s="24">
        <f>IF(OR($A76="",$E76=""),"",IF($V76=1,"",IF(ISNA(MATCH($A76,TYP_TYPE,0)),"Type not in the library",IF($B76="","Scope not set",IF(AND($B76="System",$C76=""),"System not set",IF(AND($B76="Equipment",$D76=""),"Equipment not set",IF($F76="","Responsible not set",IF($K76="","No target date",IF(AND($B76="Equipment",$C76&lt;&gt;"",IFERROR(INDEX(EQP_SYS,MATCH($D76,EQP_NOM,0)),"")&lt;&gt;$C76),"Equipment not in that system",IF(AND($U76=1,$M76=""),"Approved with no approval date",""))))))))))</f>
        <v/>
      </c>
      <c r="Q76" s="21" t="n"/>
      <c r="R76" s="23">
        <f>IF(OR($A76="",$B76=""),"",IF($B76="Equipment",IFERROR(INDEX(EQP_START,MATCH($D76,EQP_NOM,0)),""),IF($B76="System",IFERROR(INDEX(SYS_EARLIEST,MATCH($C76,SYS_ID,0)),""),IF($B76="All",CTR_EARLIEST,""))))</f>
        <v/>
      </c>
      <c r="S76" s="23">
        <f>IF(OR($A76="",$E76=""),"",IFERROR(IF(INDEX(TYP_ANCHOR,MATCH($A76,TYP_TYPE,0))="Commissioning Start",IF($R76="","",$R76-INDEX(TYP_LEAD,MATCH($A76,TYP_TYPE,0))),IF(INDEX(MS_PLAN,MATCH(INDEX(TYP_ANCHOR,MATCH($A76,TYP_TYPE,0)),MS_NOM,0))="","",INDEX(MS_PLAN,MATCH(INDEX(TYP_ANCHOR,MATCH($A76,TYP_TYPE,0)),MS_NOM,0))-INDEX(TYP_LEAD,MATCH($A76,TYP_TYPE,0)))),""))</f>
        <v/>
      </c>
      <c r="T76" s="26">
        <f>IF(OR($A76="",$E76=""),0,IF($V76=1,0,1))</f>
        <v/>
      </c>
      <c r="U76" s="26">
        <f>IF($T76=0,0,IF($M76&lt;&gt;"",1,IF(IFERROR(INDEX(WF_CLASS,MATCH($H76,WF_CODE,0)),"")="Done",1,0)))</f>
        <v/>
      </c>
      <c r="V76" s="26">
        <f>IF(OR($A76="",$E76=""),0,IF(IFERROR(INDEX(WF_CLASS,MATCH($H76,WF_CODE,0)),"")="Inactive",1,0))</f>
        <v/>
      </c>
      <c r="W76" s="24">
        <f>IF($A76="","",IFERROR(INDEX(TYP_PHASE,MATCH($A76,TYP_TYPE,0)),"-"))</f>
        <v/>
      </c>
      <c r="X76" s="24">
        <f>IF(AND($T76=1,$U76=0,N($N76)&gt;0),$N76+ROW()/1000000,"")</f>
        <v/>
      </c>
      <c r="Y76" s="24">
        <f>IF(AND($T76=1,$U76=0,OR($I76&lt;&gt;"",N($N76)&gt;0)),N($N76)+ROW()/1000000,"")</f>
        <v/>
      </c>
      <c r="Z76" s="24">
        <f>IF(AND($T76=1,$U76=0,$I76="",N($N76)&lt;=0,-N($N76)&lt;=HORIZON),N($N76)+ROW()/1000000,"")</f>
        <v/>
      </c>
    </row>
    <row r="77">
      <c r="A77" s="21" t="inlineStr">
        <is>
          <t>Planned End Of Erection Status Report</t>
        </is>
      </c>
      <c r="B77" s="21" t="inlineStr">
        <is>
          <t>Equipment</t>
        </is>
      </c>
      <c r="C77" s="21" t="inlineStr">
        <is>
          <t>SYS-LV</t>
        </is>
      </c>
      <c r="D77" s="21" t="inlineStr">
        <is>
          <t>LV-SWB-01 Main LV Switchboard</t>
        </is>
      </c>
      <c r="E77" s="21" t="inlineStr">
        <is>
          <t>DMIC-SYS-LV-PER-074</t>
        </is>
      </c>
      <c r="F77" s="21" t="inlineStr">
        <is>
          <t>L. Fontaine</t>
        </is>
      </c>
      <c r="G77" s="21" t="inlineStr">
        <is>
          <t>K. Rasmussen</t>
        </is>
      </c>
      <c r="H77" s="21" t="inlineStr">
        <is>
          <t>A2 - Superseded</t>
        </is>
      </c>
      <c r="I77" s="22" t="n"/>
      <c r="J77" s="22" t="n"/>
      <c r="K77" s="23">
        <f>IF($A77="","",IF($J77&lt;&gt;"",$J77,$S77))</f>
        <v/>
      </c>
      <c r="L77" s="24">
        <f>IF(OR($A77="",$E77=""),"",IF($J77&lt;&gt;"","Manual",IF($S77="","-","Auto")))</f>
        <v/>
      </c>
      <c r="M77" s="22" t="n"/>
      <c r="N77" s="25">
        <f>IF($T77=0,"",IF($U77=1,IF($M77="","",$M77-$K77),IF($K77="","",TODAY()-$K77)))</f>
        <v/>
      </c>
      <c r="O77" s="24">
        <f>IF(OR($A77="",$E77=""),"",IF($V77=1,S_INACT,IF(ISNA(MATCH($A77,TYP_TYPE,0)),S_TYPEKO,IF($U77=1,S_DONE,IF(AND($K77="",$R77=""),S_NOSCOPE,IF($K77="",S_NOTARGET,IF($N77&gt;0,S_LATE,IF($I77&lt;&gt;"",S_WIP,IF(-$N77&lt;=FEN_DOC,S_RISK,IF(-$N77&lt;=HORIZON,S_COMING,S_NOTYET))))))))))</f>
        <v/>
      </c>
      <c r="P77" s="24">
        <f>IF(OR($A77="",$E77=""),"",IF($V77=1,"",IF(ISNA(MATCH($A77,TYP_TYPE,0)),"Type not in the library",IF($B77="","Scope not set",IF(AND($B77="System",$C77=""),"System not set",IF(AND($B77="Equipment",$D77=""),"Equipment not set",IF($F77="","Responsible not set",IF($K77="","No target date",IF(AND($B77="Equipment",$C77&lt;&gt;"",IFERROR(INDEX(EQP_SYS,MATCH($D77,EQP_NOM,0)),"")&lt;&gt;$C77),"Equipment not in that system",IF(AND($U77=1,$M77=""),"Approved with no approval date",""))))))))))</f>
        <v/>
      </c>
      <c r="Q77" s="21" t="n"/>
      <c r="R77" s="23">
        <f>IF(OR($A77="",$B77=""),"",IF($B77="Equipment",IFERROR(INDEX(EQP_START,MATCH($D77,EQP_NOM,0)),""),IF($B77="System",IFERROR(INDEX(SYS_EARLIEST,MATCH($C77,SYS_ID,0)),""),IF($B77="All",CTR_EARLIEST,""))))</f>
        <v/>
      </c>
      <c r="S77" s="23">
        <f>IF(OR($A77="",$E77=""),"",IFERROR(IF(INDEX(TYP_ANCHOR,MATCH($A77,TYP_TYPE,0))="Commissioning Start",IF($R77="","",$R77-INDEX(TYP_LEAD,MATCH($A77,TYP_TYPE,0))),IF(INDEX(MS_PLAN,MATCH(INDEX(TYP_ANCHOR,MATCH($A77,TYP_TYPE,0)),MS_NOM,0))="","",INDEX(MS_PLAN,MATCH(INDEX(TYP_ANCHOR,MATCH($A77,TYP_TYPE,0)),MS_NOM,0))-INDEX(TYP_LEAD,MATCH($A77,TYP_TYPE,0)))),""))</f>
        <v/>
      </c>
      <c r="T77" s="26">
        <f>IF(OR($A77="",$E77=""),0,IF($V77=1,0,1))</f>
        <v/>
      </c>
      <c r="U77" s="26">
        <f>IF($T77=0,0,IF($M77&lt;&gt;"",1,IF(IFERROR(INDEX(WF_CLASS,MATCH($H77,WF_CODE,0)),"")="Done",1,0)))</f>
        <v/>
      </c>
      <c r="V77" s="26">
        <f>IF(OR($A77="",$E77=""),0,IF(IFERROR(INDEX(WF_CLASS,MATCH($H77,WF_CODE,0)),"")="Inactive",1,0))</f>
        <v/>
      </c>
      <c r="W77" s="24">
        <f>IF($A77="","",IFERROR(INDEX(TYP_PHASE,MATCH($A77,TYP_TYPE,0)),"-"))</f>
        <v/>
      </c>
      <c r="X77" s="24">
        <f>IF(AND($T77=1,$U77=0,N($N77)&gt;0),$N77+ROW()/1000000,"")</f>
        <v/>
      </c>
      <c r="Y77" s="24">
        <f>IF(AND($T77=1,$U77=0,OR($I77&lt;&gt;"",N($N77)&gt;0)),N($N77)+ROW()/1000000,"")</f>
        <v/>
      </c>
      <c r="Z77" s="24">
        <f>IF(AND($T77=1,$U77=0,$I77="",N($N77)&lt;=0,-N($N77)&lt;=HORIZON),N($N77)+ROW()/1000000,"")</f>
        <v/>
      </c>
    </row>
    <row r="78">
      <c r="A78" s="21" t="inlineStr">
        <is>
          <t>Commissioning Procedure</t>
        </is>
      </c>
      <c r="B78" s="21" t="inlineStr">
        <is>
          <t>Equipment</t>
        </is>
      </c>
      <c r="C78" s="21" t="inlineStr">
        <is>
          <t>SYS-LV</t>
        </is>
      </c>
      <c r="D78" s="21" t="inlineStr">
        <is>
          <t>LV-UPS-02 UPS Room A</t>
        </is>
      </c>
      <c r="E78" s="21" t="inlineStr">
        <is>
          <t>DMIC-SYS-LV-CPR-075</t>
        </is>
      </c>
      <c r="F78" s="21" t="inlineStr">
        <is>
          <t>D. Petrov</t>
        </is>
      </c>
      <c r="G78" s="21" t="inlineStr">
        <is>
          <t>R. Bellamy</t>
        </is>
      </c>
      <c r="H78" s="21" t="inlineStr">
        <is>
          <t>W0 - Work In Progress</t>
        </is>
      </c>
      <c r="I78" s="22" t="n"/>
      <c r="J78" s="22" t="n"/>
      <c r="K78" s="23">
        <f>IF($A78="","",IF($J78&lt;&gt;"",$J78,$S78))</f>
        <v/>
      </c>
      <c r="L78" s="24">
        <f>IF(OR($A78="",$E78=""),"",IF($J78&lt;&gt;"","Manual",IF($S78="","-","Auto")))</f>
        <v/>
      </c>
      <c r="M78" s="22" t="n"/>
      <c r="N78" s="25">
        <f>IF($T78=0,"",IF($U78=1,IF($M78="","",$M78-$K78),IF($K78="","",TODAY()-$K78)))</f>
        <v/>
      </c>
      <c r="O78" s="24">
        <f>IF(OR($A78="",$E78=""),"",IF($V78=1,S_INACT,IF(ISNA(MATCH($A78,TYP_TYPE,0)),S_TYPEKO,IF($U78=1,S_DONE,IF(AND($K78="",$R78=""),S_NOSCOPE,IF($K78="",S_NOTARGET,IF($N78&gt;0,S_LATE,IF($I78&lt;&gt;"",S_WIP,IF(-$N78&lt;=FEN_DOC,S_RISK,IF(-$N78&lt;=HORIZON,S_COMING,S_NOTYET))))))))))</f>
        <v/>
      </c>
      <c r="P78" s="24">
        <f>IF(OR($A78="",$E78=""),"",IF($V78=1,"",IF(ISNA(MATCH($A78,TYP_TYPE,0)),"Type not in the library",IF($B78="","Scope not set",IF(AND($B78="System",$C78=""),"System not set",IF(AND($B78="Equipment",$D78=""),"Equipment not set",IF($F78="","Responsible not set",IF($K78="","No target date",IF(AND($B78="Equipment",$C78&lt;&gt;"",IFERROR(INDEX(EQP_SYS,MATCH($D78,EQP_NOM,0)),"")&lt;&gt;$C78),"Equipment not in that system",IF(AND($U78=1,$M78=""),"Approved with no approval date",""))))))))))</f>
        <v/>
      </c>
      <c r="Q78" s="21" t="n"/>
      <c r="R78" s="23">
        <f>IF(OR($A78="",$B78=""),"",IF($B78="Equipment",IFERROR(INDEX(EQP_START,MATCH($D78,EQP_NOM,0)),""),IF($B78="System",IFERROR(INDEX(SYS_EARLIEST,MATCH($C78,SYS_ID,0)),""),IF($B78="All",CTR_EARLIEST,""))))</f>
        <v/>
      </c>
      <c r="S78" s="23">
        <f>IF(OR($A78="",$E78=""),"",IFERROR(IF(INDEX(TYP_ANCHOR,MATCH($A78,TYP_TYPE,0))="Commissioning Start",IF($R78="","",$R78-INDEX(TYP_LEAD,MATCH($A78,TYP_TYPE,0))),IF(INDEX(MS_PLAN,MATCH(INDEX(TYP_ANCHOR,MATCH($A78,TYP_TYPE,0)),MS_NOM,0))="","",INDEX(MS_PLAN,MATCH(INDEX(TYP_ANCHOR,MATCH($A78,TYP_TYPE,0)),MS_NOM,0))-INDEX(TYP_LEAD,MATCH($A78,TYP_TYPE,0)))),""))</f>
        <v/>
      </c>
      <c r="T78" s="26">
        <f>IF(OR($A78="",$E78=""),0,IF($V78=1,0,1))</f>
        <v/>
      </c>
      <c r="U78" s="26">
        <f>IF($T78=0,0,IF($M78&lt;&gt;"",1,IF(IFERROR(INDEX(WF_CLASS,MATCH($H78,WF_CODE,0)),"")="Done",1,0)))</f>
        <v/>
      </c>
      <c r="V78" s="26">
        <f>IF(OR($A78="",$E78=""),0,IF(IFERROR(INDEX(WF_CLASS,MATCH($H78,WF_CODE,0)),"")="Inactive",1,0))</f>
        <v/>
      </c>
      <c r="W78" s="24">
        <f>IF($A78="","",IFERROR(INDEX(TYP_PHASE,MATCH($A78,TYP_TYPE,0)),"-"))</f>
        <v/>
      </c>
      <c r="X78" s="24">
        <f>IF(AND($T78=1,$U78=0,N($N78)&gt;0),$N78+ROW()/1000000,"")</f>
        <v/>
      </c>
      <c r="Y78" s="24">
        <f>IF(AND($T78=1,$U78=0,OR($I78&lt;&gt;"",N($N78)&gt;0)),N($N78)+ROW()/1000000,"")</f>
        <v/>
      </c>
      <c r="Z78" s="24">
        <f>IF(AND($T78=1,$U78=0,$I78="",N($N78)&lt;=0,-N($N78)&lt;=HORIZON),N($N78)+ROW()/1000000,"")</f>
        <v/>
      </c>
    </row>
    <row r="79">
      <c r="A79" s="21" t="inlineStr">
        <is>
          <t>Inspection and Test Plan</t>
        </is>
      </c>
      <c r="B79" s="21" t="inlineStr">
        <is>
          <t>Equipment</t>
        </is>
      </c>
      <c r="C79" s="21" t="inlineStr">
        <is>
          <t>SYS-LV</t>
        </is>
      </c>
      <c r="D79" s="21" t="inlineStr">
        <is>
          <t>LV-UPS-02 UPS Room A</t>
        </is>
      </c>
      <c r="E79" s="21" t="inlineStr">
        <is>
          <t>DMIC-SYS-LV-ITP-076</t>
        </is>
      </c>
      <c r="F79" s="21" t="inlineStr">
        <is>
          <t>J. Whitfield</t>
        </is>
      </c>
      <c r="G79" s="21" t="inlineStr">
        <is>
          <t>N. Bergstrom</t>
        </is>
      </c>
      <c r="H79" s="21" t="inlineStr"/>
      <c r="I79" s="22" t="n"/>
      <c r="J79" s="22" t="n"/>
      <c r="K79" s="23">
        <f>IF($A79="","",IF($J79&lt;&gt;"",$J79,$S79))</f>
        <v/>
      </c>
      <c r="L79" s="24">
        <f>IF(OR($A79="",$E79=""),"",IF($J79&lt;&gt;"","Manual",IF($S79="","-","Auto")))</f>
        <v/>
      </c>
      <c r="M79" s="22" t="n"/>
      <c r="N79" s="25">
        <f>IF($T79=0,"",IF($U79=1,IF($M79="","",$M79-$K79),IF($K79="","",TODAY()-$K79)))</f>
        <v/>
      </c>
      <c r="O79" s="24">
        <f>IF(OR($A79="",$E79=""),"",IF($V79=1,S_INACT,IF(ISNA(MATCH($A79,TYP_TYPE,0)),S_TYPEKO,IF($U79=1,S_DONE,IF(AND($K79="",$R79=""),S_NOSCOPE,IF($K79="",S_NOTARGET,IF($N79&gt;0,S_LATE,IF($I79&lt;&gt;"",S_WIP,IF(-$N79&lt;=FEN_DOC,S_RISK,IF(-$N79&lt;=HORIZON,S_COMING,S_NOTYET))))))))))</f>
        <v/>
      </c>
      <c r="P79" s="24">
        <f>IF(OR($A79="",$E79=""),"",IF($V79=1,"",IF(ISNA(MATCH($A79,TYP_TYPE,0)),"Type not in the library",IF($B79="","Scope not set",IF(AND($B79="System",$C79=""),"System not set",IF(AND($B79="Equipment",$D79=""),"Equipment not set",IF($F79="","Responsible not set",IF($K79="","No target date",IF(AND($B79="Equipment",$C79&lt;&gt;"",IFERROR(INDEX(EQP_SYS,MATCH($D79,EQP_NOM,0)),"")&lt;&gt;$C79),"Equipment not in that system",IF(AND($U79=1,$M79=""),"Approved with no approval date",""))))))))))</f>
        <v/>
      </c>
      <c r="Q79" s="21" t="n"/>
      <c r="R79" s="23">
        <f>IF(OR($A79="",$B79=""),"",IF($B79="Equipment",IFERROR(INDEX(EQP_START,MATCH($D79,EQP_NOM,0)),""),IF($B79="System",IFERROR(INDEX(SYS_EARLIEST,MATCH($C79,SYS_ID,0)),""),IF($B79="All",CTR_EARLIEST,""))))</f>
        <v/>
      </c>
      <c r="S79" s="23">
        <f>IF(OR($A79="",$E79=""),"",IFERROR(IF(INDEX(TYP_ANCHOR,MATCH($A79,TYP_TYPE,0))="Commissioning Start",IF($R79="","",$R79-INDEX(TYP_LEAD,MATCH($A79,TYP_TYPE,0))),IF(INDEX(MS_PLAN,MATCH(INDEX(TYP_ANCHOR,MATCH($A79,TYP_TYPE,0)),MS_NOM,0))="","",INDEX(MS_PLAN,MATCH(INDEX(TYP_ANCHOR,MATCH($A79,TYP_TYPE,0)),MS_NOM,0))-INDEX(TYP_LEAD,MATCH($A79,TYP_TYPE,0)))),""))</f>
        <v/>
      </c>
      <c r="T79" s="26">
        <f>IF(OR($A79="",$E79=""),0,IF($V79=1,0,1))</f>
        <v/>
      </c>
      <c r="U79" s="26">
        <f>IF($T79=0,0,IF($M79&lt;&gt;"",1,IF(IFERROR(INDEX(WF_CLASS,MATCH($H79,WF_CODE,0)),"")="Done",1,0)))</f>
        <v/>
      </c>
      <c r="V79" s="26">
        <f>IF(OR($A79="",$E79=""),0,IF(IFERROR(INDEX(WF_CLASS,MATCH($H79,WF_CODE,0)),"")="Inactive",1,0))</f>
        <v/>
      </c>
      <c r="W79" s="24">
        <f>IF($A79="","",IFERROR(INDEX(TYP_PHASE,MATCH($A79,TYP_TYPE,0)),"-"))</f>
        <v/>
      </c>
      <c r="X79" s="24">
        <f>IF(AND($T79=1,$U79=0,N($N79)&gt;0),$N79+ROW()/1000000,"")</f>
        <v/>
      </c>
      <c r="Y79" s="24">
        <f>IF(AND($T79=1,$U79=0,OR($I79&lt;&gt;"",N($N79)&gt;0)),N($N79)+ROW()/1000000,"")</f>
        <v/>
      </c>
      <c r="Z79" s="24">
        <f>IF(AND($T79=1,$U79=0,$I79="",N($N79)&lt;=0,-N($N79)&lt;=HORIZON),N($N79)+ROW()/1000000,"")</f>
        <v/>
      </c>
    </row>
    <row r="80">
      <c r="A80" s="21" t="inlineStr">
        <is>
          <t>Planned End Of Erection Status Report</t>
        </is>
      </c>
      <c r="B80" s="21" t="inlineStr">
        <is>
          <t>Equipment</t>
        </is>
      </c>
      <c r="C80" s="21" t="inlineStr">
        <is>
          <t>SYS-LV</t>
        </is>
      </c>
      <c r="D80" s="21" t="inlineStr">
        <is>
          <t>LV-UPS-02 UPS Room A</t>
        </is>
      </c>
      <c r="E80" s="21" t="inlineStr">
        <is>
          <t>DMIC-SYS-LV-PER-077</t>
        </is>
      </c>
      <c r="F80" s="21" t="inlineStr">
        <is>
          <t>P. Nakamura</t>
        </is>
      </c>
      <c r="G80" s="21" t="inlineStr">
        <is>
          <t>M. Haddad</t>
        </is>
      </c>
      <c r="H80" s="21" t="inlineStr"/>
      <c r="I80" s="22" t="n"/>
      <c r="J80" s="22" t="n"/>
      <c r="K80" s="23">
        <f>IF($A80="","",IF($J80&lt;&gt;"",$J80,$S80))</f>
        <v/>
      </c>
      <c r="L80" s="24">
        <f>IF(OR($A80="",$E80=""),"",IF($J80&lt;&gt;"","Manual",IF($S80="","-","Auto")))</f>
        <v/>
      </c>
      <c r="M80" s="22" t="n"/>
      <c r="N80" s="25">
        <f>IF($T80=0,"",IF($U80=1,IF($M80="","",$M80-$K80),IF($K80="","",TODAY()-$K80)))</f>
        <v/>
      </c>
      <c r="O80" s="24">
        <f>IF(OR($A80="",$E80=""),"",IF($V80=1,S_INACT,IF(ISNA(MATCH($A80,TYP_TYPE,0)),S_TYPEKO,IF($U80=1,S_DONE,IF(AND($K80="",$R80=""),S_NOSCOPE,IF($K80="",S_NOTARGET,IF($N80&gt;0,S_LATE,IF($I80&lt;&gt;"",S_WIP,IF(-$N80&lt;=FEN_DOC,S_RISK,IF(-$N80&lt;=HORIZON,S_COMING,S_NOTYET))))))))))</f>
        <v/>
      </c>
      <c r="P80" s="24">
        <f>IF(OR($A80="",$E80=""),"",IF($V80=1,"",IF(ISNA(MATCH($A80,TYP_TYPE,0)),"Type not in the library",IF($B80="","Scope not set",IF(AND($B80="System",$C80=""),"System not set",IF(AND($B80="Equipment",$D80=""),"Equipment not set",IF($F80="","Responsible not set",IF($K80="","No target date",IF(AND($B80="Equipment",$C80&lt;&gt;"",IFERROR(INDEX(EQP_SYS,MATCH($D80,EQP_NOM,0)),"")&lt;&gt;$C80),"Equipment not in that system",IF(AND($U80=1,$M80=""),"Approved with no approval date",""))))))))))</f>
        <v/>
      </c>
      <c r="Q80" s="21" t="n"/>
      <c r="R80" s="23">
        <f>IF(OR($A80="",$B80=""),"",IF($B80="Equipment",IFERROR(INDEX(EQP_START,MATCH($D80,EQP_NOM,0)),""),IF($B80="System",IFERROR(INDEX(SYS_EARLIEST,MATCH($C80,SYS_ID,0)),""),IF($B80="All",CTR_EARLIEST,""))))</f>
        <v/>
      </c>
      <c r="S80" s="23">
        <f>IF(OR($A80="",$E80=""),"",IFERROR(IF(INDEX(TYP_ANCHOR,MATCH($A80,TYP_TYPE,0))="Commissioning Start",IF($R80="","",$R80-INDEX(TYP_LEAD,MATCH($A80,TYP_TYPE,0))),IF(INDEX(MS_PLAN,MATCH(INDEX(TYP_ANCHOR,MATCH($A80,TYP_TYPE,0)),MS_NOM,0))="","",INDEX(MS_PLAN,MATCH(INDEX(TYP_ANCHOR,MATCH($A80,TYP_TYPE,0)),MS_NOM,0))-INDEX(TYP_LEAD,MATCH($A80,TYP_TYPE,0)))),""))</f>
        <v/>
      </c>
      <c r="T80" s="26">
        <f>IF(OR($A80="",$E80=""),0,IF($V80=1,0,1))</f>
        <v/>
      </c>
      <c r="U80" s="26">
        <f>IF($T80=0,0,IF($M80&lt;&gt;"",1,IF(IFERROR(INDEX(WF_CLASS,MATCH($H80,WF_CODE,0)),"")="Done",1,0)))</f>
        <v/>
      </c>
      <c r="V80" s="26">
        <f>IF(OR($A80="",$E80=""),0,IF(IFERROR(INDEX(WF_CLASS,MATCH($H80,WF_CODE,0)),"")="Inactive",1,0))</f>
        <v/>
      </c>
      <c r="W80" s="24">
        <f>IF($A80="","",IFERROR(INDEX(TYP_PHASE,MATCH($A80,TYP_TYPE,0)),"-"))</f>
        <v/>
      </c>
      <c r="X80" s="24">
        <f>IF(AND($T80=1,$U80=0,N($N80)&gt;0),$N80+ROW()/1000000,"")</f>
        <v/>
      </c>
      <c r="Y80" s="24">
        <f>IF(AND($T80=1,$U80=0,OR($I80&lt;&gt;"",N($N80)&gt;0)),N($N80)+ROW()/1000000,"")</f>
        <v/>
      </c>
      <c r="Z80" s="24">
        <f>IF(AND($T80=1,$U80=0,$I80="",N($N80)&lt;=0,-N($N80)&lt;=HORIZON),N($N80)+ROW()/1000000,"")</f>
        <v/>
      </c>
    </row>
    <row r="81">
      <c r="A81" s="21" t="inlineStr">
        <is>
          <t>Commissioning Procedure</t>
        </is>
      </c>
      <c r="B81" s="21" t="inlineStr">
        <is>
          <t>Equipment</t>
        </is>
      </c>
      <c r="C81" s="21" t="inlineStr">
        <is>
          <t>SYS-LV</t>
        </is>
      </c>
      <c r="D81" s="21" t="inlineStr">
        <is>
          <t>LV-GEN-03 Standby Generator</t>
        </is>
      </c>
      <c r="E81" s="21" t="inlineStr">
        <is>
          <t>DMIC-SYS-LV-CPR-078</t>
        </is>
      </c>
      <c r="F81" s="21" t="inlineStr">
        <is>
          <t>K. Rasmussen</t>
        </is>
      </c>
      <c r="G81" s="21" t="inlineStr">
        <is>
          <t>C. Vasquez</t>
        </is>
      </c>
      <c r="H81" s="21" t="inlineStr"/>
      <c r="I81" s="22" t="n"/>
      <c r="J81" s="22" t="n"/>
      <c r="K81" s="23">
        <f>IF($A81="","",IF($J81&lt;&gt;"",$J81,$S81))</f>
        <v/>
      </c>
      <c r="L81" s="24">
        <f>IF(OR($A81="",$E81=""),"",IF($J81&lt;&gt;"","Manual",IF($S81="","-","Auto")))</f>
        <v/>
      </c>
      <c r="M81" s="22" t="n"/>
      <c r="N81" s="25">
        <f>IF($T81=0,"",IF($U81=1,IF($M81="","",$M81-$K81),IF($K81="","",TODAY()-$K81)))</f>
        <v/>
      </c>
      <c r="O81" s="24">
        <f>IF(OR($A81="",$E81=""),"",IF($V81=1,S_INACT,IF(ISNA(MATCH($A81,TYP_TYPE,0)),S_TYPEKO,IF($U81=1,S_DONE,IF(AND($K81="",$R81=""),S_NOSCOPE,IF($K81="",S_NOTARGET,IF($N81&gt;0,S_LATE,IF($I81&lt;&gt;"",S_WIP,IF(-$N81&lt;=FEN_DOC,S_RISK,IF(-$N81&lt;=HORIZON,S_COMING,S_NOTYET))))))))))</f>
        <v/>
      </c>
      <c r="P81" s="24">
        <f>IF(OR($A81="",$E81=""),"",IF($V81=1,"",IF(ISNA(MATCH($A81,TYP_TYPE,0)),"Type not in the library",IF($B81="","Scope not set",IF(AND($B81="System",$C81=""),"System not set",IF(AND($B81="Equipment",$D81=""),"Equipment not set",IF($F81="","Responsible not set",IF($K81="","No target date",IF(AND($B81="Equipment",$C81&lt;&gt;"",IFERROR(INDEX(EQP_SYS,MATCH($D81,EQP_NOM,0)),"")&lt;&gt;$C81),"Equipment not in that system",IF(AND($U81=1,$M81=""),"Approved with no approval date",""))))))))))</f>
        <v/>
      </c>
      <c r="Q81" s="21" t="n"/>
      <c r="R81" s="23">
        <f>IF(OR($A81="",$B81=""),"",IF($B81="Equipment",IFERROR(INDEX(EQP_START,MATCH($D81,EQP_NOM,0)),""),IF($B81="System",IFERROR(INDEX(SYS_EARLIEST,MATCH($C81,SYS_ID,0)),""),IF($B81="All",CTR_EARLIEST,""))))</f>
        <v/>
      </c>
      <c r="S81" s="23">
        <f>IF(OR($A81="",$E81=""),"",IFERROR(IF(INDEX(TYP_ANCHOR,MATCH($A81,TYP_TYPE,0))="Commissioning Start",IF($R81="","",$R81-INDEX(TYP_LEAD,MATCH($A81,TYP_TYPE,0))),IF(INDEX(MS_PLAN,MATCH(INDEX(TYP_ANCHOR,MATCH($A81,TYP_TYPE,0)),MS_NOM,0))="","",INDEX(MS_PLAN,MATCH(INDEX(TYP_ANCHOR,MATCH($A81,TYP_TYPE,0)),MS_NOM,0))-INDEX(TYP_LEAD,MATCH($A81,TYP_TYPE,0)))),""))</f>
        <v/>
      </c>
      <c r="T81" s="26">
        <f>IF(OR($A81="",$E81=""),0,IF($V81=1,0,1))</f>
        <v/>
      </c>
      <c r="U81" s="26">
        <f>IF($T81=0,0,IF($M81&lt;&gt;"",1,IF(IFERROR(INDEX(WF_CLASS,MATCH($H81,WF_CODE,0)),"")="Done",1,0)))</f>
        <v/>
      </c>
      <c r="V81" s="26">
        <f>IF(OR($A81="",$E81=""),0,IF(IFERROR(INDEX(WF_CLASS,MATCH($H81,WF_CODE,0)),"")="Inactive",1,0))</f>
        <v/>
      </c>
      <c r="W81" s="24">
        <f>IF($A81="","",IFERROR(INDEX(TYP_PHASE,MATCH($A81,TYP_TYPE,0)),"-"))</f>
        <v/>
      </c>
      <c r="X81" s="24">
        <f>IF(AND($T81=1,$U81=0,N($N81)&gt;0),$N81+ROW()/1000000,"")</f>
        <v/>
      </c>
      <c r="Y81" s="24">
        <f>IF(AND($T81=1,$U81=0,OR($I81&lt;&gt;"",N($N81)&gt;0)),N($N81)+ROW()/1000000,"")</f>
        <v/>
      </c>
      <c r="Z81" s="24">
        <f>IF(AND($T81=1,$U81=0,$I81="",N($N81)&lt;=0,-N($N81)&lt;=HORIZON),N($N81)+ROW()/1000000,"")</f>
        <v/>
      </c>
    </row>
    <row r="82">
      <c r="A82" s="21" t="inlineStr">
        <is>
          <t>Planned End Of Erection Status Report</t>
        </is>
      </c>
      <c r="B82" s="21" t="inlineStr">
        <is>
          <t>Equipment</t>
        </is>
      </c>
      <c r="C82" s="21" t="inlineStr">
        <is>
          <t>SYS-LV</t>
        </is>
      </c>
      <c r="D82" s="21" t="inlineStr">
        <is>
          <t>LV-GEN-03 Standby Generator</t>
        </is>
      </c>
      <c r="E82" s="21" t="inlineStr">
        <is>
          <t>DMIC-SYS-LV-PER-079</t>
        </is>
      </c>
      <c r="F82" s="21" t="inlineStr">
        <is>
          <t>R. Bellamy</t>
        </is>
      </c>
      <c r="G82" s="21" t="inlineStr">
        <is>
          <t>H. Lindqvist</t>
        </is>
      </c>
      <c r="H82" s="21" t="inlineStr"/>
      <c r="I82" s="22" t="n"/>
      <c r="J82" s="22" t="n"/>
      <c r="K82" s="23">
        <f>IF($A82="","",IF($J82&lt;&gt;"",$J82,$S82))</f>
        <v/>
      </c>
      <c r="L82" s="24">
        <f>IF(OR($A82="",$E82=""),"",IF($J82&lt;&gt;"","Manual",IF($S82="","-","Auto")))</f>
        <v/>
      </c>
      <c r="M82" s="22" t="n"/>
      <c r="N82" s="25">
        <f>IF($T82=0,"",IF($U82=1,IF($M82="","",$M82-$K82),IF($K82="","",TODAY()-$K82)))</f>
        <v/>
      </c>
      <c r="O82" s="24">
        <f>IF(OR($A82="",$E82=""),"",IF($V82=1,S_INACT,IF(ISNA(MATCH($A82,TYP_TYPE,0)),S_TYPEKO,IF($U82=1,S_DONE,IF(AND($K82="",$R82=""),S_NOSCOPE,IF($K82="",S_NOTARGET,IF($N82&gt;0,S_LATE,IF($I82&lt;&gt;"",S_WIP,IF(-$N82&lt;=FEN_DOC,S_RISK,IF(-$N82&lt;=HORIZON,S_COMING,S_NOTYET))))))))))</f>
        <v/>
      </c>
      <c r="P82" s="24">
        <f>IF(OR($A82="",$E82=""),"",IF($V82=1,"",IF(ISNA(MATCH($A82,TYP_TYPE,0)),"Type not in the library",IF($B82="","Scope not set",IF(AND($B82="System",$C82=""),"System not set",IF(AND($B82="Equipment",$D82=""),"Equipment not set",IF($F82="","Responsible not set",IF($K82="","No target date",IF(AND($B82="Equipment",$C82&lt;&gt;"",IFERROR(INDEX(EQP_SYS,MATCH($D82,EQP_NOM,0)),"")&lt;&gt;$C82),"Equipment not in that system",IF(AND($U82=1,$M82=""),"Approved with no approval date",""))))))))))</f>
        <v/>
      </c>
      <c r="Q82" s="21" t="n"/>
      <c r="R82" s="23">
        <f>IF(OR($A82="",$B82=""),"",IF($B82="Equipment",IFERROR(INDEX(EQP_START,MATCH($D82,EQP_NOM,0)),""),IF($B82="System",IFERROR(INDEX(SYS_EARLIEST,MATCH($C82,SYS_ID,0)),""),IF($B82="All",CTR_EARLIEST,""))))</f>
        <v/>
      </c>
      <c r="S82" s="23">
        <f>IF(OR($A82="",$E82=""),"",IFERROR(IF(INDEX(TYP_ANCHOR,MATCH($A82,TYP_TYPE,0))="Commissioning Start",IF($R82="","",$R82-INDEX(TYP_LEAD,MATCH($A82,TYP_TYPE,0))),IF(INDEX(MS_PLAN,MATCH(INDEX(TYP_ANCHOR,MATCH($A82,TYP_TYPE,0)),MS_NOM,0))="","",INDEX(MS_PLAN,MATCH(INDEX(TYP_ANCHOR,MATCH($A82,TYP_TYPE,0)),MS_NOM,0))-INDEX(TYP_LEAD,MATCH($A82,TYP_TYPE,0)))),""))</f>
        <v/>
      </c>
      <c r="T82" s="26">
        <f>IF(OR($A82="",$E82=""),0,IF($V82=1,0,1))</f>
        <v/>
      </c>
      <c r="U82" s="26">
        <f>IF($T82=0,0,IF($M82&lt;&gt;"",1,IF(IFERROR(INDEX(WF_CLASS,MATCH($H82,WF_CODE,0)),"")="Done",1,0)))</f>
        <v/>
      </c>
      <c r="V82" s="26">
        <f>IF(OR($A82="",$E82=""),0,IF(IFERROR(INDEX(WF_CLASS,MATCH($H82,WF_CODE,0)),"")="Inactive",1,0))</f>
        <v/>
      </c>
      <c r="W82" s="24">
        <f>IF($A82="","",IFERROR(INDEX(TYP_PHASE,MATCH($A82,TYP_TYPE,0)),"-"))</f>
        <v/>
      </c>
      <c r="X82" s="24">
        <f>IF(AND($T82=1,$U82=0,N($N82)&gt;0),$N82+ROW()/1000000,"")</f>
        <v/>
      </c>
      <c r="Y82" s="24">
        <f>IF(AND($T82=1,$U82=0,OR($I82&lt;&gt;"",N($N82)&gt;0)),N($N82)+ROW()/1000000,"")</f>
        <v/>
      </c>
      <c r="Z82" s="24">
        <f>IF(AND($T82=1,$U82=0,$I82="",N($N82)&lt;=0,-N($N82)&lt;=HORIZON),N($N82)+ROW()/1000000,"")</f>
        <v/>
      </c>
    </row>
    <row r="83">
      <c r="A83" s="21" t="inlineStr">
        <is>
          <t>Commissioning Procedure</t>
        </is>
      </c>
      <c r="B83" s="21" t="inlineStr">
        <is>
          <t>Equipment</t>
        </is>
      </c>
      <c r="C83" s="21" t="inlineStr">
        <is>
          <t>SYS-CC</t>
        </is>
      </c>
      <c r="D83" s="21" t="inlineStr">
        <is>
          <t>CC-SRV-01 SCADA Server Cluster</t>
        </is>
      </c>
      <c r="E83" s="21" t="inlineStr">
        <is>
          <t>DMIC-SYS-CC-CPR-080</t>
        </is>
      </c>
      <c r="F83" s="21" t="inlineStr">
        <is>
          <t>N. Bergstrom</t>
        </is>
      </c>
      <c r="G83" s="21" t="inlineStr">
        <is>
          <t>A. Mercer</t>
        </is>
      </c>
      <c r="H83" s="21" t="inlineStr">
        <is>
          <t>W0 - Work In Progress</t>
        </is>
      </c>
      <c r="I83" s="22" t="n"/>
      <c r="J83" s="22" t="n"/>
      <c r="K83" s="23">
        <f>IF($A83="","",IF($J83&lt;&gt;"",$J83,$S83))</f>
        <v/>
      </c>
      <c r="L83" s="24">
        <f>IF(OR($A83="",$E83=""),"",IF($J83&lt;&gt;"","Manual",IF($S83="","-","Auto")))</f>
        <v/>
      </c>
      <c r="M83" s="22" t="n"/>
      <c r="N83" s="25">
        <f>IF($T83=0,"",IF($U83=1,IF($M83="","",$M83-$K83),IF($K83="","",TODAY()-$K83)))</f>
        <v/>
      </c>
      <c r="O83" s="24">
        <f>IF(OR($A83="",$E83=""),"",IF($V83=1,S_INACT,IF(ISNA(MATCH($A83,TYP_TYPE,0)),S_TYPEKO,IF($U83=1,S_DONE,IF(AND($K83="",$R83=""),S_NOSCOPE,IF($K83="",S_NOTARGET,IF($N83&gt;0,S_LATE,IF($I83&lt;&gt;"",S_WIP,IF(-$N83&lt;=FEN_DOC,S_RISK,IF(-$N83&lt;=HORIZON,S_COMING,S_NOTYET))))))))))</f>
        <v/>
      </c>
      <c r="P83" s="24">
        <f>IF(OR($A83="",$E83=""),"",IF($V83=1,"",IF(ISNA(MATCH($A83,TYP_TYPE,0)),"Type not in the library",IF($B83="","Scope not set",IF(AND($B83="System",$C83=""),"System not set",IF(AND($B83="Equipment",$D83=""),"Equipment not set",IF($F83="","Responsible not set",IF($K83="","No target date",IF(AND($B83="Equipment",$C83&lt;&gt;"",IFERROR(INDEX(EQP_SYS,MATCH($D83,EQP_NOM,0)),"")&lt;&gt;$C83),"Equipment not in that system",IF(AND($U83=1,$M83=""),"Approved with no approval date",""))))))))))</f>
        <v/>
      </c>
      <c r="Q83" s="21" t="n"/>
      <c r="R83" s="23">
        <f>IF(OR($A83="",$B83=""),"",IF($B83="Equipment",IFERROR(INDEX(EQP_START,MATCH($D83,EQP_NOM,0)),""),IF($B83="System",IFERROR(INDEX(SYS_EARLIEST,MATCH($C83,SYS_ID,0)),""),IF($B83="All",CTR_EARLIEST,""))))</f>
        <v/>
      </c>
      <c r="S83" s="23">
        <f>IF(OR($A83="",$E83=""),"",IFERROR(IF(INDEX(TYP_ANCHOR,MATCH($A83,TYP_TYPE,0))="Commissioning Start",IF($R83="","",$R83-INDEX(TYP_LEAD,MATCH($A83,TYP_TYPE,0))),IF(INDEX(MS_PLAN,MATCH(INDEX(TYP_ANCHOR,MATCH($A83,TYP_TYPE,0)),MS_NOM,0))="","",INDEX(MS_PLAN,MATCH(INDEX(TYP_ANCHOR,MATCH($A83,TYP_TYPE,0)),MS_NOM,0))-INDEX(TYP_LEAD,MATCH($A83,TYP_TYPE,0)))),""))</f>
        <v/>
      </c>
      <c r="T83" s="26">
        <f>IF(OR($A83="",$E83=""),0,IF($V83=1,0,1))</f>
        <v/>
      </c>
      <c r="U83" s="26">
        <f>IF($T83=0,0,IF($M83&lt;&gt;"",1,IF(IFERROR(INDEX(WF_CLASS,MATCH($H83,WF_CODE,0)),"")="Done",1,0)))</f>
        <v/>
      </c>
      <c r="V83" s="26">
        <f>IF(OR($A83="",$E83=""),0,IF(IFERROR(INDEX(WF_CLASS,MATCH($H83,WF_CODE,0)),"")="Inactive",1,0))</f>
        <v/>
      </c>
      <c r="W83" s="24">
        <f>IF($A83="","",IFERROR(INDEX(TYP_PHASE,MATCH($A83,TYP_TYPE,0)),"-"))</f>
        <v/>
      </c>
      <c r="X83" s="24">
        <f>IF(AND($T83=1,$U83=0,N($N83)&gt;0),$N83+ROW()/1000000,"")</f>
        <v/>
      </c>
      <c r="Y83" s="24">
        <f>IF(AND($T83=1,$U83=0,OR($I83&lt;&gt;"",N($N83)&gt;0)),N($N83)+ROW()/1000000,"")</f>
        <v/>
      </c>
      <c r="Z83" s="24">
        <f>IF(AND($T83=1,$U83=0,$I83="",N($N83)&lt;=0,-N($N83)&lt;=HORIZON),N($N83)+ROW()/1000000,"")</f>
        <v/>
      </c>
    </row>
    <row r="84">
      <c r="A84" s="21" t="inlineStr">
        <is>
          <t>Inspection and Test Plan</t>
        </is>
      </c>
      <c r="B84" s="21" t="inlineStr">
        <is>
          <t>Equipment</t>
        </is>
      </c>
      <c r="C84" s="21" t="inlineStr">
        <is>
          <t>SYS-CC</t>
        </is>
      </c>
      <c r="D84" s="21" t="inlineStr">
        <is>
          <t>CC-SRV-01 SCADA Server Cluster</t>
        </is>
      </c>
      <c r="E84" s="21" t="inlineStr">
        <is>
          <t>DMIC-SYS-CC-ITP-081</t>
        </is>
      </c>
      <c r="F84" s="21" t="inlineStr">
        <is>
          <t>M. Haddad</t>
        </is>
      </c>
      <c r="G84" s="21" t="inlineStr">
        <is>
          <t>S. Okonkwo</t>
        </is>
      </c>
      <c r="H84" s="21" t="inlineStr"/>
      <c r="I84" s="22" t="n"/>
      <c r="J84" s="22" t="n"/>
      <c r="K84" s="23">
        <f>IF($A84="","",IF($J84&lt;&gt;"",$J84,$S84))</f>
        <v/>
      </c>
      <c r="L84" s="24">
        <f>IF(OR($A84="",$E84=""),"",IF($J84&lt;&gt;"","Manual",IF($S84="","-","Auto")))</f>
        <v/>
      </c>
      <c r="M84" s="22" t="n"/>
      <c r="N84" s="25">
        <f>IF($T84=0,"",IF($U84=1,IF($M84="","",$M84-$K84),IF($K84="","",TODAY()-$K84)))</f>
        <v/>
      </c>
      <c r="O84" s="24">
        <f>IF(OR($A84="",$E84=""),"",IF($V84=1,S_INACT,IF(ISNA(MATCH($A84,TYP_TYPE,0)),S_TYPEKO,IF($U84=1,S_DONE,IF(AND($K84="",$R84=""),S_NOSCOPE,IF($K84="",S_NOTARGET,IF($N84&gt;0,S_LATE,IF($I84&lt;&gt;"",S_WIP,IF(-$N84&lt;=FEN_DOC,S_RISK,IF(-$N84&lt;=HORIZON,S_COMING,S_NOTYET))))))))))</f>
        <v/>
      </c>
      <c r="P84" s="24">
        <f>IF(OR($A84="",$E84=""),"",IF($V84=1,"",IF(ISNA(MATCH($A84,TYP_TYPE,0)),"Type not in the library",IF($B84="","Scope not set",IF(AND($B84="System",$C84=""),"System not set",IF(AND($B84="Equipment",$D84=""),"Equipment not set",IF($F84="","Responsible not set",IF($K84="","No target date",IF(AND($B84="Equipment",$C84&lt;&gt;"",IFERROR(INDEX(EQP_SYS,MATCH($D84,EQP_NOM,0)),"")&lt;&gt;$C84),"Equipment not in that system",IF(AND($U84=1,$M84=""),"Approved with no approval date",""))))))))))</f>
        <v/>
      </c>
      <c r="Q84" s="21" t="n"/>
      <c r="R84" s="23">
        <f>IF(OR($A84="",$B84=""),"",IF($B84="Equipment",IFERROR(INDEX(EQP_START,MATCH($D84,EQP_NOM,0)),""),IF($B84="System",IFERROR(INDEX(SYS_EARLIEST,MATCH($C84,SYS_ID,0)),""),IF($B84="All",CTR_EARLIEST,""))))</f>
        <v/>
      </c>
      <c r="S84" s="23">
        <f>IF(OR($A84="",$E84=""),"",IFERROR(IF(INDEX(TYP_ANCHOR,MATCH($A84,TYP_TYPE,0))="Commissioning Start",IF($R84="","",$R84-INDEX(TYP_LEAD,MATCH($A84,TYP_TYPE,0))),IF(INDEX(MS_PLAN,MATCH(INDEX(TYP_ANCHOR,MATCH($A84,TYP_TYPE,0)),MS_NOM,0))="","",INDEX(MS_PLAN,MATCH(INDEX(TYP_ANCHOR,MATCH($A84,TYP_TYPE,0)),MS_NOM,0))-INDEX(TYP_LEAD,MATCH($A84,TYP_TYPE,0)))),""))</f>
        <v/>
      </c>
      <c r="T84" s="26">
        <f>IF(OR($A84="",$E84=""),0,IF($V84=1,0,1))</f>
        <v/>
      </c>
      <c r="U84" s="26">
        <f>IF($T84=0,0,IF($M84&lt;&gt;"",1,IF(IFERROR(INDEX(WF_CLASS,MATCH($H84,WF_CODE,0)),"")="Done",1,0)))</f>
        <v/>
      </c>
      <c r="V84" s="26">
        <f>IF(OR($A84="",$E84=""),0,IF(IFERROR(INDEX(WF_CLASS,MATCH($H84,WF_CODE,0)),"")="Inactive",1,0))</f>
        <v/>
      </c>
      <c r="W84" s="24">
        <f>IF($A84="","",IFERROR(INDEX(TYP_PHASE,MATCH($A84,TYP_TYPE,0)),"-"))</f>
        <v/>
      </c>
      <c r="X84" s="24">
        <f>IF(AND($T84=1,$U84=0,N($N84)&gt;0),$N84+ROW()/1000000,"")</f>
        <v/>
      </c>
      <c r="Y84" s="24">
        <f>IF(AND($T84=1,$U84=0,OR($I84&lt;&gt;"",N($N84)&gt;0)),N($N84)+ROW()/1000000,"")</f>
        <v/>
      </c>
      <c r="Z84" s="24">
        <f>IF(AND($T84=1,$U84=0,$I84="",N($N84)&lt;=0,-N($N84)&lt;=HORIZON),N($N84)+ROW()/1000000,"")</f>
        <v/>
      </c>
    </row>
    <row r="85">
      <c r="A85" s="21" t="inlineStr">
        <is>
          <t>Planned End Of Erection Status Report</t>
        </is>
      </c>
      <c r="B85" s="21" t="inlineStr">
        <is>
          <t>Equipment</t>
        </is>
      </c>
      <c r="C85" s="21" t="inlineStr">
        <is>
          <t>SYS-CC</t>
        </is>
      </c>
      <c r="D85" s="21" t="inlineStr">
        <is>
          <t>CC-SRV-01 SCADA Server Cluster</t>
        </is>
      </c>
      <c r="E85" s="21" t="inlineStr">
        <is>
          <t>DMIC-SYS-CC-PER-082</t>
        </is>
      </c>
      <c r="F85" s="21" t="inlineStr">
        <is>
          <t>C. Vasquez</t>
        </is>
      </c>
      <c r="G85" s="21" t="inlineStr">
        <is>
          <t>L. Fontaine</t>
        </is>
      </c>
      <c r="H85" s="21" t="inlineStr"/>
      <c r="I85" s="22" t="n"/>
      <c r="J85" s="22" t="n"/>
      <c r="K85" s="23">
        <f>IF($A85="","",IF($J85&lt;&gt;"",$J85,$S85))</f>
        <v/>
      </c>
      <c r="L85" s="24">
        <f>IF(OR($A85="",$E85=""),"",IF($J85&lt;&gt;"","Manual",IF($S85="","-","Auto")))</f>
        <v/>
      </c>
      <c r="M85" s="22" t="n"/>
      <c r="N85" s="25">
        <f>IF($T85=0,"",IF($U85=1,IF($M85="","",$M85-$K85),IF($K85="","",TODAY()-$K85)))</f>
        <v/>
      </c>
      <c r="O85" s="24">
        <f>IF(OR($A85="",$E85=""),"",IF($V85=1,S_INACT,IF(ISNA(MATCH($A85,TYP_TYPE,0)),S_TYPEKO,IF($U85=1,S_DONE,IF(AND($K85="",$R85=""),S_NOSCOPE,IF($K85="",S_NOTARGET,IF($N85&gt;0,S_LATE,IF($I85&lt;&gt;"",S_WIP,IF(-$N85&lt;=FEN_DOC,S_RISK,IF(-$N85&lt;=HORIZON,S_COMING,S_NOTYET))))))))))</f>
        <v/>
      </c>
      <c r="P85" s="24">
        <f>IF(OR($A85="",$E85=""),"",IF($V85=1,"",IF(ISNA(MATCH($A85,TYP_TYPE,0)),"Type not in the library",IF($B85="","Scope not set",IF(AND($B85="System",$C85=""),"System not set",IF(AND($B85="Equipment",$D85=""),"Equipment not set",IF($F85="","Responsible not set",IF($K85="","No target date",IF(AND($B85="Equipment",$C85&lt;&gt;"",IFERROR(INDEX(EQP_SYS,MATCH($D85,EQP_NOM,0)),"")&lt;&gt;$C85),"Equipment not in that system",IF(AND($U85=1,$M85=""),"Approved with no approval date",""))))))))))</f>
        <v/>
      </c>
      <c r="Q85" s="21" t="n"/>
      <c r="R85" s="23">
        <f>IF(OR($A85="",$B85=""),"",IF($B85="Equipment",IFERROR(INDEX(EQP_START,MATCH($D85,EQP_NOM,0)),""),IF($B85="System",IFERROR(INDEX(SYS_EARLIEST,MATCH($C85,SYS_ID,0)),""),IF($B85="All",CTR_EARLIEST,""))))</f>
        <v/>
      </c>
      <c r="S85" s="23">
        <f>IF(OR($A85="",$E85=""),"",IFERROR(IF(INDEX(TYP_ANCHOR,MATCH($A85,TYP_TYPE,0))="Commissioning Start",IF($R85="","",$R85-INDEX(TYP_LEAD,MATCH($A85,TYP_TYPE,0))),IF(INDEX(MS_PLAN,MATCH(INDEX(TYP_ANCHOR,MATCH($A85,TYP_TYPE,0)),MS_NOM,0))="","",INDEX(MS_PLAN,MATCH(INDEX(TYP_ANCHOR,MATCH($A85,TYP_TYPE,0)),MS_NOM,0))-INDEX(TYP_LEAD,MATCH($A85,TYP_TYPE,0)))),""))</f>
        <v/>
      </c>
      <c r="T85" s="26">
        <f>IF(OR($A85="",$E85=""),0,IF($V85=1,0,1))</f>
        <v/>
      </c>
      <c r="U85" s="26">
        <f>IF($T85=0,0,IF($M85&lt;&gt;"",1,IF(IFERROR(INDEX(WF_CLASS,MATCH($H85,WF_CODE,0)),"")="Done",1,0)))</f>
        <v/>
      </c>
      <c r="V85" s="26">
        <f>IF(OR($A85="",$E85=""),0,IF(IFERROR(INDEX(WF_CLASS,MATCH($H85,WF_CODE,0)),"")="Inactive",1,0))</f>
        <v/>
      </c>
      <c r="W85" s="24">
        <f>IF($A85="","",IFERROR(INDEX(TYP_PHASE,MATCH($A85,TYP_TYPE,0)),"-"))</f>
        <v/>
      </c>
      <c r="X85" s="24">
        <f>IF(AND($T85=1,$U85=0,N($N85)&gt;0),$N85+ROW()/1000000,"")</f>
        <v/>
      </c>
      <c r="Y85" s="24">
        <f>IF(AND($T85=1,$U85=0,OR($I85&lt;&gt;"",N($N85)&gt;0)),N($N85)+ROW()/1000000,"")</f>
        <v/>
      </c>
      <c r="Z85" s="24">
        <f>IF(AND($T85=1,$U85=0,$I85="",N($N85)&lt;=0,-N($N85)&lt;=HORIZON),N($N85)+ROW()/1000000,"")</f>
        <v/>
      </c>
    </row>
    <row r="86">
      <c r="A86" s="21" t="inlineStr">
        <is>
          <t>Inspection and Test Plan</t>
        </is>
      </c>
      <c r="B86" s="21" t="inlineStr">
        <is>
          <t>Equipment</t>
        </is>
      </c>
      <c r="C86" s="21" t="inlineStr">
        <is>
          <t>SYS-CC</t>
        </is>
      </c>
      <c r="D86" s="21" t="inlineStr">
        <is>
          <t>CC-HMI-02 Operator Workstations</t>
        </is>
      </c>
      <c r="E86" s="21" t="inlineStr">
        <is>
          <t>DMIC-SYS-CC-ITP-083</t>
        </is>
      </c>
      <c r="F86" s="21" t="inlineStr">
        <is>
          <t>H. Lindqvist</t>
        </is>
      </c>
      <c r="G86" s="21" t="inlineStr">
        <is>
          <t>D. Petrov</t>
        </is>
      </c>
      <c r="H86" s="21" t="inlineStr"/>
      <c r="I86" s="22" t="n"/>
      <c r="J86" s="22" t="n"/>
      <c r="K86" s="23">
        <f>IF($A86="","",IF($J86&lt;&gt;"",$J86,$S86))</f>
        <v/>
      </c>
      <c r="L86" s="24">
        <f>IF(OR($A86="",$E86=""),"",IF($J86&lt;&gt;"","Manual",IF($S86="","-","Auto")))</f>
        <v/>
      </c>
      <c r="M86" s="22" t="n"/>
      <c r="N86" s="25">
        <f>IF($T86=0,"",IF($U86=1,IF($M86="","",$M86-$K86),IF($K86="","",TODAY()-$K86)))</f>
        <v/>
      </c>
      <c r="O86" s="24">
        <f>IF(OR($A86="",$E86=""),"",IF($V86=1,S_INACT,IF(ISNA(MATCH($A86,TYP_TYPE,0)),S_TYPEKO,IF($U86=1,S_DONE,IF(AND($K86="",$R86=""),S_NOSCOPE,IF($K86="",S_NOTARGET,IF($N86&gt;0,S_LATE,IF($I86&lt;&gt;"",S_WIP,IF(-$N86&lt;=FEN_DOC,S_RISK,IF(-$N86&lt;=HORIZON,S_COMING,S_NOTYET))))))))))</f>
        <v/>
      </c>
      <c r="P86" s="24">
        <f>IF(OR($A86="",$E86=""),"",IF($V86=1,"",IF(ISNA(MATCH($A86,TYP_TYPE,0)),"Type not in the library",IF($B86="","Scope not set",IF(AND($B86="System",$C86=""),"System not set",IF(AND($B86="Equipment",$D86=""),"Equipment not set",IF($F86="","Responsible not set",IF($K86="","No target date",IF(AND($B86="Equipment",$C86&lt;&gt;"",IFERROR(INDEX(EQP_SYS,MATCH($D86,EQP_NOM,0)),"")&lt;&gt;$C86),"Equipment not in that system",IF(AND($U86=1,$M86=""),"Approved with no approval date",""))))))))))</f>
        <v/>
      </c>
      <c r="Q86" s="21" t="n"/>
      <c r="R86" s="23">
        <f>IF(OR($A86="",$B86=""),"",IF($B86="Equipment",IFERROR(INDEX(EQP_START,MATCH($D86,EQP_NOM,0)),""),IF($B86="System",IFERROR(INDEX(SYS_EARLIEST,MATCH($C86,SYS_ID,0)),""),IF($B86="All",CTR_EARLIEST,""))))</f>
        <v/>
      </c>
      <c r="S86" s="23">
        <f>IF(OR($A86="",$E86=""),"",IFERROR(IF(INDEX(TYP_ANCHOR,MATCH($A86,TYP_TYPE,0))="Commissioning Start",IF($R86="","",$R86-INDEX(TYP_LEAD,MATCH($A86,TYP_TYPE,0))),IF(INDEX(MS_PLAN,MATCH(INDEX(TYP_ANCHOR,MATCH($A86,TYP_TYPE,0)),MS_NOM,0))="","",INDEX(MS_PLAN,MATCH(INDEX(TYP_ANCHOR,MATCH($A86,TYP_TYPE,0)),MS_NOM,0))-INDEX(TYP_LEAD,MATCH($A86,TYP_TYPE,0)))),""))</f>
        <v/>
      </c>
      <c r="T86" s="26">
        <f>IF(OR($A86="",$E86=""),0,IF($V86=1,0,1))</f>
        <v/>
      </c>
      <c r="U86" s="26">
        <f>IF($T86=0,0,IF($M86&lt;&gt;"",1,IF(IFERROR(INDEX(WF_CLASS,MATCH($H86,WF_CODE,0)),"")="Done",1,0)))</f>
        <v/>
      </c>
      <c r="V86" s="26">
        <f>IF(OR($A86="",$E86=""),0,IF(IFERROR(INDEX(WF_CLASS,MATCH($H86,WF_CODE,0)),"")="Inactive",1,0))</f>
        <v/>
      </c>
      <c r="W86" s="24">
        <f>IF($A86="","",IFERROR(INDEX(TYP_PHASE,MATCH($A86,TYP_TYPE,0)),"-"))</f>
        <v/>
      </c>
      <c r="X86" s="24">
        <f>IF(AND($T86=1,$U86=0,N($N86)&gt;0),$N86+ROW()/1000000,"")</f>
        <v/>
      </c>
      <c r="Y86" s="24">
        <f>IF(AND($T86=1,$U86=0,OR($I86&lt;&gt;"",N($N86)&gt;0)),N($N86)+ROW()/1000000,"")</f>
        <v/>
      </c>
      <c r="Z86" s="24">
        <f>IF(AND($T86=1,$U86=0,$I86="",N($N86)&lt;=0,-N($N86)&lt;=HORIZON),N($N86)+ROW()/1000000,"")</f>
        <v/>
      </c>
    </row>
    <row r="87">
      <c r="A87" s="21" t="inlineStr">
        <is>
          <t>Planned End Of Erection Status Report</t>
        </is>
      </c>
      <c r="B87" s="21" t="inlineStr">
        <is>
          <t>Equipment</t>
        </is>
      </c>
      <c r="C87" s="21" t="inlineStr">
        <is>
          <t>SYS-CC</t>
        </is>
      </c>
      <c r="D87" s="21" t="inlineStr">
        <is>
          <t>CC-HMI-02 Operator Workstations</t>
        </is>
      </c>
      <c r="E87" s="21" t="inlineStr">
        <is>
          <t>DMIC-SYS-CC-PER-084</t>
        </is>
      </c>
      <c r="F87" s="21" t="inlineStr">
        <is>
          <t>A. Mercer</t>
        </is>
      </c>
      <c r="G87" s="21" t="inlineStr">
        <is>
          <t>J. Whitfield</t>
        </is>
      </c>
      <c r="H87" s="21" t="inlineStr"/>
      <c r="I87" s="22" t="n"/>
      <c r="J87" s="22" t="n"/>
      <c r="K87" s="23">
        <f>IF($A87="","",IF($J87&lt;&gt;"",$J87,$S87))</f>
        <v/>
      </c>
      <c r="L87" s="24">
        <f>IF(OR($A87="",$E87=""),"",IF($J87&lt;&gt;"","Manual",IF($S87="","-","Auto")))</f>
        <v/>
      </c>
      <c r="M87" s="22" t="n"/>
      <c r="N87" s="25">
        <f>IF($T87=0,"",IF($U87=1,IF($M87="","",$M87-$K87),IF($K87="","",TODAY()-$K87)))</f>
        <v/>
      </c>
      <c r="O87" s="24">
        <f>IF(OR($A87="",$E87=""),"",IF($V87=1,S_INACT,IF(ISNA(MATCH($A87,TYP_TYPE,0)),S_TYPEKO,IF($U87=1,S_DONE,IF(AND($K87="",$R87=""),S_NOSCOPE,IF($K87="",S_NOTARGET,IF($N87&gt;0,S_LATE,IF($I87&lt;&gt;"",S_WIP,IF(-$N87&lt;=FEN_DOC,S_RISK,IF(-$N87&lt;=HORIZON,S_COMING,S_NOTYET))))))))))</f>
        <v/>
      </c>
      <c r="P87" s="24">
        <f>IF(OR($A87="",$E87=""),"",IF($V87=1,"",IF(ISNA(MATCH($A87,TYP_TYPE,0)),"Type not in the library",IF($B87="","Scope not set",IF(AND($B87="System",$C87=""),"System not set",IF(AND($B87="Equipment",$D87=""),"Equipment not set",IF($F87="","Responsible not set",IF($K87="","No target date",IF(AND($B87="Equipment",$C87&lt;&gt;"",IFERROR(INDEX(EQP_SYS,MATCH($D87,EQP_NOM,0)),"")&lt;&gt;$C87),"Equipment not in that system",IF(AND($U87=1,$M87=""),"Approved with no approval date",""))))))))))</f>
        <v/>
      </c>
      <c r="Q87" s="21" t="n"/>
      <c r="R87" s="23">
        <f>IF(OR($A87="",$B87=""),"",IF($B87="Equipment",IFERROR(INDEX(EQP_START,MATCH($D87,EQP_NOM,0)),""),IF($B87="System",IFERROR(INDEX(SYS_EARLIEST,MATCH($C87,SYS_ID,0)),""),IF($B87="All",CTR_EARLIEST,""))))</f>
        <v/>
      </c>
      <c r="S87" s="23">
        <f>IF(OR($A87="",$E87=""),"",IFERROR(IF(INDEX(TYP_ANCHOR,MATCH($A87,TYP_TYPE,0))="Commissioning Start",IF($R87="","",$R87-INDEX(TYP_LEAD,MATCH($A87,TYP_TYPE,0))),IF(INDEX(MS_PLAN,MATCH(INDEX(TYP_ANCHOR,MATCH($A87,TYP_TYPE,0)),MS_NOM,0))="","",INDEX(MS_PLAN,MATCH(INDEX(TYP_ANCHOR,MATCH($A87,TYP_TYPE,0)),MS_NOM,0))-INDEX(TYP_LEAD,MATCH($A87,TYP_TYPE,0)))),""))</f>
        <v/>
      </c>
      <c r="T87" s="26">
        <f>IF(OR($A87="",$E87=""),0,IF($V87=1,0,1))</f>
        <v/>
      </c>
      <c r="U87" s="26">
        <f>IF($T87=0,0,IF($M87&lt;&gt;"",1,IF(IFERROR(INDEX(WF_CLASS,MATCH($H87,WF_CODE,0)),"")="Done",1,0)))</f>
        <v/>
      </c>
      <c r="V87" s="26">
        <f>IF(OR($A87="",$E87=""),0,IF(IFERROR(INDEX(WF_CLASS,MATCH($H87,WF_CODE,0)),"")="Inactive",1,0))</f>
        <v/>
      </c>
      <c r="W87" s="24">
        <f>IF($A87="","",IFERROR(INDEX(TYP_PHASE,MATCH($A87,TYP_TYPE,0)),"-"))</f>
        <v/>
      </c>
      <c r="X87" s="24">
        <f>IF(AND($T87=1,$U87=0,N($N87)&gt;0),$N87+ROW()/1000000,"")</f>
        <v/>
      </c>
      <c r="Y87" s="24">
        <f>IF(AND($T87=1,$U87=0,OR($I87&lt;&gt;"",N($N87)&gt;0)),N($N87)+ROW()/1000000,"")</f>
        <v/>
      </c>
      <c r="Z87" s="24">
        <f>IF(AND($T87=1,$U87=0,$I87="",N($N87)&lt;=0,-N($N87)&lt;=HORIZON),N($N87)+ROW()/1000000,"")</f>
        <v/>
      </c>
    </row>
    <row r="88">
      <c r="A88" s="21" t="inlineStr">
        <is>
          <t>Inspection and Test Plan</t>
        </is>
      </c>
      <c r="B88" s="21" t="inlineStr">
        <is>
          <t>Equipment</t>
        </is>
      </c>
      <c r="C88" s="21" t="inlineStr">
        <is>
          <t>SYS-CC</t>
        </is>
      </c>
      <c r="D88" s="21" t="inlineStr">
        <is>
          <t>CC-NET-03 Control Network Core</t>
        </is>
      </c>
      <c r="E88" s="21" t="inlineStr">
        <is>
          <t>DMIC-SYS-CC-ITP-085</t>
        </is>
      </c>
      <c r="F88" s="21" t="inlineStr">
        <is>
          <t>S. Okonkwo</t>
        </is>
      </c>
      <c r="G88" s="21" t="inlineStr">
        <is>
          <t>P. Nakamura</t>
        </is>
      </c>
      <c r="H88" s="21" t="inlineStr">
        <is>
          <t>W0 - Work In Progress</t>
        </is>
      </c>
      <c r="I88" s="22" t="n"/>
      <c r="J88" s="22" t="n"/>
      <c r="K88" s="23">
        <f>IF($A88="","",IF($J88&lt;&gt;"",$J88,$S88))</f>
        <v/>
      </c>
      <c r="L88" s="24">
        <f>IF(OR($A88="",$E88=""),"",IF($J88&lt;&gt;"","Manual",IF($S88="","-","Auto")))</f>
        <v/>
      </c>
      <c r="M88" s="22" t="n"/>
      <c r="N88" s="25">
        <f>IF($T88=0,"",IF($U88=1,IF($M88="","",$M88-$K88),IF($K88="","",TODAY()-$K88)))</f>
        <v/>
      </c>
      <c r="O88" s="24">
        <f>IF(OR($A88="",$E88=""),"",IF($V88=1,S_INACT,IF(ISNA(MATCH($A88,TYP_TYPE,0)),S_TYPEKO,IF($U88=1,S_DONE,IF(AND($K88="",$R88=""),S_NOSCOPE,IF($K88="",S_NOTARGET,IF($N88&gt;0,S_LATE,IF($I88&lt;&gt;"",S_WIP,IF(-$N88&lt;=FEN_DOC,S_RISK,IF(-$N88&lt;=HORIZON,S_COMING,S_NOTYET))))))))))</f>
        <v/>
      </c>
      <c r="P88" s="24">
        <f>IF(OR($A88="",$E88=""),"",IF($V88=1,"",IF(ISNA(MATCH($A88,TYP_TYPE,0)),"Type not in the library",IF($B88="","Scope not set",IF(AND($B88="System",$C88=""),"System not set",IF(AND($B88="Equipment",$D88=""),"Equipment not set",IF($F88="","Responsible not set",IF($K88="","No target date",IF(AND($B88="Equipment",$C88&lt;&gt;"",IFERROR(INDEX(EQP_SYS,MATCH($D88,EQP_NOM,0)),"")&lt;&gt;$C88),"Equipment not in that system",IF(AND($U88=1,$M88=""),"Approved with no approval date",""))))))))))</f>
        <v/>
      </c>
      <c r="Q88" s="21" t="n"/>
      <c r="R88" s="23">
        <f>IF(OR($A88="",$B88=""),"",IF($B88="Equipment",IFERROR(INDEX(EQP_START,MATCH($D88,EQP_NOM,0)),""),IF($B88="System",IFERROR(INDEX(SYS_EARLIEST,MATCH($C88,SYS_ID,0)),""),IF($B88="All",CTR_EARLIEST,""))))</f>
        <v/>
      </c>
      <c r="S88" s="23">
        <f>IF(OR($A88="",$E88=""),"",IFERROR(IF(INDEX(TYP_ANCHOR,MATCH($A88,TYP_TYPE,0))="Commissioning Start",IF($R88="","",$R88-INDEX(TYP_LEAD,MATCH($A88,TYP_TYPE,0))),IF(INDEX(MS_PLAN,MATCH(INDEX(TYP_ANCHOR,MATCH($A88,TYP_TYPE,0)),MS_NOM,0))="","",INDEX(MS_PLAN,MATCH(INDEX(TYP_ANCHOR,MATCH($A88,TYP_TYPE,0)),MS_NOM,0))-INDEX(TYP_LEAD,MATCH($A88,TYP_TYPE,0)))),""))</f>
        <v/>
      </c>
      <c r="T88" s="26">
        <f>IF(OR($A88="",$E88=""),0,IF($V88=1,0,1))</f>
        <v/>
      </c>
      <c r="U88" s="26">
        <f>IF($T88=0,0,IF($M88&lt;&gt;"",1,IF(IFERROR(INDEX(WF_CLASS,MATCH($H88,WF_CODE,0)),"")="Done",1,0)))</f>
        <v/>
      </c>
      <c r="V88" s="26">
        <f>IF(OR($A88="",$E88=""),0,IF(IFERROR(INDEX(WF_CLASS,MATCH($H88,WF_CODE,0)),"")="Inactive",1,0))</f>
        <v/>
      </c>
      <c r="W88" s="24">
        <f>IF($A88="","",IFERROR(INDEX(TYP_PHASE,MATCH($A88,TYP_TYPE,0)),"-"))</f>
        <v/>
      </c>
      <c r="X88" s="24">
        <f>IF(AND($T88=1,$U88=0,N($N88)&gt;0),$N88+ROW()/1000000,"")</f>
        <v/>
      </c>
      <c r="Y88" s="24">
        <f>IF(AND($T88=1,$U88=0,OR($I88&lt;&gt;"",N($N88)&gt;0)),N($N88)+ROW()/1000000,"")</f>
        <v/>
      </c>
      <c r="Z88" s="24">
        <f>IF(AND($T88=1,$U88=0,$I88="",N($N88)&lt;=0,-N($N88)&lt;=HORIZON),N($N88)+ROW()/1000000,"")</f>
        <v/>
      </c>
    </row>
    <row r="89">
      <c r="A89" s="21" t="inlineStr">
        <is>
          <t>Planned End Of Erection Status Report</t>
        </is>
      </c>
      <c r="B89" s="21" t="inlineStr">
        <is>
          <t>Equipment</t>
        </is>
      </c>
      <c r="C89" s="21" t="inlineStr">
        <is>
          <t>SYS-CC</t>
        </is>
      </c>
      <c r="D89" s="21" t="inlineStr">
        <is>
          <t>CC-NET-03 Control Network Core</t>
        </is>
      </c>
      <c r="E89" s="21" t="inlineStr">
        <is>
          <t>DMIC-SYS-CC-PER-086</t>
        </is>
      </c>
      <c r="F89" s="21" t="inlineStr">
        <is>
          <t>L. Fontaine</t>
        </is>
      </c>
      <c r="G89" s="21" t="inlineStr">
        <is>
          <t>K. Rasmussen</t>
        </is>
      </c>
      <c r="H89" s="21" t="inlineStr"/>
      <c r="I89" s="22" t="n"/>
      <c r="J89" s="22" t="n"/>
      <c r="K89" s="23">
        <f>IF($A89="","",IF($J89&lt;&gt;"",$J89,$S89))</f>
        <v/>
      </c>
      <c r="L89" s="24">
        <f>IF(OR($A89="",$E89=""),"",IF($J89&lt;&gt;"","Manual",IF($S89="","-","Auto")))</f>
        <v/>
      </c>
      <c r="M89" s="22" t="n"/>
      <c r="N89" s="25">
        <f>IF($T89=0,"",IF($U89=1,IF($M89="","",$M89-$K89),IF($K89="","",TODAY()-$K89)))</f>
        <v/>
      </c>
      <c r="O89" s="24">
        <f>IF(OR($A89="",$E89=""),"",IF($V89=1,S_INACT,IF(ISNA(MATCH($A89,TYP_TYPE,0)),S_TYPEKO,IF($U89=1,S_DONE,IF(AND($K89="",$R89=""),S_NOSCOPE,IF($K89="",S_NOTARGET,IF($N89&gt;0,S_LATE,IF($I89&lt;&gt;"",S_WIP,IF(-$N89&lt;=FEN_DOC,S_RISK,IF(-$N89&lt;=HORIZON,S_COMING,S_NOTYET))))))))))</f>
        <v/>
      </c>
      <c r="P89" s="24">
        <f>IF(OR($A89="",$E89=""),"",IF($V89=1,"",IF(ISNA(MATCH($A89,TYP_TYPE,0)),"Type not in the library",IF($B89="","Scope not set",IF(AND($B89="System",$C89=""),"System not set",IF(AND($B89="Equipment",$D89=""),"Equipment not set",IF($F89="","Responsible not set",IF($K89="","No target date",IF(AND($B89="Equipment",$C89&lt;&gt;"",IFERROR(INDEX(EQP_SYS,MATCH($D89,EQP_NOM,0)),"")&lt;&gt;$C89),"Equipment not in that system",IF(AND($U89=1,$M89=""),"Approved with no approval date",""))))))))))</f>
        <v/>
      </c>
      <c r="Q89" s="21" t="n"/>
      <c r="R89" s="23">
        <f>IF(OR($A89="",$B89=""),"",IF($B89="Equipment",IFERROR(INDEX(EQP_START,MATCH($D89,EQP_NOM,0)),""),IF($B89="System",IFERROR(INDEX(SYS_EARLIEST,MATCH($C89,SYS_ID,0)),""),IF($B89="All",CTR_EARLIEST,""))))</f>
        <v/>
      </c>
      <c r="S89" s="23">
        <f>IF(OR($A89="",$E89=""),"",IFERROR(IF(INDEX(TYP_ANCHOR,MATCH($A89,TYP_TYPE,0))="Commissioning Start",IF($R89="","",$R89-INDEX(TYP_LEAD,MATCH($A89,TYP_TYPE,0))),IF(INDEX(MS_PLAN,MATCH(INDEX(TYP_ANCHOR,MATCH($A89,TYP_TYPE,0)),MS_NOM,0))="","",INDEX(MS_PLAN,MATCH(INDEX(TYP_ANCHOR,MATCH($A89,TYP_TYPE,0)),MS_NOM,0))-INDEX(TYP_LEAD,MATCH($A89,TYP_TYPE,0)))),""))</f>
        <v/>
      </c>
      <c r="T89" s="26">
        <f>IF(OR($A89="",$E89=""),0,IF($V89=1,0,1))</f>
        <v/>
      </c>
      <c r="U89" s="26">
        <f>IF($T89=0,0,IF($M89&lt;&gt;"",1,IF(IFERROR(INDEX(WF_CLASS,MATCH($H89,WF_CODE,0)),"")="Done",1,0)))</f>
        <v/>
      </c>
      <c r="V89" s="26">
        <f>IF(OR($A89="",$E89=""),0,IF(IFERROR(INDEX(WF_CLASS,MATCH($H89,WF_CODE,0)),"")="Inactive",1,0))</f>
        <v/>
      </c>
      <c r="W89" s="24">
        <f>IF($A89="","",IFERROR(INDEX(TYP_PHASE,MATCH($A89,TYP_TYPE,0)),"-"))</f>
        <v/>
      </c>
      <c r="X89" s="24">
        <f>IF(AND($T89=1,$U89=0,N($N89)&gt;0),$N89+ROW()/1000000,"")</f>
        <v/>
      </c>
      <c r="Y89" s="24">
        <f>IF(AND($T89=1,$U89=0,OR($I89&lt;&gt;"",N($N89)&gt;0)),N($N89)+ROW()/1000000,"")</f>
        <v/>
      </c>
      <c r="Z89" s="24">
        <f>IF(AND($T89=1,$U89=0,$I89="",N($N89)&lt;=0,-N($N89)&lt;=HORIZON),N($N89)+ROW()/1000000,"")</f>
        <v/>
      </c>
    </row>
    <row r="90">
      <c r="A90" s="21" t="inlineStr">
        <is>
          <t>Initial End Of Erection Status Report</t>
        </is>
      </c>
      <c r="B90" s="21" t="inlineStr">
        <is>
          <t>Equipment</t>
        </is>
      </c>
      <c r="C90" s="21" t="inlineStr">
        <is>
          <t>SYS-TP</t>
        </is>
      </c>
      <c r="D90" s="21" t="inlineStr">
        <is>
          <t>TP-BSS-01 Bulk Supply Substation</t>
        </is>
      </c>
      <c r="E90" s="21" t="inlineStr">
        <is>
          <t>DMIC-SYS-TP-IER-087</t>
        </is>
      </c>
      <c r="F90" s="21" t="inlineStr">
        <is>
          <t>D. Petrov</t>
        </is>
      </c>
      <c r="G90" s="21" t="inlineStr">
        <is>
          <t>R. Bellamy</t>
        </is>
      </c>
      <c r="H90" s="21" t="inlineStr">
        <is>
          <t>S6 - For Acceptance</t>
        </is>
      </c>
      <c r="I90" s="22" t="n">
        <v>46177</v>
      </c>
      <c r="J90" s="22" t="n"/>
      <c r="K90" s="23">
        <f>IF($A90="","",IF($J90&lt;&gt;"",$J90,$S90))</f>
        <v/>
      </c>
      <c r="L90" s="24">
        <f>IF(OR($A90="",$E90=""),"",IF($J90&lt;&gt;"","Manual",IF($S90="","-","Auto")))</f>
        <v/>
      </c>
      <c r="M90" s="22" t="n"/>
      <c r="N90" s="25">
        <f>IF($T90=0,"",IF($U90=1,IF($M90="","",$M90-$K90),IF($K90="","",TODAY()-$K90)))</f>
        <v/>
      </c>
      <c r="O90" s="24">
        <f>IF(OR($A90="",$E90=""),"",IF($V90=1,S_INACT,IF(ISNA(MATCH($A90,TYP_TYPE,0)),S_TYPEKO,IF($U90=1,S_DONE,IF(AND($K90="",$R90=""),S_NOSCOPE,IF($K90="",S_NOTARGET,IF($N90&gt;0,S_LATE,IF($I90&lt;&gt;"",S_WIP,IF(-$N90&lt;=FEN_DOC,S_RISK,IF(-$N90&lt;=HORIZON,S_COMING,S_NOTYET))))))))))</f>
        <v/>
      </c>
      <c r="P90" s="24">
        <f>IF(OR($A90="",$E90=""),"",IF($V90=1,"",IF(ISNA(MATCH($A90,TYP_TYPE,0)),"Type not in the library",IF($B90="","Scope not set",IF(AND($B90="System",$C90=""),"System not set",IF(AND($B90="Equipment",$D90=""),"Equipment not set",IF($F90="","Responsible not set",IF($K90="","No target date",IF(AND($B90="Equipment",$C90&lt;&gt;"",IFERROR(INDEX(EQP_SYS,MATCH($D90,EQP_NOM,0)),"")&lt;&gt;$C90),"Equipment not in that system",IF(AND($U90=1,$M90=""),"Approved with no approval date",""))))))))))</f>
        <v/>
      </c>
      <c r="Q90" s="21" t="n"/>
      <c r="R90" s="23">
        <f>IF(OR($A90="",$B90=""),"",IF($B90="Equipment",IFERROR(INDEX(EQP_START,MATCH($D90,EQP_NOM,0)),""),IF($B90="System",IFERROR(INDEX(SYS_EARLIEST,MATCH($C90,SYS_ID,0)),""),IF($B90="All",CTR_EARLIEST,""))))</f>
        <v/>
      </c>
      <c r="S90" s="23">
        <f>IF(OR($A90="",$E90=""),"",IFERROR(IF(INDEX(TYP_ANCHOR,MATCH($A90,TYP_TYPE,0))="Commissioning Start",IF($R90="","",$R90-INDEX(TYP_LEAD,MATCH($A90,TYP_TYPE,0))),IF(INDEX(MS_PLAN,MATCH(INDEX(TYP_ANCHOR,MATCH($A90,TYP_TYPE,0)),MS_NOM,0))="","",INDEX(MS_PLAN,MATCH(INDEX(TYP_ANCHOR,MATCH($A90,TYP_TYPE,0)),MS_NOM,0))-INDEX(TYP_LEAD,MATCH($A90,TYP_TYPE,0)))),""))</f>
        <v/>
      </c>
      <c r="T90" s="26">
        <f>IF(OR($A90="",$E90=""),0,IF($V90=1,0,1))</f>
        <v/>
      </c>
      <c r="U90" s="26">
        <f>IF($T90=0,0,IF($M90&lt;&gt;"",1,IF(IFERROR(INDEX(WF_CLASS,MATCH($H90,WF_CODE,0)),"")="Done",1,0)))</f>
        <v/>
      </c>
      <c r="V90" s="26">
        <f>IF(OR($A90="",$E90=""),0,IF(IFERROR(INDEX(WF_CLASS,MATCH($H90,WF_CODE,0)),"")="Inactive",1,0))</f>
        <v/>
      </c>
      <c r="W90" s="24">
        <f>IF($A90="","",IFERROR(INDEX(TYP_PHASE,MATCH($A90,TYP_TYPE,0)),"-"))</f>
        <v/>
      </c>
      <c r="X90" s="24">
        <f>IF(AND($T90=1,$U90=0,N($N90)&gt;0),$N90+ROW()/1000000,"")</f>
        <v/>
      </c>
      <c r="Y90" s="24">
        <f>IF(AND($T90=1,$U90=0,OR($I90&lt;&gt;"",N($N90)&gt;0)),N($N90)+ROW()/1000000,"")</f>
        <v/>
      </c>
      <c r="Z90" s="24">
        <f>IF(AND($T90=1,$U90=0,$I90="",N($N90)&lt;=0,-N($N90)&lt;=HORIZON),N($N90)+ROW()/1000000,"")</f>
        <v/>
      </c>
    </row>
    <row r="91">
      <c r="A91" s="21" t="inlineStr">
        <is>
          <t>Initial End Of Erection Status Report</t>
        </is>
      </c>
      <c r="B91" s="21" t="inlineStr">
        <is>
          <t>Equipment</t>
        </is>
      </c>
      <c r="C91" s="21" t="inlineStr">
        <is>
          <t>SYS-TP</t>
        </is>
      </c>
      <c r="D91" s="21" t="inlineStr">
        <is>
          <t>TP-TSS-02 Traction Substation Alpha</t>
        </is>
      </c>
      <c r="E91" s="21" t="inlineStr">
        <is>
          <t>DMIC-SYS-TP-IER-088</t>
        </is>
      </c>
      <c r="F91" s="21" t="inlineStr">
        <is>
          <t>J. Whitfield</t>
        </is>
      </c>
      <c r="G91" s="21" t="inlineStr">
        <is>
          <t>N. Bergstrom</t>
        </is>
      </c>
      <c r="H91" s="21" t="inlineStr">
        <is>
          <t>P1 - For Implementation</t>
        </is>
      </c>
      <c r="I91" s="22" t="n"/>
      <c r="J91" s="22" t="n"/>
      <c r="K91" s="23">
        <f>IF($A91="","",IF($J91&lt;&gt;"",$J91,$S91))</f>
        <v/>
      </c>
      <c r="L91" s="24">
        <f>IF(OR($A91="",$E91=""),"",IF($J91&lt;&gt;"","Manual",IF($S91="","-","Auto")))</f>
        <v/>
      </c>
      <c r="M91" s="22" t="n">
        <v>46244</v>
      </c>
      <c r="N91" s="25">
        <f>IF($T91=0,"",IF($U91=1,IF($M91="","",$M91-$K91),IF($K91="","",TODAY()-$K91)))</f>
        <v/>
      </c>
      <c r="O91" s="24">
        <f>IF(OR($A91="",$E91=""),"",IF($V91=1,S_INACT,IF(ISNA(MATCH($A91,TYP_TYPE,0)),S_TYPEKO,IF($U91=1,S_DONE,IF(AND($K91="",$R91=""),S_NOSCOPE,IF($K91="",S_NOTARGET,IF($N91&gt;0,S_LATE,IF($I91&lt;&gt;"",S_WIP,IF(-$N91&lt;=FEN_DOC,S_RISK,IF(-$N91&lt;=HORIZON,S_COMING,S_NOTYET))))))))))</f>
        <v/>
      </c>
      <c r="P91" s="24">
        <f>IF(OR($A91="",$E91=""),"",IF($V91=1,"",IF(ISNA(MATCH($A91,TYP_TYPE,0)),"Type not in the library",IF($B91="","Scope not set",IF(AND($B91="System",$C91=""),"System not set",IF(AND($B91="Equipment",$D91=""),"Equipment not set",IF($F91="","Responsible not set",IF($K91="","No target date",IF(AND($B91="Equipment",$C91&lt;&gt;"",IFERROR(INDEX(EQP_SYS,MATCH($D91,EQP_NOM,0)),"")&lt;&gt;$C91),"Equipment not in that system",IF(AND($U91=1,$M91=""),"Approved with no approval date",""))))))))))</f>
        <v/>
      </c>
      <c r="Q91" s="21" t="n"/>
      <c r="R91" s="23">
        <f>IF(OR($A91="",$B91=""),"",IF($B91="Equipment",IFERROR(INDEX(EQP_START,MATCH($D91,EQP_NOM,0)),""),IF($B91="System",IFERROR(INDEX(SYS_EARLIEST,MATCH($C91,SYS_ID,0)),""),IF($B91="All",CTR_EARLIEST,""))))</f>
        <v/>
      </c>
      <c r="S91" s="23">
        <f>IF(OR($A91="",$E91=""),"",IFERROR(IF(INDEX(TYP_ANCHOR,MATCH($A91,TYP_TYPE,0))="Commissioning Start",IF($R91="","",$R91-INDEX(TYP_LEAD,MATCH($A91,TYP_TYPE,0))),IF(INDEX(MS_PLAN,MATCH(INDEX(TYP_ANCHOR,MATCH($A91,TYP_TYPE,0)),MS_NOM,0))="","",INDEX(MS_PLAN,MATCH(INDEX(TYP_ANCHOR,MATCH($A91,TYP_TYPE,0)),MS_NOM,0))-INDEX(TYP_LEAD,MATCH($A91,TYP_TYPE,0)))),""))</f>
        <v/>
      </c>
      <c r="T91" s="26">
        <f>IF(OR($A91="",$E91=""),0,IF($V91=1,0,1))</f>
        <v/>
      </c>
      <c r="U91" s="26">
        <f>IF($T91=0,0,IF($M91&lt;&gt;"",1,IF(IFERROR(INDEX(WF_CLASS,MATCH($H91,WF_CODE,0)),"")="Done",1,0)))</f>
        <v/>
      </c>
      <c r="V91" s="26">
        <f>IF(OR($A91="",$E91=""),0,IF(IFERROR(INDEX(WF_CLASS,MATCH($H91,WF_CODE,0)),"")="Inactive",1,0))</f>
        <v/>
      </c>
      <c r="W91" s="24">
        <f>IF($A91="","",IFERROR(INDEX(TYP_PHASE,MATCH($A91,TYP_TYPE,0)),"-"))</f>
        <v/>
      </c>
      <c r="X91" s="24">
        <f>IF(AND($T91=1,$U91=0,N($N91)&gt;0),$N91+ROW()/1000000,"")</f>
        <v/>
      </c>
      <c r="Y91" s="24">
        <f>IF(AND($T91=1,$U91=0,OR($I91&lt;&gt;"",N($N91)&gt;0)),N($N91)+ROW()/1000000,"")</f>
        <v/>
      </c>
      <c r="Z91" s="24">
        <f>IF(AND($T91=1,$U91=0,$I91="",N($N91)&lt;=0,-N($N91)&lt;=HORIZON),N($N91)+ROW()/1000000,"")</f>
        <v/>
      </c>
    </row>
    <row r="92">
      <c r="A92" s="21" t="inlineStr">
        <is>
          <t>Initial End Of Erection Status Report</t>
        </is>
      </c>
      <c r="B92" s="21" t="inlineStr">
        <is>
          <t>Equipment</t>
        </is>
      </c>
      <c r="C92" s="21" t="inlineStr">
        <is>
          <t>SYS-TP</t>
        </is>
      </c>
      <c r="D92" s="21" t="inlineStr">
        <is>
          <t>TP-TSS-03 Traction Substation Bravo</t>
        </is>
      </c>
      <c r="E92" s="21" t="inlineStr">
        <is>
          <t>DMIC-SYS-TP-IER-089</t>
        </is>
      </c>
      <c r="F92" s="21" t="inlineStr">
        <is>
          <t>P. Nakamura</t>
        </is>
      </c>
      <c r="G92" s="21" t="inlineStr">
        <is>
          <t>M. Haddad</t>
        </is>
      </c>
      <c r="H92" s="21" t="inlineStr">
        <is>
          <t>P6 - For Construction</t>
        </is>
      </c>
      <c r="I92" s="22" t="n"/>
      <c r="J92" s="22" t="n"/>
      <c r="K92" s="23">
        <f>IF($A92="","",IF($J92&lt;&gt;"",$J92,$S92))</f>
        <v/>
      </c>
      <c r="L92" s="24">
        <f>IF(OR($A92="",$E92=""),"",IF($J92&lt;&gt;"","Manual",IF($S92="","-","Auto")))</f>
        <v/>
      </c>
      <c r="M92" s="22" t="n">
        <v>46254</v>
      </c>
      <c r="N92" s="25">
        <f>IF($T92=0,"",IF($U92=1,IF($M92="","",$M92-$K92),IF($K92="","",TODAY()-$K92)))</f>
        <v/>
      </c>
      <c r="O92" s="24">
        <f>IF(OR($A92="",$E92=""),"",IF($V92=1,S_INACT,IF(ISNA(MATCH($A92,TYP_TYPE,0)),S_TYPEKO,IF($U92=1,S_DONE,IF(AND($K92="",$R92=""),S_NOSCOPE,IF($K92="",S_NOTARGET,IF($N92&gt;0,S_LATE,IF($I92&lt;&gt;"",S_WIP,IF(-$N92&lt;=FEN_DOC,S_RISK,IF(-$N92&lt;=HORIZON,S_COMING,S_NOTYET))))))))))</f>
        <v/>
      </c>
      <c r="P92" s="24">
        <f>IF(OR($A92="",$E92=""),"",IF($V92=1,"",IF(ISNA(MATCH($A92,TYP_TYPE,0)),"Type not in the library",IF($B92="","Scope not set",IF(AND($B92="System",$C92=""),"System not set",IF(AND($B92="Equipment",$D92=""),"Equipment not set",IF($F92="","Responsible not set",IF($K92="","No target date",IF(AND($B92="Equipment",$C92&lt;&gt;"",IFERROR(INDEX(EQP_SYS,MATCH($D92,EQP_NOM,0)),"")&lt;&gt;$C92),"Equipment not in that system",IF(AND($U92=1,$M92=""),"Approved with no approval date",""))))))))))</f>
        <v/>
      </c>
      <c r="Q92" s="21" t="n"/>
      <c r="R92" s="23">
        <f>IF(OR($A92="",$B92=""),"",IF($B92="Equipment",IFERROR(INDEX(EQP_START,MATCH($D92,EQP_NOM,0)),""),IF($B92="System",IFERROR(INDEX(SYS_EARLIEST,MATCH($C92,SYS_ID,0)),""),IF($B92="All",CTR_EARLIEST,""))))</f>
        <v/>
      </c>
      <c r="S92" s="23">
        <f>IF(OR($A92="",$E92=""),"",IFERROR(IF(INDEX(TYP_ANCHOR,MATCH($A92,TYP_TYPE,0))="Commissioning Start",IF($R92="","",$R92-INDEX(TYP_LEAD,MATCH($A92,TYP_TYPE,0))),IF(INDEX(MS_PLAN,MATCH(INDEX(TYP_ANCHOR,MATCH($A92,TYP_TYPE,0)),MS_NOM,0))="","",INDEX(MS_PLAN,MATCH(INDEX(TYP_ANCHOR,MATCH($A92,TYP_TYPE,0)),MS_NOM,0))-INDEX(TYP_LEAD,MATCH($A92,TYP_TYPE,0)))),""))</f>
        <v/>
      </c>
      <c r="T92" s="26">
        <f>IF(OR($A92="",$E92=""),0,IF($V92=1,0,1))</f>
        <v/>
      </c>
      <c r="U92" s="26">
        <f>IF($T92=0,0,IF($M92&lt;&gt;"",1,IF(IFERROR(INDEX(WF_CLASS,MATCH($H92,WF_CODE,0)),"")="Done",1,0)))</f>
        <v/>
      </c>
      <c r="V92" s="26">
        <f>IF(OR($A92="",$E92=""),0,IF(IFERROR(INDEX(WF_CLASS,MATCH($H92,WF_CODE,0)),"")="Inactive",1,0))</f>
        <v/>
      </c>
      <c r="W92" s="24">
        <f>IF($A92="","",IFERROR(INDEX(TYP_PHASE,MATCH($A92,TYP_TYPE,0)),"-"))</f>
        <v/>
      </c>
      <c r="X92" s="24">
        <f>IF(AND($T92=1,$U92=0,N($N92)&gt;0),$N92+ROW()/1000000,"")</f>
        <v/>
      </c>
      <c r="Y92" s="24">
        <f>IF(AND($T92=1,$U92=0,OR($I92&lt;&gt;"",N($N92)&gt;0)),N($N92)+ROW()/1000000,"")</f>
        <v/>
      </c>
      <c r="Z92" s="24">
        <f>IF(AND($T92=1,$U92=0,$I92="",N($N92)&lt;=0,-N($N92)&lt;=HORIZON),N($N92)+ROW()/1000000,"")</f>
        <v/>
      </c>
    </row>
    <row r="93">
      <c r="A93" s="21" t="inlineStr">
        <is>
          <t>Initial End Of Erection Status Report</t>
        </is>
      </c>
      <c r="B93" s="21" t="inlineStr">
        <is>
          <t>Equipment</t>
        </is>
      </c>
      <c r="C93" s="21" t="inlineStr">
        <is>
          <t>SYS-TP</t>
        </is>
      </c>
      <c r="D93" s="21" t="inlineStr">
        <is>
          <t>TP-OHL-04 Overhead Line Section A</t>
        </is>
      </c>
      <c r="E93" s="21" t="inlineStr">
        <is>
          <t>DMIC-SYS-TP-IER-090</t>
        </is>
      </c>
      <c r="F93" s="21" t="inlineStr">
        <is>
          <t>K. Rasmussen</t>
        </is>
      </c>
      <c r="G93" s="21" t="inlineStr">
        <is>
          <t>C. Vasquez</t>
        </is>
      </c>
      <c r="H93" s="21" t="inlineStr">
        <is>
          <t>S4A - Approved</t>
        </is>
      </c>
      <c r="I93" s="22" t="n"/>
      <c r="J93" s="22" t="n"/>
      <c r="K93" s="23">
        <f>IF($A93="","",IF($J93&lt;&gt;"",$J93,$S93))</f>
        <v/>
      </c>
      <c r="L93" s="24">
        <f>IF(OR($A93="",$E93=""),"",IF($J93&lt;&gt;"","Manual",IF($S93="","-","Auto")))</f>
        <v/>
      </c>
      <c r="M93" s="22" t="n">
        <v>46253</v>
      </c>
      <c r="N93" s="25">
        <f>IF($T93=0,"",IF($U93=1,IF($M93="","",$M93-$K93),IF($K93="","",TODAY()-$K93)))</f>
        <v/>
      </c>
      <c r="O93" s="24">
        <f>IF(OR($A93="",$E93=""),"",IF($V93=1,S_INACT,IF(ISNA(MATCH($A93,TYP_TYPE,0)),S_TYPEKO,IF($U93=1,S_DONE,IF(AND($K93="",$R93=""),S_NOSCOPE,IF($K93="",S_NOTARGET,IF($N93&gt;0,S_LATE,IF($I93&lt;&gt;"",S_WIP,IF(-$N93&lt;=FEN_DOC,S_RISK,IF(-$N93&lt;=HORIZON,S_COMING,S_NOTYET))))))))))</f>
        <v/>
      </c>
      <c r="P93" s="24">
        <f>IF(OR($A93="",$E93=""),"",IF($V93=1,"",IF(ISNA(MATCH($A93,TYP_TYPE,0)),"Type not in the library",IF($B93="","Scope not set",IF(AND($B93="System",$C93=""),"System not set",IF(AND($B93="Equipment",$D93=""),"Equipment not set",IF($F93="","Responsible not set",IF($K93="","No target date",IF(AND($B93="Equipment",$C93&lt;&gt;"",IFERROR(INDEX(EQP_SYS,MATCH($D93,EQP_NOM,0)),"")&lt;&gt;$C93),"Equipment not in that system",IF(AND($U93=1,$M93=""),"Approved with no approval date",""))))))))))</f>
        <v/>
      </c>
      <c r="Q93" s="21" t="n"/>
      <c r="R93" s="23">
        <f>IF(OR($A93="",$B93=""),"",IF($B93="Equipment",IFERROR(INDEX(EQP_START,MATCH($D93,EQP_NOM,0)),""),IF($B93="System",IFERROR(INDEX(SYS_EARLIEST,MATCH($C93,SYS_ID,0)),""),IF($B93="All",CTR_EARLIEST,""))))</f>
        <v/>
      </c>
      <c r="S93" s="23">
        <f>IF(OR($A93="",$E93=""),"",IFERROR(IF(INDEX(TYP_ANCHOR,MATCH($A93,TYP_TYPE,0))="Commissioning Start",IF($R93="","",$R93-INDEX(TYP_LEAD,MATCH($A93,TYP_TYPE,0))),IF(INDEX(MS_PLAN,MATCH(INDEX(TYP_ANCHOR,MATCH($A93,TYP_TYPE,0)),MS_NOM,0))="","",INDEX(MS_PLAN,MATCH(INDEX(TYP_ANCHOR,MATCH($A93,TYP_TYPE,0)),MS_NOM,0))-INDEX(TYP_LEAD,MATCH($A93,TYP_TYPE,0)))),""))</f>
        <v/>
      </c>
      <c r="T93" s="26">
        <f>IF(OR($A93="",$E93=""),0,IF($V93=1,0,1))</f>
        <v/>
      </c>
      <c r="U93" s="26">
        <f>IF($T93=0,0,IF($M93&lt;&gt;"",1,IF(IFERROR(INDEX(WF_CLASS,MATCH($H93,WF_CODE,0)),"")="Done",1,0)))</f>
        <v/>
      </c>
      <c r="V93" s="26">
        <f>IF(OR($A93="",$E93=""),0,IF(IFERROR(INDEX(WF_CLASS,MATCH($H93,WF_CODE,0)),"")="Inactive",1,0))</f>
        <v/>
      </c>
      <c r="W93" s="24">
        <f>IF($A93="","",IFERROR(INDEX(TYP_PHASE,MATCH($A93,TYP_TYPE,0)),"-"))</f>
        <v/>
      </c>
      <c r="X93" s="24">
        <f>IF(AND($T93=1,$U93=0,N($N93)&gt;0),$N93+ROW()/1000000,"")</f>
        <v/>
      </c>
      <c r="Y93" s="24">
        <f>IF(AND($T93=1,$U93=0,OR($I93&lt;&gt;"",N($N93)&gt;0)),N($N93)+ROW()/1000000,"")</f>
        <v/>
      </c>
      <c r="Z93" s="24">
        <f>IF(AND($T93=1,$U93=0,$I93="",N($N93)&lt;=0,-N($N93)&lt;=HORIZON),N($N93)+ROW()/1000000,"")</f>
        <v/>
      </c>
    </row>
    <row r="94">
      <c r="A94" s="21" t="inlineStr">
        <is>
          <t>Initial End Of Erection Status Report</t>
        </is>
      </c>
      <c r="B94" s="21" t="inlineStr">
        <is>
          <t>Equipment</t>
        </is>
      </c>
      <c r="C94" s="21" t="inlineStr">
        <is>
          <t>SYS-SG</t>
        </is>
      </c>
      <c r="D94" s="21" t="inlineStr">
        <is>
          <t>SG-IXL-01 Interlocking Cabinet North</t>
        </is>
      </c>
      <c r="E94" s="21" t="inlineStr">
        <is>
          <t>DMIC-SYS-SG-IER-091</t>
        </is>
      </c>
      <c r="F94" s="21" t="inlineStr">
        <is>
          <t>R. Bellamy</t>
        </is>
      </c>
      <c r="G94" s="21" t="inlineStr">
        <is>
          <t>H. Lindqvist</t>
        </is>
      </c>
      <c r="H94" s="21" t="inlineStr">
        <is>
          <t>P1 - For Implementation</t>
        </is>
      </c>
      <c r="I94" s="22" t="n"/>
      <c r="J94" s="22" t="n"/>
      <c r="K94" s="23">
        <f>IF($A94="","",IF($J94&lt;&gt;"",$J94,$S94))</f>
        <v/>
      </c>
      <c r="L94" s="24">
        <f>IF(OR($A94="",$E94=""),"",IF($J94&lt;&gt;"","Manual",IF($S94="","-","Auto")))</f>
        <v/>
      </c>
      <c r="M94" s="22" t="n">
        <v>46259</v>
      </c>
      <c r="N94" s="25">
        <f>IF($T94=0,"",IF($U94=1,IF($M94="","",$M94-$K94),IF($K94="","",TODAY()-$K94)))</f>
        <v/>
      </c>
      <c r="O94" s="24">
        <f>IF(OR($A94="",$E94=""),"",IF($V94=1,S_INACT,IF(ISNA(MATCH($A94,TYP_TYPE,0)),S_TYPEKO,IF($U94=1,S_DONE,IF(AND($K94="",$R94=""),S_NOSCOPE,IF($K94="",S_NOTARGET,IF($N94&gt;0,S_LATE,IF($I94&lt;&gt;"",S_WIP,IF(-$N94&lt;=FEN_DOC,S_RISK,IF(-$N94&lt;=HORIZON,S_COMING,S_NOTYET))))))))))</f>
        <v/>
      </c>
      <c r="P94" s="24">
        <f>IF(OR($A94="",$E94=""),"",IF($V94=1,"",IF(ISNA(MATCH($A94,TYP_TYPE,0)),"Type not in the library",IF($B94="","Scope not set",IF(AND($B94="System",$C94=""),"System not set",IF(AND($B94="Equipment",$D94=""),"Equipment not set",IF($F94="","Responsible not set",IF($K94="","No target date",IF(AND($B94="Equipment",$C94&lt;&gt;"",IFERROR(INDEX(EQP_SYS,MATCH($D94,EQP_NOM,0)),"")&lt;&gt;$C94),"Equipment not in that system",IF(AND($U94=1,$M94=""),"Approved with no approval date",""))))))))))</f>
        <v/>
      </c>
      <c r="Q94" s="21" t="n"/>
      <c r="R94" s="23">
        <f>IF(OR($A94="",$B94=""),"",IF($B94="Equipment",IFERROR(INDEX(EQP_START,MATCH($D94,EQP_NOM,0)),""),IF($B94="System",IFERROR(INDEX(SYS_EARLIEST,MATCH($C94,SYS_ID,0)),""),IF($B94="All",CTR_EARLIEST,""))))</f>
        <v/>
      </c>
      <c r="S94" s="23">
        <f>IF(OR($A94="",$E94=""),"",IFERROR(IF(INDEX(TYP_ANCHOR,MATCH($A94,TYP_TYPE,0))="Commissioning Start",IF($R94="","",$R94-INDEX(TYP_LEAD,MATCH($A94,TYP_TYPE,0))),IF(INDEX(MS_PLAN,MATCH(INDEX(TYP_ANCHOR,MATCH($A94,TYP_TYPE,0)),MS_NOM,0))="","",INDEX(MS_PLAN,MATCH(INDEX(TYP_ANCHOR,MATCH($A94,TYP_TYPE,0)),MS_NOM,0))-INDEX(TYP_LEAD,MATCH($A94,TYP_TYPE,0)))),""))</f>
        <v/>
      </c>
      <c r="T94" s="26">
        <f>IF(OR($A94="",$E94=""),0,IF($V94=1,0,1))</f>
        <v/>
      </c>
      <c r="U94" s="26">
        <f>IF($T94=0,0,IF($M94&lt;&gt;"",1,IF(IFERROR(INDEX(WF_CLASS,MATCH($H94,WF_CODE,0)),"")="Done",1,0)))</f>
        <v/>
      </c>
      <c r="V94" s="26">
        <f>IF(OR($A94="",$E94=""),0,IF(IFERROR(INDEX(WF_CLASS,MATCH($H94,WF_CODE,0)),"")="Inactive",1,0))</f>
        <v/>
      </c>
      <c r="W94" s="24">
        <f>IF($A94="","",IFERROR(INDEX(TYP_PHASE,MATCH($A94,TYP_TYPE,0)),"-"))</f>
        <v/>
      </c>
      <c r="X94" s="24">
        <f>IF(AND($T94=1,$U94=0,N($N94)&gt;0),$N94+ROW()/1000000,"")</f>
        <v/>
      </c>
      <c r="Y94" s="24">
        <f>IF(AND($T94=1,$U94=0,OR($I94&lt;&gt;"",N($N94)&gt;0)),N($N94)+ROW()/1000000,"")</f>
        <v/>
      </c>
      <c r="Z94" s="24">
        <f>IF(AND($T94=1,$U94=0,$I94="",N($N94)&lt;=0,-N($N94)&lt;=HORIZON),N($N94)+ROW()/1000000,"")</f>
        <v/>
      </c>
    </row>
    <row r="95">
      <c r="A95" s="21" t="inlineStr">
        <is>
          <t>Initial End Of Erection Status Report</t>
        </is>
      </c>
      <c r="B95" s="21" t="inlineStr">
        <is>
          <t>Equipment</t>
        </is>
      </c>
      <c r="C95" s="21" t="inlineStr">
        <is>
          <t>SYS-SG</t>
        </is>
      </c>
      <c r="D95" s="21" t="inlineStr">
        <is>
          <t>SG-IXL-02 Interlocking Cabinet South</t>
        </is>
      </c>
      <c r="E95" s="21" t="inlineStr">
        <is>
          <t>DMIC-SYS-SG-IER-092</t>
        </is>
      </c>
      <c r="F95" s="21" t="inlineStr">
        <is>
          <t>N. Bergstrom</t>
        </is>
      </c>
      <c r="G95" s="21" t="inlineStr">
        <is>
          <t>A. Mercer</t>
        </is>
      </c>
      <c r="H95" s="21" t="inlineStr">
        <is>
          <t>P6 - For Construction</t>
        </is>
      </c>
      <c r="I95" s="22" t="n"/>
      <c r="J95" s="22" t="n"/>
      <c r="K95" s="23">
        <f>IF($A95="","",IF($J95&lt;&gt;"",$J95,$S95))</f>
        <v/>
      </c>
      <c r="L95" s="24">
        <f>IF(OR($A95="",$E95=""),"",IF($J95&lt;&gt;"","Manual",IF($S95="","-","Auto")))</f>
        <v/>
      </c>
      <c r="M95" s="22" t="n">
        <v>46258</v>
      </c>
      <c r="N95" s="25">
        <f>IF($T95=0,"",IF($U95=1,IF($M95="","",$M95-$K95),IF($K95="","",TODAY()-$K95)))</f>
        <v/>
      </c>
      <c r="O95" s="24">
        <f>IF(OR($A95="",$E95=""),"",IF($V95=1,S_INACT,IF(ISNA(MATCH($A95,TYP_TYPE,0)),S_TYPEKO,IF($U95=1,S_DONE,IF(AND($K95="",$R95=""),S_NOSCOPE,IF($K95="",S_NOTARGET,IF($N95&gt;0,S_LATE,IF($I95&lt;&gt;"",S_WIP,IF(-$N95&lt;=FEN_DOC,S_RISK,IF(-$N95&lt;=HORIZON,S_COMING,S_NOTYET))))))))))</f>
        <v/>
      </c>
      <c r="P95" s="24">
        <f>IF(OR($A95="",$E95=""),"",IF($V95=1,"",IF(ISNA(MATCH($A95,TYP_TYPE,0)),"Type not in the library",IF($B95="","Scope not set",IF(AND($B95="System",$C95=""),"System not set",IF(AND($B95="Equipment",$D95=""),"Equipment not set",IF($F95="","Responsible not set",IF($K95="","No target date",IF(AND($B95="Equipment",$C95&lt;&gt;"",IFERROR(INDEX(EQP_SYS,MATCH($D95,EQP_NOM,0)),"")&lt;&gt;$C95),"Equipment not in that system",IF(AND($U95=1,$M95=""),"Approved with no approval date",""))))))))))</f>
        <v/>
      </c>
      <c r="Q95" s="21" t="n"/>
      <c r="R95" s="23">
        <f>IF(OR($A95="",$B95=""),"",IF($B95="Equipment",IFERROR(INDEX(EQP_START,MATCH($D95,EQP_NOM,0)),""),IF($B95="System",IFERROR(INDEX(SYS_EARLIEST,MATCH($C95,SYS_ID,0)),""),IF($B95="All",CTR_EARLIEST,""))))</f>
        <v/>
      </c>
      <c r="S95" s="23">
        <f>IF(OR($A95="",$E95=""),"",IFERROR(IF(INDEX(TYP_ANCHOR,MATCH($A95,TYP_TYPE,0))="Commissioning Start",IF($R95="","",$R95-INDEX(TYP_LEAD,MATCH($A95,TYP_TYPE,0))),IF(INDEX(MS_PLAN,MATCH(INDEX(TYP_ANCHOR,MATCH($A95,TYP_TYPE,0)),MS_NOM,0))="","",INDEX(MS_PLAN,MATCH(INDEX(TYP_ANCHOR,MATCH($A95,TYP_TYPE,0)),MS_NOM,0))-INDEX(TYP_LEAD,MATCH($A95,TYP_TYPE,0)))),""))</f>
        <v/>
      </c>
      <c r="T95" s="26">
        <f>IF(OR($A95="",$E95=""),0,IF($V95=1,0,1))</f>
        <v/>
      </c>
      <c r="U95" s="26">
        <f>IF($T95=0,0,IF($M95&lt;&gt;"",1,IF(IFERROR(INDEX(WF_CLASS,MATCH($H95,WF_CODE,0)),"")="Done",1,0)))</f>
        <v/>
      </c>
      <c r="V95" s="26">
        <f>IF(OR($A95="",$E95=""),0,IF(IFERROR(INDEX(WF_CLASS,MATCH($H95,WF_CODE,0)),"")="Inactive",1,0))</f>
        <v/>
      </c>
      <c r="W95" s="24">
        <f>IF($A95="","",IFERROR(INDEX(TYP_PHASE,MATCH($A95,TYP_TYPE,0)),"-"))</f>
        <v/>
      </c>
      <c r="X95" s="24">
        <f>IF(AND($T95=1,$U95=0,N($N95)&gt;0),$N95+ROW()/1000000,"")</f>
        <v/>
      </c>
      <c r="Y95" s="24">
        <f>IF(AND($T95=1,$U95=0,OR($I95&lt;&gt;"",N($N95)&gt;0)),N($N95)+ROW()/1000000,"")</f>
        <v/>
      </c>
      <c r="Z95" s="24">
        <f>IF(AND($T95=1,$U95=0,$I95="",N($N95)&lt;=0,-N($N95)&lt;=HORIZON),N($N95)+ROW()/1000000,"")</f>
        <v/>
      </c>
    </row>
    <row r="96">
      <c r="A96" s="21" t="inlineStr">
        <is>
          <t>Initial End Of Erection Status Report</t>
        </is>
      </c>
      <c r="B96" s="21" t="inlineStr">
        <is>
          <t>Equipment</t>
        </is>
      </c>
      <c r="C96" s="21" t="inlineStr">
        <is>
          <t>SYS-SG</t>
        </is>
      </c>
      <c r="D96" s="21" t="inlineStr">
        <is>
          <t>SG-ATP-03 ATP Trackside Equipment</t>
        </is>
      </c>
      <c r="E96" s="21" t="inlineStr">
        <is>
          <t>DMIC-SYS-SG-IER-093</t>
        </is>
      </c>
      <c r="F96" s="21" t="inlineStr">
        <is>
          <t>M. Haddad</t>
        </is>
      </c>
      <c r="G96" s="21" t="inlineStr">
        <is>
          <t>S. Okonkwo</t>
        </is>
      </c>
      <c r="H96" s="21" t="inlineStr">
        <is>
          <t>S4A - Approved</t>
        </is>
      </c>
      <c r="I96" s="22" t="n"/>
      <c r="J96" s="22" t="n"/>
      <c r="K96" s="23">
        <f>IF($A96="","",IF($J96&lt;&gt;"",$J96,$S96))</f>
        <v/>
      </c>
      <c r="L96" s="24">
        <f>IF(OR($A96="",$E96=""),"",IF($J96&lt;&gt;"","Manual",IF($S96="","-","Auto")))</f>
        <v/>
      </c>
      <c r="M96" s="22" t="n">
        <v>46257</v>
      </c>
      <c r="N96" s="25">
        <f>IF($T96=0,"",IF($U96=1,IF($M96="","",$M96-$K96),IF($K96="","",TODAY()-$K96)))</f>
        <v/>
      </c>
      <c r="O96" s="24">
        <f>IF(OR($A96="",$E96=""),"",IF($V96=1,S_INACT,IF(ISNA(MATCH($A96,TYP_TYPE,0)),S_TYPEKO,IF($U96=1,S_DONE,IF(AND($K96="",$R96=""),S_NOSCOPE,IF($K96="",S_NOTARGET,IF($N96&gt;0,S_LATE,IF($I96&lt;&gt;"",S_WIP,IF(-$N96&lt;=FEN_DOC,S_RISK,IF(-$N96&lt;=HORIZON,S_COMING,S_NOTYET))))))))))</f>
        <v/>
      </c>
      <c r="P96" s="24">
        <f>IF(OR($A96="",$E96=""),"",IF($V96=1,"",IF(ISNA(MATCH($A96,TYP_TYPE,0)),"Type not in the library",IF($B96="","Scope not set",IF(AND($B96="System",$C96=""),"System not set",IF(AND($B96="Equipment",$D96=""),"Equipment not set",IF($F96="","Responsible not set",IF($K96="","No target date",IF(AND($B96="Equipment",$C96&lt;&gt;"",IFERROR(INDEX(EQP_SYS,MATCH($D96,EQP_NOM,0)),"")&lt;&gt;$C96),"Equipment not in that system",IF(AND($U96=1,$M96=""),"Approved with no approval date",""))))))))))</f>
        <v/>
      </c>
      <c r="Q96" s="21" t="n"/>
      <c r="R96" s="23">
        <f>IF(OR($A96="",$B96=""),"",IF($B96="Equipment",IFERROR(INDEX(EQP_START,MATCH($D96,EQP_NOM,0)),""),IF($B96="System",IFERROR(INDEX(SYS_EARLIEST,MATCH($C96,SYS_ID,0)),""),IF($B96="All",CTR_EARLIEST,""))))</f>
        <v/>
      </c>
      <c r="S96" s="23">
        <f>IF(OR($A96="",$E96=""),"",IFERROR(IF(INDEX(TYP_ANCHOR,MATCH($A96,TYP_TYPE,0))="Commissioning Start",IF($R96="","",$R96-INDEX(TYP_LEAD,MATCH($A96,TYP_TYPE,0))),IF(INDEX(MS_PLAN,MATCH(INDEX(TYP_ANCHOR,MATCH($A96,TYP_TYPE,0)),MS_NOM,0))="","",INDEX(MS_PLAN,MATCH(INDEX(TYP_ANCHOR,MATCH($A96,TYP_TYPE,0)),MS_NOM,0))-INDEX(TYP_LEAD,MATCH($A96,TYP_TYPE,0)))),""))</f>
        <v/>
      </c>
      <c r="T96" s="26">
        <f>IF(OR($A96="",$E96=""),0,IF($V96=1,0,1))</f>
        <v/>
      </c>
      <c r="U96" s="26">
        <f>IF($T96=0,0,IF($M96&lt;&gt;"",1,IF(IFERROR(INDEX(WF_CLASS,MATCH($H96,WF_CODE,0)),"")="Done",1,0)))</f>
        <v/>
      </c>
      <c r="V96" s="26">
        <f>IF(OR($A96="",$E96=""),0,IF(IFERROR(INDEX(WF_CLASS,MATCH($H96,WF_CODE,0)),"")="Inactive",1,0))</f>
        <v/>
      </c>
      <c r="W96" s="24">
        <f>IF($A96="","",IFERROR(INDEX(TYP_PHASE,MATCH($A96,TYP_TYPE,0)),"-"))</f>
        <v/>
      </c>
      <c r="X96" s="24">
        <f>IF(AND($T96=1,$U96=0,N($N96)&gt;0),$N96+ROW()/1000000,"")</f>
        <v/>
      </c>
      <c r="Y96" s="24">
        <f>IF(AND($T96=1,$U96=0,OR($I96&lt;&gt;"",N($N96)&gt;0)),N($N96)+ROW()/1000000,"")</f>
        <v/>
      </c>
      <c r="Z96" s="24">
        <f>IF(AND($T96=1,$U96=0,$I96="",N($N96)&lt;=0,-N($N96)&lt;=HORIZON),N($N96)+ROW()/1000000,"")</f>
        <v/>
      </c>
    </row>
    <row r="97">
      <c r="A97" s="21" t="inlineStr">
        <is>
          <t>Initial End Of Erection Status Report</t>
        </is>
      </c>
      <c r="B97" s="21" t="inlineStr">
        <is>
          <t>Equipment</t>
        </is>
      </c>
      <c r="C97" s="21" t="inlineStr">
        <is>
          <t>SYS-SG</t>
        </is>
      </c>
      <c r="D97" s="21" t="inlineStr">
        <is>
          <t>SG-OCC-04 Signalling Workstations</t>
        </is>
      </c>
      <c r="E97" s="21" t="inlineStr">
        <is>
          <t>DMIC-SYS-SG-IER-094</t>
        </is>
      </c>
      <c r="F97" s="21" t="inlineStr">
        <is>
          <t>C. Vasquez</t>
        </is>
      </c>
      <c r="G97" s="21" t="inlineStr">
        <is>
          <t>L. Fontaine</t>
        </is>
      </c>
      <c r="H97" s="21" t="inlineStr">
        <is>
          <t>W1 - Draft</t>
        </is>
      </c>
      <c r="I97" s="22" t="n"/>
      <c r="J97" s="22" t="n"/>
      <c r="K97" s="23">
        <f>IF($A97="","",IF($J97&lt;&gt;"",$J97,$S97))</f>
        <v/>
      </c>
      <c r="L97" s="24">
        <f>IF(OR($A97="",$E97=""),"",IF($J97&lt;&gt;"","Manual",IF($S97="","-","Auto")))</f>
        <v/>
      </c>
      <c r="M97" s="22" t="n"/>
      <c r="N97" s="25">
        <f>IF($T97=0,"",IF($U97=1,IF($M97="","",$M97-$K97),IF($K97="","",TODAY()-$K97)))</f>
        <v/>
      </c>
      <c r="O97" s="24">
        <f>IF(OR($A97="",$E97=""),"",IF($V97=1,S_INACT,IF(ISNA(MATCH($A97,TYP_TYPE,0)),S_TYPEKO,IF($U97=1,S_DONE,IF(AND($K97="",$R97=""),S_NOSCOPE,IF($K97="",S_NOTARGET,IF($N97&gt;0,S_LATE,IF($I97&lt;&gt;"",S_WIP,IF(-$N97&lt;=FEN_DOC,S_RISK,IF(-$N97&lt;=HORIZON,S_COMING,S_NOTYET))))))))))</f>
        <v/>
      </c>
      <c r="P97" s="24">
        <f>IF(OR($A97="",$E97=""),"",IF($V97=1,"",IF(ISNA(MATCH($A97,TYP_TYPE,0)),"Type not in the library",IF($B97="","Scope not set",IF(AND($B97="System",$C97=""),"System not set",IF(AND($B97="Equipment",$D97=""),"Equipment not set",IF($F97="","Responsible not set",IF($K97="","No target date",IF(AND($B97="Equipment",$C97&lt;&gt;"",IFERROR(INDEX(EQP_SYS,MATCH($D97,EQP_NOM,0)),"")&lt;&gt;$C97),"Equipment not in that system",IF(AND($U97=1,$M97=""),"Approved with no approval date",""))))))))))</f>
        <v/>
      </c>
      <c r="Q97" s="21" t="n"/>
      <c r="R97" s="23">
        <f>IF(OR($A97="",$B97=""),"",IF($B97="Equipment",IFERROR(INDEX(EQP_START,MATCH($D97,EQP_NOM,0)),""),IF($B97="System",IFERROR(INDEX(SYS_EARLIEST,MATCH($C97,SYS_ID,0)),""),IF($B97="All",CTR_EARLIEST,""))))</f>
        <v/>
      </c>
      <c r="S97" s="23">
        <f>IF(OR($A97="",$E97=""),"",IFERROR(IF(INDEX(TYP_ANCHOR,MATCH($A97,TYP_TYPE,0))="Commissioning Start",IF($R97="","",$R97-INDEX(TYP_LEAD,MATCH($A97,TYP_TYPE,0))),IF(INDEX(MS_PLAN,MATCH(INDEX(TYP_ANCHOR,MATCH($A97,TYP_TYPE,0)),MS_NOM,0))="","",INDEX(MS_PLAN,MATCH(INDEX(TYP_ANCHOR,MATCH($A97,TYP_TYPE,0)),MS_NOM,0))-INDEX(TYP_LEAD,MATCH($A97,TYP_TYPE,0)))),""))</f>
        <v/>
      </c>
      <c r="T97" s="26">
        <f>IF(OR($A97="",$E97=""),0,IF($V97=1,0,1))</f>
        <v/>
      </c>
      <c r="U97" s="26">
        <f>IF($T97=0,0,IF($M97&lt;&gt;"",1,IF(IFERROR(INDEX(WF_CLASS,MATCH($H97,WF_CODE,0)),"")="Done",1,0)))</f>
        <v/>
      </c>
      <c r="V97" s="26">
        <f>IF(OR($A97="",$E97=""),0,IF(IFERROR(INDEX(WF_CLASS,MATCH($H97,WF_CODE,0)),"")="Inactive",1,0))</f>
        <v/>
      </c>
      <c r="W97" s="24">
        <f>IF($A97="","",IFERROR(INDEX(TYP_PHASE,MATCH($A97,TYP_TYPE,0)),"-"))</f>
        <v/>
      </c>
      <c r="X97" s="24">
        <f>IF(AND($T97=1,$U97=0,N($N97)&gt;0),$N97+ROW()/1000000,"")</f>
        <v/>
      </c>
      <c r="Y97" s="24">
        <f>IF(AND($T97=1,$U97=0,OR($I97&lt;&gt;"",N($N97)&gt;0)),N($N97)+ROW()/1000000,"")</f>
        <v/>
      </c>
      <c r="Z97" s="24">
        <f>IF(AND($T97=1,$U97=0,$I97="",N($N97)&lt;=0,-N($N97)&lt;=HORIZON),N($N97)+ROW()/1000000,"")</f>
        <v/>
      </c>
    </row>
    <row r="98">
      <c r="A98" s="21" t="inlineStr">
        <is>
          <t>Initial End Of Erection Status Report</t>
        </is>
      </c>
      <c r="B98" s="21" t="inlineStr">
        <is>
          <t>Equipment</t>
        </is>
      </c>
      <c r="C98" s="21" t="inlineStr">
        <is>
          <t>SYS-TV</t>
        </is>
      </c>
      <c r="D98" s="21" t="inlineStr">
        <is>
          <t>TV-JET-01 Jet Fan Array Tunnel 1</t>
        </is>
      </c>
      <c r="E98" s="21" t="inlineStr">
        <is>
          <t>DMIC-SYS-TV-IER-095</t>
        </is>
      </c>
      <c r="F98" s="21" t="inlineStr">
        <is>
          <t>H. Lindqvist</t>
        </is>
      </c>
      <c r="G98" s="21" t="inlineStr">
        <is>
          <t>D. Petrov</t>
        </is>
      </c>
      <c r="H98" s="21" t="inlineStr">
        <is>
          <t>S3 - For Review</t>
        </is>
      </c>
      <c r="I98" s="22" t="n"/>
      <c r="J98" s="22" t="n"/>
      <c r="K98" s="23">
        <f>IF($A98="","",IF($J98&lt;&gt;"",$J98,$S98))</f>
        <v/>
      </c>
      <c r="L98" s="24">
        <f>IF(OR($A98="",$E98=""),"",IF($J98&lt;&gt;"","Manual",IF($S98="","-","Auto")))</f>
        <v/>
      </c>
      <c r="M98" s="22" t="n"/>
      <c r="N98" s="25">
        <f>IF($T98=0,"",IF($U98=1,IF($M98="","",$M98-$K98),IF($K98="","",TODAY()-$K98)))</f>
        <v/>
      </c>
      <c r="O98" s="24">
        <f>IF(OR($A98="",$E98=""),"",IF($V98=1,S_INACT,IF(ISNA(MATCH($A98,TYP_TYPE,0)),S_TYPEKO,IF($U98=1,S_DONE,IF(AND($K98="",$R98=""),S_NOSCOPE,IF($K98="",S_NOTARGET,IF($N98&gt;0,S_LATE,IF($I98&lt;&gt;"",S_WIP,IF(-$N98&lt;=FEN_DOC,S_RISK,IF(-$N98&lt;=HORIZON,S_COMING,S_NOTYET))))))))))</f>
        <v/>
      </c>
      <c r="P98" s="24">
        <f>IF(OR($A98="",$E98=""),"",IF($V98=1,"",IF(ISNA(MATCH($A98,TYP_TYPE,0)),"Type not in the library",IF($B98="","Scope not set",IF(AND($B98="System",$C98=""),"System not set",IF(AND($B98="Equipment",$D98=""),"Equipment not set",IF($F98="","Responsible not set",IF($K98="","No target date",IF(AND($B98="Equipment",$C98&lt;&gt;"",IFERROR(INDEX(EQP_SYS,MATCH($D98,EQP_NOM,0)),"")&lt;&gt;$C98),"Equipment not in that system",IF(AND($U98=1,$M98=""),"Approved with no approval date",""))))))))))</f>
        <v/>
      </c>
      <c r="Q98" s="21" t="n"/>
      <c r="R98" s="23">
        <f>IF(OR($A98="",$B98=""),"",IF($B98="Equipment",IFERROR(INDEX(EQP_START,MATCH($D98,EQP_NOM,0)),""),IF($B98="System",IFERROR(INDEX(SYS_EARLIEST,MATCH($C98,SYS_ID,0)),""),IF($B98="All",CTR_EARLIEST,""))))</f>
        <v/>
      </c>
      <c r="S98" s="23">
        <f>IF(OR($A98="",$E98=""),"",IFERROR(IF(INDEX(TYP_ANCHOR,MATCH($A98,TYP_TYPE,0))="Commissioning Start",IF($R98="","",$R98-INDEX(TYP_LEAD,MATCH($A98,TYP_TYPE,0))),IF(INDEX(MS_PLAN,MATCH(INDEX(TYP_ANCHOR,MATCH($A98,TYP_TYPE,0)),MS_NOM,0))="","",INDEX(MS_PLAN,MATCH(INDEX(TYP_ANCHOR,MATCH($A98,TYP_TYPE,0)),MS_NOM,0))-INDEX(TYP_LEAD,MATCH($A98,TYP_TYPE,0)))),""))</f>
        <v/>
      </c>
      <c r="T98" s="26">
        <f>IF(OR($A98="",$E98=""),0,IF($V98=1,0,1))</f>
        <v/>
      </c>
      <c r="U98" s="26">
        <f>IF($T98=0,0,IF($M98&lt;&gt;"",1,IF(IFERROR(INDEX(WF_CLASS,MATCH($H98,WF_CODE,0)),"")="Done",1,0)))</f>
        <v/>
      </c>
      <c r="V98" s="26">
        <f>IF(OR($A98="",$E98=""),0,IF(IFERROR(INDEX(WF_CLASS,MATCH($H98,WF_CODE,0)),"")="Inactive",1,0))</f>
        <v/>
      </c>
      <c r="W98" s="24">
        <f>IF($A98="","",IFERROR(INDEX(TYP_PHASE,MATCH($A98,TYP_TYPE,0)),"-"))</f>
        <v/>
      </c>
      <c r="X98" s="24">
        <f>IF(AND($T98=1,$U98=0,N($N98)&gt;0),$N98+ROW()/1000000,"")</f>
        <v/>
      </c>
      <c r="Y98" s="24">
        <f>IF(AND($T98=1,$U98=0,OR($I98&lt;&gt;"",N($N98)&gt;0)),N($N98)+ROW()/1000000,"")</f>
        <v/>
      </c>
      <c r="Z98" s="24">
        <f>IF(AND($T98=1,$U98=0,$I98="",N($N98)&lt;=0,-N($N98)&lt;=HORIZON),N($N98)+ROW()/1000000,"")</f>
        <v/>
      </c>
    </row>
    <row r="99">
      <c r="A99" s="21" t="inlineStr">
        <is>
          <t>Initial End Of Erection Status Report</t>
        </is>
      </c>
      <c r="B99" s="21" t="inlineStr">
        <is>
          <t>Equipment</t>
        </is>
      </c>
      <c r="C99" s="21" t="inlineStr">
        <is>
          <t>SYS-TV</t>
        </is>
      </c>
      <c r="D99" s="21" t="inlineStr">
        <is>
          <t>TV-JET-02 Jet Fan Array Tunnel 2</t>
        </is>
      </c>
      <c r="E99" s="21" t="inlineStr">
        <is>
          <t>DMIC-SYS-TV-IER-096</t>
        </is>
      </c>
      <c r="F99" s="21" t="inlineStr">
        <is>
          <t>A. Mercer</t>
        </is>
      </c>
      <c r="G99" s="21" t="inlineStr">
        <is>
          <t>J. Whitfield</t>
        </is>
      </c>
      <c r="H99" s="21" t="inlineStr">
        <is>
          <t>S4A - Approved</t>
        </is>
      </c>
      <c r="I99" s="22" t="n"/>
      <c r="J99" s="22" t="n"/>
      <c r="K99" s="23">
        <f>IF($A99="","",IF($J99&lt;&gt;"",$J99,$S99))</f>
        <v/>
      </c>
      <c r="L99" s="24">
        <f>IF(OR($A99="",$E99=""),"",IF($J99&lt;&gt;"","Manual",IF($S99="","-","Auto")))</f>
        <v/>
      </c>
      <c r="M99" s="22" t="n">
        <v>46254</v>
      </c>
      <c r="N99" s="25">
        <f>IF($T99=0,"",IF($U99=1,IF($M99="","",$M99-$K99),IF($K99="","",TODAY()-$K99)))</f>
        <v/>
      </c>
      <c r="O99" s="24">
        <f>IF(OR($A99="",$E99=""),"",IF($V99=1,S_INACT,IF(ISNA(MATCH($A99,TYP_TYPE,0)),S_TYPEKO,IF($U99=1,S_DONE,IF(AND($K99="",$R99=""),S_NOSCOPE,IF($K99="",S_NOTARGET,IF($N99&gt;0,S_LATE,IF($I99&lt;&gt;"",S_WIP,IF(-$N99&lt;=FEN_DOC,S_RISK,IF(-$N99&lt;=HORIZON,S_COMING,S_NOTYET))))))))))</f>
        <v/>
      </c>
      <c r="P99" s="24">
        <f>IF(OR($A99="",$E99=""),"",IF($V99=1,"",IF(ISNA(MATCH($A99,TYP_TYPE,0)),"Type not in the library",IF($B99="","Scope not set",IF(AND($B99="System",$C99=""),"System not set",IF(AND($B99="Equipment",$D99=""),"Equipment not set",IF($F99="","Responsible not set",IF($K99="","No target date",IF(AND($B99="Equipment",$C99&lt;&gt;"",IFERROR(INDEX(EQP_SYS,MATCH($D99,EQP_NOM,0)),"")&lt;&gt;$C99),"Equipment not in that system",IF(AND($U99=1,$M99=""),"Approved with no approval date",""))))))))))</f>
        <v/>
      </c>
      <c r="Q99" s="21" t="n"/>
      <c r="R99" s="23">
        <f>IF(OR($A99="",$B99=""),"",IF($B99="Equipment",IFERROR(INDEX(EQP_START,MATCH($D99,EQP_NOM,0)),""),IF($B99="System",IFERROR(INDEX(SYS_EARLIEST,MATCH($C99,SYS_ID,0)),""),IF($B99="All",CTR_EARLIEST,""))))</f>
        <v/>
      </c>
      <c r="S99" s="23">
        <f>IF(OR($A99="",$E99=""),"",IFERROR(IF(INDEX(TYP_ANCHOR,MATCH($A99,TYP_TYPE,0))="Commissioning Start",IF($R99="","",$R99-INDEX(TYP_LEAD,MATCH($A99,TYP_TYPE,0))),IF(INDEX(MS_PLAN,MATCH(INDEX(TYP_ANCHOR,MATCH($A99,TYP_TYPE,0)),MS_NOM,0))="","",INDEX(MS_PLAN,MATCH(INDEX(TYP_ANCHOR,MATCH($A99,TYP_TYPE,0)),MS_NOM,0))-INDEX(TYP_LEAD,MATCH($A99,TYP_TYPE,0)))),""))</f>
        <v/>
      </c>
      <c r="T99" s="26">
        <f>IF(OR($A99="",$E99=""),0,IF($V99=1,0,1))</f>
        <v/>
      </c>
      <c r="U99" s="26">
        <f>IF($T99=0,0,IF($M99&lt;&gt;"",1,IF(IFERROR(INDEX(WF_CLASS,MATCH($H99,WF_CODE,0)),"")="Done",1,0)))</f>
        <v/>
      </c>
      <c r="V99" s="26">
        <f>IF(OR($A99="",$E99=""),0,IF(IFERROR(INDEX(WF_CLASS,MATCH($H99,WF_CODE,0)),"")="Inactive",1,0))</f>
        <v/>
      </c>
      <c r="W99" s="24">
        <f>IF($A99="","",IFERROR(INDEX(TYP_PHASE,MATCH($A99,TYP_TYPE,0)),"-"))</f>
        <v/>
      </c>
      <c r="X99" s="24">
        <f>IF(AND($T99=1,$U99=0,N($N99)&gt;0),$N99+ROW()/1000000,"")</f>
        <v/>
      </c>
      <c r="Y99" s="24">
        <f>IF(AND($T99=1,$U99=0,OR($I99&lt;&gt;"",N($N99)&gt;0)),N($N99)+ROW()/1000000,"")</f>
        <v/>
      </c>
      <c r="Z99" s="24">
        <f>IF(AND($T99=1,$U99=0,$I99="",N($N99)&lt;=0,-N($N99)&lt;=HORIZON),N($N99)+ROW()/1000000,"")</f>
        <v/>
      </c>
    </row>
    <row r="100">
      <c r="A100" s="21" t="n"/>
      <c r="B100" s="21" t="n"/>
      <c r="C100" s="21" t="n"/>
      <c r="D100" s="21" t="n"/>
      <c r="E100" s="21" t="n"/>
      <c r="F100" s="21" t="n"/>
      <c r="G100" s="21" t="n"/>
      <c r="H100" s="21" t="n"/>
      <c r="I100" s="22" t="n"/>
      <c r="J100" s="22" t="n"/>
      <c r="K100" s="23">
        <f>IF($A100="","",IF($J100&lt;&gt;"",$J100,$S100))</f>
        <v/>
      </c>
      <c r="L100" s="24">
        <f>IF(OR($A100="",$E100=""),"",IF($J100&lt;&gt;"","Manual",IF($S100="","-","Auto")))</f>
        <v/>
      </c>
      <c r="M100" s="22" t="n"/>
      <c r="N100" s="25">
        <f>IF($T100=0,"",IF($U100=1,IF($M100="","",$M100-$K100),IF($K100="","",TODAY()-$K100)))</f>
        <v/>
      </c>
      <c r="O100" s="24">
        <f>IF(OR($A100="",$E100=""),"",IF($V100=1,S_INACT,IF(ISNA(MATCH($A100,TYP_TYPE,0)),S_TYPEKO,IF($U100=1,S_DONE,IF(AND($K100="",$R100=""),S_NOSCOPE,IF($K100="",S_NOTARGET,IF($N100&gt;0,S_LATE,IF($I100&lt;&gt;"",S_WIP,IF(-$N100&lt;=FEN_DOC,S_RISK,IF(-$N100&lt;=HORIZON,S_COMING,S_NOTYET))))))))))</f>
        <v/>
      </c>
      <c r="P100" s="24">
        <f>IF(OR($A100="",$E100=""),"",IF($V100=1,"",IF(ISNA(MATCH($A100,TYP_TYPE,0)),"Type not in the library",IF($B100="","Scope not set",IF(AND($B100="System",$C100=""),"System not set",IF(AND($B100="Equipment",$D100=""),"Equipment not set",IF($F100="","Responsible not set",IF($K100="","No target date",IF(AND($B100="Equipment",$C100&lt;&gt;"",IFERROR(INDEX(EQP_SYS,MATCH($D100,EQP_NOM,0)),"")&lt;&gt;$C100),"Equipment not in that system",IF(AND($U100=1,$M100=""),"Approved with no approval date",""))))))))))</f>
        <v/>
      </c>
      <c r="Q100" s="21" t="n"/>
      <c r="R100" s="23">
        <f>IF(OR($A100="",$B100=""),"",IF($B100="Equipment",IFERROR(INDEX(EQP_START,MATCH($D100,EQP_NOM,0)),""),IF($B100="System",IFERROR(INDEX(SYS_EARLIEST,MATCH($C100,SYS_ID,0)),""),IF($B100="All",CTR_EARLIEST,""))))</f>
        <v/>
      </c>
      <c r="S100" s="23">
        <f>IF(OR($A100="",$E100=""),"",IFERROR(IF(INDEX(TYP_ANCHOR,MATCH($A100,TYP_TYPE,0))="Commissioning Start",IF($R100="","",$R100-INDEX(TYP_LEAD,MATCH($A100,TYP_TYPE,0))),IF(INDEX(MS_PLAN,MATCH(INDEX(TYP_ANCHOR,MATCH($A100,TYP_TYPE,0)),MS_NOM,0))="","",INDEX(MS_PLAN,MATCH(INDEX(TYP_ANCHOR,MATCH($A100,TYP_TYPE,0)),MS_NOM,0))-INDEX(TYP_LEAD,MATCH($A100,TYP_TYPE,0)))),""))</f>
        <v/>
      </c>
      <c r="T100" s="26">
        <f>IF(OR($A100="",$E100=""),0,IF($V100=1,0,1))</f>
        <v/>
      </c>
      <c r="U100" s="26">
        <f>IF($T100=0,0,IF($M100&lt;&gt;"",1,IF(IFERROR(INDEX(WF_CLASS,MATCH($H100,WF_CODE,0)),"")="Done",1,0)))</f>
        <v/>
      </c>
      <c r="V100" s="26">
        <f>IF(OR($A100="",$E100=""),0,IF(IFERROR(INDEX(WF_CLASS,MATCH($H100,WF_CODE,0)),"")="Inactive",1,0))</f>
        <v/>
      </c>
      <c r="W100" s="24">
        <f>IF($A100="","",IFERROR(INDEX(TYP_PHASE,MATCH($A100,TYP_TYPE,0)),"-"))</f>
        <v/>
      </c>
      <c r="X100" s="24">
        <f>IF(AND($T100=1,$U100=0,N($N100)&gt;0),$N100+ROW()/1000000,"")</f>
        <v/>
      </c>
      <c r="Y100" s="24">
        <f>IF(AND($T100=1,$U100=0,OR($I100&lt;&gt;"",N($N100)&gt;0)),N($N100)+ROW()/1000000,"")</f>
        <v/>
      </c>
      <c r="Z100" s="24">
        <f>IF(AND($T100=1,$U100=0,$I100="",N($N100)&lt;=0,-N($N100)&lt;=HORIZON),N($N100)+ROW()/1000000,"")</f>
        <v/>
      </c>
    </row>
    <row r="101">
      <c r="A101" s="21" t="n"/>
      <c r="B101" s="21" t="n"/>
      <c r="C101" s="21" t="n"/>
      <c r="D101" s="21" t="n"/>
      <c r="E101" s="21" t="n"/>
      <c r="F101" s="21" t="n"/>
      <c r="G101" s="21" t="n"/>
      <c r="H101" s="21" t="n"/>
      <c r="I101" s="22" t="n"/>
      <c r="J101" s="22" t="n"/>
      <c r="K101" s="23">
        <f>IF($A101="","",IF($J101&lt;&gt;"",$J101,$S101))</f>
        <v/>
      </c>
      <c r="L101" s="24">
        <f>IF(OR($A101="",$E101=""),"",IF($J101&lt;&gt;"","Manual",IF($S101="","-","Auto")))</f>
        <v/>
      </c>
      <c r="M101" s="22" t="n"/>
      <c r="N101" s="25">
        <f>IF($T101=0,"",IF($U101=1,IF($M101="","",$M101-$K101),IF($K101="","",TODAY()-$K101)))</f>
        <v/>
      </c>
      <c r="O101" s="24">
        <f>IF(OR($A101="",$E101=""),"",IF($V101=1,S_INACT,IF(ISNA(MATCH($A101,TYP_TYPE,0)),S_TYPEKO,IF($U101=1,S_DONE,IF(AND($K101="",$R101=""),S_NOSCOPE,IF($K101="",S_NOTARGET,IF($N101&gt;0,S_LATE,IF($I101&lt;&gt;"",S_WIP,IF(-$N101&lt;=FEN_DOC,S_RISK,IF(-$N101&lt;=HORIZON,S_COMING,S_NOTYET))))))))))</f>
        <v/>
      </c>
      <c r="P101" s="24">
        <f>IF(OR($A101="",$E101=""),"",IF($V101=1,"",IF(ISNA(MATCH($A101,TYP_TYPE,0)),"Type not in the library",IF($B101="","Scope not set",IF(AND($B101="System",$C101=""),"System not set",IF(AND($B101="Equipment",$D101=""),"Equipment not set",IF($F101="","Responsible not set",IF($K101="","No target date",IF(AND($B101="Equipment",$C101&lt;&gt;"",IFERROR(INDEX(EQP_SYS,MATCH($D101,EQP_NOM,0)),"")&lt;&gt;$C101),"Equipment not in that system",IF(AND($U101=1,$M101=""),"Approved with no approval date",""))))))))))</f>
        <v/>
      </c>
      <c r="Q101" s="21" t="n"/>
      <c r="R101" s="23">
        <f>IF(OR($A101="",$B101=""),"",IF($B101="Equipment",IFERROR(INDEX(EQP_START,MATCH($D101,EQP_NOM,0)),""),IF($B101="System",IFERROR(INDEX(SYS_EARLIEST,MATCH($C101,SYS_ID,0)),""),IF($B101="All",CTR_EARLIEST,""))))</f>
        <v/>
      </c>
      <c r="S101" s="23">
        <f>IF(OR($A101="",$E101=""),"",IFERROR(IF(INDEX(TYP_ANCHOR,MATCH($A101,TYP_TYPE,0))="Commissioning Start",IF($R101="","",$R101-INDEX(TYP_LEAD,MATCH($A101,TYP_TYPE,0))),IF(INDEX(MS_PLAN,MATCH(INDEX(TYP_ANCHOR,MATCH($A101,TYP_TYPE,0)),MS_NOM,0))="","",INDEX(MS_PLAN,MATCH(INDEX(TYP_ANCHOR,MATCH($A101,TYP_TYPE,0)),MS_NOM,0))-INDEX(TYP_LEAD,MATCH($A101,TYP_TYPE,0)))),""))</f>
        <v/>
      </c>
      <c r="T101" s="26">
        <f>IF(OR($A101="",$E101=""),0,IF($V101=1,0,1))</f>
        <v/>
      </c>
      <c r="U101" s="26">
        <f>IF($T101=0,0,IF($M101&lt;&gt;"",1,IF(IFERROR(INDEX(WF_CLASS,MATCH($H101,WF_CODE,0)),"")="Done",1,0)))</f>
        <v/>
      </c>
      <c r="V101" s="26">
        <f>IF(OR($A101="",$E101=""),0,IF(IFERROR(INDEX(WF_CLASS,MATCH($H101,WF_CODE,0)),"")="Inactive",1,0))</f>
        <v/>
      </c>
      <c r="W101" s="24">
        <f>IF($A101="","",IFERROR(INDEX(TYP_PHASE,MATCH($A101,TYP_TYPE,0)),"-"))</f>
        <v/>
      </c>
      <c r="X101" s="24">
        <f>IF(AND($T101=1,$U101=0,N($N101)&gt;0),$N101+ROW()/1000000,"")</f>
        <v/>
      </c>
      <c r="Y101" s="24">
        <f>IF(AND($T101=1,$U101=0,OR($I101&lt;&gt;"",N($N101)&gt;0)),N($N101)+ROW()/1000000,"")</f>
        <v/>
      </c>
      <c r="Z101" s="24">
        <f>IF(AND($T101=1,$U101=0,$I101="",N($N101)&lt;=0,-N($N101)&lt;=HORIZON),N($N101)+ROW()/1000000,"")</f>
        <v/>
      </c>
    </row>
    <row r="102">
      <c r="A102" s="21" t="n"/>
      <c r="B102" s="21" t="n"/>
      <c r="C102" s="21" t="n"/>
      <c r="D102" s="21" t="n"/>
      <c r="E102" s="21" t="n"/>
      <c r="F102" s="21" t="n"/>
      <c r="G102" s="21" t="n"/>
      <c r="H102" s="21" t="n"/>
      <c r="I102" s="22" t="n"/>
      <c r="J102" s="22" t="n"/>
      <c r="K102" s="23">
        <f>IF($A102="","",IF($J102&lt;&gt;"",$J102,$S102))</f>
        <v/>
      </c>
      <c r="L102" s="24">
        <f>IF(OR($A102="",$E102=""),"",IF($J102&lt;&gt;"","Manual",IF($S102="","-","Auto")))</f>
        <v/>
      </c>
      <c r="M102" s="22" t="n"/>
      <c r="N102" s="25">
        <f>IF($T102=0,"",IF($U102=1,IF($M102="","",$M102-$K102),IF($K102="","",TODAY()-$K102)))</f>
        <v/>
      </c>
      <c r="O102" s="24">
        <f>IF(OR($A102="",$E102=""),"",IF($V102=1,S_INACT,IF(ISNA(MATCH($A102,TYP_TYPE,0)),S_TYPEKO,IF($U102=1,S_DONE,IF(AND($K102="",$R102=""),S_NOSCOPE,IF($K102="",S_NOTARGET,IF($N102&gt;0,S_LATE,IF($I102&lt;&gt;"",S_WIP,IF(-$N102&lt;=FEN_DOC,S_RISK,IF(-$N102&lt;=HORIZON,S_COMING,S_NOTYET))))))))))</f>
        <v/>
      </c>
      <c r="P102" s="24">
        <f>IF(OR($A102="",$E102=""),"",IF($V102=1,"",IF(ISNA(MATCH($A102,TYP_TYPE,0)),"Type not in the library",IF($B102="","Scope not set",IF(AND($B102="System",$C102=""),"System not set",IF(AND($B102="Equipment",$D102=""),"Equipment not set",IF($F102="","Responsible not set",IF($K102="","No target date",IF(AND($B102="Equipment",$C102&lt;&gt;"",IFERROR(INDEX(EQP_SYS,MATCH($D102,EQP_NOM,0)),"")&lt;&gt;$C102),"Equipment not in that system",IF(AND($U102=1,$M102=""),"Approved with no approval date",""))))))))))</f>
        <v/>
      </c>
      <c r="Q102" s="21" t="n"/>
      <c r="R102" s="23">
        <f>IF(OR($A102="",$B102=""),"",IF($B102="Equipment",IFERROR(INDEX(EQP_START,MATCH($D102,EQP_NOM,0)),""),IF($B102="System",IFERROR(INDEX(SYS_EARLIEST,MATCH($C102,SYS_ID,0)),""),IF($B102="All",CTR_EARLIEST,""))))</f>
        <v/>
      </c>
      <c r="S102" s="23">
        <f>IF(OR($A102="",$E102=""),"",IFERROR(IF(INDEX(TYP_ANCHOR,MATCH($A102,TYP_TYPE,0))="Commissioning Start",IF($R102="","",$R102-INDEX(TYP_LEAD,MATCH($A102,TYP_TYPE,0))),IF(INDEX(MS_PLAN,MATCH(INDEX(TYP_ANCHOR,MATCH($A102,TYP_TYPE,0)),MS_NOM,0))="","",INDEX(MS_PLAN,MATCH(INDEX(TYP_ANCHOR,MATCH($A102,TYP_TYPE,0)),MS_NOM,0))-INDEX(TYP_LEAD,MATCH($A102,TYP_TYPE,0)))),""))</f>
        <v/>
      </c>
      <c r="T102" s="26">
        <f>IF(OR($A102="",$E102=""),0,IF($V102=1,0,1))</f>
        <v/>
      </c>
      <c r="U102" s="26">
        <f>IF($T102=0,0,IF($M102&lt;&gt;"",1,IF(IFERROR(INDEX(WF_CLASS,MATCH($H102,WF_CODE,0)),"")="Done",1,0)))</f>
        <v/>
      </c>
      <c r="V102" s="26">
        <f>IF(OR($A102="",$E102=""),0,IF(IFERROR(INDEX(WF_CLASS,MATCH($H102,WF_CODE,0)),"")="Inactive",1,0))</f>
        <v/>
      </c>
      <c r="W102" s="24">
        <f>IF($A102="","",IFERROR(INDEX(TYP_PHASE,MATCH($A102,TYP_TYPE,0)),"-"))</f>
        <v/>
      </c>
      <c r="X102" s="24">
        <f>IF(AND($T102=1,$U102=0,N($N102)&gt;0),$N102+ROW()/1000000,"")</f>
        <v/>
      </c>
      <c r="Y102" s="24">
        <f>IF(AND($T102=1,$U102=0,OR($I102&lt;&gt;"",N($N102)&gt;0)),N($N102)+ROW()/1000000,"")</f>
        <v/>
      </c>
      <c r="Z102" s="24">
        <f>IF(AND($T102=1,$U102=0,$I102="",N($N102)&lt;=0,-N($N102)&lt;=HORIZON),N($N102)+ROW()/1000000,"")</f>
        <v/>
      </c>
    </row>
    <row r="103">
      <c r="A103" s="21" t="n"/>
      <c r="B103" s="21" t="n"/>
      <c r="C103" s="21" t="n"/>
      <c r="D103" s="21" t="n"/>
      <c r="E103" s="21" t="n"/>
      <c r="F103" s="21" t="n"/>
      <c r="G103" s="21" t="n"/>
      <c r="H103" s="21" t="n"/>
      <c r="I103" s="22" t="n"/>
      <c r="J103" s="22" t="n"/>
      <c r="K103" s="23">
        <f>IF($A103="","",IF($J103&lt;&gt;"",$J103,$S103))</f>
        <v/>
      </c>
      <c r="L103" s="24">
        <f>IF(OR($A103="",$E103=""),"",IF($J103&lt;&gt;"","Manual",IF($S103="","-","Auto")))</f>
        <v/>
      </c>
      <c r="M103" s="22" t="n"/>
      <c r="N103" s="25">
        <f>IF($T103=0,"",IF($U103=1,IF($M103="","",$M103-$K103),IF($K103="","",TODAY()-$K103)))</f>
        <v/>
      </c>
      <c r="O103" s="24">
        <f>IF(OR($A103="",$E103=""),"",IF($V103=1,S_INACT,IF(ISNA(MATCH($A103,TYP_TYPE,0)),S_TYPEKO,IF($U103=1,S_DONE,IF(AND($K103="",$R103=""),S_NOSCOPE,IF($K103="",S_NOTARGET,IF($N103&gt;0,S_LATE,IF($I103&lt;&gt;"",S_WIP,IF(-$N103&lt;=FEN_DOC,S_RISK,IF(-$N103&lt;=HORIZON,S_COMING,S_NOTYET))))))))))</f>
        <v/>
      </c>
      <c r="P103" s="24">
        <f>IF(OR($A103="",$E103=""),"",IF($V103=1,"",IF(ISNA(MATCH($A103,TYP_TYPE,0)),"Type not in the library",IF($B103="","Scope not set",IF(AND($B103="System",$C103=""),"System not set",IF(AND($B103="Equipment",$D103=""),"Equipment not set",IF($F103="","Responsible not set",IF($K103="","No target date",IF(AND($B103="Equipment",$C103&lt;&gt;"",IFERROR(INDEX(EQP_SYS,MATCH($D103,EQP_NOM,0)),"")&lt;&gt;$C103),"Equipment not in that system",IF(AND($U103=1,$M103=""),"Approved with no approval date",""))))))))))</f>
        <v/>
      </c>
      <c r="Q103" s="21" t="n"/>
      <c r="R103" s="23">
        <f>IF(OR($A103="",$B103=""),"",IF($B103="Equipment",IFERROR(INDEX(EQP_START,MATCH($D103,EQP_NOM,0)),""),IF($B103="System",IFERROR(INDEX(SYS_EARLIEST,MATCH($C103,SYS_ID,0)),""),IF($B103="All",CTR_EARLIEST,""))))</f>
        <v/>
      </c>
      <c r="S103" s="23">
        <f>IF(OR($A103="",$E103=""),"",IFERROR(IF(INDEX(TYP_ANCHOR,MATCH($A103,TYP_TYPE,0))="Commissioning Start",IF($R103="","",$R103-INDEX(TYP_LEAD,MATCH($A103,TYP_TYPE,0))),IF(INDEX(MS_PLAN,MATCH(INDEX(TYP_ANCHOR,MATCH($A103,TYP_TYPE,0)),MS_NOM,0))="","",INDEX(MS_PLAN,MATCH(INDEX(TYP_ANCHOR,MATCH($A103,TYP_TYPE,0)),MS_NOM,0))-INDEX(TYP_LEAD,MATCH($A103,TYP_TYPE,0)))),""))</f>
        <v/>
      </c>
      <c r="T103" s="26">
        <f>IF(OR($A103="",$E103=""),0,IF($V103=1,0,1))</f>
        <v/>
      </c>
      <c r="U103" s="26">
        <f>IF($T103=0,0,IF($M103&lt;&gt;"",1,IF(IFERROR(INDEX(WF_CLASS,MATCH($H103,WF_CODE,0)),"")="Done",1,0)))</f>
        <v/>
      </c>
      <c r="V103" s="26">
        <f>IF(OR($A103="",$E103=""),0,IF(IFERROR(INDEX(WF_CLASS,MATCH($H103,WF_CODE,0)),"")="Inactive",1,0))</f>
        <v/>
      </c>
      <c r="W103" s="24">
        <f>IF($A103="","",IFERROR(INDEX(TYP_PHASE,MATCH($A103,TYP_TYPE,0)),"-"))</f>
        <v/>
      </c>
      <c r="X103" s="24">
        <f>IF(AND($T103=1,$U103=0,N($N103)&gt;0),$N103+ROW()/1000000,"")</f>
        <v/>
      </c>
      <c r="Y103" s="24">
        <f>IF(AND($T103=1,$U103=0,OR($I103&lt;&gt;"",N($N103)&gt;0)),N($N103)+ROW()/1000000,"")</f>
        <v/>
      </c>
      <c r="Z103" s="24">
        <f>IF(AND($T103=1,$U103=0,$I103="",N($N103)&lt;=0,-N($N103)&lt;=HORIZON),N($N103)+ROW()/1000000,"")</f>
        <v/>
      </c>
    </row>
    <row r="104">
      <c r="A104" s="21" t="n"/>
      <c r="B104" s="21" t="n"/>
      <c r="C104" s="21" t="n"/>
      <c r="D104" s="21" t="n"/>
      <c r="E104" s="21" t="n"/>
      <c r="F104" s="21" t="n"/>
      <c r="G104" s="21" t="n"/>
      <c r="H104" s="21" t="n"/>
      <c r="I104" s="22" t="n"/>
      <c r="J104" s="22" t="n"/>
      <c r="K104" s="23">
        <f>IF($A104="","",IF($J104&lt;&gt;"",$J104,$S104))</f>
        <v/>
      </c>
      <c r="L104" s="24">
        <f>IF(OR($A104="",$E104=""),"",IF($J104&lt;&gt;"","Manual",IF($S104="","-","Auto")))</f>
        <v/>
      </c>
      <c r="M104" s="22" t="n"/>
      <c r="N104" s="25">
        <f>IF($T104=0,"",IF($U104=1,IF($M104="","",$M104-$K104),IF($K104="","",TODAY()-$K104)))</f>
        <v/>
      </c>
      <c r="O104" s="24">
        <f>IF(OR($A104="",$E104=""),"",IF($V104=1,S_INACT,IF(ISNA(MATCH($A104,TYP_TYPE,0)),S_TYPEKO,IF($U104=1,S_DONE,IF(AND($K104="",$R104=""),S_NOSCOPE,IF($K104="",S_NOTARGET,IF($N104&gt;0,S_LATE,IF($I104&lt;&gt;"",S_WIP,IF(-$N104&lt;=FEN_DOC,S_RISK,IF(-$N104&lt;=HORIZON,S_COMING,S_NOTYET))))))))))</f>
        <v/>
      </c>
      <c r="P104" s="24">
        <f>IF(OR($A104="",$E104=""),"",IF($V104=1,"",IF(ISNA(MATCH($A104,TYP_TYPE,0)),"Type not in the library",IF($B104="","Scope not set",IF(AND($B104="System",$C104=""),"System not set",IF(AND($B104="Equipment",$D104=""),"Equipment not set",IF($F104="","Responsible not set",IF($K104="","No target date",IF(AND($B104="Equipment",$C104&lt;&gt;"",IFERROR(INDEX(EQP_SYS,MATCH($D104,EQP_NOM,0)),"")&lt;&gt;$C104),"Equipment not in that system",IF(AND($U104=1,$M104=""),"Approved with no approval date",""))))))))))</f>
        <v/>
      </c>
      <c r="Q104" s="21" t="n"/>
      <c r="R104" s="23">
        <f>IF(OR($A104="",$B104=""),"",IF($B104="Equipment",IFERROR(INDEX(EQP_START,MATCH($D104,EQP_NOM,0)),""),IF($B104="System",IFERROR(INDEX(SYS_EARLIEST,MATCH($C104,SYS_ID,0)),""),IF($B104="All",CTR_EARLIEST,""))))</f>
        <v/>
      </c>
      <c r="S104" s="23">
        <f>IF(OR($A104="",$E104=""),"",IFERROR(IF(INDEX(TYP_ANCHOR,MATCH($A104,TYP_TYPE,0))="Commissioning Start",IF($R104="","",$R104-INDEX(TYP_LEAD,MATCH($A104,TYP_TYPE,0))),IF(INDEX(MS_PLAN,MATCH(INDEX(TYP_ANCHOR,MATCH($A104,TYP_TYPE,0)),MS_NOM,0))="","",INDEX(MS_PLAN,MATCH(INDEX(TYP_ANCHOR,MATCH($A104,TYP_TYPE,0)),MS_NOM,0))-INDEX(TYP_LEAD,MATCH($A104,TYP_TYPE,0)))),""))</f>
        <v/>
      </c>
      <c r="T104" s="26">
        <f>IF(OR($A104="",$E104=""),0,IF($V104=1,0,1))</f>
        <v/>
      </c>
      <c r="U104" s="26">
        <f>IF($T104=0,0,IF($M104&lt;&gt;"",1,IF(IFERROR(INDEX(WF_CLASS,MATCH($H104,WF_CODE,0)),"")="Done",1,0)))</f>
        <v/>
      </c>
      <c r="V104" s="26">
        <f>IF(OR($A104="",$E104=""),0,IF(IFERROR(INDEX(WF_CLASS,MATCH($H104,WF_CODE,0)),"")="Inactive",1,0))</f>
        <v/>
      </c>
      <c r="W104" s="24">
        <f>IF($A104="","",IFERROR(INDEX(TYP_PHASE,MATCH($A104,TYP_TYPE,0)),"-"))</f>
        <v/>
      </c>
      <c r="X104" s="24">
        <f>IF(AND($T104=1,$U104=0,N($N104)&gt;0),$N104+ROW()/1000000,"")</f>
        <v/>
      </c>
      <c r="Y104" s="24">
        <f>IF(AND($T104=1,$U104=0,OR($I104&lt;&gt;"",N($N104)&gt;0)),N($N104)+ROW()/1000000,"")</f>
        <v/>
      </c>
      <c r="Z104" s="24">
        <f>IF(AND($T104=1,$U104=0,$I104="",N($N104)&lt;=0,-N($N104)&lt;=HORIZON),N($N104)+ROW()/1000000,"")</f>
        <v/>
      </c>
    </row>
    <row r="105">
      <c r="A105" s="21" t="n"/>
      <c r="B105" s="21" t="n"/>
      <c r="C105" s="21" t="n"/>
      <c r="D105" s="21" t="n"/>
      <c r="E105" s="21" t="n"/>
      <c r="F105" s="21" t="n"/>
      <c r="G105" s="21" t="n"/>
      <c r="H105" s="21" t="n"/>
      <c r="I105" s="22" t="n"/>
      <c r="J105" s="22" t="n"/>
      <c r="K105" s="23">
        <f>IF($A105="","",IF($J105&lt;&gt;"",$J105,$S105))</f>
        <v/>
      </c>
      <c r="L105" s="24">
        <f>IF(OR($A105="",$E105=""),"",IF($J105&lt;&gt;"","Manual",IF($S105="","-","Auto")))</f>
        <v/>
      </c>
      <c r="M105" s="22" t="n"/>
      <c r="N105" s="25">
        <f>IF($T105=0,"",IF($U105=1,IF($M105="","",$M105-$K105),IF($K105="","",TODAY()-$K105)))</f>
        <v/>
      </c>
      <c r="O105" s="24">
        <f>IF(OR($A105="",$E105=""),"",IF($V105=1,S_INACT,IF(ISNA(MATCH($A105,TYP_TYPE,0)),S_TYPEKO,IF($U105=1,S_DONE,IF(AND($K105="",$R105=""),S_NOSCOPE,IF($K105="",S_NOTARGET,IF($N105&gt;0,S_LATE,IF($I105&lt;&gt;"",S_WIP,IF(-$N105&lt;=FEN_DOC,S_RISK,IF(-$N105&lt;=HORIZON,S_COMING,S_NOTYET))))))))))</f>
        <v/>
      </c>
      <c r="P105" s="24">
        <f>IF(OR($A105="",$E105=""),"",IF($V105=1,"",IF(ISNA(MATCH($A105,TYP_TYPE,0)),"Type not in the library",IF($B105="","Scope not set",IF(AND($B105="System",$C105=""),"System not set",IF(AND($B105="Equipment",$D105=""),"Equipment not set",IF($F105="","Responsible not set",IF($K105="","No target date",IF(AND($B105="Equipment",$C105&lt;&gt;"",IFERROR(INDEX(EQP_SYS,MATCH($D105,EQP_NOM,0)),"")&lt;&gt;$C105),"Equipment not in that system",IF(AND($U105=1,$M105=""),"Approved with no approval date",""))))))))))</f>
        <v/>
      </c>
      <c r="Q105" s="21" t="n"/>
      <c r="R105" s="23">
        <f>IF(OR($A105="",$B105=""),"",IF($B105="Equipment",IFERROR(INDEX(EQP_START,MATCH($D105,EQP_NOM,0)),""),IF($B105="System",IFERROR(INDEX(SYS_EARLIEST,MATCH($C105,SYS_ID,0)),""),IF($B105="All",CTR_EARLIEST,""))))</f>
        <v/>
      </c>
      <c r="S105" s="23">
        <f>IF(OR($A105="",$E105=""),"",IFERROR(IF(INDEX(TYP_ANCHOR,MATCH($A105,TYP_TYPE,0))="Commissioning Start",IF($R105="","",$R105-INDEX(TYP_LEAD,MATCH($A105,TYP_TYPE,0))),IF(INDEX(MS_PLAN,MATCH(INDEX(TYP_ANCHOR,MATCH($A105,TYP_TYPE,0)),MS_NOM,0))="","",INDEX(MS_PLAN,MATCH(INDEX(TYP_ANCHOR,MATCH($A105,TYP_TYPE,0)),MS_NOM,0))-INDEX(TYP_LEAD,MATCH($A105,TYP_TYPE,0)))),""))</f>
        <v/>
      </c>
      <c r="T105" s="26">
        <f>IF(OR($A105="",$E105=""),0,IF($V105=1,0,1))</f>
        <v/>
      </c>
      <c r="U105" s="26">
        <f>IF($T105=0,0,IF($M105&lt;&gt;"",1,IF(IFERROR(INDEX(WF_CLASS,MATCH($H105,WF_CODE,0)),"")="Done",1,0)))</f>
        <v/>
      </c>
      <c r="V105" s="26">
        <f>IF(OR($A105="",$E105=""),0,IF(IFERROR(INDEX(WF_CLASS,MATCH($H105,WF_CODE,0)),"")="Inactive",1,0))</f>
        <v/>
      </c>
      <c r="W105" s="24">
        <f>IF($A105="","",IFERROR(INDEX(TYP_PHASE,MATCH($A105,TYP_TYPE,0)),"-"))</f>
        <v/>
      </c>
      <c r="X105" s="24">
        <f>IF(AND($T105=1,$U105=0,N($N105)&gt;0),$N105+ROW()/1000000,"")</f>
        <v/>
      </c>
      <c r="Y105" s="24">
        <f>IF(AND($T105=1,$U105=0,OR($I105&lt;&gt;"",N($N105)&gt;0)),N($N105)+ROW()/1000000,"")</f>
        <v/>
      </c>
      <c r="Z105" s="24">
        <f>IF(AND($T105=1,$U105=0,$I105="",N($N105)&lt;=0,-N($N105)&lt;=HORIZON),N($N105)+ROW()/1000000,"")</f>
        <v/>
      </c>
    </row>
    <row r="106">
      <c r="A106" s="21" t="n"/>
      <c r="B106" s="21" t="n"/>
      <c r="C106" s="21" t="n"/>
      <c r="D106" s="21" t="n"/>
      <c r="E106" s="21" t="n"/>
      <c r="F106" s="21" t="n"/>
      <c r="G106" s="21" t="n"/>
      <c r="H106" s="21" t="n"/>
      <c r="I106" s="22" t="n"/>
      <c r="J106" s="22" t="n"/>
      <c r="K106" s="23">
        <f>IF($A106="","",IF($J106&lt;&gt;"",$J106,$S106))</f>
        <v/>
      </c>
      <c r="L106" s="24">
        <f>IF(OR($A106="",$E106=""),"",IF($J106&lt;&gt;"","Manual",IF($S106="","-","Auto")))</f>
        <v/>
      </c>
      <c r="M106" s="22" t="n"/>
      <c r="N106" s="25">
        <f>IF($T106=0,"",IF($U106=1,IF($M106="","",$M106-$K106),IF($K106="","",TODAY()-$K106)))</f>
        <v/>
      </c>
      <c r="O106" s="24">
        <f>IF(OR($A106="",$E106=""),"",IF($V106=1,S_INACT,IF(ISNA(MATCH($A106,TYP_TYPE,0)),S_TYPEKO,IF($U106=1,S_DONE,IF(AND($K106="",$R106=""),S_NOSCOPE,IF($K106="",S_NOTARGET,IF($N106&gt;0,S_LATE,IF($I106&lt;&gt;"",S_WIP,IF(-$N106&lt;=FEN_DOC,S_RISK,IF(-$N106&lt;=HORIZON,S_COMING,S_NOTYET))))))))))</f>
        <v/>
      </c>
      <c r="P106" s="24">
        <f>IF(OR($A106="",$E106=""),"",IF($V106=1,"",IF(ISNA(MATCH($A106,TYP_TYPE,0)),"Type not in the library",IF($B106="","Scope not set",IF(AND($B106="System",$C106=""),"System not set",IF(AND($B106="Equipment",$D106=""),"Equipment not set",IF($F106="","Responsible not set",IF($K106="","No target date",IF(AND($B106="Equipment",$C106&lt;&gt;"",IFERROR(INDEX(EQP_SYS,MATCH($D106,EQP_NOM,0)),"")&lt;&gt;$C106),"Equipment not in that system",IF(AND($U106=1,$M106=""),"Approved with no approval date",""))))))))))</f>
        <v/>
      </c>
      <c r="Q106" s="21" t="n"/>
      <c r="R106" s="23">
        <f>IF(OR($A106="",$B106=""),"",IF($B106="Equipment",IFERROR(INDEX(EQP_START,MATCH($D106,EQP_NOM,0)),""),IF($B106="System",IFERROR(INDEX(SYS_EARLIEST,MATCH($C106,SYS_ID,0)),""),IF($B106="All",CTR_EARLIEST,""))))</f>
        <v/>
      </c>
      <c r="S106" s="23">
        <f>IF(OR($A106="",$E106=""),"",IFERROR(IF(INDEX(TYP_ANCHOR,MATCH($A106,TYP_TYPE,0))="Commissioning Start",IF($R106="","",$R106-INDEX(TYP_LEAD,MATCH($A106,TYP_TYPE,0))),IF(INDEX(MS_PLAN,MATCH(INDEX(TYP_ANCHOR,MATCH($A106,TYP_TYPE,0)),MS_NOM,0))="","",INDEX(MS_PLAN,MATCH(INDEX(TYP_ANCHOR,MATCH($A106,TYP_TYPE,0)),MS_NOM,0))-INDEX(TYP_LEAD,MATCH($A106,TYP_TYPE,0)))),""))</f>
        <v/>
      </c>
      <c r="T106" s="26">
        <f>IF(OR($A106="",$E106=""),0,IF($V106=1,0,1))</f>
        <v/>
      </c>
      <c r="U106" s="26">
        <f>IF($T106=0,0,IF($M106&lt;&gt;"",1,IF(IFERROR(INDEX(WF_CLASS,MATCH($H106,WF_CODE,0)),"")="Done",1,0)))</f>
        <v/>
      </c>
      <c r="V106" s="26">
        <f>IF(OR($A106="",$E106=""),0,IF(IFERROR(INDEX(WF_CLASS,MATCH($H106,WF_CODE,0)),"")="Inactive",1,0))</f>
        <v/>
      </c>
      <c r="W106" s="24">
        <f>IF($A106="","",IFERROR(INDEX(TYP_PHASE,MATCH($A106,TYP_TYPE,0)),"-"))</f>
        <v/>
      </c>
      <c r="X106" s="24">
        <f>IF(AND($T106=1,$U106=0,N($N106)&gt;0),$N106+ROW()/1000000,"")</f>
        <v/>
      </c>
      <c r="Y106" s="24">
        <f>IF(AND($T106=1,$U106=0,OR($I106&lt;&gt;"",N($N106)&gt;0)),N($N106)+ROW()/1000000,"")</f>
        <v/>
      </c>
      <c r="Z106" s="24">
        <f>IF(AND($T106=1,$U106=0,$I106="",N($N106)&lt;=0,-N($N106)&lt;=HORIZON),N($N106)+ROW()/1000000,"")</f>
        <v/>
      </c>
    </row>
    <row r="107">
      <c r="A107" s="21" t="n"/>
      <c r="B107" s="21" t="n"/>
      <c r="C107" s="21" t="n"/>
      <c r="D107" s="21" t="n"/>
      <c r="E107" s="21" t="n"/>
      <c r="F107" s="21" t="n"/>
      <c r="G107" s="21" t="n"/>
      <c r="H107" s="21" t="n"/>
      <c r="I107" s="22" t="n"/>
      <c r="J107" s="22" t="n"/>
      <c r="K107" s="23">
        <f>IF($A107="","",IF($J107&lt;&gt;"",$J107,$S107))</f>
        <v/>
      </c>
      <c r="L107" s="24">
        <f>IF(OR($A107="",$E107=""),"",IF($J107&lt;&gt;"","Manual",IF($S107="","-","Auto")))</f>
        <v/>
      </c>
      <c r="M107" s="22" t="n"/>
      <c r="N107" s="25">
        <f>IF($T107=0,"",IF($U107=1,IF($M107="","",$M107-$K107),IF($K107="","",TODAY()-$K107)))</f>
        <v/>
      </c>
      <c r="O107" s="24">
        <f>IF(OR($A107="",$E107=""),"",IF($V107=1,S_INACT,IF(ISNA(MATCH($A107,TYP_TYPE,0)),S_TYPEKO,IF($U107=1,S_DONE,IF(AND($K107="",$R107=""),S_NOSCOPE,IF($K107="",S_NOTARGET,IF($N107&gt;0,S_LATE,IF($I107&lt;&gt;"",S_WIP,IF(-$N107&lt;=FEN_DOC,S_RISK,IF(-$N107&lt;=HORIZON,S_COMING,S_NOTYET))))))))))</f>
        <v/>
      </c>
      <c r="P107" s="24">
        <f>IF(OR($A107="",$E107=""),"",IF($V107=1,"",IF(ISNA(MATCH($A107,TYP_TYPE,0)),"Type not in the library",IF($B107="","Scope not set",IF(AND($B107="System",$C107=""),"System not set",IF(AND($B107="Equipment",$D107=""),"Equipment not set",IF($F107="","Responsible not set",IF($K107="","No target date",IF(AND($B107="Equipment",$C107&lt;&gt;"",IFERROR(INDEX(EQP_SYS,MATCH($D107,EQP_NOM,0)),"")&lt;&gt;$C107),"Equipment not in that system",IF(AND($U107=1,$M107=""),"Approved with no approval date",""))))))))))</f>
        <v/>
      </c>
      <c r="Q107" s="21" t="n"/>
      <c r="R107" s="23">
        <f>IF(OR($A107="",$B107=""),"",IF($B107="Equipment",IFERROR(INDEX(EQP_START,MATCH($D107,EQP_NOM,0)),""),IF($B107="System",IFERROR(INDEX(SYS_EARLIEST,MATCH($C107,SYS_ID,0)),""),IF($B107="All",CTR_EARLIEST,""))))</f>
        <v/>
      </c>
      <c r="S107" s="23">
        <f>IF(OR($A107="",$E107=""),"",IFERROR(IF(INDEX(TYP_ANCHOR,MATCH($A107,TYP_TYPE,0))="Commissioning Start",IF($R107="","",$R107-INDEX(TYP_LEAD,MATCH($A107,TYP_TYPE,0))),IF(INDEX(MS_PLAN,MATCH(INDEX(TYP_ANCHOR,MATCH($A107,TYP_TYPE,0)),MS_NOM,0))="","",INDEX(MS_PLAN,MATCH(INDEX(TYP_ANCHOR,MATCH($A107,TYP_TYPE,0)),MS_NOM,0))-INDEX(TYP_LEAD,MATCH($A107,TYP_TYPE,0)))),""))</f>
        <v/>
      </c>
      <c r="T107" s="26">
        <f>IF(OR($A107="",$E107=""),0,IF($V107=1,0,1))</f>
        <v/>
      </c>
      <c r="U107" s="26">
        <f>IF($T107=0,0,IF($M107&lt;&gt;"",1,IF(IFERROR(INDEX(WF_CLASS,MATCH($H107,WF_CODE,0)),"")="Done",1,0)))</f>
        <v/>
      </c>
      <c r="V107" s="26">
        <f>IF(OR($A107="",$E107=""),0,IF(IFERROR(INDEX(WF_CLASS,MATCH($H107,WF_CODE,0)),"")="Inactive",1,0))</f>
        <v/>
      </c>
      <c r="W107" s="24">
        <f>IF($A107="","",IFERROR(INDEX(TYP_PHASE,MATCH($A107,TYP_TYPE,0)),"-"))</f>
        <v/>
      </c>
      <c r="X107" s="24">
        <f>IF(AND($T107=1,$U107=0,N($N107)&gt;0),$N107+ROW()/1000000,"")</f>
        <v/>
      </c>
      <c r="Y107" s="24">
        <f>IF(AND($T107=1,$U107=0,OR($I107&lt;&gt;"",N($N107)&gt;0)),N($N107)+ROW()/1000000,"")</f>
        <v/>
      </c>
      <c r="Z107" s="24">
        <f>IF(AND($T107=1,$U107=0,$I107="",N($N107)&lt;=0,-N($N107)&lt;=HORIZON),N($N107)+ROW()/1000000,"")</f>
        <v/>
      </c>
    </row>
    <row r="108">
      <c r="A108" s="21" t="n"/>
      <c r="B108" s="21" t="n"/>
      <c r="C108" s="21" t="n"/>
      <c r="D108" s="21" t="n"/>
      <c r="E108" s="21" t="n"/>
      <c r="F108" s="21" t="n"/>
      <c r="G108" s="21" t="n"/>
      <c r="H108" s="21" t="n"/>
      <c r="I108" s="22" t="n"/>
      <c r="J108" s="22" t="n"/>
      <c r="K108" s="23">
        <f>IF($A108="","",IF($J108&lt;&gt;"",$J108,$S108))</f>
        <v/>
      </c>
      <c r="L108" s="24">
        <f>IF(OR($A108="",$E108=""),"",IF($J108&lt;&gt;"","Manual",IF($S108="","-","Auto")))</f>
        <v/>
      </c>
      <c r="M108" s="22" t="n"/>
      <c r="N108" s="25">
        <f>IF($T108=0,"",IF($U108=1,IF($M108="","",$M108-$K108),IF($K108="","",TODAY()-$K108)))</f>
        <v/>
      </c>
      <c r="O108" s="24">
        <f>IF(OR($A108="",$E108=""),"",IF($V108=1,S_INACT,IF(ISNA(MATCH($A108,TYP_TYPE,0)),S_TYPEKO,IF($U108=1,S_DONE,IF(AND($K108="",$R108=""),S_NOSCOPE,IF($K108="",S_NOTARGET,IF($N108&gt;0,S_LATE,IF($I108&lt;&gt;"",S_WIP,IF(-$N108&lt;=FEN_DOC,S_RISK,IF(-$N108&lt;=HORIZON,S_COMING,S_NOTYET))))))))))</f>
        <v/>
      </c>
      <c r="P108" s="24">
        <f>IF(OR($A108="",$E108=""),"",IF($V108=1,"",IF(ISNA(MATCH($A108,TYP_TYPE,0)),"Type not in the library",IF($B108="","Scope not set",IF(AND($B108="System",$C108=""),"System not set",IF(AND($B108="Equipment",$D108=""),"Equipment not set",IF($F108="","Responsible not set",IF($K108="","No target date",IF(AND($B108="Equipment",$C108&lt;&gt;"",IFERROR(INDEX(EQP_SYS,MATCH($D108,EQP_NOM,0)),"")&lt;&gt;$C108),"Equipment not in that system",IF(AND($U108=1,$M108=""),"Approved with no approval date",""))))))))))</f>
        <v/>
      </c>
      <c r="Q108" s="21" t="n"/>
      <c r="R108" s="23">
        <f>IF(OR($A108="",$B108=""),"",IF($B108="Equipment",IFERROR(INDEX(EQP_START,MATCH($D108,EQP_NOM,0)),""),IF($B108="System",IFERROR(INDEX(SYS_EARLIEST,MATCH($C108,SYS_ID,0)),""),IF($B108="All",CTR_EARLIEST,""))))</f>
        <v/>
      </c>
      <c r="S108" s="23">
        <f>IF(OR($A108="",$E108=""),"",IFERROR(IF(INDEX(TYP_ANCHOR,MATCH($A108,TYP_TYPE,0))="Commissioning Start",IF($R108="","",$R108-INDEX(TYP_LEAD,MATCH($A108,TYP_TYPE,0))),IF(INDEX(MS_PLAN,MATCH(INDEX(TYP_ANCHOR,MATCH($A108,TYP_TYPE,0)),MS_NOM,0))="","",INDEX(MS_PLAN,MATCH(INDEX(TYP_ANCHOR,MATCH($A108,TYP_TYPE,0)),MS_NOM,0))-INDEX(TYP_LEAD,MATCH($A108,TYP_TYPE,0)))),""))</f>
        <v/>
      </c>
      <c r="T108" s="26">
        <f>IF(OR($A108="",$E108=""),0,IF($V108=1,0,1))</f>
        <v/>
      </c>
      <c r="U108" s="26">
        <f>IF($T108=0,0,IF($M108&lt;&gt;"",1,IF(IFERROR(INDEX(WF_CLASS,MATCH($H108,WF_CODE,0)),"")="Done",1,0)))</f>
        <v/>
      </c>
      <c r="V108" s="26">
        <f>IF(OR($A108="",$E108=""),0,IF(IFERROR(INDEX(WF_CLASS,MATCH($H108,WF_CODE,0)),"")="Inactive",1,0))</f>
        <v/>
      </c>
      <c r="W108" s="24">
        <f>IF($A108="","",IFERROR(INDEX(TYP_PHASE,MATCH($A108,TYP_TYPE,0)),"-"))</f>
        <v/>
      </c>
      <c r="X108" s="24">
        <f>IF(AND($T108=1,$U108=0,N($N108)&gt;0),$N108+ROW()/1000000,"")</f>
        <v/>
      </c>
      <c r="Y108" s="24">
        <f>IF(AND($T108=1,$U108=0,OR($I108&lt;&gt;"",N($N108)&gt;0)),N($N108)+ROW()/1000000,"")</f>
        <v/>
      </c>
      <c r="Z108" s="24">
        <f>IF(AND($T108=1,$U108=0,$I108="",N($N108)&lt;=0,-N($N108)&lt;=HORIZON),N($N108)+ROW()/1000000,"")</f>
        <v/>
      </c>
    </row>
    <row r="109">
      <c r="A109" s="21" t="n"/>
      <c r="B109" s="21" t="n"/>
      <c r="C109" s="21" t="n"/>
      <c r="D109" s="21" t="n"/>
      <c r="E109" s="21" t="n"/>
      <c r="F109" s="21" t="n"/>
      <c r="G109" s="21" t="n"/>
      <c r="H109" s="21" t="n"/>
      <c r="I109" s="22" t="n"/>
      <c r="J109" s="22" t="n"/>
      <c r="K109" s="23">
        <f>IF($A109="","",IF($J109&lt;&gt;"",$J109,$S109))</f>
        <v/>
      </c>
      <c r="L109" s="24">
        <f>IF(OR($A109="",$E109=""),"",IF($J109&lt;&gt;"","Manual",IF($S109="","-","Auto")))</f>
        <v/>
      </c>
      <c r="M109" s="22" t="n"/>
      <c r="N109" s="25">
        <f>IF($T109=0,"",IF($U109=1,IF($M109="","",$M109-$K109),IF($K109="","",TODAY()-$K109)))</f>
        <v/>
      </c>
      <c r="O109" s="24">
        <f>IF(OR($A109="",$E109=""),"",IF($V109=1,S_INACT,IF(ISNA(MATCH($A109,TYP_TYPE,0)),S_TYPEKO,IF($U109=1,S_DONE,IF(AND($K109="",$R109=""),S_NOSCOPE,IF($K109="",S_NOTARGET,IF($N109&gt;0,S_LATE,IF($I109&lt;&gt;"",S_WIP,IF(-$N109&lt;=FEN_DOC,S_RISK,IF(-$N109&lt;=HORIZON,S_COMING,S_NOTYET))))))))))</f>
        <v/>
      </c>
      <c r="P109" s="24">
        <f>IF(OR($A109="",$E109=""),"",IF($V109=1,"",IF(ISNA(MATCH($A109,TYP_TYPE,0)),"Type not in the library",IF($B109="","Scope not set",IF(AND($B109="System",$C109=""),"System not set",IF(AND($B109="Equipment",$D109=""),"Equipment not set",IF($F109="","Responsible not set",IF($K109="","No target date",IF(AND($B109="Equipment",$C109&lt;&gt;"",IFERROR(INDEX(EQP_SYS,MATCH($D109,EQP_NOM,0)),"")&lt;&gt;$C109),"Equipment not in that system",IF(AND($U109=1,$M109=""),"Approved with no approval date",""))))))))))</f>
        <v/>
      </c>
      <c r="Q109" s="21" t="n"/>
      <c r="R109" s="23">
        <f>IF(OR($A109="",$B109=""),"",IF($B109="Equipment",IFERROR(INDEX(EQP_START,MATCH($D109,EQP_NOM,0)),""),IF($B109="System",IFERROR(INDEX(SYS_EARLIEST,MATCH($C109,SYS_ID,0)),""),IF($B109="All",CTR_EARLIEST,""))))</f>
        <v/>
      </c>
      <c r="S109" s="23">
        <f>IF(OR($A109="",$E109=""),"",IFERROR(IF(INDEX(TYP_ANCHOR,MATCH($A109,TYP_TYPE,0))="Commissioning Start",IF($R109="","",$R109-INDEX(TYP_LEAD,MATCH($A109,TYP_TYPE,0))),IF(INDEX(MS_PLAN,MATCH(INDEX(TYP_ANCHOR,MATCH($A109,TYP_TYPE,0)),MS_NOM,0))="","",INDEX(MS_PLAN,MATCH(INDEX(TYP_ANCHOR,MATCH($A109,TYP_TYPE,0)),MS_NOM,0))-INDEX(TYP_LEAD,MATCH($A109,TYP_TYPE,0)))),""))</f>
        <v/>
      </c>
      <c r="T109" s="26">
        <f>IF(OR($A109="",$E109=""),0,IF($V109=1,0,1))</f>
        <v/>
      </c>
      <c r="U109" s="26">
        <f>IF($T109=0,0,IF($M109&lt;&gt;"",1,IF(IFERROR(INDEX(WF_CLASS,MATCH($H109,WF_CODE,0)),"")="Done",1,0)))</f>
        <v/>
      </c>
      <c r="V109" s="26">
        <f>IF(OR($A109="",$E109=""),0,IF(IFERROR(INDEX(WF_CLASS,MATCH($H109,WF_CODE,0)),"")="Inactive",1,0))</f>
        <v/>
      </c>
      <c r="W109" s="24">
        <f>IF($A109="","",IFERROR(INDEX(TYP_PHASE,MATCH($A109,TYP_TYPE,0)),"-"))</f>
        <v/>
      </c>
      <c r="X109" s="24">
        <f>IF(AND($T109=1,$U109=0,N($N109)&gt;0),$N109+ROW()/1000000,"")</f>
        <v/>
      </c>
      <c r="Y109" s="24">
        <f>IF(AND($T109=1,$U109=0,OR($I109&lt;&gt;"",N($N109)&gt;0)),N($N109)+ROW()/1000000,"")</f>
        <v/>
      </c>
      <c r="Z109" s="24">
        <f>IF(AND($T109=1,$U109=0,$I109="",N($N109)&lt;=0,-N($N109)&lt;=HORIZON),N($N109)+ROW()/1000000,"")</f>
        <v/>
      </c>
    </row>
    <row r="110">
      <c r="A110" s="21" t="n"/>
      <c r="B110" s="21" t="n"/>
      <c r="C110" s="21" t="n"/>
      <c r="D110" s="21" t="n"/>
      <c r="E110" s="21" t="n"/>
      <c r="F110" s="21" t="n"/>
      <c r="G110" s="21" t="n"/>
      <c r="H110" s="21" t="n"/>
      <c r="I110" s="22" t="n"/>
      <c r="J110" s="22" t="n"/>
      <c r="K110" s="23">
        <f>IF($A110="","",IF($J110&lt;&gt;"",$J110,$S110))</f>
        <v/>
      </c>
      <c r="L110" s="24">
        <f>IF(OR($A110="",$E110=""),"",IF($J110&lt;&gt;"","Manual",IF($S110="","-","Auto")))</f>
        <v/>
      </c>
      <c r="M110" s="22" t="n"/>
      <c r="N110" s="25">
        <f>IF($T110=0,"",IF($U110=1,IF($M110="","",$M110-$K110),IF($K110="","",TODAY()-$K110)))</f>
        <v/>
      </c>
      <c r="O110" s="24">
        <f>IF(OR($A110="",$E110=""),"",IF($V110=1,S_INACT,IF(ISNA(MATCH($A110,TYP_TYPE,0)),S_TYPEKO,IF($U110=1,S_DONE,IF(AND($K110="",$R110=""),S_NOSCOPE,IF($K110="",S_NOTARGET,IF($N110&gt;0,S_LATE,IF($I110&lt;&gt;"",S_WIP,IF(-$N110&lt;=FEN_DOC,S_RISK,IF(-$N110&lt;=HORIZON,S_COMING,S_NOTYET))))))))))</f>
        <v/>
      </c>
      <c r="P110" s="24">
        <f>IF(OR($A110="",$E110=""),"",IF($V110=1,"",IF(ISNA(MATCH($A110,TYP_TYPE,0)),"Type not in the library",IF($B110="","Scope not set",IF(AND($B110="System",$C110=""),"System not set",IF(AND($B110="Equipment",$D110=""),"Equipment not set",IF($F110="","Responsible not set",IF($K110="","No target date",IF(AND($B110="Equipment",$C110&lt;&gt;"",IFERROR(INDEX(EQP_SYS,MATCH($D110,EQP_NOM,0)),"")&lt;&gt;$C110),"Equipment not in that system",IF(AND($U110=1,$M110=""),"Approved with no approval date",""))))))))))</f>
        <v/>
      </c>
      <c r="Q110" s="21" t="n"/>
      <c r="R110" s="23">
        <f>IF(OR($A110="",$B110=""),"",IF($B110="Equipment",IFERROR(INDEX(EQP_START,MATCH($D110,EQP_NOM,0)),""),IF($B110="System",IFERROR(INDEX(SYS_EARLIEST,MATCH($C110,SYS_ID,0)),""),IF($B110="All",CTR_EARLIEST,""))))</f>
        <v/>
      </c>
      <c r="S110" s="23">
        <f>IF(OR($A110="",$E110=""),"",IFERROR(IF(INDEX(TYP_ANCHOR,MATCH($A110,TYP_TYPE,0))="Commissioning Start",IF($R110="","",$R110-INDEX(TYP_LEAD,MATCH($A110,TYP_TYPE,0))),IF(INDEX(MS_PLAN,MATCH(INDEX(TYP_ANCHOR,MATCH($A110,TYP_TYPE,0)),MS_NOM,0))="","",INDEX(MS_PLAN,MATCH(INDEX(TYP_ANCHOR,MATCH($A110,TYP_TYPE,0)),MS_NOM,0))-INDEX(TYP_LEAD,MATCH($A110,TYP_TYPE,0)))),""))</f>
        <v/>
      </c>
      <c r="T110" s="26">
        <f>IF(OR($A110="",$E110=""),0,IF($V110=1,0,1))</f>
        <v/>
      </c>
      <c r="U110" s="26">
        <f>IF($T110=0,0,IF($M110&lt;&gt;"",1,IF(IFERROR(INDEX(WF_CLASS,MATCH($H110,WF_CODE,0)),"")="Done",1,0)))</f>
        <v/>
      </c>
      <c r="V110" s="26">
        <f>IF(OR($A110="",$E110=""),0,IF(IFERROR(INDEX(WF_CLASS,MATCH($H110,WF_CODE,0)),"")="Inactive",1,0))</f>
        <v/>
      </c>
      <c r="W110" s="24">
        <f>IF($A110="","",IFERROR(INDEX(TYP_PHASE,MATCH($A110,TYP_TYPE,0)),"-"))</f>
        <v/>
      </c>
      <c r="X110" s="24">
        <f>IF(AND($T110=1,$U110=0,N($N110)&gt;0),$N110+ROW()/1000000,"")</f>
        <v/>
      </c>
      <c r="Y110" s="24">
        <f>IF(AND($T110=1,$U110=0,OR($I110&lt;&gt;"",N($N110)&gt;0)),N($N110)+ROW()/1000000,"")</f>
        <v/>
      </c>
      <c r="Z110" s="24">
        <f>IF(AND($T110=1,$U110=0,$I110="",N($N110)&lt;=0,-N($N110)&lt;=HORIZON),N($N110)+ROW()/1000000,"")</f>
        <v/>
      </c>
    </row>
    <row r="111">
      <c r="A111" s="21" t="n"/>
      <c r="B111" s="21" t="n"/>
      <c r="C111" s="21" t="n"/>
      <c r="D111" s="21" t="n"/>
      <c r="E111" s="21" t="n"/>
      <c r="F111" s="21" t="n"/>
      <c r="G111" s="21" t="n"/>
      <c r="H111" s="21" t="n"/>
      <c r="I111" s="22" t="n"/>
      <c r="J111" s="22" t="n"/>
      <c r="K111" s="23">
        <f>IF($A111="","",IF($J111&lt;&gt;"",$J111,$S111))</f>
        <v/>
      </c>
      <c r="L111" s="24">
        <f>IF(OR($A111="",$E111=""),"",IF($J111&lt;&gt;"","Manual",IF($S111="","-","Auto")))</f>
        <v/>
      </c>
      <c r="M111" s="22" t="n"/>
      <c r="N111" s="25">
        <f>IF($T111=0,"",IF($U111=1,IF($M111="","",$M111-$K111),IF($K111="","",TODAY()-$K111)))</f>
        <v/>
      </c>
      <c r="O111" s="24">
        <f>IF(OR($A111="",$E111=""),"",IF($V111=1,S_INACT,IF(ISNA(MATCH($A111,TYP_TYPE,0)),S_TYPEKO,IF($U111=1,S_DONE,IF(AND($K111="",$R111=""),S_NOSCOPE,IF($K111="",S_NOTARGET,IF($N111&gt;0,S_LATE,IF($I111&lt;&gt;"",S_WIP,IF(-$N111&lt;=FEN_DOC,S_RISK,IF(-$N111&lt;=HORIZON,S_COMING,S_NOTYET))))))))))</f>
        <v/>
      </c>
      <c r="P111" s="24">
        <f>IF(OR($A111="",$E111=""),"",IF($V111=1,"",IF(ISNA(MATCH($A111,TYP_TYPE,0)),"Type not in the library",IF($B111="","Scope not set",IF(AND($B111="System",$C111=""),"System not set",IF(AND($B111="Equipment",$D111=""),"Equipment not set",IF($F111="","Responsible not set",IF($K111="","No target date",IF(AND($B111="Equipment",$C111&lt;&gt;"",IFERROR(INDEX(EQP_SYS,MATCH($D111,EQP_NOM,0)),"")&lt;&gt;$C111),"Equipment not in that system",IF(AND($U111=1,$M111=""),"Approved with no approval date",""))))))))))</f>
        <v/>
      </c>
      <c r="Q111" s="21" t="n"/>
      <c r="R111" s="23">
        <f>IF(OR($A111="",$B111=""),"",IF($B111="Equipment",IFERROR(INDEX(EQP_START,MATCH($D111,EQP_NOM,0)),""),IF($B111="System",IFERROR(INDEX(SYS_EARLIEST,MATCH($C111,SYS_ID,0)),""),IF($B111="All",CTR_EARLIEST,""))))</f>
        <v/>
      </c>
      <c r="S111" s="23">
        <f>IF(OR($A111="",$E111=""),"",IFERROR(IF(INDEX(TYP_ANCHOR,MATCH($A111,TYP_TYPE,0))="Commissioning Start",IF($R111="","",$R111-INDEX(TYP_LEAD,MATCH($A111,TYP_TYPE,0))),IF(INDEX(MS_PLAN,MATCH(INDEX(TYP_ANCHOR,MATCH($A111,TYP_TYPE,0)),MS_NOM,0))="","",INDEX(MS_PLAN,MATCH(INDEX(TYP_ANCHOR,MATCH($A111,TYP_TYPE,0)),MS_NOM,0))-INDEX(TYP_LEAD,MATCH($A111,TYP_TYPE,0)))),""))</f>
        <v/>
      </c>
      <c r="T111" s="26">
        <f>IF(OR($A111="",$E111=""),0,IF($V111=1,0,1))</f>
        <v/>
      </c>
      <c r="U111" s="26">
        <f>IF($T111=0,0,IF($M111&lt;&gt;"",1,IF(IFERROR(INDEX(WF_CLASS,MATCH($H111,WF_CODE,0)),"")="Done",1,0)))</f>
        <v/>
      </c>
      <c r="V111" s="26">
        <f>IF(OR($A111="",$E111=""),0,IF(IFERROR(INDEX(WF_CLASS,MATCH($H111,WF_CODE,0)),"")="Inactive",1,0))</f>
        <v/>
      </c>
      <c r="W111" s="24">
        <f>IF($A111="","",IFERROR(INDEX(TYP_PHASE,MATCH($A111,TYP_TYPE,0)),"-"))</f>
        <v/>
      </c>
      <c r="X111" s="24">
        <f>IF(AND($T111=1,$U111=0,N($N111)&gt;0),$N111+ROW()/1000000,"")</f>
        <v/>
      </c>
      <c r="Y111" s="24">
        <f>IF(AND($T111=1,$U111=0,OR($I111&lt;&gt;"",N($N111)&gt;0)),N($N111)+ROW()/1000000,"")</f>
        <v/>
      </c>
      <c r="Z111" s="24">
        <f>IF(AND($T111=1,$U111=0,$I111="",N($N111)&lt;=0,-N($N111)&lt;=HORIZON),N($N111)+ROW()/1000000,"")</f>
        <v/>
      </c>
    </row>
    <row r="112">
      <c r="A112" s="21" t="n"/>
      <c r="B112" s="21" t="n"/>
      <c r="C112" s="21" t="n"/>
      <c r="D112" s="21" t="n"/>
      <c r="E112" s="21" t="n"/>
      <c r="F112" s="21" t="n"/>
      <c r="G112" s="21" t="n"/>
      <c r="H112" s="21" t="n"/>
      <c r="I112" s="22" t="n"/>
      <c r="J112" s="22" t="n"/>
      <c r="K112" s="23">
        <f>IF($A112="","",IF($J112&lt;&gt;"",$J112,$S112))</f>
        <v/>
      </c>
      <c r="L112" s="24">
        <f>IF(OR($A112="",$E112=""),"",IF($J112&lt;&gt;"","Manual",IF($S112="","-","Auto")))</f>
        <v/>
      </c>
      <c r="M112" s="22" t="n"/>
      <c r="N112" s="25">
        <f>IF($T112=0,"",IF($U112=1,IF($M112="","",$M112-$K112),IF($K112="","",TODAY()-$K112)))</f>
        <v/>
      </c>
      <c r="O112" s="24">
        <f>IF(OR($A112="",$E112=""),"",IF($V112=1,S_INACT,IF(ISNA(MATCH($A112,TYP_TYPE,0)),S_TYPEKO,IF($U112=1,S_DONE,IF(AND($K112="",$R112=""),S_NOSCOPE,IF($K112="",S_NOTARGET,IF($N112&gt;0,S_LATE,IF($I112&lt;&gt;"",S_WIP,IF(-$N112&lt;=FEN_DOC,S_RISK,IF(-$N112&lt;=HORIZON,S_COMING,S_NOTYET))))))))))</f>
        <v/>
      </c>
      <c r="P112" s="24">
        <f>IF(OR($A112="",$E112=""),"",IF($V112=1,"",IF(ISNA(MATCH($A112,TYP_TYPE,0)),"Type not in the library",IF($B112="","Scope not set",IF(AND($B112="System",$C112=""),"System not set",IF(AND($B112="Equipment",$D112=""),"Equipment not set",IF($F112="","Responsible not set",IF($K112="","No target date",IF(AND($B112="Equipment",$C112&lt;&gt;"",IFERROR(INDEX(EQP_SYS,MATCH($D112,EQP_NOM,0)),"")&lt;&gt;$C112),"Equipment not in that system",IF(AND($U112=1,$M112=""),"Approved with no approval date",""))))))))))</f>
        <v/>
      </c>
      <c r="Q112" s="21" t="n"/>
      <c r="R112" s="23">
        <f>IF(OR($A112="",$B112=""),"",IF($B112="Equipment",IFERROR(INDEX(EQP_START,MATCH($D112,EQP_NOM,0)),""),IF($B112="System",IFERROR(INDEX(SYS_EARLIEST,MATCH($C112,SYS_ID,0)),""),IF($B112="All",CTR_EARLIEST,""))))</f>
        <v/>
      </c>
      <c r="S112" s="23">
        <f>IF(OR($A112="",$E112=""),"",IFERROR(IF(INDEX(TYP_ANCHOR,MATCH($A112,TYP_TYPE,0))="Commissioning Start",IF($R112="","",$R112-INDEX(TYP_LEAD,MATCH($A112,TYP_TYPE,0))),IF(INDEX(MS_PLAN,MATCH(INDEX(TYP_ANCHOR,MATCH($A112,TYP_TYPE,0)),MS_NOM,0))="","",INDEX(MS_PLAN,MATCH(INDEX(TYP_ANCHOR,MATCH($A112,TYP_TYPE,0)),MS_NOM,0))-INDEX(TYP_LEAD,MATCH($A112,TYP_TYPE,0)))),""))</f>
        <v/>
      </c>
      <c r="T112" s="26">
        <f>IF(OR($A112="",$E112=""),0,IF($V112=1,0,1))</f>
        <v/>
      </c>
      <c r="U112" s="26">
        <f>IF($T112=0,0,IF($M112&lt;&gt;"",1,IF(IFERROR(INDEX(WF_CLASS,MATCH($H112,WF_CODE,0)),"")="Done",1,0)))</f>
        <v/>
      </c>
      <c r="V112" s="26">
        <f>IF(OR($A112="",$E112=""),0,IF(IFERROR(INDEX(WF_CLASS,MATCH($H112,WF_CODE,0)),"")="Inactive",1,0))</f>
        <v/>
      </c>
      <c r="W112" s="24">
        <f>IF($A112="","",IFERROR(INDEX(TYP_PHASE,MATCH($A112,TYP_TYPE,0)),"-"))</f>
        <v/>
      </c>
      <c r="X112" s="24">
        <f>IF(AND($T112=1,$U112=0,N($N112)&gt;0),$N112+ROW()/1000000,"")</f>
        <v/>
      </c>
      <c r="Y112" s="24">
        <f>IF(AND($T112=1,$U112=0,OR($I112&lt;&gt;"",N($N112)&gt;0)),N($N112)+ROW()/1000000,"")</f>
        <v/>
      </c>
      <c r="Z112" s="24">
        <f>IF(AND($T112=1,$U112=0,$I112="",N($N112)&lt;=0,-N($N112)&lt;=HORIZON),N($N112)+ROW()/1000000,"")</f>
        <v/>
      </c>
    </row>
    <row r="113">
      <c r="A113" s="21" t="n"/>
      <c r="B113" s="21" t="n"/>
      <c r="C113" s="21" t="n"/>
      <c r="D113" s="21" t="n"/>
      <c r="E113" s="21" t="n"/>
      <c r="F113" s="21" t="n"/>
      <c r="G113" s="21" t="n"/>
      <c r="H113" s="21" t="n"/>
      <c r="I113" s="22" t="n"/>
      <c r="J113" s="22" t="n"/>
      <c r="K113" s="23">
        <f>IF($A113="","",IF($J113&lt;&gt;"",$J113,$S113))</f>
        <v/>
      </c>
      <c r="L113" s="24">
        <f>IF(OR($A113="",$E113=""),"",IF($J113&lt;&gt;"","Manual",IF($S113="","-","Auto")))</f>
        <v/>
      </c>
      <c r="M113" s="22" t="n"/>
      <c r="N113" s="25">
        <f>IF($T113=0,"",IF($U113=1,IF($M113="","",$M113-$K113),IF($K113="","",TODAY()-$K113)))</f>
        <v/>
      </c>
      <c r="O113" s="24">
        <f>IF(OR($A113="",$E113=""),"",IF($V113=1,S_INACT,IF(ISNA(MATCH($A113,TYP_TYPE,0)),S_TYPEKO,IF($U113=1,S_DONE,IF(AND($K113="",$R113=""),S_NOSCOPE,IF($K113="",S_NOTARGET,IF($N113&gt;0,S_LATE,IF($I113&lt;&gt;"",S_WIP,IF(-$N113&lt;=FEN_DOC,S_RISK,IF(-$N113&lt;=HORIZON,S_COMING,S_NOTYET))))))))))</f>
        <v/>
      </c>
      <c r="P113" s="24">
        <f>IF(OR($A113="",$E113=""),"",IF($V113=1,"",IF(ISNA(MATCH($A113,TYP_TYPE,0)),"Type not in the library",IF($B113="","Scope not set",IF(AND($B113="System",$C113=""),"System not set",IF(AND($B113="Equipment",$D113=""),"Equipment not set",IF($F113="","Responsible not set",IF($K113="","No target date",IF(AND($B113="Equipment",$C113&lt;&gt;"",IFERROR(INDEX(EQP_SYS,MATCH($D113,EQP_NOM,0)),"")&lt;&gt;$C113),"Equipment not in that system",IF(AND($U113=1,$M113=""),"Approved with no approval date",""))))))))))</f>
        <v/>
      </c>
      <c r="Q113" s="21" t="n"/>
      <c r="R113" s="23">
        <f>IF(OR($A113="",$B113=""),"",IF($B113="Equipment",IFERROR(INDEX(EQP_START,MATCH($D113,EQP_NOM,0)),""),IF($B113="System",IFERROR(INDEX(SYS_EARLIEST,MATCH($C113,SYS_ID,0)),""),IF($B113="All",CTR_EARLIEST,""))))</f>
        <v/>
      </c>
      <c r="S113" s="23">
        <f>IF(OR($A113="",$E113=""),"",IFERROR(IF(INDEX(TYP_ANCHOR,MATCH($A113,TYP_TYPE,0))="Commissioning Start",IF($R113="","",$R113-INDEX(TYP_LEAD,MATCH($A113,TYP_TYPE,0))),IF(INDEX(MS_PLAN,MATCH(INDEX(TYP_ANCHOR,MATCH($A113,TYP_TYPE,0)),MS_NOM,0))="","",INDEX(MS_PLAN,MATCH(INDEX(TYP_ANCHOR,MATCH($A113,TYP_TYPE,0)),MS_NOM,0))-INDEX(TYP_LEAD,MATCH($A113,TYP_TYPE,0)))),""))</f>
        <v/>
      </c>
      <c r="T113" s="26">
        <f>IF(OR($A113="",$E113=""),0,IF($V113=1,0,1))</f>
        <v/>
      </c>
      <c r="U113" s="26">
        <f>IF($T113=0,0,IF($M113&lt;&gt;"",1,IF(IFERROR(INDEX(WF_CLASS,MATCH($H113,WF_CODE,0)),"")="Done",1,0)))</f>
        <v/>
      </c>
      <c r="V113" s="26">
        <f>IF(OR($A113="",$E113=""),0,IF(IFERROR(INDEX(WF_CLASS,MATCH($H113,WF_CODE,0)),"")="Inactive",1,0))</f>
        <v/>
      </c>
      <c r="W113" s="24">
        <f>IF($A113="","",IFERROR(INDEX(TYP_PHASE,MATCH($A113,TYP_TYPE,0)),"-"))</f>
        <v/>
      </c>
      <c r="X113" s="24">
        <f>IF(AND($T113=1,$U113=0,N($N113)&gt;0),$N113+ROW()/1000000,"")</f>
        <v/>
      </c>
      <c r="Y113" s="24">
        <f>IF(AND($T113=1,$U113=0,OR($I113&lt;&gt;"",N($N113)&gt;0)),N($N113)+ROW()/1000000,"")</f>
        <v/>
      </c>
      <c r="Z113" s="24">
        <f>IF(AND($T113=1,$U113=0,$I113="",N($N113)&lt;=0,-N($N113)&lt;=HORIZON),N($N113)+ROW()/1000000,"")</f>
        <v/>
      </c>
    </row>
    <row r="114">
      <c r="A114" s="21" t="n"/>
      <c r="B114" s="21" t="n"/>
      <c r="C114" s="21" t="n"/>
      <c r="D114" s="21" t="n"/>
      <c r="E114" s="21" t="n"/>
      <c r="F114" s="21" t="n"/>
      <c r="G114" s="21" t="n"/>
      <c r="H114" s="21" t="n"/>
      <c r="I114" s="22" t="n"/>
      <c r="J114" s="22" t="n"/>
      <c r="K114" s="23">
        <f>IF($A114="","",IF($J114&lt;&gt;"",$J114,$S114))</f>
        <v/>
      </c>
      <c r="L114" s="24">
        <f>IF(OR($A114="",$E114=""),"",IF($J114&lt;&gt;"","Manual",IF($S114="","-","Auto")))</f>
        <v/>
      </c>
      <c r="M114" s="22" t="n"/>
      <c r="N114" s="25">
        <f>IF($T114=0,"",IF($U114=1,IF($M114="","",$M114-$K114),IF($K114="","",TODAY()-$K114)))</f>
        <v/>
      </c>
      <c r="O114" s="24">
        <f>IF(OR($A114="",$E114=""),"",IF($V114=1,S_INACT,IF(ISNA(MATCH($A114,TYP_TYPE,0)),S_TYPEKO,IF($U114=1,S_DONE,IF(AND($K114="",$R114=""),S_NOSCOPE,IF($K114="",S_NOTARGET,IF($N114&gt;0,S_LATE,IF($I114&lt;&gt;"",S_WIP,IF(-$N114&lt;=FEN_DOC,S_RISK,IF(-$N114&lt;=HORIZON,S_COMING,S_NOTYET))))))))))</f>
        <v/>
      </c>
      <c r="P114" s="24">
        <f>IF(OR($A114="",$E114=""),"",IF($V114=1,"",IF(ISNA(MATCH($A114,TYP_TYPE,0)),"Type not in the library",IF($B114="","Scope not set",IF(AND($B114="System",$C114=""),"System not set",IF(AND($B114="Equipment",$D114=""),"Equipment not set",IF($F114="","Responsible not set",IF($K114="","No target date",IF(AND($B114="Equipment",$C114&lt;&gt;"",IFERROR(INDEX(EQP_SYS,MATCH($D114,EQP_NOM,0)),"")&lt;&gt;$C114),"Equipment not in that system",IF(AND($U114=1,$M114=""),"Approved with no approval date",""))))))))))</f>
        <v/>
      </c>
      <c r="Q114" s="21" t="n"/>
      <c r="R114" s="23">
        <f>IF(OR($A114="",$B114=""),"",IF($B114="Equipment",IFERROR(INDEX(EQP_START,MATCH($D114,EQP_NOM,0)),""),IF($B114="System",IFERROR(INDEX(SYS_EARLIEST,MATCH($C114,SYS_ID,0)),""),IF($B114="All",CTR_EARLIEST,""))))</f>
        <v/>
      </c>
      <c r="S114" s="23">
        <f>IF(OR($A114="",$E114=""),"",IFERROR(IF(INDEX(TYP_ANCHOR,MATCH($A114,TYP_TYPE,0))="Commissioning Start",IF($R114="","",$R114-INDEX(TYP_LEAD,MATCH($A114,TYP_TYPE,0))),IF(INDEX(MS_PLAN,MATCH(INDEX(TYP_ANCHOR,MATCH($A114,TYP_TYPE,0)),MS_NOM,0))="","",INDEX(MS_PLAN,MATCH(INDEX(TYP_ANCHOR,MATCH($A114,TYP_TYPE,0)),MS_NOM,0))-INDEX(TYP_LEAD,MATCH($A114,TYP_TYPE,0)))),""))</f>
        <v/>
      </c>
      <c r="T114" s="26">
        <f>IF(OR($A114="",$E114=""),0,IF($V114=1,0,1))</f>
        <v/>
      </c>
      <c r="U114" s="26">
        <f>IF($T114=0,0,IF($M114&lt;&gt;"",1,IF(IFERROR(INDEX(WF_CLASS,MATCH($H114,WF_CODE,0)),"")="Done",1,0)))</f>
        <v/>
      </c>
      <c r="V114" s="26">
        <f>IF(OR($A114="",$E114=""),0,IF(IFERROR(INDEX(WF_CLASS,MATCH($H114,WF_CODE,0)),"")="Inactive",1,0))</f>
        <v/>
      </c>
      <c r="W114" s="24">
        <f>IF($A114="","",IFERROR(INDEX(TYP_PHASE,MATCH($A114,TYP_TYPE,0)),"-"))</f>
        <v/>
      </c>
      <c r="X114" s="24">
        <f>IF(AND($T114=1,$U114=0,N($N114)&gt;0),$N114+ROW()/1000000,"")</f>
        <v/>
      </c>
      <c r="Y114" s="24">
        <f>IF(AND($T114=1,$U114=0,OR($I114&lt;&gt;"",N($N114)&gt;0)),N($N114)+ROW()/1000000,"")</f>
        <v/>
      </c>
      <c r="Z114" s="24">
        <f>IF(AND($T114=1,$U114=0,$I114="",N($N114)&lt;=0,-N($N114)&lt;=HORIZON),N($N114)+ROW()/1000000,"")</f>
        <v/>
      </c>
    </row>
    <row r="115">
      <c r="A115" s="21" t="n"/>
      <c r="B115" s="21" t="n"/>
      <c r="C115" s="21" t="n"/>
      <c r="D115" s="21" t="n"/>
      <c r="E115" s="21" t="n"/>
      <c r="F115" s="21" t="n"/>
      <c r="G115" s="21" t="n"/>
      <c r="H115" s="21" t="n"/>
      <c r="I115" s="22" t="n"/>
      <c r="J115" s="22" t="n"/>
      <c r="K115" s="23">
        <f>IF($A115="","",IF($J115&lt;&gt;"",$J115,$S115))</f>
        <v/>
      </c>
      <c r="L115" s="24">
        <f>IF(OR($A115="",$E115=""),"",IF($J115&lt;&gt;"","Manual",IF($S115="","-","Auto")))</f>
        <v/>
      </c>
      <c r="M115" s="22" t="n"/>
      <c r="N115" s="25">
        <f>IF($T115=0,"",IF($U115=1,IF($M115="","",$M115-$K115),IF($K115="","",TODAY()-$K115)))</f>
        <v/>
      </c>
      <c r="O115" s="24">
        <f>IF(OR($A115="",$E115=""),"",IF($V115=1,S_INACT,IF(ISNA(MATCH($A115,TYP_TYPE,0)),S_TYPEKO,IF($U115=1,S_DONE,IF(AND($K115="",$R115=""),S_NOSCOPE,IF($K115="",S_NOTARGET,IF($N115&gt;0,S_LATE,IF($I115&lt;&gt;"",S_WIP,IF(-$N115&lt;=FEN_DOC,S_RISK,IF(-$N115&lt;=HORIZON,S_COMING,S_NOTYET))))))))))</f>
        <v/>
      </c>
      <c r="P115" s="24">
        <f>IF(OR($A115="",$E115=""),"",IF($V115=1,"",IF(ISNA(MATCH($A115,TYP_TYPE,0)),"Type not in the library",IF($B115="","Scope not set",IF(AND($B115="System",$C115=""),"System not set",IF(AND($B115="Equipment",$D115=""),"Equipment not set",IF($F115="","Responsible not set",IF($K115="","No target date",IF(AND($B115="Equipment",$C115&lt;&gt;"",IFERROR(INDEX(EQP_SYS,MATCH($D115,EQP_NOM,0)),"")&lt;&gt;$C115),"Equipment not in that system",IF(AND($U115=1,$M115=""),"Approved with no approval date",""))))))))))</f>
        <v/>
      </c>
      <c r="Q115" s="21" t="n"/>
      <c r="R115" s="23">
        <f>IF(OR($A115="",$B115=""),"",IF($B115="Equipment",IFERROR(INDEX(EQP_START,MATCH($D115,EQP_NOM,0)),""),IF($B115="System",IFERROR(INDEX(SYS_EARLIEST,MATCH($C115,SYS_ID,0)),""),IF($B115="All",CTR_EARLIEST,""))))</f>
        <v/>
      </c>
      <c r="S115" s="23">
        <f>IF(OR($A115="",$E115=""),"",IFERROR(IF(INDEX(TYP_ANCHOR,MATCH($A115,TYP_TYPE,0))="Commissioning Start",IF($R115="","",$R115-INDEX(TYP_LEAD,MATCH($A115,TYP_TYPE,0))),IF(INDEX(MS_PLAN,MATCH(INDEX(TYP_ANCHOR,MATCH($A115,TYP_TYPE,0)),MS_NOM,0))="","",INDEX(MS_PLAN,MATCH(INDEX(TYP_ANCHOR,MATCH($A115,TYP_TYPE,0)),MS_NOM,0))-INDEX(TYP_LEAD,MATCH($A115,TYP_TYPE,0)))),""))</f>
        <v/>
      </c>
      <c r="T115" s="26">
        <f>IF(OR($A115="",$E115=""),0,IF($V115=1,0,1))</f>
        <v/>
      </c>
      <c r="U115" s="26">
        <f>IF($T115=0,0,IF($M115&lt;&gt;"",1,IF(IFERROR(INDEX(WF_CLASS,MATCH($H115,WF_CODE,0)),"")="Done",1,0)))</f>
        <v/>
      </c>
      <c r="V115" s="26">
        <f>IF(OR($A115="",$E115=""),0,IF(IFERROR(INDEX(WF_CLASS,MATCH($H115,WF_CODE,0)),"")="Inactive",1,0))</f>
        <v/>
      </c>
      <c r="W115" s="24">
        <f>IF($A115="","",IFERROR(INDEX(TYP_PHASE,MATCH($A115,TYP_TYPE,0)),"-"))</f>
        <v/>
      </c>
      <c r="X115" s="24">
        <f>IF(AND($T115=1,$U115=0,N($N115)&gt;0),$N115+ROW()/1000000,"")</f>
        <v/>
      </c>
      <c r="Y115" s="24">
        <f>IF(AND($T115=1,$U115=0,OR($I115&lt;&gt;"",N($N115)&gt;0)),N($N115)+ROW()/1000000,"")</f>
        <v/>
      </c>
      <c r="Z115" s="24">
        <f>IF(AND($T115=1,$U115=0,$I115="",N($N115)&lt;=0,-N($N115)&lt;=HORIZON),N($N115)+ROW()/1000000,"")</f>
        <v/>
      </c>
    </row>
    <row r="116">
      <c r="A116" s="21" t="n"/>
      <c r="B116" s="21" t="n"/>
      <c r="C116" s="21" t="n"/>
      <c r="D116" s="21" t="n"/>
      <c r="E116" s="21" t="n"/>
      <c r="F116" s="21" t="n"/>
      <c r="G116" s="21" t="n"/>
      <c r="H116" s="21" t="n"/>
      <c r="I116" s="22" t="n"/>
      <c r="J116" s="22" t="n"/>
      <c r="K116" s="23">
        <f>IF($A116="","",IF($J116&lt;&gt;"",$J116,$S116))</f>
        <v/>
      </c>
      <c r="L116" s="24">
        <f>IF(OR($A116="",$E116=""),"",IF($J116&lt;&gt;"","Manual",IF($S116="","-","Auto")))</f>
        <v/>
      </c>
      <c r="M116" s="22" t="n"/>
      <c r="N116" s="25">
        <f>IF($T116=0,"",IF($U116=1,IF($M116="","",$M116-$K116),IF($K116="","",TODAY()-$K116)))</f>
        <v/>
      </c>
      <c r="O116" s="24">
        <f>IF(OR($A116="",$E116=""),"",IF($V116=1,S_INACT,IF(ISNA(MATCH($A116,TYP_TYPE,0)),S_TYPEKO,IF($U116=1,S_DONE,IF(AND($K116="",$R116=""),S_NOSCOPE,IF($K116="",S_NOTARGET,IF($N116&gt;0,S_LATE,IF($I116&lt;&gt;"",S_WIP,IF(-$N116&lt;=FEN_DOC,S_RISK,IF(-$N116&lt;=HORIZON,S_COMING,S_NOTYET))))))))))</f>
        <v/>
      </c>
      <c r="P116" s="24">
        <f>IF(OR($A116="",$E116=""),"",IF($V116=1,"",IF(ISNA(MATCH($A116,TYP_TYPE,0)),"Type not in the library",IF($B116="","Scope not set",IF(AND($B116="System",$C116=""),"System not set",IF(AND($B116="Equipment",$D116=""),"Equipment not set",IF($F116="","Responsible not set",IF($K116="","No target date",IF(AND($B116="Equipment",$C116&lt;&gt;"",IFERROR(INDEX(EQP_SYS,MATCH($D116,EQP_NOM,0)),"")&lt;&gt;$C116),"Equipment not in that system",IF(AND($U116=1,$M116=""),"Approved with no approval date",""))))))))))</f>
        <v/>
      </c>
      <c r="Q116" s="21" t="n"/>
      <c r="R116" s="23">
        <f>IF(OR($A116="",$B116=""),"",IF($B116="Equipment",IFERROR(INDEX(EQP_START,MATCH($D116,EQP_NOM,0)),""),IF($B116="System",IFERROR(INDEX(SYS_EARLIEST,MATCH($C116,SYS_ID,0)),""),IF($B116="All",CTR_EARLIEST,""))))</f>
        <v/>
      </c>
      <c r="S116" s="23">
        <f>IF(OR($A116="",$E116=""),"",IFERROR(IF(INDEX(TYP_ANCHOR,MATCH($A116,TYP_TYPE,0))="Commissioning Start",IF($R116="","",$R116-INDEX(TYP_LEAD,MATCH($A116,TYP_TYPE,0))),IF(INDEX(MS_PLAN,MATCH(INDEX(TYP_ANCHOR,MATCH($A116,TYP_TYPE,0)),MS_NOM,0))="","",INDEX(MS_PLAN,MATCH(INDEX(TYP_ANCHOR,MATCH($A116,TYP_TYPE,0)),MS_NOM,0))-INDEX(TYP_LEAD,MATCH($A116,TYP_TYPE,0)))),""))</f>
        <v/>
      </c>
      <c r="T116" s="26">
        <f>IF(OR($A116="",$E116=""),0,IF($V116=1,0,1))</f>
        <v/>
      </c>
      <c r="U116" s="26">
        <f>IF($T116=0,0,IF($M116&lt;&gt;"",1,IF(IFERROR(INDEX(WF_CLASS,MATCH($H116,WF_CODE,0)),"")="Done",1,0)))</f>
        <v/>
      </c>
      <c r="V116" s="26">
        <f>IF(OR($A116="",$E116=""),0,IF(IFERROR(INDEX(WF_CLASS,MATCH($H116,WF_CODE,0)),"")="Inactive",1,0))</f>
        <v/>
      </c>
      <c r="W116" s="24">
        <f>IF($A116="","",IFERROR(INDEX(TYP_PHASE,MATCH($A116,TYP_TYPE,0)),"-"))</f>
        <v/>
      </c>
      <c r="X116" s="24">
        <f>IF(AND($T116=1,$U116=0,N($N116)&gt;0),$N116+ROW()/1000000,"")</f>
        <v/>
      </c>
      <c r="Y116" s="24">
        <f>IF(AND($T116=1,$U116=0,OR($I116&lt;&gt;"",N($N116)&gt;0)),N($N116)+ROW()/1000000,"")</f>
        <v/>
      </c>
      <c r="Z116" s="24">
        <f>IF(AND($T116=1,$U116=0,$I116="",N($N116)&lt;=0,-N($N116)&lt;=HORIZON),N($N116)+ROW()/1000000,"")</f>
        <v/>
      </c>
    </row>
    <row r="117">
      <c r="A117" s="21" t="n"/>
      <c r="B117" s="21" t="n"/>
      <c r="C117" s="21" t="n"/>
      <c r="D117" s="21" t="n"/>
      <c r="E117" s="21" t="n"/>
      <c r="F117" s="21" t="n"/>
      <c r="G117" s="21" t="n"/>
      <c r="H117" s="21" t="n"/>
      <c r="I117" s="22" t="n"/>
      <c r="J117" s="22" t="n"/>
      <c r="K117" s="23">
        <f>IF($A117="","",IF($J117&lt;&gt;"",$J117,$S117))</f>
        <v/>
      </c>
      <c r="L117" s="24">
        <f>IF(OR($A117="",$E117=""),"",IF($J117&lt;&gt;"","Manual",IF($S117="","-","Auto")))</f>
        <v/>
      </c>
      <c r="M117" s="22" t="n"/>
      <c r="N117" s="25">
        <f>IF($T117=0,"",IF($U117=1,IF($M117="","",$M117-$K117),IF($K117="","",TODAY()-$K117)))</f>
        <v/>
      </c>
      <c r="O117" s="24">
        <f>IF(OR($A117="",$E117=""),"",IF($V117=1,S_INACT,IF(ISNA(MATCH($A117,TYP_TYPE,0)),S_TYPEKO,IF($U117=1,S_DONE,IF(AND($K117="",$R117=""),S_NOSCOPE,IF($K117="",S_NOTARGET,IF($N117&gt;0,S_LATE,IF($I117&lt;&gt;"",S_WIP,IF(-$N117&lt;=FEN_DOC,S_RISK,IF(-$N117&lt;=HORIZON,S_COMING,S_NOTYET))))))))))</f>
        <v/>
      </c>
      <c r="P117" s="24">
        <f>IF(OR($A117="",$E117=""),"",IF($V117=1,"",IF(ISNA(MATCH($A117,TYP_TYPE,0)),"Type not in the library",IF($B117="","Scope not set",IF(AND($B117="System",$C117=""),"System not set",IF(AND($B117="Equipment",$D117=""),"Equipment not set",IF($F117="","Responsible not set",IF($K117="","No target date",IF(AND($B117="Equipment",$C117&lt;&gt;"",IFERROR(INDEX(EQP_SYS,MATCH($D117,EQP_NOM,0)),"")&lt;&gt;$C117),"Equipment not in that system",IF(AND($U117=1,$M117=""),"Approved with no approval date",""))))))))))</f>
        <v/>
      </c>
      <c r="Q117" s="21" t="n"/>
      <c r="R117" s="23">
        <f>IF(OR($A117="",$B117=""),"",IF($B117="Equipment",IFERROR(INDEX(EQP_START,MATCH($D117,EQP_NOM,0)),""),IF($B117="System",IFERROR(INDEX(SYS_EARLIEST,MATCH($C117,SYS_ID,0)),""),IF($B117="All",CTR_EARLIEST,""))))</f>
        <v/>
      </c>
      <c r="S117" s="23">
        <f>IF(OR($A117="",$E117=""),"",IFERROR(IF(INDEX(TYP_ANCHOR,MATCH($A117,TYP_TYPE,0))="Commissioning Start",IF($R117="","",$R117-INDEX(TYP_LEAD,MATCH($A117,TYP_TYPE,0))),IF(INDEX(MS_PLAN,MATCH(INDEX(TYP_ANCHOR,MATCH($A117,TYP_TYPE,0)),MS_NOM,0))="","",INDEX(MS_PLAN,MATCH(INDEX(TYP_ANCHOR,MATCH($A117,TYP_TYPE,0)),MS_NOM,0))-INDEX(TYP_LEAD,MATCH($A117,TYP_TYPE,0)))),""))</f>
        <v/>
      </c>
      <c r="T117" s="26">
        <f>IF(OR($A117="",$E117=""),0,IF($V117=1,0,1))</f>
        <v/>
      </c>
      <c r="U117" s="26">
        <f>IF($T117=0,0,IF($M117&lt;&gt;"",1,IF(IFERROR(INDEX(WF_CLASS,MATCH($H117,WF_CODE,0)),"")="Done",1,0)))</f>
        <v/>
      </c>
      <c r="V117" s="26">
        <f>IF(OR($A117="",$E117=""),0,IF(IFERROR(INDEX(WF_CLASS,MATCH($H117,WF_CODE,0)),"")="Inactive",1,0))</f>
        <v/>
      </c>
      <c r="W117" s="24">
        <f>IF($A117="","",IFERROR(INDEX(TYP_PHASE,MATCH($A117,TYP_TYPE,0)),"-"))</f>
        <v/>
      </c>
      <c r="X117" s="24">
        <f>IF(AND($T117=1,$U117=0,N($N117)&gt;0),$N117+ROW()/1000000,"")</f>
        <v/>
      </c>
      <c r="Y117" s="24">
        <f>IF(AND($T117=1,$U117=0,OR($I117&lt;&gt;"",N($N117)&gt;0)),N($N117)+ROW()/1000000,"")</f>
        <v/>
      </c>
      <c r="Z117" s="24">
        <f>IF(AND($T117=1,$U117=0,$I117="",N($N117)&lt;=0,-N($N117)&lt;=HORIZON),N($N117)+ROW()/1000000,"")</f>
        <v/>
      </c>
    </row>
    <row r="118">
      <c r="A118" s="21" t="n"/>
      <c r="B118" s="21" t="n"/>
      <c r="C118" s="21" t="n"/>
      <c r="D118" s="21" t="n"/>
      <c r="E118" s="21" t="n"/>
      <c r="F118" s="21" t="n"/>
      <c r="G118" s="21" t="n"/>
      <c r="H118" s="21" t="n"/>
      <c r="I118" s="22" t="n"/>
      <c r="J118" s="22" t="n"/>
      <c r="K118" s="23">
        <f>IF($A118="","",IF($J118&lt;&gt;"",$J118,$S118))</f>
        <v/>
      </c>
      <c r="L118" s="24">
        <f>IF(OR($A118="",$E118=""),"",IF($J118&lt;&gt;"","Manual",IF($S118="","-","Auto")))</f>
        <v/>
      </c>
      <c r="M118" s="22" t="n"/>
      <c r="N118" s="25">
        <f>IF($T118=0,"",IF($U118=1,IF($M118="","",$M118-$K118),IF($K118="","",TODAY()-$K118)))</f>
        <v/>
      </c>
      <c r="O118" s="24">
        <f>IF(OR($A118="",$E118=""),"",IF($V118=1,S_INACT,IF(ISNA(MATCH($A118,TYP_TYPE,0)),S_TYPEKO,IF($U118=1,S_DONE,IF(AND($K118="",$R118=""),S_NOSCOPE,IF($K118="",S_NOTARGET,IF($N118&gt;0,S_LATE,IF($I118&lt;&gt;"",S_WIP,IF(-$N118&lt;=FEN_DOC,S_RISK,IF(-$N118&lt;=HORIZON,S_COMING,S_NOTYET))))))))))</f>
        <v/>
      </c>
      <c r="P118" s="24">
        <f>IF(OR($A118="",$E118=""),"",IF($V118=1,"",IF(ISNA(MATCH($A118,TYP_TYPE,0)),"Type not in the library",IF($B118="","Scope not set",IF(AND($B118="System",$C118=""),"System not set",IF(AND($B118="Equipment",$D118=""),"Equipment not set",IF($F118="","Responsible not set",IF($K118="","No target date",IF(AND($B118="Equipment",$C118&lt;&gt;"",IFERROR(INDEX(EQP_SYS,MATCH($D118,EQP_NOM,0)),"")&lt;&gt;$C118),"Equipment not in that system",IF(AND($U118=1,$M118=""),"Approved with no approval date",""))))))))))</f>
        <v/>
      </c>
      <c r="Q118" s="21" t="n"/>
      <c r="R118" s="23">
        <f>IF(OR($A118="",$B118=""),"",IF($B118="Equipment",IFERROR(INDEX(EQP_START,MATCH($D118,EQP_NOM,0)),""),IF($B118="System",IFERROR(INDEX(SYS_EARLIEST,MATCH($C118,SYS_ID,0)),""),IF($B118="All",CTR_EARLIEST,""))))</f>
        <v/>
      </c>
      <c r="S118" s="23">
        <f>IF(OR($A118="",$E118=""),"",IFERROR(IF(INDEX(TYP_ANCHOR,MATCH($A118,TYP_TYPE,0))="Commissioning Start",IF($R118="","",$R118-INDEX(TYP_LEAD,MATCH($A118,TYP_TYPE,0))),IF(INDEX(MS_PLAN,MATCH(INDEX(TYP_ANCHOR,MATCH($A118,TYP_TYPE,0)),MS_NOM,0))="","",INDEX(MS_PLAN,MATCH(INDEX(TYP_ANCHOR,MATCH($A118,TYP_TYPE,0)),MS_NOM,0))-INDEX(TYP_LEAD,MATCH($A118,TYP_TYPE,0)))),""))</f>
        <v/>
      </c>
      <c r="T118" s="26">
        <f>IF(OR($A118="",$E118=""),0,IF($V118=1,0,1))</f>
        <v/>
      </c>
      <c r="U118" s="26">
        <f>IF($T118=0,0,IF($M118&lt;&gt;"",1,IF(IFERROR(INDEX(WF_CLASS,MATCH($H118,WF_CODE,0)),"")="Done",1,0)))</f>
        <v/>
      </c>
      <c r="V118" s="26">
        <f>IF(OR($A118="",$E118=""),0,IF(IFERROR(INDEX(WF_CLASS,MATCH($H118,WF_CODE,0)),"")="Inactive",1,0))</f>
        <v/>
      </c>
      <c r="W118" s="24">
        <f>IF($A118="","",IFERROR(INDEX(TYP_PHASE,MATCH($A118,TYP_TYPE,0)),"-"))</f>
        <v/>
      </c>
      <c r="X118" s="24">
        <f>IF(AND($T118=1,$U118=0,N($N118)&gt;0),$N118+ROW()/1000000,"")</f>
        <v/>
      </c>
      <c r="Y118" s="24">
        <f>IF(AND($T118=1,$U118=0,OR($I118&lt;&gt;"",N($N118)&gt;0)),N($N118)+ROW()/1000000,"")</f>
        <v/>
      </c>
      <c r="Z118" s="24">
        <f>IF(AND($T118=1,$U118=0,$I118="",N($N118)&lt;=0,-N($N118)&lt;=HORIZON),N($N118)+ROW()/1000000,"")</f>
        <v/>
      </c>
    </row>
    <row r="119">
      <c r="A119" s="21" t="n"/>
      <c r="B119" s="21" t="n"/>
      <c r="C119" s="21" t="n"/>
      <c r="D119" s="21" t="n"/>
      <c r="E119" s="21" t="n"/>
      <c r="F119" s="21" t="n"/>
      <c r="G119" s="21" t="n"/>
      <c r="H119" s="21" t="n"/>
      <c r="I119" s="22" t="n"/>
      <c r="J119" s="22" t="n"/>
      <c r="K119" s="23">
        <f>IF($A119="","",IF($J119&lt;&gt;"",$J119,$S119))</f>
        <v/>
      </c>
      <c r="L119" s="24">
        <f>IF(OR($A119="",$E119=""),"",IF($J119&lt;&gt;"","Manual",IF($S119="","-","Auto")))</f>
        <v/>
      </c>
      <c r="M119" s="22" t="n"/>
      <c r="N119" s="25">
        <f>IF($T119=0,"",IF($U119=1,IF($M119="","",$M119-$K119),IF($K119="","",TODAY()-$K119)))</f>
        <v/>
      </c>
      <c r="O119" s="24">
        <f>IF(OR($A119="",$E119=""),"",IF($V119=1,S_INACT,IF(ISNA(MATCH($A119,TYP_TYPE,0)),S_TYPEKO,IF($U119=1,S_DONE,IF(AND($K119="",$R119=""),S_NOSCOPE,IF($K119="",S_NOTARGET,IF($N119&gt;0,S_LATE,IF($I119&lt;&gt;"",S_WIP,IF(-$N119&lt;=FEN_DOC,S_RISK,IF(-$N119&lt;=HORIZON,S_COMING,S_NOTYET))))))))))</f>
        <v/>
      </c>
      <c r="P119" s="24">
        <f>IF(OR($A119="",$E119=""),"",IF($V119=1,"",IF(ISNA(MATCH($A119,TYP_TYPE,0)),"Type not in the library",IF($B119="","Scope not set",IF(AND($B119="System",$C119=""),"System not set",IF(AND($B119="Equipment",$D119=""),"Equipment not set",IF($F119="","Responsible not set",IF($K119="","No target date",IF(AND($B119="Equipment",$C119&lt;&gt;"",IFERROR(INDEX(EQP_SYS,MATCH($D119,EQP_NOM,0)),"")&lt;&gt;$C119),"Equipment not in that system",IF(AND($U119=1,$M119=""),"Approved with no approval date",""))))))))))</f>
        <v/>
      </c>
      <c r="Q119" s="21" t="n"/>
      <c r="R119" s="23">
        <f>IF(OR($A119="",$B119=""),"",IF($B119="Equipment",IFERROR(INDEX(EQP_START,MATCH($D119,EQP_NOM,0)),""),IF($B119="System",IFERROR(INDEX(SYS_EARLIEST,MATCH($C119,SYS_ID,0)),""),IF($B119="All",CTR_EARLIEST,""))))</f>
        <v/>
      </c>
      <c r="S119" s="23">
        <f>IF(OR($A119="",$E119=""),"",IFERROR(IF(INDEX(TYP_ANCHOR,MATCH($A119,TYP_TYPE,0))="Commissioning Start",IF($R119="","",$R119-INDEX(TYP_LEAD,MATCH($A119,TYP_TYPE,0))),IF(INDEX(MS_PLAN,MATCH(INDEX(TYP_ANCHOR,MATCH($A119,TYP_TYPE,0)),MS_NOM,0))="","",INDEX(MS_PLAN,MATCH(INDEX(TYP_ANCHOR,MATCH($A119,TYP_TYPE,0)),MS_NOM,0))-INDEX(TYP_LEAD,MATCH($A119,TYP_TYPE,0)))),""))</f>
        <v/>
      </c>
      <c r="T119" s="26">
        <f>IF(OR($A119="",$E119=""),0,IF($V119=1,0,1))</f>
        <v/>
      </c>
      <c r="U119" s="26">
        <f>IF($T119=0,0,IF($M119&lt;&gt;"",1,IF(IFERROR(INDEX(WF_CLASS,MATCH($H119,WF_CODE,0)),"")="Done",1,0)))</f>
        <v/>
      </c>
      <c r="V119" s="26">
        <f>IF(OR($A119="",$E119=""),0,IF(IFERROR(INDEX(WF_CLASS,MATCH($H119,WF_CODE,0)),"")="Inactive",1,0))</f>
        <v/>
      </c>
      <c r="W119" s="24">
        <f>IF($A119="","",IFERROR(INDEX(TYP_PHASE,MATCH($A119,TYP_TYPE,0)),"-"))</f>
        <v/>
      </c>
      <c r="X119" s="24">
        <f>IF(AND($T119=1,$U119=0,N($N119)&gt;0),$N119+ROW()/1000000,"")</f>
        <v/>
      </c>
      <c r="Y119" s="24">
        <f>IF(AND($T119=1,$U119=0,OR($I119&lt;&gt;"",N($N119)&gt;0)),N($N119)+ROW()/1000000,"")</f>
        <v/>
      </c>
      <c r="Z119" s="24">
        <f>IF(AND($T119=1,$U119=0,$I119="",N($N119)&lt;=0,-N($N119)&lt;=HORIZON),N($N119)+ROW()/1000000,"")</f>
        <v/>
      </c>
    </row>
    <row r="120">
      <c r="A120" s="21" t="n"/>
      <c r="B120" s="21" t="n"/>
      <c r="C120" s="21" t="n"/>
      <c r="D120" s="21" t="n"/>
      <c r="E120" s="21" t="n"/>
      <c r="F120" s="21" t="n"/>
      <c r="G120" s="21" t="n"/>
      <c r="H120" s="21" t="n"/>
      <c r="I120" s="22" t="n"/>
      <c r="J120" s="22" t="n"/>
      <c r="K120" s="23">
        <f>IF($A120="","",IF($J120&lt;&gt;"",$J120,$S120))</f>
        <v/>
      </c>
      <c r="L120" s="24">
        <f>IF(OR($A120="",$E120=""),"",IF($J120&lt;&gt;"","Manual",IF($S120="","-","Auto")))</f>
        <v/>
      </c>
      <c r="M120" s="22" t="n"/>
      <c r="N120" s="25">
        <f>IF($T120=0,"",IF($U120=1,IF($M120="","",$M120-$K120),IF($K120="","",TODAY()-$K120)))</f>
        <v/>
      </c>
      <c r="O120" s="24">
        <f>IF(OR($A120="",$E120=""),"",IF($V120=1,S_INACT,IF(ISNA(MATCH($A120,TYP_TYPE,0)),S_TYPEKO,IF($U120=1,S_DONE,IF(AND($K120="",$R120=""),S_NOSCOPE,IF($K120="",S_NOTARGET,IF($N120&gt;0,S_LATE,IF($I120&lt;&gt;"",S_WIP,IF(-$N120&lt;=FEN_DOC,S_RISK,IF(-$N120&lt;=HORIZON,S_COMING,S_NOTYET))))))))))</f>
        <v/>
      </c>
      <c r="P120" s="24">
        <f>IF(OR($A120="",$E120=""),"",IF($V120=1,"",IF(ISNA(MATCH($A120,TYP_TYPE,0)),"Type not in the library",IF($B120="","Scope not set",IF(AND($B120="System",$C120=""),"System not set",IF(AND($B120="Equipment",$D120=""),"Equipment not set",IF($F120="","Responsible not set",IF($K120="","No target date",IF(AND($B120="Equipment",$C120&lt;&gt;"",IFERROR(INDEX(EQP_SYS,MATCH($D120,EQP_NOM,0)),"")&lt;&gt;$C120),"Equipment not in that system",IF(AND($U120=1,$M120=""),"Approved with no approval date",""))))))))))</f>
        <v/>
      </c>
      <c r="Q120" s="21" t="n"/>
      <c r="R120" s="23">
        <f>IF(OR($A120="",$B120=""),"",IF($B120="Equipment",IFERROR(INDEX(EQP_START,MATCH($D120,EQP_NOM,0)),""),IF($B120="System",IFERROR(INDEX(SYS_EARLIEST,MATCH($C120,SYS_ID,0)),""),IF($B120="All",CTR_EARLIEST,""))))</f>
        <v/>
      </c>
      <c r="S120" s="23">
        <f>IF(OR($A120="",$E120=""),"",IFERROR(IF(INDEX(TYP_ANCHOR,MATCH($A120,TYP_TYPE,0))="Commissioning Start",IF($R120="","",$R120-INDEX(TYP_LEAD,MATCH($A120,TYP_TYPE,0))),IF(INDEX(MS_PLAN,MATCH(INDEX(TYP_ANCHOR,MATCH($A120,TYP_TYPE,0)),MS_NOM,0))="","",INDEX(MS_PLAN,MATCH(INDEX(TYP_ANCHOR,MATCH($A120,TYP_TYPE,0)),MS_NOM,0))-INDEX(TYP_LEAD,MATCH($A120,TYP_TYPE,0)))),""))</f>
        <v/>
      </c>
      <c r="T120" s="26">
        <f>IF(OR($A120="",$E120=""),0,IF($V120=1,0,1))</f>
        <v/>
      </c>
      <c r="U120" s="26">
        <f>IF($T120=0,0,IF($M120&lt;&gt;"",1,IF(IFERROR(INDEX(WF_CLASS,MATCH($H120,WF_CODE,0)),"")="Done",1,0)))</f>
        <v/>
      </c>
      <c r="V120" s="26">
        <f>IF(OR($A120="",$E120=""),0,IF(IFERROR(INDEX(WF_CLASS,MATCH($H120,WF_CODE,0)),"")="Inactive",1,0))</f>
        <v/>
      </c>
      <c r="W120" s="24">
        <f>IF($A120="","",IFERROR(INDEX(TYP_PHASE,MATCH($A120,TYP_TYPE,0)),"-"))</f>
        <v/>
      </c>
      <c r="X120" s="24">
        <f>IF(AND($T120=1,$U120=0,N($N120)&gt;0),$N120+ROW()/1000000,"")</f>
        <v/>
      </c>
      <c r="Y120" s="24">
        <f>IF(AND($T120=1,$U120=0,OR($I120&lt;&gt;"",N($N120)&gt;0)),N($N120)+ROW()/1000000,"")</f>
        <v/>
      </c>
      <c r="Z120" s="24">
        <f>IF(AND($T120=1,$U120=0,$I120="",N($N120)&lt;=0,-N($N120)&lt;=HORIZON),N($N120)+ROW()/1000000,"")</f>
        <v/>
      </c>
    </row>
    <row r="121">
      <c r="A121" s="21" t="n"/>
      <c r="B121" s="21" t="n"/>
      <c r="C121" s="21" t="n"/>
      <c r="D121" s="21" t="n"/>
      <c r="E121" s="21" t="n"/>
      <c r="F121" s="21" t="n"/>
      <c r="G121" s="21" t="n"/>
      <c r="H121" s="21" t="n"/>
      <c r="I121" s="22" t="n"/>
      <c r="J121" s="22" t="n"/>
      <c r="K121" s="23">
        <f>IF($A121="","",IF($J121&lt;&gt;"",$J121,$S121))</f>
        <v/>
      </c>
      <c r="L121" s="24">
        <f>IF(OR($A121="",$E121=""),"",IF($J121&lt;&gt;"","Manual",IF($S121="","-","Auto")))</f>
        <v/>
      </c>
      <c r="M121" s="22" t="n"/>
      <c r="N121" s="25">
        <f>IF($T121=0,"",IF($U121=1,IF($M121="","",$M121-$K121),IF($K121="","",TODAY()-$K121)))</f>
        <v/>
      </c>
      <c r="O121" s="24">
        <f>IF(OR($A121="",$E121=""),"",IF($V121=1,S_INACT,IF(ISNA(MATCH($A121,TYP_TYPE,0)),S_TYPEKO,IF($U121=1,S_DONE,IF(AND($K121="",$R121=""),S_NOSCOPE,IF($K121="",S_NOTARGET,IF($N121&gt;0,S_LATE,IF($I121&lt;&gt;"",S_WIP,IF(-$N121&lt;=FEN_DOC,S_RISK,IF(-$N121&lt;=HORIZON,S_COMING,S_NOTYET))))))))))</f>
        <v/>
      </c>
      <c r="P121" s="24">
        <f>IF(OR($A121="",$E121=""),"",IF($V121=1,"",IF(ISNA(MATCH($A121,TYP_TYPE,0)),"Type not in the library",IF($B121="","Scope not set",IF(AND($B121="System",$C121=""),"System not set",IF(AND($B121="Equipment",$D121=""),"Equipment not set",IF($F121="","Responsible not set",IF($K121="","No target date",IF(AND($B121="Equipment",$C121&lt;&gt;"",IFERROR(INDEX(EQP_SYS,MATCH($D121,EQP_NOM,0)),"")&lt;&gt;$C121),"Equipment not in that system",IF(AND($U121=1,$M121=""),"Approved with no approval date",""))))))))))</f>
        <v/>
      </c>
      <c r="Q121" s="21" t="n"/>
      <c r="R121" s="23">
        <f>IF(OR($A121="",$B121=""),"",IF($B121="Equipment",IFERROR(INDEX(EQP_START,MATCH($D121,EQP_NOM,0)),""),IF($B121="System",IFERROR(INDEX(SYS_EARLIEST,MATCH($C121,SYS_ID,0)),""),IF($B121="All",CTR_EARLIEST,""))))</f>
        <v/>
      </c>
      <c r="S121" s="23">
        <f>IF(OR($A121="",$E121=""),"",IFERROR(IF(INDEX(TYP_ANCHOR,MATCH($A121,TYP_TYPE,0))="Commissioning Start",IF($R121="","",$R121-INDEX(TYP_LEAD,MATCH($A121,TYP_TYPE,0))),IF(INDEX(MS_PLAN,MATCH(INDEX(TYP_ANCHOR,MATCH($A121,TYP_TYPE,0)),MS_NOM,0))="","",INDEX(MS_PLAN,MATCH(INDEX(TYP_ANCHOR,MATCH($A121,TYP_TYPE,0)),MS_NOM,0))-INDEX(TYP_LEAD,MATCH($A121,TYP_TYPE,0)))),""))</f>
        <v/>
      </c>
      <c r="T121" s="26">
        <f>IF(OR($A121="",$E121=""),0,IF($V121=1,0,1))</f>
        <v/>
      </c>
      <c r="U121" s="26">
        <f>IF($T121=0,0,IF($M121&lt;&gt;"",1,IF(IFERROR(INDEX(WF_CLASS,MATCH($H121,WF_CODE,0)),"")="Done",1,0)))</f>
        <v/>
      </c>
      <c r="V121" s="26">
        <f>IF(OR($A121="",$E121=""),0,IF(IFERROR(INDEX(WF_CLASS,MATCH($H121,WF_CODE,0)),"")="Inactive",1,0))</f>
        <v/>
      </c>
      <c r="W121" s="24">
        <f>IF($A121="","",IFERROR(INDEX(TYP_PHASE,MATCH($A121,TYP_TYPE,0)),"-"))</f>
        <v/>
      </c>
      <c r="X121" s="24">
        <f>IF(AND($T121=1,$U121=0,N($N121)&gt;0),$N121+ROW()/1000000,"")</f>
        <v/>
      </c>
      <c r="Y121" s="24">
        <f>IF(AND($T121=1,$U121=0,OR($I121&lt;&gt;"",N($N121)&gt;0)),N($N121)+ROW()/1000000,"")</f>
        <v/>
      </c>
      <c r="Z121" s="24">
        <f>IF(AND($T121=1,$U121=0,$I121="",N($N121)&lt;=0,-N($N121)&lt;=HORIZON),N($N121)+ROW()/1000000,"")</f>
        <v/>
      </c>
    </row>
    <row r="122">
      <c r="A122" s="21" t="n"/>
      <c r="B122" s="21" t="n"/>
      <c r="C122" s="21" t="n"/>
      <c r="D122" s="21" t="n"/>
      <c r="E122" s="21" t="n"/>
      <c r="F122" s="21" t="n"/>
      <c r="G122" s="21" t="n"/>
      <c r="H122" s="21" t="n"/>
      <c r="I122" s="22" t="n"/>
      <c r="J122" s="22" t="n"/>
      <c r="K122" s="23">
        <f>IF($A122="","",IF($J122&lt;&gt;"",$J122,$S122))</f>
        <v/>
      </c>
      <c r="L122" s="24">
        <f>IF(OR($A122="",$E122=""),"",IF($J122&lt;&gt;"","Manual",IF($S122="","-","Auto")))</f>
        <v/>
      </c>
      <c r="M122" s="22" t="n"/>
      <c r="N122" s="25">
        <f>IF($T122=0,"",IF($U122=1,IF($M122="","",$M122-$K122),IF($K122="","",TODAY()-$K122)))</f>
        <v/>
      </c>
      <c r="O122" s="24">
        <f>IF(OR($A122="",$E122=""),"",IF($V122=1,S_INACT,IF(ISNA(MATCH($A122,TYP_TYPE,0)),S_TYPEKO,IF($U122=1,S_DONE,IF(AND($K122="",$R122=""),S_NOSCOPE,IF($K122="",S_NOTARGET,IF($N122&gt;0,S_LATE,IF($I122&lt;&gt;"",S_WIP,IF(-$N122&lt;=FEN_DOC,S_RISK,IF(-$N122&lt;=HORIZON,S_COMING,S_NOTYET))))))))))</f>
        <v/>
      </c>
      <c r="P122" s="24">
        <f>IF(OR($A122="",$E122=""),"",IF($V122=1,"",IF(ISNA(MATCH($A122,TYP_TYPE,0)),"Type not in the library",IF($B122="","Scope not set",IF(AND($B122="System",$C122=""),"System not set",IF(AND($B122="Equipment",$D122=""),"Equipment not set",IF($F122="","Responsible not set",IF($K122="","No target date",IF(AND($B122="Equipment",$C122&lt;&gt;"",IFERROR(INDEX(EQP_SYS,MATCH($D122,EQP_NOM,0)),"")&lt;&gt;$C122),"Equipment not in that system",IF(AND($U122=1,$M122=""),"Approved with no approval date",""))))))))))</f>
        <v/>
      </c>
      <c r="Q122" s="21" t="n"/>
      <c r="R122" s="23">
        <f>IF(OR($A122="",$B122=""),"",IF($B122="Equipment",IFERROR(INDEX(EQP_START,MATCH($D122,EQP_NOM,0)),""),IF($B122="System",IFERROR(INDEX(SYS_EARLIEST,MATCH($C122,SYS_ID,0)),""),IF($B122="All",CTR_EARLIEST,""))))</f>
        <v/>
      </c>
      <c r="S122" s="23">
        <f>IF(OR($A122="",$E122=""),"",IFERROR(IF(INDEX(TYP_ANCHOR,MATCH($A122,TYP_TYPE,0))="Commissioning Start",IF($R122="","",$R122-INDEX(TYP_LEAD,MATCH($A122,TYP_TYPE,0))),IF(INDEX(MS_PLAN,MATCH(INDEX(TYP_ANCHOR,MATCH($A122,TYP_TYPE,0)),MS_NOM,0))="","",INDEX(MS_PLAN,MATCH(INDEX(TYP_ANCHOR,MATCH($A122,TYP_TYPE,0)),MS_NOM,0))-INDEX(TYP_LEAD,MATCH($A122,TYP_TYPE,0)))),""))</f>
        <v/>
      </c>
      <c r="T122" s="26">
        <f>IF(OR($A122="",$E122=""),0,IF($V122=1,0,1))</f>
        <v/>
      </c>
      <c r="U122" s="26">
        <f>IF($T122=0,0,IF($M122&lt;&gt;"",1,IF(IFERROR(INDEX(WF_CLASS,MATCH($H122,WF_CODE,0)),"")="Done",1,0)))</f>
        <v/>
      </c>
      <c r="V122" s="26">
        <f>IF(OR($A122="",$E122=""),0,IF(IFERROR(INDEX(WF_CLASS,MATCH($H122,WF_CODE,0)),"")="Inactive",1,0))</f>
        <v/>
      </c>
      <c r="W122" s="24">
        <f>IF($A122="","",IFERROR(INDEX(TYP_PHASE,MATCH($A122,TYP_TYPE,0)),"-"))</f>
        <v/>
      </c>
      <c r="X122" s="24">
        <f>IF(AND($T122=1,$U122=0,N($N122)&gt;0),$N122+ROW()/1000000,"")</f>
        <v/>
      </c>
      <c r="Y122" s="24">
        <f>IF(AND($T122=1,$U122=0,OR($I122&lt;&gt;"",N($N122)&gt;0)),N($N122)+ROW()/1000000,"")</f>
        <v/>
      </c>
      <c r="Z122" s="24">
        <f>IF(AND($T122=1,$U122=0,$I122="",N($N122)&lt;=0,-N($N122)&lt;=HORIZON),N($N122)+ROW()/1000000,"")</f>
        <v/>
      </c>
    </row>
    <row r="123">
      <c r="A123" s="21" t="n"/>
      <c r="B123" s="21" t="n"/>
      <c r="C123" s="21" t="n"/>
      <c r="D123" s="21" t="n"/>
      <c r="E123" s="21" t="n"/>
      <c r="F123" s="21" t="n"/>
      <c r="G123" s="21" t="n"/>
      <c r="H123" s="21" t="n"/>
      <c r="I123" s="22" t="n"/>
      <c r="J123" s="22" t="n"/>
      <c r="K123" s="23">
        <f>IF($A123="","",IF($J123&lt;&gt;"",$J123,$S123))</f>
        <v/>
      </c>
      <c r="L123" s="24">
        <f>IF(OR($A123="",$E123=""),"",IF($J123&lt;&gt;"","Manual",IF($S123="","-","Auto")))</f>
        <v/>
      </c>
      <c r="M123" s="22" t="n"/>
      <c r="N123" s="25">
        <f>IF($T123=0,"",IF($U123=1,IF($M123="","",$M123-$K123),IF($K123="","",TODAY()-$K123)))</f>
        <v/>
      </c>
      <c r="O123" s="24">
        <f>IF(OR($A123="",$E123=""),"",IF($V123=1,S_INACT,IF(ISNA(MATCH($A123,TYP_TYPE,0)),S_TYPEKO,IF($U123=1,S_DONE,IF(AND($K123="",$R123=""),S_NOSCOPE,IF($K123="",S_NOTARGET,IF($N123&gt;0,S_LATE,IF($I123&lt;&gt;"",S_WIP,IF(-$N123&lt;=FEN_DOC,S_RISK,IF(-$N123&lt;=HORIZON,S_COMING,S_NOTYET))))))))))</f>
        <v/>
      </c>
      <c r="P123" s="24">
        <f>IF(OR($A123="",$E123=""),"",IF($V123=1,"",IF(ISNA(MATCH($A123,TYP_TYPE,0)),"Type not in the library",IF($B123="","Scope not set",IF(AND($B123="System",$C123=""),"System not set",IF(AND($B123="Equipment",$D123=""),"Equipment not set",IF($F123="","Responsible not set",IF($K123="","No target date",IF(AND($B123="Equipment",$C123&lt;&gt;"",IFERROR(INDEX(EQP_SYS,MATCH($D123,EQP_NOM,0)),"")&lt;&gt;$C123),"Equipment not in that system",IF(AND($U123=1,$M123=""),"Approved with no approval date",""))))))))))</f>
        <v/>
      </c>
      <c r="Q123" s="21" t="n"/>
      <c r="R123" s="23">
        <f>IF(OR($A123="",$B123=""),"",IF($B123="Equipment",IFERROR(INDEX(EQP_START,MATCH($D123,EQP_NOM,0)),""),IF($B123="System",IFERROR(INDEX(SYS_EARLIEST,MATCH($C123,SYS_ID,0)),""),IF($B123="All",CTR_EARLIEST,""))))</f>
        <v/>
      </c>
      <c r="S123" s="23">
        <f>IF(OR($A123="",$E123=""),"",IFERROR(IF(INDEX(TYP_ANCHOR,MATCH($A123,TYP_TYPE,0))="Commissioning Start",IF($R123="","",$R123-INDEX(TYP_LEAD,MATCH($A123,TYP_TYPE,0))),IF(INDEX(MS_PLAN,MATCH(INDEX(TYP_ANCHOR,MATCH($A123,TYP_TYPE,0)),MS_NOM,0))="","",INDEX(MS_PLAN,MATCH(INDEX(TYP_ANCHOR,MATCH($A123,TYP_TYPE,0)),MS_NOM,0))-INDEX(TYP_LEAD,MATCH($A123,TYP_TYPE,0)))),""))</f>
        <v/>
      </c>
      <c r="T123" s="26">
        <f>IF(OR($A123="",$E123=""),0,IF($V123=1,0,1))</f>
        <v/>
      </c>
      <c r="U123" s="26">
        <f>IF($T123=0,0,IF($M123&lt;&gt;"",1,IF(IFERROR(INDEX(WF_CLASS,MATCH($H123,WF_CODE,0)),"")="Done",1,0)))</f>
        <v/>
      </c>
      <c r="V123" s="26">
        <f>IF(OR($A123="",$E123=""),0,IF(IFERROR(INDEX(WF_CLASS,MATCH($H123,WF_CODE,0)),"")="Inactive",1,0))</f>
        <v/>
      </c>
      <c r="W123" s="24">
        <f>IF($A123="","",IFERROR(INDEX(TYP_PHASE,MATCH($A123,TYP_TYPE,0)),"-"))</f>
        <v/>
      </c>
      <c r="X123" s="24">
        <f>IF(AND($T123=1,$U123=0,N($N123)&gt;0),$N123+ROW()/1000000,"")</f>
        <v/>
      </c>
      <c r="Y123" s="24">
        <f>IF(AND($T123=1,$U123=0,OR($I123&lt;&gt;"",N($N123)&gt;0)),N($N123)+ROW()/1000000,"")</f>
        <v/>
      </c>
      <c r="Z123" s="24">
        <f>IF(AND($T123=1,$U123=0,$I123="",N($N123)&lt;=0,-N($N123)&lt;=HORIZON),N($N123)+ROW()/1000000,"")</f>
        <v/>
      </c>
    </row>
    <row r="124">
      <c r="A124" s="21" t="n"/>
      <c r="B124" s="21" t="n"/>
      <c r="C124" s="21" t="n"/>
      <c r="D124" s="21" t="n"/>
      <c r="E124" s="21" t="n"/>
      <c r="F124" s="21" t="n"/>
      <c r="G124" s="21" t="n"/>
      <c r="H124" s="21" t="n"/>
      <c r="I124" s="22" t="n"/>
      <c r="J124" s="22" t="n"/>
      <c r="K124" s="23">
        <f>IF($A124="","",IF($J124&lt;&gt;"",$J124,$S124))</f>
        <v/>
      </c>
      <c r="L124" s="24">
        <f>IF(OR($A124="",$E124=""),"",IF($J124&lt;&gt;"","Manual",IF($S124="","-","Auto")))</f>
        <v/>
      </c>
      <c r="M124" s="22" t="n"/>
      <c r="N124" s="25">
        <f>IF($T124=0,"",IF($U124=1,IF($M124="","",$M124-$K124),IF($K124="","",TODAY()-$K124)))</f>
        <v/>
      </c>
      <c r="O124" s="24">
        <f>IF(OR($A124="",$E124=""),"",IF($V124=1,S_INACT,IF(ISNA(MATCH($A124,TYP_TYPE,0)),S_TYPEKO,IF($U124=1,S_DONE,IF(AND($K124="",$R124=""),S_NOSCOPE,IF($K124="",S_NOTARGET,IF($N124&gt;0,S_LATE,IF($I124&lt;&gt;"",S_WIP,IF(-$N124&lt;=FEN_DOC,S_RISK,IF(-$N124&lt;=HORIZON,S_COMING,S_NOTYET))))))))))</f>
        <v/>
      </c>
      <c r="P124" s="24">
        <f>IF(OR($A124="",$E124=""),"",IF($V124=1,"",IF(ISNA(MATCH($A124,TYP_TYPE,0)),"Type not in the library",IF($B124="","Scope not set",IF(AND($B124="System",$C124=""),"System not set",IF(AND($B124="Equipment",$D124=""),"Equipment not set",IF($F124="","Responsible not set",IF($K124="","No target date",IF(AND($B124="Equipment",$C124&lt;&gt;"",IFERROR(INDEX(EQP_SYS,MATCH($D124,EQP_NOM,0)),"")&lt;&gt;$C124),"Equipment not in that system",IF(AND($U124=1,$M124=""),"Approved with no approval date",""))))))))))</f>
        <v/>
      </c>
      <c r="Q124" s="21" t="n"/>
      <c r="R124" s="23">
        <f>IF(OR($A124="",$B124=""),"",IF($B124="Equipment",IFERROR(INDEX(EQP_START,MATCH($D124,EQP_NOM,0)),""),IF($B124="System",IFERROR(INDEX(SYS_EARLIEST,MATCH($C124,SYS_ID,0)),""),IF($B124="All",CTR_EARLIEST,""))))</f>
        <v/>
      </c>
      <c r="S124" s="23">
        <f>IF(OR($A124="",$E124=""),"",IFERROR(IF(INDEX(TYP_ANCHOR,MATCH($A124,TYP_TYPE,0))="Commissioning Start",IF($R124="","",$R124-INDEX(TYP_LEAD,MATCH($A124,TYP_TYPE,0))),IF(INDEX(MS_PLAN,MATCH(INDEX(TYP_ANCHOR,MATCH($A124,TYP_TYPE,0)),MS_NOM,0))="","",INDEX(MS_PLAN,MATCH(INDEX(TYP_ANCHOR,MATCH($A124,TYP_TYPE,0)),MS_NOM,0))-INDEX(TYP_LEAD,MATCH($A124,TYP_TYPE,0)))),""))</f>
        <v/>
      </c>
      <c r="T124" s="26">
        <f>IF(OR($A124="",$E124=""),0,IF($V124=1,0,1))</f>
        <v/>
      </c>
      <c r="U124" s="26">
        <f>IF($T124=0,0,IF($M124&lt;&gt;"",1,IF(IFERROR(INDEX(WF_CLASS,MATCH($H124,WF_CODE,0)),"")="Done",1,0)))</f>
        <v/>
      </c>
      <c r="V124" s="26">
        <f>IF(OR($A124="",$E124=""),0,IF(IFERROR(INDEX(WF_CLASS,MATCH($H124,WF_CODE,0)),"")="Inactive",1,0))</f>
        <v/>
      </c>
      <c r="W124" s="24">
        <f>IF($A124="","",IFERROR(INDEX(TYP_PHASE,MATCH($A124,TYP_TYPE,0)),"-"))</f>
        <v/>
      </c>
      <c r="X124" s="24">
        <f>IF(AND($T124=1,$U124=0,N($N124)&gt;0),$N124+ROW()/1000000,"")</f>
        <v/>
      </c>
      <c r="Y124" s="24">
        <f>IF(AND($T124=1,$U124=0,OR($I124&lt;&gt;"",N($N124)&gt;0)),N($N124)+ROW()/1000000,"")</f>
        <v/>
      </c>
      <c r="Z124" s="24">
        <f>IF(AND($T124=1,$U124=0,$I124="",N($N124)&lt;=0,-N($N124)&lt;=HORIZON),N($N124)+ROW()/1000000,"")</f>
        <v/>
      </c>
    </row>
    <row r="125">
      <c r="A125" s="21" t="n"/>
      <c r="B125" s="21" t="n"/>
      <c r="C125" s="21" t="n"/>
      <c r="D125" s="21" t="n"/>
      <c r="E125" s="21" t="n"/>
      <c r="F125" s="21" t="n"/>
      <c r="G125" s="21" t="n"/>
      <c r="H125" s="21" t="n"/>
      <c r="I125" s="22" t="n"/>
      <c r="J125" s="22" t="n"/>
      <c r="K125" s="23">
        <f>IF($A125="","",IF($J125&lt;&gt;"",$J125,$S125))</f>
        <v/>
      </c>
      <c r="L125" s="24">
        <f>IF(OR($A125="",$E125=""),"",IF($J125&lt;&gt;"","Manual",IF($S125="","-","Auto")))</f>
        <v/>
      </c>
      <c r="M125" s="22" t="n"/>
      <c r="N125" s="25">
        <f>IF($T125=0,"",IF($U125=1,IF($M125="","",$M125-$K125),IF($K125="","",TODAY()-$K125)))</f>
        <v/>
      </c>
      <c r="O125" s="24">
        <f>IF(OR($A125="",$E125=""),"",IF($V125=1,S_INACT,IF(ISNA(MATCH($A125,TYP_TYPE,0)),S_TYPEKO,IF($U125=1,S_DONE,IF(AND($K125="",$R125=""),S_NOSCOPE,IF($K125="",S_NOTARGET,IF($N125&gt;0,S_LATE,IF($I125&lt;&gt;"",S_WIP,IF(-$N125&lt;=FEN_DOC,S_RISK,IF(-$N125&lt;=HORIZON,S_COMING,S_NOTYET))))))))))</f>
        <v/>
      </c>
      <c r="P125" s="24">
        <f>IF(OR($A125="",$E125=""),"",IF($V125=1,"",IF(ISNA(MATCH($A125,TYP_TYPE,0)),"Type not in the library",IF($B125="","Scope not set",IF(AND($B125="System",$C125=""),"System not set",IF(AND($B125="Equipment",$D125=""),"Equipment not set",IF($F125="","Responsible not set",IF($K125="","No target date",IF(AND($B125="Equipment",$C125&lt;&gt;"",IFERROR(INDEX(EQP_SYS,MATCH($D125,EQP_NOM,0)),"")&lt;&gt;$C125),"Equipment not in that system",IF(AND($U125=1,$M125=""),"Approved with no approval date",""))))))))))</f>
        <v/>
      </c>
      <c r="Q125" s="21" t="n"/>
      <c r="R125" s="23">
        <f>IF(OR($A125="",$B125=""),"",IF($B125="Equipment",IFERROR(INDEX(EQP_START,MATCH($D125,EQP_NOM,0)),""),IF($B125="System",IFERROR(INDEX(SYS_EARLIEST,MATCH($C125,SYS_ID,0)),""),IF($B125="All",CTR_EARLIEST,""))))</f>
        <v/>
      </c>
      <c r="S125" s="23">
        <f>IF(OR($A125="",$E125=""),"",IFERROR(IF(INDEX(TYP_ANCHOR,MATCH($A125,TYP_TYPE,0))="Commissioning Start",IF($R125="","",$R125-INDEX(TYP_LEAD,MATCH($A125,TYP_TYPE,0))),IF(INDEX(MS_PLAN,MATCH(INDEX(TYP_ANCHOR,MATCH($A125,TYP_TYPE,0)),MS_NOM,0))="","",INDEX(MS_PLAN,MATCH(INDEX(TYP_ANCHOR,MATCH($A125,TYP_TYPE,0)),MS_NOM,0))-INDEX(TYP_LEAD,MATCH($A125,TYP_TYPE,0)))),""))</f>
        <v/>
      </c>
      <c r="T125" s="26">
        <f>IF(OR($A125="",$E125=""),0,IF($V125=1,0,1))</f>
        <v/>
      </c>
      <c r="U125" s="26">
        <f>IF($T125=0,0,IF($M125&lt;&gt;"",1,IF(IFERROR(INDEX(WF_CLASS,MATCH($H125,WF_CODE,0)),"")="Done",1,0)))</f>
        <v/>
      </c>
      <c r="V125" s="26">
        <f>IF(OR($A125="",$E125=""),0,IF(IFERROR(INDEX(WF_CLASS,MATCH($H125,WF_CODE,0)),"")="Inactive",1,0))</f>
        <v/>
      </c>
      <c r="W125" s="24">
        <f>IF($A125="","",IFERROR(INDEX(TYP_PHASE,MATCH($A125,TYP_TYPE,0)),"-"))</f>
        <v/>
      </c>
      <c r="X125" s="24">
        <f>IF(AND($T125=1,$U125=0,N($N125)&gt;0),$N125+ROW()/1000000,"")</f>
        <v/>
      </c>
      <c r="Y125" s="24">
        <f>IF(AND($T125=1,$U125=0,OR($I125&lt;&gt;"",N($N125)&gt;0)),N($N125)+ROW()/1000000,"")</f>
        <v/>
      </c>
      <c r="Z125" s="24">
        <f>IF(AND($T125=1,$U125=0,$I125="",N($N125)&lt;=0,-N($N125)&lt;=HORIZON),N($N125)+ROW()/1000000,"")</f>
        <v/>
      </c>
    </row>
    <row r="126">
      <c r="A126" s="21" t="n"/>
      <c r="B126" s="21" t="n"/>
      <c r="C126" s="21" t="n"/>
      <c r="D126" s="21" t="n"/>
      <c r="E126" s="21" t="n"/>
      <c r="F126" s="21" t="n"/>
      <c r="G126" s="21" t="n"/>
      <c r="H126" s="21" t="n"/>
      <c r="I126" s="22" t="n"/>
      <c r="J126" s="22" t="n"/>
      <c r="K126" s="23">
        <f>IF($A126="","",IF($J126&lt;&gt;"",$J126,$S126))</f>
        <v/>
      </c>
      <c r="L126" s="24">
        <f>IF(OR($A126="",$E126=""),"",IF($J126&lt;&gt;"","Manual",IF($S126="","-","Auto")))</f>
        <v/>
      </c>
      <c r="M126" s="22" t="n"/>
      <c r="N126" s="25">
        <f>IF($T126=0,"",IF($U126=1,IF($M126="","",$M126-$K126),IF($K126="","",TODAY()-$K126)))</f>
        <v/>
      </c>
      <c r="O126" s="24">
        <f>IF(OR($A126="",$E126=""),"",IF($V126=1,S_INACT,IF(ISNA(MATCH($A126,TYP_TYPE,0)),S_TYPEKO,IF($U126=1,S_DONE,IF(AND($K126="",$R126=""),S_NOSCOPE,IF($K126="",S_NOTARGET,IF($N126&gt;0,S_LATE,IF($I126&lt;&gt;"",S_WIP,IF(-$N126&lt;=FEN_DOC,S_RISK,IF(-$N126&lt;=HORIZON,S_COMING,S_NOTYET))))))))))</f>
        <v/>
      </c>
      <c r="P126" s="24">
        <f>IF(OR($A126="",$E126=""),"",IF($V126=1,"",IF(ISNA(MATCH($A126,TYP_TYPE,0)),"Type not in the library",IF($B126="","Scope not set",IF(AND($B126="System",$C126=""),"System not set",IF(AND($B126="Equipment",$D126=""),"Equipment not set",IF($F126="","Responsible not set",IF($K126="","No target date",IF(AND($B126="Equipment",$C126&lt;&gt;"",IFERROR(INDEX(EQP_SYS,MATCH($D126,EQP_NOM,0)),"")&lt;&gt;$C126),"Equipment not in that system",IF(AND($U126=1,$M126=""),"Approved with no approval date",""))))))))))</f>
        <v/>
      </c>
      <c r="Q126" s="21" t="n"/>
      <c r="R126" s="23">
        <f>IF(OR($A126="",$B126=""),"",IF($B126="Equipment",IFERROR(INDEX(EQP_START,MATCH($D126,EQP_NOM,0)),""),IF($B126="System",IFERROR(INDEX(SYS_EARLIEST,MATCH($C126,SYS_ID,0)),""),IF($B126="All",CTR_EARLIEST,""))))</f>
        <v/>
      </c>
      <c r="S126" s="23">
        <f>IF(OR($A126="",$E126=""),"",IFERROR(IF(INDEX(TYP_ANCHOR,MATCH($A126,TYP_TYPE,0))="Commissioning Start",IF($R126="","",$R126-INDEX(TYP_LEAD,MATCH($A126,TYP_TYPE,0))),IF(INDEX(MS_PLAN,MATCH(INDEX(TYP_ANCHOR,MATCH($A126,TYP_TYPE,0)),MS_NOM,0))="","",INDEX(MS_PLAN,MATCH(INDEX(TYP_ANCHOR,MATCH($A126,TYP_TYPE,0)),MS_NOM,0))-INDEX(TYP_LEAD,MATCH($A126,TYP_TYPE,0)))),""))</f>
        <v/>
      </c>
      <c r="T126" s="26">
        <f>IF(OR($A126="",$E126=""),0,IF($V126=1,0,1))</f>
        <v/>
      </c>
      <c r="U126" s="26">
        <f>IF($T126=0,0,IF($M126&lt;&gt;"",1,IF(IFERROR(INDEX(WF_CLASS,MATCH($H126,WF_CODE,0)),"")="Done",1,0)))</f>
        <v/>
      </c>
      <c r="V126" s="26">
        <f>IF(OR($A126="",$E126=""),0,IF(IFERROR(INDEX(WF_CLASS,MATCH($H126,WF_CODE,0)),"")="Inactive",1,0))</f>
        <v/>
      </c>
      <c r="W126" s="24">
        <f>IF($A126="","",IFERROR(INDEX(TYP_PHASE,MATCH($A126,TYP_TYPE,0)),"-"))</f>
        <v/>
      </c>
      <c r="X126" s="24">
        <f>IF(AND($T126=1,$U126=0,N($N126)&gt;0),$N126+ROW()/1000000,"")</f>
        <v/>
      </c>
      <c r="Y126" s="24">
        <f>IF(AND($T126=1,$U126=0,OR($I126&lt;&gt;"",N($N126)&gt;0)),N($N126)+ROW()/1000000,"")</f>
        <v/>
      </c>
      <c r="Z126" s="24">
        <f>IF(AND($T126=1,$U126=0,$I126="",N($N126)&lt;=0,-N($N126)&lt;=HORIZON),N($N126)+ROW()/1000000,"")</f>
        <v/>
      </c>
    </row>
    <row r="127">
      <c r="A127" s="21" t="n"/>
      <c r="B127" s="21" t="n"/>
      <c r="C127" s="21" t="n"/>
      <c r="D127" s="21" t="n"/>
      <c r="E127" s="21" t="n"/>
      <c r="F127" s="21" t="n"/>
      <c r="G127" s="21" t="n"/>
      <c r="H127" s="21" t="n"/>
      <c r="I127" s="22" t="n"/>
      <c r="J127" s="22" t="n"/>
      <c r="K127" s="23">
        <f>IF($A127="","",IF($J127&lt;&gt;"",$J127,$S127))</f>
        <v/>
      </c>
      <c r="L127" s="24">
        <f>IF(OR($A127="",$E127=""),"",IF($J127&lt;&gt;"","Manual",IF($S127="","-","Auto")))</f>
        <v/>
      </c>
      <c r="M127" s="22" t="n"/>
      <c r="N127" s="25">
        <f>IF($T127=0,"",IF($U127=1,IF($M127="","",$M127-$K127),IF($K127="","",TODAY()-$K127)))</f>
        <v/>
      </c>
      <c r="O127" s="24">
        <f>IF(OR($A127="",$E127=""),"",IF($V127=1,S_INACT,IF(ISNA(MATCH($A127,TYP_TYPE,0)),S_TYPEKO,IF($U127=1,S_DONE,IF(AND($K127="",$R127=""),S_NOSCOPE,IF($K127="",S_NOTARGET,IF($N127&gt;0,S_LATE,IF($I127&lt;&gt;"",S_WIP,IF(-$N127&lt;=FEN_DOC,S_RISK,IF(-$N127&lt;=HORIZON,S_COMING,S_NOTYET))))))))))</f>
        <v/>
      </c>
      <c r="P127" s="24">
        <f>IF(OR($A127="",$E127=""),"",IF($V127=1,"",IF(ISNA(MATCH($A127,TYP_TYPE,0)),"Type not in the library",IF($B127="","Scope not set",IF(AND($B127="System",$C127=""),"System not set",IF(AND($B127="Equipment",$D127=""),"Equipment not set",IF($F127="","Responsible not set",IF($K127="","No target date",IF(AND($B127="Equipment",$C127&lt;&gt;"",IFERROR(INDEX(EQP_SYS,MATCH($D127,EQP_NOM,0)),"")&lt;&gt;$C127),"Equipment not in that system",IF(AND($U127=1,$M127=""),"Approved with no approval date",""))))))))))</f>
        <v/>
      </c>
      <c r="Q127" s="21" t="n"/>
      <c r="R127" s="23">
        <f>IF(OR($A127="",$B127=""),"",IF($B127="Equipment",IFERROR(INDEX(EQP_START,MATCH($D127,EQP_NOM,0)),""),IF($B127="System",IFERROR(INDEX(SYS_EARLIEST,MATCH($C127,SYS_ID,0)),""),IF($B127="All",CTR_EARLIEST,""))))</f>
        <v/>
      </c>
      <c r="S127" s="23">
        <f>IF(OR($A127="",$E127=""),"",IFERROR(IF(INDEX(TYP_ANCHOR,MATCH($A127,TYP_TYPE,0))="Commissioning Start",IF($R127="","",$R127-INDEX(TYP_LEAD,MATCH($A127,TYP_TYPE,0))),IF(INDEX(MS_PLAN,MATCH(INDEX(TYP_ANCHOR,MATCH($A127,TYP_TYPE,0)),MS_NOM,0))="","",INDEX(MS_PLAN,MATCH(INDEX(TYP_ANCHOR,MATCH($A127,TYP_TYPE,0)),MS_NOM,0))-INDEX(TYP_LEAD,MATCH($A127,TYP_TYPE,0)))),""))</f>
        <v/>
      </c>
      <c r="T127" s="26">
        <f>IF(OR($A127="",$E127=""),0,IF($V127=1,0,1))</f>
        <v/>
      </c>
      <c r="U127" s="26">
        <f>IF($T127=0,0,IF($M127&lt;&gt;"",1,IF(IFERROR(INDEX(WF_CLASS,MATCH($H127,WF_CODE,0)),"")="Done",1,0)))</f>
        <v/>
      </c>
      <c r="V127" s="26">
        <f>IF(OR($A127="",$E127=""),0,IF(IFERROR(INDEX(WF_CLASS,MATCH($H127,WF_CODE,0)),"")="Inactive",1,0))</f>
        <v/>
      </c>
      <c r="W127" s="24">
        <f>IF($A127="","",IFERROR(INDEX(TYP_PHASE,MATCH($A127,TYP_TYPE,0)),"-"))</f>
        <v/>
      </c>
      <c r="X127" s="24">
        <f>IF(AND($T127=1,$U127=0,N($N127)&gt;0),$N127+ROW()/1000000,"")</f>
        <v/>
      </c>
      <c r="Y127" s="24">
        <f>IF(AND($T127=1,$U127=0,OR($I127&lt;&gt;"",N($N127)&gt;0)),N($N127)+ROW()/1000000,"")</f>
        <v/>
      </c>
      <c r="Z127" s="24">
        <f>IF(AND($T127=1,$U127=0,$I127="",N($N127)&lt;=0,-N($N127)&lt;=HORIZON),N($N127)+ROW()/1000000,"")</f>
        <v/>
      </c>
    </row>
    <row r="128">
      <c r="A128" s="21" t="n"/>
      <c r="B128" s="21" t="n"/>
      <c r="C128" s="21" t="n"/>
      <c r="D128" s="21" t="n"/>
      <c r="E128" s="21" t="n"/>
      <c r="F128" s="21" t="n"/>
      <c r="G128" s="21" t="n"/>
      <c r="H128" s="21" t="n"/>
      <c r="I128" s="22" t="n"/>
      <c r="J128" s="22" t="n"/>
      <c r="K128" s="23">
        <f>IF($A128="","",IF($J128&lt;&gt;"",$J128,$S128))</f>
        <v/>
      </c>
      <c r="L128" s="24">
        <f>IF(OR($A128="",$E128=""),"",IF($J128&lt;&gt;"","Manual",IF($S128="","-","Auto")))</f>
        <v/>
      </c>
      <c r="M128" s="22" t="n"/>
      <c r="N128" s="25">
        <f>IF($T128=0,"",IF($U128=1,IF($M128="","",$M128-$K128),IF($K128="","",TODAY()-$K128)))</f>
        <v/>
      </c>
      <c r="O128" s="24">
        <f>IF(OR($A128="",$E128=""),"",IF($V128=1,S_INACT,IF(ISNA(MATCH($A128,TYP_TYPE,0)),S_TYPEKO,IF($U128=1,S_DONE,IF(AND($K128="",$R128=""),S_NOSCOPE,IF($K128="",S_NOTARGET,IF($N128&gt;0,S_LATE,IF($I128&lt;&gt;"",S_WIP,IF(-$N128&lt;=FEN_DOC,S_RISK,IF(-$N128&lt;=HORIZON,S_COMING,S_NOTYET))))))))))</f>
        <v/>
      </c>
      <c r="P128" s="24">
        <f>IF(OR($A128="",$E128=""),"",IF($V128=1,"",IF(ISNA(MATCH($A128,TYP_TYPE,0)),"Type not in the library",IF($B128="","Scope not set",IF(AND($B128="System",$C128=""),"System not set",IF(AND($B128="Equipment",$D128=""),"Equipment not set",IF($F128="","Responsible not set",IF($K128="","No target date",IF(AND($B128="Equipment",$C128&lt;&gt;"",IFERROR(INDEX(EQP_SYS,MATCH($D128,EQP_NOM,0)),"")&lt;&gt;$C128),"Equipment not in that system",IF(AND($U128=1,$M128=""),"Approved with no approval date",""))))))))))</f>
        <v/>
      </c>
      <c r="Q128" s="21" t="n"/>
      <c r="R128" s="23">
        <f>IF(OR($A128="",$B128=""),"",IF($B128="Equipment",IFERROR(INDEX(EQP_START,MATCH($D128,EQP_NOM,0)),""),IF($B128="System",IFERROR(INDEX(SYS_EARLIEST,MATCH($C128,SYS_ID,0)),""),IF($B128="All",CTR_EARLIEST,""))))</f>
        <v/>
      </c>
      <c r="S128" s="23">
        <f>IF(OR($A128="",$E128=""),"",IFERROR(IF(INDEX(TYP_ANCHOR,MATCH($A128,TYP_TYPE,0))="Commissioning Start",IF($R128="","",$R128-INDEX(TYP_LEAD,MATCH($A128,TYP_TYPE,0))),IF(INDEX(MS_PLAN,MATCH(INDEX(TYP_ANCHOR,MATCH($A128,TYP_TYPE,0)),MS_NOM,0))="","",INDEX(MS_PLAN,MATCH(INDEX(TYP_ANCHOR,MATCH($A128,TYP_TYPE,0)),MS_NOM,0))-INDEX(TYP_LEAD,MATCH($A128,TYP_TYPE,0)))),""))</f>
        <v/>
      </c>
      <c r="T128" s="26">
        <f>IF(OR($A128="",$E128=""),0,IF($V128=1,0,1))</f>
        <v/>
      </c>
      <c r="U128" s="26">
        <f>IF($T128=0,0,IF($M128&lt;&gt;"",1,IF(IFERROR(INDEX(WF_CLASS,MATCH($H128,WF_CODE,0)),"")="Done",1,0)))</f>
        <v/>
      </c>
      <c r="V128" s="26">
        <f>IF(OR($A128="",$E128=""),0,IF(IFERROR(INDEX(WF_CLASS,MATCH($H128,WF_CODE,0)),"")="Inactive",1,0))</f>
        <v/>
      </c>
      <c r="W128" s="24">
        <f>IF($A128="","",IFERROR(INDEX(TYP_PHASE,MATCH($A128,TYP_TYPE,0)),"-"))</f>
        <v/>
      </c>
      <c r="X128" s="24">
        <f>IF(AND($T128=1,$U128=0,N($N128)&gt;0),$N128+ROW()/1000000,"")</f>
        <v/>
      </c>
      <c r="Y128" s="24">
        <f>IF(AND($T128=1,$U128=0,OR($I128&lt;&gt;"",N($N128)&gt;0)),N($N128)+ROW()/1000000,"")</f>
        <v/>
      </c>
      <c r="Z128" s="24">
        <f>IF(AND($T128=1,$U128=0,$I128="",N($N128)&lt;=0,-N($N128)&lt;=HORIZON),N($N128)+ROW()/1000000,"")</f>
        <v/>
      </c>
    </row>
    <row r="129">
      <c r="A129" s="21" t="n"/>
      <c r="B129" s="21" t="n"/>
      <c r="C129" s="21" t="n"/>
      <c r="D129" s="21" t="n"/>
      <c r="E129" s="21" t="n"/>
      <c r="F129" s="21" t="n"/>
      <c r="G129" s="21" t="n"/>
      <c r="H129" s="21" t="n"/>
      <c r="I129" s="22" t="n"/>
      <c r="J129" s="22" t="n"/>
      <c r="K129" s="23">
        <f>IF($A129="","",IF($J129&lt;&gt;"",$J129,$S129))</f>
        <v/>
      </c>
      <c r="L129" s="24">
        <f>IF(OR($A129="",$E129=""),"",IF($J129&lt;&gt;"","Manual",IF($S129="","-","Auto")))</f>
        <v/>
      </c>
      <c r="M129" s="22" t="n"/>
      <c r="N129" s="25">
        <f>IF($T129=0,"",IF($U129=1,IF($M129="","",$M129-$K129),IF($K129="","",TODAY()-$K129)))</f>
        <v/>
      </c>
      <c r="O129" s="24">
        <f>IF(OR($A129="",$E129=""),"",IF($V129=1,S_INACT,IF(ISNA(MATCH($A129,TYP_TYPE,0)),S_TYPEKO,IF($U129=1,S_DONE,IF(AND($K129="",$R129=""),S_NOSCOPE,IF($K129="",S_NOTARGET,IF($N129&gt;0,S_LATE,IF($I129&lt;&gt;"",S_WIP,IF(-$N129&lt;=FEN_DOC,S_RISK,IF(-$N129&lt;=HORIZON,S_COMING,S_NOTYET))))))))))</f>
        <v/>
      </c>
      <c r="P129" s="24">
        <f>IF(OR($A129="",$E129=""),"",IF($V129=1,"",IF(ISNA(MATCH($A129,TYP_TYPE,0)),"Type not in the library",IF($B129="","Scope not set",IF(AND($B129="System",$C129=""),"System not set",IF(AND($B129="Equipment",$D129=""),"Equipment not set",IF($F129="","Responsible not set",IF($K129="","No target date",IF(AND($B129="Equipment",$C129&lt;&gt;"",IFERROR(INDEX(EQP_SYS,MATCH($D129,EQP_NOM,0)),"")&lt;&gt;$C129),"Equipment not in that system",IF(AND($U129=1,$M129=""),"Approved with no approval date",""))))))))))</f>
        <v/>
      </c>
      <c r="Q129" s="21" t="n"/>
      <c r="R129" s="23">
        <f>IF(OR($A129="",$B129=""),"",IF($B129="Equipment",IFERROR(INDEX(EQP_START,MATCH($D129,EQP_NOM,0)),""),IF($B129="System",IFERROR(INDEX(SYS_EARLIEST,MATCH($C129,SYS_ID,0)),""),IF($B129="All",CTR_EARLIEST,""))))</f>
        <v/>
      </c>
      <c r="S129" s="23">
        <f>IF(OR($A129="",$E129=""),"",IFERROR(IF(INDEX(TYP_ANCHOR,MATCH($A129,TYP_TYPE,0))="Commissioning Start",IF($R129="","",$R129-INDEX(TYP_LEAD,MATCH($A129,TYP_TYPE,0))),IF(INDEX(MS_PLAN,MATCH(INDEX(TYP_ANCHOR,MATCH($A129,TYP_TYPE,0)),MS_NOM,0))="","",INDEX(MS_PLAN,MATCH(INDEX(TYP_ANCHOR,MATCH($A129,TYP_TYPE,0)),MS_NOM,0))-INDEX(TYP_LEAD,MATCH($A129,TYP_TYPE,0)))),""))</f>
        <v/>
      </c>
      <c r="T129" s="26">
        <f>IF(OR($A129="",$E129=""),0,IF($V129=1,0,1))</f>
        <v/>
      </c>
      <c r="U129" s="26">
        <f>IF($T129=0,0,IF($M129&lt;&gt;"",1,IF(IFERROR(INDEX(WF_CLASS,MATCH($H129,WF_CODE,0)),"")="Done",1,0)))</f>
        <v/>
      </c>
      <c r="V129" s="26">
        <f>IF(OR($A129="",$E129=""),0,IF(IFERROR(INDEX(WF_CLASS,MATCH($H129,WF_CODE,0)),"")="Inactive",1,0))</f>
        <v/>
      </c>
      <c r="W129" s="24">
        <f>IF($A129="","",IFERROR(INDEX(TYP_PHASE,MATCH($A129,TYP_TYPE,0)),"-"))</f>
        <v/>
      </c>
      <c r="X129" s="24">
        <f>IF(AND($T129=1,$U129=0,N($N129)&gt;0),$N129+ROW()/1000000,"")</f>
        <v/>
      </c>
      <c r="Y129" s="24">
        <f>IF(AND($T129=1,$U129=0,OR($I129&lt;&gt;"",N($N129)&gt;0)),N($N129)+ROW()/1000000,"")</f>
        <v/>
      </c>
      <c r="Z129" s="24">
        <f>IF(AND($T129=1,$U129=0,$I129="",N($N129)&lt;=0,-N($N129)&lt;=HORIZON),N($N129)+ROW()/1000000,"")</f>
        <v/>
      </c>
    </row>
    <row r="130">
      <c r="A130" s="21" t="n"/>
      <c r="B130" s="21" t="n"/>
      <c r="C130" s="21" t="n"/>
      <c r="D130" s="21" t="n"/>
      <c r="E130" s="21" t="n"/>
      <c r="F130" s="21" t="n"/>
      <c r="G130" s="21" t="n"/>
      <c r="H130" s="21" t="n"/>
      <c r="I130" s="22" t="n"/>
      <c r="J130" s="22" t="n"/>
      <c r="K130" s="23">
        <f>IF($A130="","",IF($J130&lt;&gt;"",$J130,$S130))</f>
        <v/>
      </c>
      <c r="L130" s="24">
        <f>IF(OR($A130="",$E130=""),"",IF($J130&lt;&gt;"","Manual",IF($S130="","-","Auto")))</f>
        <v/>
      </c>
      <c r="M130" s="22" t="n"/>
      <c r="N130" s="25">
        <f>IF($T130=0,"",IF($U130=1,IF($M130="","",$M130-$K130),IF($K130="","",TODAY()-$K130)))</f>
        <v/>
      </c>
      <c r="O130" s="24">
        <f>IF(OR($A130="",$E130=""),"",IF($V130=1,S_INACT,IF(ISNA(MATCH($A130,TYP_TYPE,0)),S_TYPEKO,IF($U130=1,S_DONE,IF(AND($K130="",$R130=""),S_NOSCOPE,IF($K130="",S_NOTARGET,IF($N130&gt;0,S_LATE,IF($I130&lt;&gt;"",S_WIP,IF(-$N130&lt;=FEN_DOC,S_RISK,IF(-$N130&lt;=HORIZON,S_COMING,S_NOTYET))))))))))</f>
        <v/>
      </c>
      <c r="P130" s="24">
        <f>IF(OR($A130="",$E130=""),"",IF($V130=1,"",IF(ISNA(MATCH($A130,TYP_TYPE,0)),"Type not in the library",IF($B130="","Scope not set",IF(AND($B130="System",$C130=""),"System not set",IF(AND($B130="Equipment",$D130=""),"Equipment not set",IF($F130="","Responsible not set",IF($K130="","No target date",IF(AND($B130="Equipment",$C130&lt;&gt;"",IFERROR(INDEX(EQP_SYS,MATCH($D130,EQP_NOM,0)),"")&lt;&gt;$C130),"Equipment not in that system",IF(AND($U130=1,$M130=""),"Approved with no approval date",""))))))))))</f>
        <v/>
      </c>
      <c r="Q130" s="21" t="n"/>
      <c r="R130" s="23">
        <f>IF(OR($A130="",$B130=""),"",IF($B130="Equipment",IFERROR(INDEX(EQP_START,MATCH($D130,EQP_NOM,0)),""),IF($B130="System",IFERROR(INDEX(SYS_EARLIEST,MATCH($C130,SYS_ID,0)),""),IF($B130="All",CTR_EARLIEST,""))))</f>
        <v/>
      </c>
      <c r="S130" s="23">
        <f>IF(OR($A130="",$E130=""),"",IFERROR(IF(INDEX(TYP_ANCHOR,MATCH($A130,TYP_TYPE,0))="Commissioning Start",IF($R130="","",$R130-INDEX(TYP_LEAD,MATCH($A130,TYP_TYPE,0))),IF(INDEX(MS_PLAN,MATCH(INDEX(TYP_ANCHOR,MATCH($A130,TYP_TYPE,0)),MS_NOM,0))="","",INDEX(MS_PLAN,MATCH(INDEX(TYP_ANCHOR,MATCH($A130,TYP_TYPE,0)),MS_NOM,0))-INDEX(TYP_LEAD,MATCH($A130,TYP_TYPE,0)))),""))</f>
        <v/>
      </c>
      <c r="T130" s="26">
        <f>IF(OR($A130="",$E130=""),0,IF($V130=1,0,1))</f>
        <v/>
      </c>
      <c r="U130" s="26">
        <f>IF($T130=0,0,IF($M130&lt;&gt;"",1,IF(IFERROR(INDEX(WF_CLASS,MATCH($H130,WF_CODE,0)),"")="Done",1,0)))</f>
        <v/>
      </c>
      <c r="V130" s="26">
        <f>IF(OR($A130="",$E130=""),0,IF(IFERROR(INDEX(WF_CLASS,MATCH($H130,WF_CODE,0)),"")="Inactive",1,0))</f>
        <v/>
      </c>
      <c r="W130" s="24">
        <f>IF($A130="","",IFERROR(INDEX(TYP_PHASE,MATCH($A130,TYP_TYPE,0)),"-"))</f>
        <v/>
      </c>
      <c r="X130" s="24">
        <f>IF(AND($T130=1,$U130=0,N($N130)&gt;0),$N130+ROW()/1000000,"")</f>
        <v/>
      </c>
      <c r="Y130" s="24">
        <f>IF(AND($T130=1,$U130=0,OR($I130&lt;&gt;"",N($N130)&gt;0)),N($N130)+ROW()/1000000,"")</f>
        <v/>
      </c>
      <c r="Z130" s="24">
        <f>IF(AND($T130=1,$U130=0,$I130="",N($N130)&lt;=0,-N($N130)&lt;=HORIZON),N($N130)+ROW()/1000000,"")</f>
        <v/>
      </c>
    </row>
    <row r="131">
      <c r="A131" s="21" t="n"/>
      <c r="B131" s="21" t="n"/>
      <c r="C131" s="21" t="n"/>
      <c r="D131" s="21" t="n"/>
      <c r="E131" s="21" t="n"/>
      <c r="F131" s="21" t="n"/>
      <c r="G131" s="21" t="n"/>
      <c r="H131" s="21" t="n"/>
      <c r="I131" s="22" t="n"/>
      <c r="J131" s="22" t="n"/>
      <c r="K131" s="23">
        <f>IF($A131="","",IF($J131&lt;&gt;"",$J131,$S131))</f>
        <v/>
      </c>
      <c r="L131" s="24">
        <f>IF(OR($A131="",$E131=""),"",IF($J131&lt;&gt;"","Manual",IF($S131="","-","Auto")))</f>
        <v/>
      </c>
      <c r="M131" s="22" t="n"/>
      <c r="N131" s="25">
        <f>IF($T131=0,"",IF($U131=1,IF($M131="","",$M131-$K131),IF($K131="","",TODAY()-$K131)))</f>
        <v/>
      </c>
      <c r="O131" s="24">
        <f>IF(OR($A131="",$E131=""),"",IF($V131=1,S_INACT,IF(ISNA(MATCH($A131,TYP_TYPE,0)),S_TYPEKO,IF($U131=1,S_DONE,IF(AND($K131="",$R131=""),S_NOSCOPE,IF($K131="",S_NOTARGET,IF($N131&gt;0,S_LATE,IF($I131&lt;&gt;"",S_WIP,IF(-$N131&lt;=FEN_DOC,S_RISK,IF(-$N131&lt;=HORIZON,S_COMING,S_NOTYET))))))))))</f>
        <v/>
      </c>
      <c r="P131" s="24">
        <f>IF(OR($A131="",$E131=""),"",IF($V131=1,"",IF(ISNA(MATCH($A131,TYP_TYPE,0)),"Type not in the library",IF($B131="","Scope not set",IF(AND($B131="System",$C131=""),"System not set",IF(AND($B131="Equipment",$D131=""),"Equipment not set",IF($F131="","Responsible not set",IF($K131="","No target date",IF(AND($B131="Equipment",$C131&lt;&gt;"",IFERROR(INDEX(EQP_SYS,MATCH($D131,EQP_NOM,0)),"")&lt;&gt;$C131),"Equipment not in that system",IF(AND($U131=1,$M131=""),"Approved with no approval date",""))))))))))</f>
        <v/>
      </c>
      <c r="Q131" s="21" t="n"/>
      <c r="R131" s="23">
        <f>IF(OR($A131="",$B131=""),"",IF($B131="Equipment",IFERROR(INDEX(EQP_START,MATCH($D131,EQP_NOM,0)),""),IF($B131="System",IFERROR(INDEX(SYS_EARLIEST,MATCH($C131,SYS_ID,0)),""),IF($B131="All",CTR_EARLIEST,""))))</f>
        <v/>
      </c>
      <c r="S131" s="23">
        <f>IF(OR($A131="",$E131=""),"",IFERROR(IF(INDEX(TYP_ANCHOR,MATCH($A131,TYP_TYPE,0))="Commissioning Start",IF($R131="","",$R131-INDEX(TYP_LEAD,MATCH($A131,TYP_TYPE,0))),IF(INDEX(MS_PLAN,MATCH(INDEX(TYP_ANCHOR,MATCH($A131,TYP_TYPE,0)),MS_NOM,0))="","",INDEX(MS_PLAN,MATCH(INDEX(TYP_ANCHOR,MATCH($A131,TYP_TYPE,0)),MS_NOM,0))-INDEX(TYP_LEAD,MATCH($A131,TYP_TYPE,0)))),""))</f>
        <v/>
      </c>
      <c r="T131" s="26">
        <f>IF(OR($A131="",$E131=""),0,IF($V131=1,0,1))</f>
        <v/>
      </c>
      <c r="U131" s="26">
        <f>IF($T131=0,0,IF($M131&lt;&gt;"",1,IF(IFERROR(INDEX(WF_CLASS,MATCH($H131,WF_CODE,0)),"")="Done",1,0)))</f>
        <v/>
      </c>
      <c r="V131" s="26">
        <f>IF(OR($A131="",$E131=""),0,IF(IFERROR(INDEX(WF_CLASS,MATCH($H131,WF_CODE,0)),"")="Inactive",1,0))</f>
        <v/>
      </c>
      <c r="W131" s="24">
        <f>IF($A131="","",IFERROR(INDEX(TYP_PHASE,MATCH($A131,TYP_TYPE,0)),"-"))</f>
        <v/>
      </c>
      <c r="X131" s="24">
        <f>IF(AND($T131=1,$U131=0,N($N131)&gt;0),$N131+ROW()/1000000,"")</f>
        <v/>
      </c>
      <c r="Y131" s="24">
        <f>IF(AND($T131=1,$U131=0,OR($I131&lt;&gt;"",N($N131)&gt;0)),N($N131)+ROW()/1000000,"")</f>
        <v/>
      </c>
      <c r="Z131" s="24">
        <f>IF(AND($T131=1,$U131=0,$I131="",N($N131)&lt;=0,-N($N131)&lt;=HORIZON),N($N131)+ROW()/1000000,"")</f>
        <v/>
      </c>
    </row>
    <row r="132">
      <c r="A132" s="21" t="n"/>
      <c r="B132" s="21" t="n"/>
      <c r="C132" s="21" t="n"/>
      <c r="D132" s="21" t="n"/>
      <c r="E132" s="21" t="n"/>
      <c r="F132" s="21" t="n"/>
      <c r="G132" s="21" t="n"/>
      <c r="H132" s="21" t="n"/>
      <c r="I132" s="22" t="n"/>
      <c r="J132" s="22" t="n"/>
      <c r="K132" s="23">
        <f>IF($A132="","",IF($J132&lt;&gt;"",$J132,$S132))</f>
        <v/>
      </c>
      <c r="L132" s="24">
        <f>IF(OR($A132="",$E132=""),"",IF($J132&lt;&gt;"","Manual",IF($S132="","-","Auto")))</f>
        <v/>
      </c>
      <c r="M132" s="22" t="n"/>
      <c r="N132" s="25">
        <f>IF($T132=0,"",IF($U132=1,IF($M132="","",$M132-$K132),IF($K132="","",TODAY()-$K132)))</f>
        <v/>
      </c>
      <c r="O132" s="24">
        <f>IF(OR($A132="",$E132=""),"",IF($V132=1,S_INACT,IF(ISNA(MATCH($A132,TYP_TYPE,0)),S_TYPEKO,IF($U132=1,S_DONE,IF(AND($K132="",$R132=""),S_NOSCOPE,IF($K132="",S_NOTARGET,IF($N132&gt;0,S_LATE,IF($I132&lt;&gt;"",S_WIP,IF(-$N132&lt;=FEN_DOC,S_RISK,IF(-$N132&lt;=HORIZON,S_COMING,S_NOTYET))))))))))</f>
        <v/>
      </c>
      <c r="P132" s="24">
        <f>IF(OR($A132="",$E132=""),"",IF($V132=1,"",IF(ISNA(MATCH($A132,TYP_TYPE,0)),"Type not in the library",IF($B132="","Scope not set",IF(AND($B132="System",$C132=""),"System not set",IF(AND($B132="Equipment",$D132=""),"Equipment not set",IF($F132="","Responsible not set",IF($K132="","No target date",IF(AND($B132="Equipment",$C132&lt;&gt;"",IFERROR(INDEX(EQP_SYS,MATCH($D132,EQP_NOM,0)),"")&lt;&gt;$C132),"Equipment not in that system",IF(AND($U132=1,$M132=""),"Approved with no approval date",""))))))))))</f>
        <v/>
      </c>
      <c r="Q132" s="21" t="n"/>
      <c r="R132" s="23">
        <f>IF(OR($A132="",$B132=""),"",IF($B132="Equipment",IFERROR(INDEX(EQP_START,MATCH($D132,EQP_NOM,0)),""),IF($B132="System",IFERROR(INDEX(SYS_EARLIEST,MATCH($C132,SYS_ID,0)),""),IF($B132="All",CTR_EARLIEST,""))))</f>
        <v/>
      </c>
      <c r="S132" s="23">
        <f>IF(OR($A132="",$E132=""),"",IFERROR(IF(INDEX(TYP_ANCHOR,MATCH($A132,TYP_TYPE,0))="Commissioning Start",IF($R132="","",$R132-INDEX(TYP_LEAD,MATCH($A132,TYP_TYPE,0))),IF(INDEX(MS_PLAN,MATCH(INDEX(TYP_ANCHOR,MATCH($A132,TYP_TYPE,0)),MS_NOM,0))="","",INDEX(MS_PLAN,MATCH(INDEX(TYP_ANCHOR,MATCH($A132,TYP_TYPE,0)),MS_NOM,0))-INDEX(TYP_LEAD,MATCH($A132,TYP_TYPE,0)))),""))</f>
        <v/>
      </c>
      <c r="T132" s="26">
        <f>IF(OR($A132="",$E132=""),0,IF($V132=1,0,1))</f>
        <v/>
      </c>
      <c r="U132" s="26">
        <f>IF($T132=0,0,IF($M132&lt;&gt;"",1,IF(IFERROR(INDEX(WF_CLASS,MATCH($H132,WF_CODE,0)),"")="Done",1,0)))</f>
        <v/>
      </c>
      <c r="V132" s="26">
        <f>IF(OR($A132="",$E132=""),0,IF(IFERROR(INDEX(WF_CLASS,MATCH($H132,WF_CODE,0)),"")="Inactive",1,0))</f>
        <v/>
      </c>
      <c r="W132" s="24">
        <f>IF($A132="","",IFERROR(INDEX(TYP_PHASE,MATCH($A132,TYP_TYPE,0)),"-"))</f>
        <v/>
      </c>
      <c r="X132" s="24">
        <f>IF(AND($T132=1,$U132=0,N($N132)&gt;0),$N132+ROW()/1000000,"")</f>
        <v/>
      </c>
      <c r="Y132" s="24">
        <f>IF(AND($T132=1,$U132=0,OR($I132&lt;&gt;"",N($N132)&gt;0)),N($N132)+ROW()/1000000,"")</f>
        <v/>
      </c>
      <c r="Z132" s="24">
        <f>IF(AND($T132=1,$U132=0,$I132="",N($N132)&lt;=0,-N($N132)&lt;=HORIZON),N($N132)+ROW()/1000000,"")</f>
        <v/>
      </c>
    </row>
    <row r="133">
      <c r="A133" s="21" t="n"/>
      <c r="B133" s="21" t="n"/>
      <c r="C133" s="21" t="n"/>
      <c r="D133" s="21" t="n"/>
      <c r="E133" s="21" t="n"/>
      <c r="F133" s="21" t="n"/>
      <c r="G133" s="21" t="n"/>
      <c r="H133" s="21" t="n"/>
      <c r="I133" s="22" t="n"/>
      <c r="J133" s="22" t="n"/>
      <c r="K133" s="23">
        <f>IF($A133="","",IF($J133&lt;&gt;"",$J133,$S133))</f>
        <v/>
      </c>
      <c r="L133" s="24">
        <f>IF(OR($A133="",$E133=""),"",IF($J133&lt;&gt;"","Manual",IF($S133="","-","Auto")))</f>
        <v/>
      </c>
      <c r="M133" s="22" t="n"/>
      <c r="N133" s="25">
        <f>IF($T133=0,"",IF($U133=1,IF($M133="","",$M133-$K133),IF($K133="","",TODAY()-$K133)))</f>
        <v/>
      </c>
      <c r="O133" s="24">
        <f>IF(OR($A133="",$E133=""),"",IF($V133=1,S_INACT,IF(ISNA(MATCH($A133,TYP_TYPE,0)),S_TYPEKO,IF($U133=1,S_DONE,IF(AND($K133="",$R133=""),S_NOSCOPE,IF($K133="",S_NOTARGET,IF($N133&gt;0,S_LATE,IF($I133&lt;&gt;"",S_WIP,IF(-$N133&lt;=FEN_DOC,S_RISK,IF(-$N133&lt;=HORIZON,S_COMING,S_NOTYET))))))))))</f>
        <v/>
      </c>
      <c r="P133" s="24">
        <f>IF(OR($A133="",$E133=""),"",IF($V133=1,"",IF(ISNA(MATCH($A133,TYP_TYPE,0)),"Type not in the library",IF($B133="","Scope not set",IF(AND($B133="System",$C133=""),"System not set",IF(AND($B133="Equipment",$D133=""),"Equipment not set",IF($F133="","Responsible not set",IF($K133="","No target date",IF(AND($B133="Equipment",$C133&lt;&gt;"",IFERROR(INDEX(EQP_SYS,MATCH($D133,EQP_NOM,0)),"")&lt;&gt;$C133),"Equipment not in that system",IF(AND($U133=1,$M133=""),"Approved with no approval date",""))))))))))</f>
        <v/>
      </c>
      <c r="Q133" s="21" t="n"/>
      <c r="R133" s="23">
        <f>IF(OR($A133="",$B133=""),"",IF($B133="Equipment",IFERROR(INDEX(EQP_START,MATCH($D133,EQP_NOM,0)),""),IF($B133="System",IFERROR(INDEX(SYS_EARLIEST,MATCH($C133,SYS_ID,0)),""),IF($B133="All",CTR_EARLIEST,""))))</f>
        <v/>
      </c>
      <c r="S133" s="23">
        <f>IF(OR($A133="",$E133=""),"",IFERROR(IF(INDEX(TYP_ANCHOR,MATCH($A133,TYP_TYPE,0))="Commissioning Start",IF($R133="","",$R133-INDEX(TYP_LEAD,MATCH($A133,TYP_TYPE,0))),IF(INDEX(MS_PLAN,MATCH(INDEX(TYP_ANCHOR,MATCH($A133,TYP_TYPE,0)),MS_NOM,0))="","",INDEX(MS_PLAN,MATCH(INDEX(TYP_ANCHOR,MATCH($A133,TYP_TYPE,0)),MS_NOM,0))-INDEX(TYP_LEAD,MATCH($A133,TYP_TYPE,0)))),""))</f>
        <v/>
      </c>
      <c r="T133" s="26">
        <f>IF(OR($A133="",$E133=""),0,IF($V133=1,0,1))</f>
        <v/>
      </c>
      <c r="U133" s="26">
        <f>IF($T133=0,0,IF($M133&lt;&gt;"",1,IF(IFERROR(INDEX(WF_CLASS,MATCH($H133,WF_CODE,0)),"")="Done",1,0)))</f>
        <v/>
      </c>
      <c r="V133" s="26">
        <f>IF(OR($A133="",$E133=""),0,IF(IFERROR(INDEX(WF_CLASS,MATCH($H133,WF_CODE,0)),"")="Inactive",1,0))</f>
        <v/>
      </c>
      <c r="W133" s="24">
        <f>IF($A133="","",IFERROR(INDEX(TYP_PHASE,MATCH($A133,TYP_TYPE,0)),"-"))</f>
        <v/>
      </c>
      <c r="X133" s="24">
        <f>IF(AND($T133=1,$U133=0,N($N133)&gt;0),$N133+ROW()/1000000,"")</f>
        <v/>
      </c>
      <c r="Y133" s="24">
        <f>IF(AND($T133=1,$U133=0,OR($I133&lt;&gt;"",N($N133)&gt;0)),N($N133)+ROW()/1000000,"")</f>
        <v/>
      </c>
      <c r="Z133" s="24">
        <f>IF(AND($T133=1,$U133=0,$I133="",N($N133)&lt;=0,-N($N133)&lt;=HORIZON),N($N133)+ROW()/1000000,"")</f>
        <v/>
      </c>
    </row>
    <row r="134">
      <c r="A134" s="21" t="n"/>
      <c r="B134" s="21" t="n"/>
      <c r="C134" s="21" t="n"/>
      <c r="D134" s="21" t="n"/>
      <c r="E134" s="21" t="n"/>
      <c r="F134" s="21" t="n"/>
      <c r="G134" s="21" t="n"/>
      <c r="H134" s="21" t="n"/>
      <c r="I134" s="22" t="n"/>
      <c r="J134" s="22" t="n"/>
      <c r="K134" s="23">
        <f>IF($A134="","",IF($J134&lt;&gt;"",$J134,$S134))</f>
        <v/>
      </c>
      <c r="L134" s="24">
        <f>IF(OR($A134="",$E134=""),"",IF($J134&lt;&gt;"","Manual",IF($S134="","-","Auto")))</f>
        <v/>
      </c>
      <c r="M134" s="22" t="n"/>
      <c r="N134" s="25">
        <f>IF($T134=0,"",IF($U134=1,IF($M134="","",$M134-$K134),IF($K134="","",TODAY()-$K134)))</f>
        <v/>
      </c>
      <c r="O134" s="24">
        <f>IF(OR($A134="",$E134=""),"",IF($V134=1,S_INACT,IF(ISNA(MATCH($A134,TYP_TYPE,0)),S_TYPEKO,IF($U134=1,S_DONE,IF(AND($K134="",$R134=""),S_NOSCOPE,IF($K134="",S_NOTARGET,IF($N134&gt;0,S_LATE,IF($I134&lt;&gt;"",S_WIP,IF(-$N134&lt;=FEN_DOC,S_RISK,IF(-$N134&lt;=HORIZON,S_COMING,S_NOTYET))))))))))</f>
        <v/>
      </c>
      <c r="P134" s="24">
        <f>IF(OR($A134="",$E134=""),"",IF($V134=1,"",IF(ISNA(MATCH($A134,TYP_TYPE,0)),"Type not in the library",IF($B134="","Scope not set",IF(AND($B134="System",$C134=""),"System not set",IF(AND($B134="Equipment",$D134=""),"Equipment not set",IF($F134="","Responsible not set",IF($K134="","No target date",IF(AND($B134="Equipment",$C134&lt;&gt;"",IFERROR(INDEX(EQP_SYS,MATCH($D134,EQP_NOM,0)),"")&lt;&gt;$C134),"Equipment not in that system",IF(AND($U134=1,$M134=""),"Approved with no approval date",""))))))))))</f>
        <v/>
      </c>
      <c r="Q134" s="21" t="n"/>
      <c r="R134" s="23">
        <f>IF(OR($A134="",$B134=""),"",IF($B134="Equipment",IFERROR(INDEX(EQP_START,MATCH($D134,EQP_NOM,0)),""),IF($B134="System",IFERROR(INDEX(SYS_EARLIEST,MATCH($C134,SYS_ID,0)),""),IF($B134="All",CTR_EARLIEST,""))))</f>
        <v/>
      </c>
      <c r="S134" s="23">
        <f>IF(OR($A134="",$E134=""),"",IFERROR(IF(INDEX(TYP_ANCHOR,MATCH($A134,TYP_TYPE,0))="Commissioning Start",IF($R134="","",$R134-INDEX(TYP_LEAD,MATCH($A134,TYP_TYPE,0))),IF(INDEX(MS_PLAN,MATCH(INDEX(TYP_ANCHOR,MATCH($A134,TYP_TYPE,0)),MS_NOM,0))="","",INDEX(MS_PLAN,MATCH(INDEX(TYP_ANCHOR,MATCH($A134,TYP_TYPE,0)),MS_NOM,0))-INDEX(TYP_LEAD,MATCH($A134,TYP_TYPE,0)))),""))</f>
        <v/>
      </c>
      <c r="T134" s="26">
        <f>IF(OR($A134="",$E134=""),0,IF($V134=1,0,1))</f>
        <v/>
      </c>
      <c r="U134" s="26">
        <f>IF($T134=0,0,IF($M134&lt;&gt;"",1,IF(IFERROR(INDEX(WF_CLASS,MATCH($H134,WF_CODE,0)),"")="Done",1,0)))</f>
        <v/>
      </c>
      <c r="V134" s="26">
        <f>IF(OR($A134="",$E134=""),0,IF(IFERROR(INDEX(WF_CLASS,MATCH($H134,WF_CODE,0)),"")="Inactive",1,0))</f>
        <v/>
      </c>
      <c r="W134" s="24">
        <f>IF($A134="","",IFERROR(INDEX(TYP_PHASE,MATCH($A134,TYP_TYPE,0)),"-"))</f>
        <v/>
      </c>
      <c r="X134" s="24">
        <f>IF(AND($T134=1,$U134=0,N($N134)&gt;0),$N134+ROW()/1000000,"")</f>
        <v/>
      </c>
      <c r="Y134" s="24">
        <f>IF(AND($T134=1,$U134=0,OR($I134&lt;&gt;"",N($N134)&gt;0)),N($N134)+ROW()/1000000,"")</f>
        <v/>
      </c>
      <c r="Z134" s="24">
        <f>IF(AND($T134=1,$U134=0,$I134="",N($N134)&lt;=0,-N($N134)&lt;=HORIZON),N($N134)+ROW()/1000000,"")</f>
        <v/>
      </c>
    </row>
    <row r="135">
      <c r="A135" s="21" t="n"/>
      <c r="B135" s="21" t="n"/>
      <c r="C135" s="21" t="n"/>
      <c r="D135" s="21" t="n"/>
      <c r="E135" s="21" t="n"/>
      <c r="F135" s="21" t="n"/>
      <c r="G135" s="21" t="n"/>
      <c r="H135" s="21" t="n"/>
      <c r="I135" s="22" t="n"/>
      <c r="J135" s="22" t="n"/>
      <c r="K135" s="23">
        <f>IF($A135="","",IF($J135&lt;&gt;"",$J135,$S135))</f>
        <v/>
      </c>
      <c r="L135" s="24">
        <f>IF(OR($A135="",$E135=""),"",IF($J135&lt;&gt;"","Manual",IF($S135="","-","Auto")))</f>
        <v/>
      </c>
      <c r="M135" s="22" t="n"/>
      <c r="N135" s="25">
        <f>IF($T135=0,"",IF($U135=1,IF($M135="","",$M135-$K135),IF($K135="","",TODAY()-$K135)))</f>
        <v/>
      </c>
      <c r="O135" s="24">
        <f>IF(OR($A135="",$E135=""),"",IF($V135=1,S_INACT,IF(ISNA(MATCH($A135,TYP_TYPE,0)),S_TYPEKO,IF($U135=1,S_DONE,IF(AND($K135="",$R135=""),S_NOSCOPE,IF($K135="",S_NOTARGET,IF($N135&gt;0,S_LATE,IF($I135&lt;&gt;"",S_WIP,IF(-$N135&lt;=FEN_DOC,S_RISK,IF(-$N135&lt;=HORIZON,S_COMING,S_NOTYET))))))))))</f>
        <v/>
      </c>
      <c r="P135" s="24">
        <f>IF(OR($A135="",$E135=""),"",IF($V135=1,"",IF(ISNA(MATCH($A135,TYP_TYPE,0)),"Type not in the library",IF($B135="","Scope not set",IF(AND($B135="System",$C135=""),"System not set",IF(AND($B135="Equipment",$D135=""),"Equipment not set",IF($F135="","Responsible not set",IF($K135="","No target date",IF(AND($B135="Equipment",$C135&lt;&gt;"",IFERROR(INDEX(EQP_SYS,MATCH($D135,EQP_NOM,0)),"")&lt;&gt;$C135),"Equipment not in that system",IF(AND($U135=1,$M135=""),"Approved with no approval date",""))))))))))</f>
        <v/>
      </c>
      <c r="Q135" s="21" t="n"/>
      <c r="R135" s="23">
        <f>IF(OR($A135="",$B135=""),"",IF($B135="Equipment",IFERROR(INDEX(EQP_START,MATCH($D135,EQP_NOM,0)),""),IF($B135="System",IFERROR(INDEX(SYS_EARLIEST,MATCH($C135,SYS_ID,0)),""),IF($B135="All",CTR_EARLIEST,""))))</f>
        <v/>
      </c>
      <c r="S135" s="23">
        <f>IF(OR($A135="",$E135=""),"",IFERROR(IF(INDEX(TYP_ANCHOR,MATCH($A135,TYP_TYPE,0))="Commissioning Start",IF($R135="","",$R135-INDEX(TYP_LEAD,MATCH($A135,TYP_TYPE,0))),IF(INDEX(MS_PLAN,MATCH(INDEX(TYP_ANCHOR,MATCH($A135,TYP_TYPE,0)),MS_NOM,0))="","",INDEX(MS_PLAN,MATCH(INDEX(TYP_ANCHOR,MATCH($A135,TYP_TYPE,0)),MS_NOM,0))-INDEX(TYP_LEAD,MATCH($A135,TYP_TYPE,0)))),""))</f>
        <v/>
      </c>
      <c r="T135" s="26">
        <f>IF(OR($A135="",$E135=""),0,IF($V135=1,0,1))</f>
        <v/>
      </c>
      <c r="U135" s="26">
        <f>IF($T135=0,0,IF($M135&lt;&gt;"",1,IF(IFERROR(INDEX(WF_CLASS,MATCH($H135,WF_CODE,0)),"")="Done",1,0)))</f>
        <v/>
      </c>
      <c r="V135" s="26">
        <f>IF(OR($A135="",$E135=""),0,IF(IFERROR(INDEX(WF_CLASS,MATCH($H135,WF_CODE,0)),"")="Inactive",1,0))</f>
        <v/>
      </c>
      <c r="W135" s="24">
        <f>IF($A135="","",IFERROR(INDEX(TYP_PHASE,MATCH($A135,TYP_TYPE,0)),"-"))</f>
        <v/>
      </c>
      <c r="X135" s="24">
        <f>IF(AND($T135=1,$U135=0,N($N135)&gt;0),$N135+ROW()/1000000,"")</f>
        <v/>
      </c>
      <c r="Y135" s="24">
        <f>IF(AND($T135=1,$U135=0,OR($I135&lt;&gt;"",N($N135)&gt;0)),N($N135)+ROW()/1000000,"")</f>
        <v/>
      </c>
      <c r="Z135" s="24">
        <f>IF(AND($T135=1,$U135=0,$I135="",N($N135)&lt;=0,-N($N135)&lt;=HORIZON),N($N135)+ROW()/1000000,"")</f>
        <v/>
      </c>
    </row>
    <row r="136">
      <c r="A136" s="21" t="n"/>
      <c r="B136" s="21" t="n"/>
      <c r="C136" s="21" t="n"/>
      <c r="D136" s="21" t="n"/>
      <c r="E136" s="21" t="n"/>
      <c r="F136" s="21" t="n"/>
      <c r="G136" s="21" t="n"/>
      <c r="H136" s="21" t="n"/>
      <c r="I136" s="22" t="n"/>
      <c r="J136" s="22" t="n"/>
      <c r="K136" s="23">
        <f>IF($A136="","",IF($J136&lt;&gt;"",$J136,$S136))</f>
        <v/>
      </c>
      <c r="L136" s="24">
        <f>IF(OR($A136="",$E136=""),"",IF($J136&lt;&gt;"","Manual",IF($S136="","-","Auto")))</f>
        <v/>
      </c>
      <c r="M136" s="22" t="n"/>
      <c r="N136" s="25">
        <f>IF($T136=0,"",IF($U136=1,IF($M136="","",$M136-$K136),IF($K136="","",TODAY()-$K136)))</f>
        <v/>
      </c>
      <c r="O136" s="24">
        <f>IF(OR($A136="",$E136=""),"",IF($V136=1,S_INACT,IF(ISNA(MATCH($A136,TYP_TYPE,0)),S_TYPEKO,IF($U136=1,S_DONE,IF(AND($K136="",$R136=""),S_NOSCOPE,IF($K136="",S_NOTARGET,IF($N136&gt;0,S_LATE,IF($I136&lt;&gt;"",S_WIP,IF(-$N136&lt;=FEN_DOC,S_RISK,IF(-$N136&lt;=HORIZON,S_COMING,S_NOTYET))))))))))</f>
        <v/>
      </c>
      <c r="P136" s="24">
        <f>IF(OR($A136="",$E136=""),"",IF($V136=1,"",IF(ISNA(MATCH($A136,TYP_TYPE,0)),"Type not in the library",IF($B136="","Scope not set",IF(AND($B136="System",$C136=""),"System not set",IF(AND($B136="Equipment",$D136=""),"Equipment not set",IF($F136="","Responsible not set",IF($K136="","No target date",IF(AND($B136="Equipment",$C136&lt;&gt;"",IFERROR(INDEX(EQP_SYS,MATCH($D136,EQP_NOM,0)),"")&lt;&gt;$C136),"Equipment not in that system",IF(AND($U136=1,$M136=""),"Approved with no approval date",""))))))))))</f>
        <v/>
      </c>
      <c r="Q136" s="21" t="n"/>
      <c r="R136" s="23">
        <f>IF(OR($A136="",$B136=""),"",IF($B136="Equipment",IFERROR(INDEX(EQP_START,MATCH($D136,EQP_NOM,0)),""),IF($B136="System",IFERROR(INDEX(SYS_EARLIEST,MATCH($C136,SYS_ID,0)),""),IF($B136="All",CTR_EARLIEST,""))))</f>
        <v/>
      </c>
      <c r="S136" s="23">
        <f>IF(OR($A136="",$E136=""),"",IFERROR(IF(INDEX(TYP_ANCHOR,MATCH($A136,TYP_TYPE,0))="Commissioning Start",IF($R136="","",$R136-INDEX(TYP_LEAD,MATCH($A136,TYP_TYPE,0))),IF(INDEX(MS_PLAN,MATCH(INDEX(TYP_ANCHOR,MATCH($A136,TYP_TYPE,0)),MS_NOM,0))="","",INDEX(MS_PLAN,MATCH(INDEX(TYP_ANCHOR,MATCH($A136,TYP_TYPE,0)),MS_NOM,0))-INDEX(TYP_LEAD,MATCH($A136,TYP_TYPE,0)))),""))</f>
        <v/>
      </c>
      <c r="T136" s="26">
        <f>IF(OR($A136="",$E136=""),0,IF($V136=1,0,1))</f>
        <v/>
      </c>
      <c r="U136" s="26">
        <f>IF($T136=0,0,IF($M136&lt;&gt;"",1,IF(IFERROR(INDEX(WF_CLASS,MATCH($H136,WF_CODE,0)),"")="Done",1,0)))</f>
        <v/>
      </c>
      <c r="V136" s="26">
        <f>IF(OR($A136="",$E136=""),0,IF(IFERROR(INDEX(WF_CLASS,MATCH($H136,WF_CODE,0)),"")="Inactive",1,0))</f>
        <v/>
      </c>
      <c r="W136" s="24">
        <f>IF($A136="","",IFERROR(INDEX(TYP_PHASE,MATCH($A136,TYP_TYPE,0)),"-"))</f>
        <v/>
      </c>
      <c r="X136" s="24">
        <f>IF(AND($T136=1,$U136=0,N($N136)&gt;0),$N136+ROW()/1000000,"")</f>
        <v/>
      </c>
      <c r="Y136" s="24">
        <f>IF(AND($T136=1,$U136=0,OR($I136&lt;&gt;"",N($N136)&gt;0)),N($N136)+ROW()/1000000,"")</f>
        <v/>
      </c>
      <c r="Z136" s="24">
        <f>IF(AND($T136=1,$U136=0,$I136="",N($N136)&lt;=0,-N($N136)&lt;=HORIZON),N($N136)+ROW()/1000000,"")</f>
        <v/>
      </c>
    </row>
    <row r="137">
      <c r="A137" s="21" t="n"/>
      <c r="B137" s="21" t="n"/>
      <c r="C137" s="21" t="n"/>
      <c r="D137" s="21" t="n"/>
      <c r="E137" s="21" t="n"/>
      <c r="F137" s="21" t="n"/>
      <c r="G137" s="21" t="n"/>
      <c r="H137" s="21" t="n"/>
      <c r="I137" s="22" t="n"/>
      <c r="J137" s="22" t="n"/>
      <c r="K137" s="23">
        <f>IF($A137="","",IF($J137&lt;&gt;"",$J137,$S137))</f>
        <v/>
      </c>
      <c r="L137" s="24">
        <f>IF(OR($A137="",$E137=""),"",IF($J137&lt;&gt;"","Manual",IF($S137="","-","Auto")))</f>
        <v/>
      </c>
      <c r="M137" s="22" t="n"/>
      <c r="N137" s="25">
        <f>IF($T137=0,"",IF($U137=1,IF($M137="","",$M137-$K137),IF($K137="","",TODAY()-$K137)))</f>
        <v/>
      </c>
      <c r="O137" s="24">
        <f>IF(OR($A137="",$E137=""),"",IF($V137=1,S_INACT,IF(ISNA(MATCH($A137,TYP_TYPE,0)),S_TYPEKO,IF($U137=1,S_DONE,IF(AND($K137="",$R137=""),S_NOSCOPE,IF($K137="",S_NOTARGET,IF($N137&gt;0,S_LATE,IF($I137&lt;&gt;"",S_WIP,IF(-$N137&lt;=FEN_DOC,S_RISK,IF(-$N137&lt;=HORIZON,S_COMING,S_NOTYET))))))))))</f>
        <v/>
      </c>
      <c r="P137" s="24">
        <f>IF(OR($A137="",$E137=""),"",IF($V137=1,"",IF(ISNA(MATCH($A137,TYP_TYPE,0)),"Type not in the library",IF($B137="","Scope not set",IF(AND($B137="System",$C137=""),"System not set",IF(AND($B137="Equipment",$D137=""),"Equipment not set",IF($F137="","Responsible not set",IF($K137="","No target date",IF(AND($B137="Equipment",$C137&lt;&gt;"",IFERROR(INDEX(EQP_SYS,MATCH($D137,EQP_NOM,0)),"")&lt;&gt;$C137),"Equipment not in that system",IF(AND($U137=1,$M137=""),"Approved with no approval date",""))))))))))</f>
        <v/>
      </c>
      <c r="Q137" s="21" t="n"/>
      <c r="R137" s="23">
        <f>IF(OR($A137="",$B137=""),"",IF($B137="Equipment",IFERROR(INDEX(EQP_START,MATCH($D137,EQP_NOM,0)),""),IF($B137="System",IFERROR(INDEX(SYS_EARLIEST,MATCH($C137,SYS_ID,0)),""),IF($B137="All",CTR_EARLIEST,""))))</f>
        <v/>
      </c>
      <c r="S137" s="23">
        <f>IF(OR($A137="",$E137=""),"",IFERROR(IF(INDEX(TYP_ANCHOR,MATCH($A137,TYP_TYPE,0))="Commissioning Start",IF($R137="","",$R137-INDEX(TYP_LEAD,MATCH($A137,TYP_TYPE,0))),IF(INDEX(MS_PLAN,MATCH(INDEX(TYP_ANCHOR,MATCH($A137,TYP_TYPE,0)),MS_NOM,0))="","",INDEX(MS_PLAN,MATCH(INDEX(TYP_ANCHOR,MATCH($A137,TYP_TYPE,0)),MS_NOM,0))-INDEX(TYP_LEAD,MATCH($A137,TYP_TYPE,0)))),""))</f>
        <v/>
      </c>
      <c r="T137" s="26">
        <f>IF(OR($A137="",$E137=""),0,IF($V137=1,0,1))</f>
        <v/>
      </c>
      <c r="U137" s="26">
        <f>IF($T137=0,0,IF($M137&lt;&gt;"",1,IF(IFERROR(INDEX(WF_CLASS,MATCH($H137,WF_CODE,0)),"")="Done",1,0)))</f>
        <v/>
      </c>
      <c r="V137" s="26">
        <f>IF(OR($A137="",$E137=""),0,IF(IFERROR(INDEX(WF_CLASS,MATCH($H137,WF_CODE,0)),"")="Inactive",1,0))</f>
        <v/>
      </c>
      <c r="W137" s="24">
        <f>IF($A137="","",IFERROR(INDEX(TYP_PHASE,MATCH($A137,TYP_TYPE,0)),"-"))</f>
        <v/>
      </c>
      <c r="X137" s="24">
        <f>IF(AND($T137=1,$U137=0,N($N137)&gt;0),$N137+ROW()/1000000,"")</f>
        <v/>
      </c>
      <c r="Y137" s="24">
        <f>IF(AND($T137=1,$U137=0,OR($I137&lt;&gt;"",N($N137)&gt;0)),N($N137)+ROW()/1000000,"")</f>
        <v/>
      </c>
      <c r="Z137" s="24">
        <f>IF(AND($T137=1,$U137=0,$I137="",N($N137)&lt;=0,-N($N137)&lt;=HORIZON),N($N137)+ROW()/1000000,"")</f>
        <v/>
      </c>
    </row>
    <row r="138">
      <c r="A138" s="21" t="n"/>
      <c r="B138" s="21" t="n"/>
      <c r="C138" s="21" t="n"/>
      <c r="D138" s="21" t="n"/>
      <c r="E138" s="21" t="n"/>
      <c r="F138" s="21" t="n"/>
      <c r="G138" s="21" t="n"/>
      <c r="H138" s="21" t="n"/>
      <c r="I138" s="22" t="n"/>
      <c r="J138" s="22" t="n"/>
      <c r="K138" s="23">
        <f>IF($A138="","",IF($J138&lt;&gt;"",$J138,$S138))</f>
        <v/>
      </c>
      <c r="L138" s="24">
        <f>IF(OR($A138="",$E138=""),"",IF($J138&lt;&gt;"","Manual",IF($S138="","-","Auto")))</f>
        <v/>
      </c>
      <c r="M138" s="22" t="n"/>
      <c r="N138" s="25">
        <f>IF($T138=0,"",IF($U138=1,IF($M138="","",$M138-$K138),IF($K138="","",TODAY()-$K138)))</f>
        <v/>
      </c>
      <c r="O138" s="24">
        <f>IF(OR($A138="",$E138=""),"",IF($V138=1,S_INACT,IF(ISNA(MATCH($A138,TYP_TYPE,0)),S_TYPEKO,IF($U138=1,S_DONE,IF(AND($K138="",$R138=""),S_NOSCOPE,IF($K138="",S_NOTARGET,IF($N138&gt;0,S_LATE,IF($I138&lt;&gt;"",S_WIP,IF(-$N138&lt;=FEN_DOC,S_RISK,IF(-$N138&lt;=HORIZON,S_COMING,S_NOTYET))))))))))</f>
        <v/>
      </c>
      <c r="P138" s="24">
        <f>IF(OR($A138="",$E138=""),"",IF($V138=1,"",IF(ISNA(MATCH($A138,TYP_TYPE,0)),"Type not in the library",IF($B138="","Scope not set",IF(AND($B138="System",$C138=""),"System not set",IF(AND($B138="Equipment",$D138=""),"Equipment not set",IF($F138="","Responsible not set",IF($K138="","No target date",IF(AND($B138="Equipment",$C138&lt;&gt;"",IFERROR(INDEX(EQP_SYS,MATCH($D138,EQP_NOM,0)),"")&lt;&gt;$C138),"Equipment not in that system",IF(AND($U138=1,$M138=""),"Approved with no approval date",""))))))))))</f>
        <v/>
      </c>
      <c r="Q138" s="21" t="n"/>
      <c r="R138" s="23">
        <f>IF(OR($A138="",$B138=""),"",IF($B138="Equipment",IFERROR(INDEX(EQP_START,MATCH($D138,EQP_NOM,0)),""),IF($B138="System",IFERROR(INDEX(SYS_EARLIEST,MATCH($C138,SYS_ID,0)),""),IF($B138="All",CTR_EARLIEST,""))))</f>
        <v/>
      </c>
      <c r="S138" s="23">
        <f>IF(OR($A138="",$E138=""),"",IFERROR(IF(INDEX(TYP_ANCHOR,MATCH($A138,TYP_TYPE,0))="Commissioning Start",IF($R138="","",$R138-INDEX(TYP_LEAD,MATCH($A138,TYP_TYPE,0))),IF(INDEX(MS_PLAN,MATCH(INDEX(TYP_ANCHOR,MATCH($A138,TYP_TYPE,0)),MS_NOM,0))="","",INDEX(MS_PLAN,MATCH(INDEX(TYP_ANCHOR,MATCH($A138,TYP_TYPE,0)),MS_NOM,0))-INDEX(TYP_LEAD,MATCH($A138,TYP_TYPE,0)))),""))</f>
        <v/>
      </c>
      <c r="T138" s="26">
        <f>IF(OR($A138="",$E138=""),0,IF($V138=1,0,1))</f>
        <v/>
      </c>
      <c r="U138" s="26">
        <f>IF($T138=0,0,IF($M138&lt;&gt;"",1,IF(IFERROR(INDEX(WF_CLASS,MATCH($H138,WF_CODE,0)),"")="Done",1,0)))</f>
        <v/>
      </c>
      <c r="V138" s="26">
        <f>IF(OR($A138="",$E138=""),0,IF(IFERROR(INDEX(WF_CLASS,MATCH($H138,WF_CODE,0)),"")="Inactive",1,0))</f>
        <v/>
      </c>
      <c r="W138" s="24">
        <f>IF($A138="","",IFERROR(INDEX(TYP_PHASE,MATCH($A138,TYP_TYPE,0)),"-"))</f>
        <v/>
      </c>
      <c r="X138" s="24">
        <f>IF(AND($T138=1,$U138=0,N($N138)&gt;0),$N138+ROW()/1000000,"")</f>
        <v/>
      </c>
      <c r="Y138" s="24">
        <f>IF(AND($T138=1,$U138=0,OR($I138&lt;&gt;"",N($N138)&gt;0)),N($N138)+ROW()/1000000,"")</f>
        <v/>
      </c>
      <c r="Z138" s="24">
        <f>IF(AND($T138=1,$U138=0,$I138="",N($N138)&lt;=0,-N($N138)&lt;=HORIZON),N($N138)+ROW()/1000000,"")</f>
        <v/>
      </c>
    </row>
    <row r="139">
      <c r="A139" s="21" t="n"/>
      <c r="B139" s="21" t="n"/>
      <c r="C139" s="21" t="n"/>
      <c r="D139" s="21" t="n"/>
      <c r="E139" s="21" t="n"/>
      <c r="F139" s="21" t="n"/>
      <c r="G139" s="21" t="n"/>
      <c r="H139" s="21" t="n"/>
      <c r="I139" s="22" t="n"/>
      <c r="J139" s="22" t="n"/>
      <c r="K139" s="23">
        <f>IF($A139="","",IF($J139&lt;&gt;"",$J139,$S139))</f>
        <v/>
      </c>
      <c r="L139" s="24">
        <f>IF(OR($A139="",$E139=""),"",IF($J139&lt;&gt;"","Manual",IF($S139="","-","Auto")))</f>
        <v/>
      </c>
      <c r="M139" s="22" t="n"/>
      <c r="N139" s="25">
        <f>IF($T139=0,"",IF($U139=1,IF($M139="","",$M139-$K139),IF($K139="","",TODAY()-$K139)))</f>
        <v/>
      </c>
      <c r="O139" s="24">
        <f>IF(OR($A139="",$E139=""),"",IF($V139=1,S_INACT,IF(ISNA(MATCH($A139,TYP_TYPE,0)),S_TYPEKO,IF($U139=1,S_DONE,IF(AND($K139="",$R139=""),S_NOSCOPE,IF($K139="",S_NOTARGET,IF($N139&gt;0,S_LATE,IF($I139&lt;&gt;"",S_WIP,IF(-$N139&lt;=FEN_DOC,S_RISK,IF(-$N139&lt;=HORIZON,S_COMING,S_NOTYET))))))))))</f>
        <v/>
      </c>
      <c r="P139" s="24">
        <f>IF(OR($A139="",$E139=""),"",IF($V139=1,"",IF(ISNA(MATCH($A139,TYP_TYPE,0)),"Type not in the library",IF($B139="","Scope not set",IF(AND($B139="System",$C139=""),"System not set",IF(AND($B139="Equipment",$D139=""),"Equipment not set",IF($F139="","Responsible not set",IF($K139="","No target date",IF(AND($B139="Equipment",$C139&lt;&gt;"",IFERROR(INDEX(EQP_SYS,MATCH($D139,EQP_NOM,0)),"")&lt;&gt;$C139),"Equipment not in that system",IF(AND($U139=1,$M139=""),"Approved with no approval date",""))))))))))</f>
        <v/>
      </c>
      <c r="Q139" s="21" t="n"/>
      <c r="R139" s="23">
        <f>IF(OR($A139="",$B139=""),"",IF($B139="Equipment",IFERROR(INDEX(EQP_START,MATCH($D139,EQP_NOM,0)),""),IF($B139="System",IFERROR(INDEX(SYS_EARLIEST,MATCH($C139,SYS_ID,0)),""),IF($B139="All",CTR_EARLIEST,""))))</f>
        <v/>
      </c>
      <c r="S139" s="23">
        <f>IF(OR($A139="",$E139=""),"",IFERROR(IF(INDEX(TYP_ANCHOR,MATCH($A139,TYP_TYPE,0))="Commissioning Start",IF($R139="","",$R139-INDEX(TYP_LEAD,MATCH($A139,TYP_TYPE,0))),IF(INDEX(MS_PLAN,MATCH(INDEX(TYP_ANCHOR,MATCH($A139,TYP_TYPE,0)),MS_NOM,0))="","",INDEX(MS_PLAN,MATCH(INDEX(TYP_ANCHOR,MATCH($A139,TYP_TYPE,0)),MS_NOM,0))-INDEX(TYP_LEAD,MATCH($A139,TYP_TYPE,0)))),""))</f>
        <v/>
      </c>
      <c r="T139" s="26">
        <f>IF(OR($A139="",$E139=""),0,IF($V139=1,0,1))</f>
        <v/>
      </c>
      <c r="U139" s="26">
        <f>IF($T139=0,0,IF($M139&lt;&gt;"",1,IF(IFERROR(INDEX(WF_CLASS,MATCH($H139,WF_CODE,0)),"")="Done",1,0)))</f>
        <v/>
      </c>
      <c r="V139" s="26">
        <f>IF(OR($A139="",$E139=""),0,IF(IFERROR(INDEX(WF_CLASS,MATCH($H139,WF_CODE,0)),"")="Inactive",1,0))</f>
        <v/>
      </c>
      <c r="W139" s="24">
        <f>IF($A139="","",IFERROR(INDEX(TYP_PHASE,MATCH($A139,TYP_TYPE,0)),"-"))</f>
        <v/>
      </c>
      <c r="X139" s="24">
        <f>IF(AND($T139=1,$U139=0,N($N139)&gt;0),$N139+ROW()/1000000,"")</f>
        <v/>
      </c>
      <c r="Y139" s="24">
        <f>IF(AND($T139=1,$U139=0,OR($I139&lt;&gt;"",N($N139)&gt;0)),N($N139)+ROW()/1000000,"")</f>
        <v/>
      </c>
      <c r="Z139" s="24">
        <f>IF(AND($T139=1,$U139=0,$I139="",N($N139)&lt;=0,-N($N139)&lt;=HORIZON),N($N139)+ROW()/1000000,"")</f>
        <v/>
      </c>
    </row>
    <row r="140">
      <c r="A140" s="21" t="n"/>
      <c r="B140" s="21" t="n"/>
      <c r="C140" s="21" t="n"/>
      <c r="D140" s="21" t="n"/>
      <c r="E140" s="21" t="n"/>
      <c r="F140" s="21" t="n"/>
      <c r="G140" s="21" t="n"/>
      <c r="H140" s="21" t="n"/>
      <c r="I140" s="22" t="n"/>
      <c r="J140" s="22" t="n"/>
      <c r="K140" s="23">
        <f>IF($A140="","",IF($J140&lt;&gt;"",$J140,$S140))</f>
        <v/>
      </c>
      <c r="L140" s="24">
        <f>IF(OR($A140="",$E140=""),"",IF($J140&lt;&gt;"","Manual",IF($S140="","-","Auto")))</f>
        <v/>
      </c>
      <c r="M140" s="22" t="n"/>
      <c r="N140" s="25">
        <f>IF($T140=0,"",IF($U140=1,IF($M140="","",$M140-$K140),IF($K140="","",TODAY()-$K140)))</f>
        <v/>
      </c>
      <c r="O140" s="24">
        <f>IF(OR($A140="",$E140=""),"",IF($V140=1,S_INACT,IF(ISNA(MATCH($A140,TYP_TYPE,0)),S_TYPEKO,IF($U140=1,S_DONE,IF(AND($K140="",$R140=""),S_NOSCOPE,IF($K140="",S_NOTARGET,IF($N140&gt;0,S_LATE,IF($I140&lt;&gt;"",S_WIP,IF(-$N140&lt;=FEN_DOC,S_RISK,IF(-$N140&lt;=HORIZON,S_COMING,S_NOTYET))))))))))</f>
        <v/>
      </c>
      <c r="P140" s="24">
        <f>IF(OR($A140="",$E140=""),"",IF($V140=1,"",IF(ISNA(MATCH($A140,TYP_TYPE,0)),"Type not in the library",IF($B140="","Scope not set",IF(AND($B140="System",$C140=""),"System not set",IF(AND($B140="Equipment",$D140=""),"Equipment not set",IF($F140="","Responsible not set",IF($K140="","No target date",IF(AND($B140="Equipment",$C140&lt;&gt;"",IFERROR(INDEX(EQP_SYS,MATCH($D140,EQP_NOM,0)),"")&lt;&gt;$C140),"Equipment not in that system",IF(AND($U140=1,$M140=""),"Approved with no approval date",""))))))))))</f>
        <v/>
      </c>
      <c r="Q140" s="21" t="n"/>
      <c r="R140" s="23">
        <f>IF(OR($A140="",$B140=""),"",IF($B140="Equipment",IFERROR(INDEX(EQP_START,MATCH($D140,EQP_NOM,0)),""),IF($B140="System",IFERROR(INDEX(SYS_EARLIEST,MATCH($C140,SYS_ID,0)),""),IF($B140="All",CTR_EARLIEST,""))))</f>
        <v/>
      </c>
      <c r="S140" s="23">
        <f>IF(OR($A140="",$E140=""),"",IFERROR(IF(INDEX(TYP_ANCHOR,MATCH($A140,TYP_TYPE,0))="Commissioning Start",IF($R140="","",$R140-INDEX(TYP_LEAD,MATCH($A140,TYP_TYPE,0))),IF(INDEX(MS_PLAN,MATCH(INDEX(TYP_ANCHOR,MATCH($A140,TYP_TYPE,0)),MS_NOM,0))="","",INDEX(MS_PLAN,MATCH(INDEX(TYP_ANCHOR,MATCH($A140,TYP_TYPE,0)),MS_NOM,0))-INDEX(TYP_LEAD,MATCH($A140,TYP_TYPE,0)))),""))</f>
        <v/>
      </c>
      <c r="T140" s="26">
        <f>IF(OR($A140="",$E140=""),0,IF($V140=1,0,1))</f>
        <v/>
      </c>
      <c r="U140" s="26">
        <f>IF($T140=0,0,IF($M140&lt;&gt;"",1,IF(IFERROR(INDEX(WF_CLASS,MATCH($H140,WF_CODE,0)),"")="Done",1,0)))</f>
        <v/>
      </c>
      <c r="V140" s="26">
        <f>IF(OR($A140="",$E140=""),0,IF(IFERROR(INDEX(WF_CLASS,MATCH($H140,WF_CODE,0)),"")="Inactive",1,0))</f>
        <v/>
      </c>
      <c r="W140" s="24">
        <f>IF($A140="","",IFERROR(INDEX(TYP_PHASE,MATCH($A140,TYP_TYPE,0)),"-"))</f>
        <v/>
      </c>
      <c r="X140" s="24">
        <f>IF(AND($T140=1,$U140=0,N($N140)&gt;0),$N140+ROW()/1000000,"")</f>
        <v/>
      </c>
      <c r="Y140" s="24">
        <f>IF(AND($T140=1,$U140=0,OR($I140&lt;&gt;"",N($N140)&gt;0)),N($N140)+ROW()/1000000,"")</f>
        <v/>
      </c>
      <c r="Z140" s="24">
        <f>IF(AND($T140=1,$U140=0,$I140="",N($N140)&lt;=0,-N($N140)&lt;=HORIZON),N($N140)+ROW()/1000000,"")</f>
        <v/>
      </c>
    </row>
    <row r="141">
      <c r="A141" s="21" t="n"/>
      <c r="B141" s="21" t="n"/>
      <c r="C141" s="21" t="n"/>
      <c r="D141" s="21" t="n"/>
      <c r="E141" s="21" t="n"/>
      <c r="F141" s="21" t="n"/>
      <c r="G141" s="21" t="n"/>
      <c r="H141" s="21" t="n"/>
      <c r="I141" s="22" t="n"/>
      <c r="J141" s="22" t="n"/>
      <c r="K141" s="23">
        <f>IF($A141="","",IF($J141&lt;&gt;"",$J141,$S141))</f>
        <v/>
      </c>
      <c r="L141" s="24">
        <f>IF(OR($A141="",$E141=""),"",IF($J141&lt;&gt;"","Manual",IF($S141="","-","Auto")))</f>
        <v/>
      </c>
      <c r="M141" s="22" t="n"/>
      <c r="N141" s="25">
        <f>IF($T141=0,"",IF($U141=1,IF($M141="","",$M141-$K141),IF($K141="","",TODAY()-$K141)))</f>
        <v/>
      </c>
      <c r="O141" s="24">
        <f>IF(OR($A141="",$E141=""),"",IF($V141=1,S_INACT,IF(ISNA(MATCH($A141,TYP_TYPE,0)),S_TYPEKO,IF($U141=1,S_DONE,IF(AND($K141="",$R141=""),S_NOSCOPE,IF($K141="",S_NOTARGET,IF($N141&gt;0,S_LATE,IF($I141&lt;&gt;"",S_WIP,IF(-$N141&lt;=FEN_DOC,S_RISK,IF(-$N141&lt;=HORIZON,S_COMING,S_NOTYET))))))))))</f>
        <v/>
      </c>
      <c r="P141" s="24">
        <f>IF(OR($A141="",$E141=""),"",IF($V141=1,"",IF(ISNA(MATCH($A141,TYP_TYPE,0)),"Type not in the library",IF($B141="","Scope not set",IF(AND($B141="System",$C141=""),"System not set",IF(AND($B141="Equipment",$D141=""),"Equipment not set",IF($F141="","Responsible not set",IF($K141="","No target date",IF(AND($B141="Equipment",$C141&lt;&gt;"",IFERROR(INDEX(EQP_SYS,MATCH($D141,EQP_NOM,0)),"")&lt;&gt;$C141),"Equipment not in that system",IF(AND($U141=1,$M141=""),"Approved with no approval date",""))))))))))</f>
        <v/>
      </c>
      <c r="Q141" s="21" t="n"/>
      <c r="R141" s="23">
        <f>IF(OR($A141="",$B141=""),"",IF($B141="Equipment",IFERROR(INDEX(EQP_START,MATCH($D141,EQP_NOM,0)),""),IF($B141="System",IFERROR(INDEX(SYS_EARLIEST,MATCH($C141,SYS_ID,0)),""),IF($B141="All",CTR_EARLIEST,""))))</f>
        <v/>
      </c>
      <c r="S141" s="23">
        <f>IF(OR($A141="",$E141=""),"",IFERROR(IF(INDEX(TYP_ANCHOR,MATCH($A141,TYP_TYPE,0))="Commissioning Start",IF($R141="","",$R141-INDEX(TYP_LEAD,MATCH($A141,TYP_TYPE,0))),IF(INDEX(MS_PLAN,MATCH(INDEX(TYP_ANCHOR,MATCH($A141,TYP_TYPE,0)),MS_NOM,0))="","",INDEX(MS_PLAN,MATCH(INDEX(TYP_ANCHOR,MATCH($A141,TYP_TYPE,0)),MS_NOM,0))-INDEX(TYP_LEAD,MATCH($A141,TYP_TYPE,0)))),""))</f>
        <v/>
      </c>
      <c r="T141" s="26">
        <f>IF(OR($A141="",$E141=""),0,IF($V141=1,0,1))</f>
        <v/>
      </c>
      <c r="U141" s="26">
        <f>IF($T141=0,0,IF($M141&lt;&gt;"",1,IF(IFERROR(INDEX(WF_CLASS,MATCH($H141,WF_CODE,0)),"")="Done",1,0)))</f>
        <v/>
      </c>
      <c r="V141" s="26">
        <f>IF(OR($A141="",$E141=""),0,IF(IFERROR(INDEX(WF_CLASS,MATCH($H141,WF_CODE,0)),"")="Inactive",1,0))</f>
        <v/>
      </c>
      <c r="W141" s="24">
        <f>IF($A141="","",IFERROR(INDEX(TYP_PHASE,MATCH($A141,TYP_TYPE,0)),"-"))</f>
        <v/>
      </c>
      <c r="X141" s="24">
        <f>IF(AND($T141=1,$U141=0,N($N141)&gt;0),$N141+ROW()/1000000,"")</f>
        <v/>
      </c>
      <c r="Y141" s="24">
        <f>IF(AND($T141=1,$U141=0,OR($I141&lt;&gt;"",N($N141)&gt;0)),N($N141)+ROW()/1000000,"")</f>
        <v/>
      </c>
      <c r="Z141" s="24">
        <f>IF(AND($T141=1,$U141=0,$I141="",N($N141)&lt;=0,-N($N141)&lt;=HORIZON),N($N141)+ROW()/1000000,"")</f>
        <v/>
      </c>
    </row>
    <row r="142">
      <c r="A142" s="21" t="n"/>
      <c r="B142" s="21" t="n"/>
      <c r="C142" s="21" t="n"/>
      <c r="D142" s="21" t="n"/>
      <c r="E142" s="21" t="n"/>
      <c r="F142" s="21" t="n"/>
      <c r="G142" s="21" t="n"/>
      <c r="H142" s="21" t="n"/>
      <c r="I142" s="22" t="n"/>
      <c r="J142" s="22" t="n"/>
      <c r="K142" s="23">
        <f>IF($A142="","",IF($J142&lt;&gt;"",$J142,$S142))</f>
        <v/>
      </c>
      <c r="L142" s="24">
        <f>IF(OR($A142="",$E142=""),"",IF($J142&lt;&gt;"","Manual",IF($S142="","-","Auto")))</f>
        <v/>
      </c>
      <c r="M142" s="22" t="n"/>
      <c r="N142" s="25">
        <f>IF($T142=0,"",IF($U142=1,IF($M142="","",$M142-$K142),IF($K142="","",TODAY()-$K142)))</f>
        <v/>
      </c>
      <c r="O142" s="24">
        <f>IF(OR($A142="",$E142=""),"",IF($V142=1,S_INACT,IF(ISNA(MATCH($A142,TYP_TYPE,0)),S_TYPEKO,IF($U142=1,S_DONE,IF(AND($K142="",$R142=""),S_NOSCOPE,IF($K142="",S_NOTARGET,IF($N142&gt;0,S_LATE,IF($I142&lt;&gt;"",S_WIP,IF(-$N142&lt;=FEN_DOC,S_RISK,IF(-$N142&lt;=HORIZON,S_COMING,S_NOTYET))))))))))</f>
        <v/>
      </c>
      <c r="P142" s="24">
        <f>IF(OR($A142="",$E142=""),"",IF($V142=1,"",IF(ISNA(MATCH($A142,TYP_TYPE,0)),"Type not in the library",IF($B142="","Scope not set",IF(AND($B142="System",$C142=""),"System not set",IF(AND($B142="Equipment",$D142=""),"Equipment not set",IF($F142="","Responsible not set",IF($K142="","No target date",IF(AND($B142="Equipment",$C142&lt;&gt;"",IFERROR(INDEX(EQP_SYS,MATCH($D142,EQP_NOM,0)),"")&lt;&gt;$C142),"Equipment not in that system",IF(AND($U142=1,$M142=""),"Approved with no approval date",""))))))))))</f>
        <v/>
      </c>
      <c r="Q142" s="21" t="n"/>
      <c r="R142" s="23">
        <f>IF(OR($A142="",$B142=""),"",IF($B142="Equipment",IFERROR(INDEX(EQP_START,MATCH($D142,EQP_NOM,0)),""),IF($B142="System",IFERROR(INDEX(SYS_EARLIEST,MATCH($C142,SYS_ID,0)),""),IF($B142="All",CTR_EARLIEST,""))))</f>
        <v/>
      </c>
      <c r="S142" s="23">
        <f>IF(OR($A142="",$E142=""),"",IFERROR(IF(INDEX(TYP_ANCHOR,MATCH($A142,TYP_TYPE,0))="Commissioning Start",IF($R142="","",$R142-INDEX(TYP_LEAD,MATCH($A142,TYP_TYPE,0))),IF(INDEX(MS_PLAN,MATCH(INDEX(TYP_ANCHOR,MATCH($A142,TYP_TYPE,0)),MS_NOM,0))="","",INDEX(MS_PLAN,MATCH(INDEX(TYP_ANCHOR,MATCH($A142,TYP_TYPE,0)),MS_NOM,0))-INDEX(TYP_LEAD,MATCH($A142,TYP_TYPE,0)))),""))</f>
        <v/>
      </c>
      <c r="T142" s="26">
        <f>IF(OR($A142="",$E142=""),0,IF($V142=1,0,1))</f>
        <v/>
      </c>
      <c r="U142" s="26">
        <f>IF($T142=0,0,IF($M142&lt;&gt;"",1,IF(IFERROR(INDEX(WF_CLASS,MATCH($H142,WF_CODE,0)),"")="Done",1,0)))</f>
        <v/>
      </c>
      <c r="V142" s="26">
        <f>IF(OR($A142="",$E142=""),0,IF(IFERROR(INDEX(WF_CLASS,MATCH($H142,WF_CODE,0)),"")="Inactive",1,0))</f>
        <v/>
      </c>
      <c r="W142" s="24">
        <f>IF($A142="","",IFERROR(INDEX(TYP_PHASE,MATCH($A142,TYP_TYPE,0)),"-"))</f>
        <v/>
      </c>
      <c r="X142" s="24">
        <f>IF(AND($T142=1,$U142=0,N($N142)&gt;0),$N142+ROW()/1000000,"")</f>
        <v/>
      </c>
      <c r="Y142" s="24">
        <f>IF(AND($T142=1,$U142=0,OR($I142&lt;&gt;"",N($N142)&gt;0)),N($N142)+ROW()/1000000,"")</f>
        <v/>
      </c>
      <c r="Z142" s="24">
        <f>IF(AND($T142=1,$U142=0,$I142="",N($N142)&lt;=0,-N($N142)&lt;=HORIZON),N($N142)+ROW()/1000000,"")</f>
        <v/>
      </c>
    </row>
    <row r="143">
      <c r="A143" s="21" t="n"/>
      <c r="B143" s="21" t="n"/>
      <c r="C143" s="21" t="n"/>
      <c r="D143" s="21" t="n"/>
      <c r="E143" s="21" t="n"/>
      <c r="F143" s="21" t="n"/>
      <c r="G143" s="21" t="n"/>
      <c r="H143" s="21" t="n"/>
      <c r="I143" s="22" t="n"/>
      <c r="J143" s="22" t="n"/>
      <c r="K143" s="23">
        <f>IF($A143="","",IF($J143&lt;&gt;"",$J143,$S143))</f>
        <v/>
      </c>
      <c r="L143" s="24">
        <f>IF(OR($A143="",$E143=""),"",IF($J143&lt;&gt;"","Manual",IF($S143="","-","Auto")))</f>
        <v/>
      </c>
      <c r="M143" s="22" t="n"/>
      <c r="N143" s="25">
        <f>IF($T143=0,"",IF($U143=1,IF($M143="","",$M143-$K143),IF($K143="","",TODAY()-$K143)))</f>
        <v/>
      </c>
      <c r="O143" s="24">
        <f>IF(OR($A143="",$E143=""),"",IF($V143=1,S_INACT,IF(ISNA(MATCH($A143,TYP_TYPE,0)),S_TYPEKO,IF($U143=1,S_DONE,IF(AND($K143="",$R143=""),S_NOSCOPE,IF($K143="",S_NOTARGET,IF($N143&gt;0,S_LATE,IF($I143&lt;&gt;"",S_WIP,IF(-$N143&lt;=FEN_DOC,S_RISK,IF(-$N143&lt;=HORIZON,S_COMING,S_NOTYET))))))))))</f>
        <v/>
      </c>
      <c r="P143" s="24">
        <f>IF(OR($A143="",$E143=""),"",IF($V143=1,"",IF(ISNA(MATCH($A143,TYP_TYPE,0)),"Type not in the library",IF($B143="","Scope not set",IF(AND($B143="System",$C143=""),"System not set",IF(AND($B143="Equipment",$D143=""),"Equipment not set",IF($F143="","Responsible not set",IF($K143="","No target date",IF(AND($B143="Equipment",$C143&lt;&gt;"",IFERROR(INDEX(EQP_SYS,MATCH($D143,EQP_NOM,0)),"")&lt;&gt;$C143),"Equipment not in that system",IF(AND($U143=1,$M143=""),"Approved with no approval date",""))))))))))</f>
        <v/>
      </c>
      <c r="Q143" s="21" t="n"/>
      <c r="R143" s="23">
        <f>IF(OR($A143="",$B143=""),"",IF($B143="Equipment",IFERROR(INDEX(EQP_START,MATCH($D143,EQP_NOM,0)),""),IF($B143="System",IFERROR(INDEX(SYS_EARLIEST,MATCH($C143,SYS_ID,0)),""),IF($B143="All",CTR_EARLIEST,""))))</f>
        <v/>
      </c>
      <c r="S143" s="23">
        <f>IF(OR($A143="",$E143=""),"",IFERROR(IF(INDEX(TYP_ANCHOR,MATCH($A143,TYP_TYPE,0))="Commissioning Start",IF($R143="","",$R143-INDEX(TYP_LEAD,MATCH($A143,TYP_TYPE,0))),IF(INDEX(MS_PLAN,MATCH(INDEX(TYP_ANCHOR,MATCH($A143,TYP_TYPE,0)),MS_NOM,0))="","",INDEX(MS_PLAN,MATCH(INDEX(TYP_ANCHOR,MATCH($A143,TYP_TYPE,0)),MS_NOM,0))-INDEX(TYP_LEAD,MATCH($A143,TYP_TYPE,0)))),""))</f>
        <v/>
      </c>
      <c r="T143" s="26">
        <f>IF(OR($A143="",$E143=""),0,IF($V143=1,0,1))</f>
        <v/>
      </c>
      <c r="U143" s="26">
        <f>IF($T143=0,0,IF($M143&lt;&gt;"",1,IF(IFERROR(INDEX(WF_CLASS,MATCH($H143,WF_CODE,0)),"")="Done",1,0)))</f>
        <v/>
      </c>
      <c r="V143" s="26">
        <f>IF(OR($A143="",$E143=""),0,IF(IFERROR(INDEX(WF_CLASS,MATCH($H143,WF_CODE,0)),"")="Inactive",1,0))</f>
        <v/>
      </c>
      <c r="W143" s="24">
        <f>IF($A143="","",IFERROR(INDEX(TYP_PHASE,MATCH($A143,TYP_TYPE,0)),"-"))</f>
        <v/>
      </c>
      <c r="X143" s="24">
        <f>IF(AND($T143=1,$U143=0,N($N143)&gt;0),$N143+ROW()/1000000,"")</f>
        <v/>
      </c>
      <c r="Y143" s="24">
        <f>IF(AND($T143=1,$U143=0,OR($I143&lt;&gt;"",N($N143)&gt;0)),N($N143)+ROW()/1000000,"")</f>
        <v/>
      </c>
      <c r="Z143" s="24">
        <f>IF(AND($T143=1,$U143=0,$I143="",N($N143)&lt;=0,-N($N143)&lt;=HORIZON),N($N143)+ROW()/1000000,"")</f>
        <v/>
      </c>
    </row>
    <row r="144">
      <c r="A144" s="21" t="n"/>
      <c r="B144" s="21" t="n"/>
      <c r="C144" s="21" t="n"/>
      <c r="D144" s="21" t="n"/>
      <c r="E144" s="21" t="n"/>
      <c r="F144" s="21" t="n"/>
      <c r="G144" s="21" t="n"/>
      <c r="H144" s="21" t="n"/>
      <c r="I144" s="22" t="n"/>
      <c r="J144" s="22" t="n"/>
      <c r="K144" s="23">
        <f>IF($A144="","",IF($J144&lt;&gt;"",$J144,$S144))</f>
        <v/>
      </c>
      <c r="L144" s="24">
        <f>IF(OR($A144="",$E144=""),"",IF($J144&lt;&gt;"","Manual",IF($S144="","-","Auto")))</f>
        <v/>
      </c>
      <c r="M144" s="22" t="n"/>
      <c r="N144" s="25">
        <f>IF($T144=0,"",IF($U144=1,IF($M144="","",$M144-$K144),IF($K144="","",TODAY()-$K144)))</f>
        <v/>
      </c>
      <c r="O144" s="24">
        <f>IF(OR($A144="",$E144=""),"",IF($V144=1,S_INACT,IF(ISNA(MATCH($A144,TYP_TYPE,0)),S_TYPEKO,IF($U144=1,S_DONE,IF(AND($K144="",$R144=""),S_NOSCOPE,IF($K144="",S_NOTARGET,IF($N144&gt;0,S_LATE,IF($I144&lt;&gt;"",S_WIP,IF(-$N144&lt;=FEN_DOC,S_RISK,IF(-$N144&lt;=HORIZON,S_COMING,S_NOTYET))))))))))</f>
        <v/>
      </c>
      <c r="P144" s="24">
        <f>IF(OR($A144="",$E144=""),"",IF($V144=1,"",IF(ISNA(MATCH($A144,TYP_TYPE,0)),"Type not in the library",IF($B144="","Scope not set",IF(AND($B144="System",$C144=""),"System not set",IF(AND($B144="Equipment",$D144=""),"Equipment not set",IF($F144="","Responsible not set",IF($K144="","No target date",IF(AND($B144="Equipment",$C144&lt;&gt;"",IFERROR(INDEX(EQP_SYS,MATCH($D144,EQP_NOM,0)),"")&lt;&gt;$C144),"Equipment not in that system",IF(AND($U144=1,$M144=""),"Approved with no approval date",""))))))))))</f>
        <v/>
      </c>
      <c r="Q144" s="21" t="n"/>
      <c r="R144" s="23">
        <f>IF(OR($A144="",$B144=""),"",IF($B144="Equipment",IFERROR(INDEX(EQP_START,MATCH($D144,EQP_NOM,0)),""),IF($B144="System",IFERROR(INDEX(SYS_EARLIEST,MATCH($C144,SYS_ID,0)),""),IF($B144="All",CTR_EARLIEST,""))))</f>
        <v/>
      </c>
      <c r="S144" s="23">
        <f>IF(OR($A144="",$E144=""),"",IFERROR(IF(INDEX(TYP_ANCHOR,MATCH($A144,TYP_TYPE,0))="Commissioning Start",IF($R144="","",$R144-INDEX(TYP_LEAD,MATCH($A144,TYP_TYPE,0))),IF(INDEX(MS_PLAN,MATCH(INDEX(TYP_ANCHOR,MATCH($A144,TYP_TYPE,0)),MS_NOM,0))="","",INDEX(MS_PLAN,MATCH(INDEX(TYP_ANCHOR,MATCH($A144,TYP_TYPE,0)),MS_NOM,0))-INDEX(TYP_LEAD,MATCH($A144,TYP_TYPE,0)))),""))</f>
        <v/>
      </c>
      <c r="T144" s="26">
        <f>IF(OR($A144="",$E144=""),0,IF($V144=1,0,1))</f>
        <v/>
      </c>
      <c r="U144" s="26">
        <f>IF($T144=0,0,IF($M144&lt;&gt;"",1,IF(IFERROR(INDEX(WF_CLASS,MATCH($H144,WF_CODE,0)),"")="Done",1,0)))</f>
        <v/>
      </c>
      <c r="V144" s="26">
        <f>IF(OR($A144="",$E144=""),0,IF(IFERROR(INDEX(WF_CLASS,MATCH($H144,WF_CODE,0)),"")="Inactive",1,0))</f>
        <v/>
      </c>
      <c r="W144" s="24">
        <f>IF($A144="","",IFERROR(INDEX(TYP_PHASE,MATCH($A144,TYP_TYPE,0)),"-"))</f>
        <v/>
      </c>
      <c r="X144" s="24">
        <f>IF(AND($T144=1,$U144=0,N($N144)&gt;0),$N144+ROW()/1000000,"")</f>
        <v/>
      </c>
      <c r="Y144" s="24">
        <f>IF(AND($T144=1,$U144=0,OR($I144&lt;&gt;"",N($N144)&gt;0)),N($N144)+ROW()/1000000,"")</f>
        <v/>
      </c>
      <c r="Z144" s="24">
        <f>IF(AND($T144=1,$U144=0,$I144="",N($N144)&lt;=0,-N($N144)&lt;=HORIZON),N($N144)+ROW()/1000000,"")</f>
        <v/>
      </c>
    </row>
    <row r="145">
      <c r="A145" s="21" t="n"/>
      <c r="B145" s="21" t="n"/>
      <c r="C145" s="21" t="n"/>
      <c r="D145" s="21" t="n"/>
      <c r="E145" s="21" t="n"/>
      <c r="F145" s="21" t="n"/>
      <c r="G145" s="21" t="n"/>
      <c r="H145" s="21" t="n"/>
      <c r="I145" s="22" t="n"/>
      <c r="J145" s="22" t="n"/>
      <c r="K145" s="23">
        <f>IF($A145="","",IF($J145&lt;&gt;"",$J145,$S145))</f>
        <v/>
      </c>
      <c r="L145" s="24">
        <f>IF(OR($A145="",$E145=""),"",IF($J145&lt;&gt;"","Manual",IF($S145="","-","Auto")))</f>
        <v/>
      </c>
      <c r="M145" s="22" t="n"/>
      <c r="N145" s="25">
        <f>IF($T145=0,"",IF($U145=1,IF($M145="","",$M145-$K145),IF($K145="","",TODAY()-$K145)))</f>
        <v/>
      </c>
      <c r="O145" s="24">
        <f>IF(OR($A145="",$E145=""),"",IF($V145=1,S_INACT,IF(ISNA(MATCH($A145,TYP_TYPE,0)),S_TYPEKO,IF($U145=1,S_DONE,IF(AND($K145="",$R145=""),S_NOSCOPE,IF($K145="",S_NOTARGET,IF($N145&gt;0,S_LATE,IF($I145&lt;&gt;"",S_WIP,IF(-$N145&lt;=FEN_DOC,S_RISK,IF(-$N145&lt;=HORIZON,S_COMING,S_NOTYET))))))))))</f>
        <v/>
      </c>
      <c r="P145" s="24">
        <f>IF(OR($A145="",$E145=""),"",IF($V145=1,"",IF(ISNA(MATCH($A145,TYP_TYPE,0)),"Type not in the library",IF($B145="","Scope not set",IF(AND($B145="System",$C145=""),"System not set",IF(AND($B145="Equipment",$D145=""),"Equipment not set",IF($F145="","Responsible not set",IF($K145="","No target date",IF(AND($B145="Equipment",$C145&lt;&gt;"",IFERROR(INDEX(EQP_SYS,MATCH($D145,EQP_NOM,0)),"")&lt;&gt;$C145),"Equipment not in that system",IF(AND($U145=1,$M145=""),"Approved with no approval date",""))))))))))</f>
        <v/>
      </c>
      <c r="Q145" s="21" t="n"/>
      <c r="R145" s="23">
        <f>IF(OR($A145="",$B145=""),"",IF($B145="Equipment",IFERROR(INDEX(EQP_START,MATCH($D145,EQP_NOM,0)),""),IF($B145="System",IFERROR(INDEX(SYS_EARLIEST,MATCH($C145,SYS_ID,0)),""),IF($B145="All",CTR_EARLIEST,""))))</f>
        <v/>
      </c>
      <c r="S145" s="23">
        <f>IF(OR($A145="",$E145=""),"",IFERROR(IF(INDEX(TYP_ANCHOR,MATCH($A145,TYP_TYPE,0))="Commissioning Start",IF($R145="","",$R145-INDEX(TYP_LEAD,MATCH($A145,TYP_TYPE,0))),IF(INDEX(MS_PLAN,MATCH(INDEX(TYP_ANCHOR,MATCH($A145,TYP_TYPE,0)),MS_NOM,0))="","",INDEX(MS_PLAN,MATCH(INDEX(TYP_ANCHOR,MATCH($A145,TYP_TYPE,0)),MS_NOM,0))-INDEX(TYP_LEAD,MATCH($A145,TYP_TYPE,0)))),""))</f>
        <v/>
      </c>
      <c r="T145" s="26">
        <f>IF(OR($A145="",$E145=""),0,IF($V145=1,0,1))</f>
        <v/>
      </c>
      <c r="U145" s="26">
        <f>IF($T145=0,0,IF($M145&lt;&gt;"",1,IF(IFERROR(INDEX(WF_CLASS,MATCH($H145,WF_CODE,0)),"")="Done",1,0)))</f>
        <v/>
      </c>
      <c r="V145" s="26">
        <f>IF(OR($A145="",$E145=""),0,IF(IFERROR(INDEX(WF_CLASS,MATCH($H145,WF_CODE,0)),"")="Inactive",1,0))</f>
        <v/>
      </c>
      <c r="W145" s="24">
        <f>IF($A145="","",IFERROR(INDEX(TYP_PHASE,MATCH($A145,TYP_TYPE,0)),"-"))</f>
        <v/>
      </c>
      <c r="X145" s="24">
        <f>IF(AND($T145=1,$U145=0,N($N145)&gt;0),$N145+ROW()/1000000,"")</f>
        <v/>
      </c>
      <c r="Y145" s="24">
        <f>IF(AND($T145=1,$U145=0,OR($I145&lt;&gt;"",N($N145)&gt;0)),N($N145)+ROW()/1000000,"")</f>
        <v/>
      </c>
      <c r="Z145" s="24">
        <f>IF(AND($T145=1,$U145=0,$I145="",N($N145)&lt;=0,-N($N145)&lt;=HORIZON),N($N145)+ROW()/1000000,"")</f>
        <v/>
      </c>
    </row>
    <row r="146">
      <c r="A146" s="21" t="n"/>
      <c r="B146" s="21" t="n"/>
      <c r="C146" s="21" t="n"/>
      <c r="D146" s="21" t="n"/>
      <c r="E146" s="21" t="n"/>
      <c r="F146" s="21" t="n"/>
      <c r="G146" s="21" t="n"/>
      <c r="H146" s="21" t="n"/>
      <c r="I146" s="22" t="n"/>
      <c r="J146" s="22" t="n"/>
      <c r="K146" s="23">
        <f>IF($A146="","",IF($J146&lt;&gt;"",$J146,$S146))</f>
        <v/>
      </c>
      <c r="L146" s="24">
        <f>IF(OR($A146="",$E146=""),"",IF($J146&lt;&gt;"","Manual",IF($S146="","-","Auto")))</f>
        <v/>
      </c>
      <c r="M146" s="22" t="n"/>
      <c r="N146" s="25">
        <f>IF($T146=0,"",IF($U146=1,IF($M146="","",$M146-$K146),IF($K146="","",TODAY()-$K146)))</f>
        <v/>
      </c>
      <c r="O146" s="24">
        <f>IF(OR($A146="",$E146=""),"",IF($V146=1,S_INACT,IF(ISNA(MATCH($A146,TYP_TYPE,0)),S_TYPEKO,IF($U146=1,S_DONE,IF(AND($K146="",$R146=""),S_NOSCOPE,IF($K146="",S_NOTARGET,IF($N146&gt;0,S_LATE,IF($I146&lt;&gt;"",S_WIP,IF(-$N146&lt;=FEN_DOC,S_RISK,IF(-$N146&lt;=HORIZON,S_COMING,S_NOTYET))))))))))</f>
        <v/>
      </c>
      <c r="P146" s="24">
        <f>IF(OR($A146="",$E146=""),"",IF($V146=1,"",IF(ISNA(MATCH($A146,TYP_TYPE,0)),"Type not in the library",IF($B146="","Scope not set",IF(AND($B146="System",$C146=""),"System not set",IF(AND($B146="Equipment",$D146=""),"Equipment not set",IF($F146="","Responsible not set",IF($K146="","No target date",IF(AND($B146="Equipment",$C146&lt;&gt;"",IFERROR(INDEX(EQP_SYS,MATCH($D146,EQP_NOM,0)),"")&lt;&gt;$C146),"Equipment not in that system",IF(AND($U146=1,$M146=""),"Approved with no approval date",""))))))))))</f>
        <v/>
      </c>
      <c r="Q146" s="21" t="n"/>
      <c r="R146" s="23">
        <f>IF(OR($A146="",$B146=""),"",IF($B146="Equipment",IFERROR(INDEX(EQP_START,MATCH($D146,EQP_NOM,0)),""),IF($B146="System",IFERROR(INDEX(SYS_EARLIEST,MATCH($C146,SYS_ID,0)),""),IF($B146="All",CTR_EARLIEST,""))))</f>
        <v/>
      </c>
      <c r="S146" s="23">
        <f>IF(OR($A146="",$E146=""),"",IFERROR(IF(INDEX(TYP_ANCHOR,MATCH($A146,TYP_TYPE,0))="Commissioning Start",IF($R146="","",$R146-INDEX(TYP_LEAD,MATCH($A146,TYP_TYPE,0))),IF(INDEX(MS_PLAN,MATCH(INDEX(TYP_ANCHOR,MATCH($A146,TYP_TYPE,0)),MS_NOM,0))="","",INDEX(MS_PLAN,MATCH(INDEX(TYP_ANCHOR,MATCH($A146,TYP_TYPE,0)),MS_NOM,0))-INDEX(TYP_LEAD,MATCH($A146,TYP_TYPE,0)))),""))</f>
        <v/>
      </c>
      <c r="T146" s="26">
        <f>IF(OR($A146="",$E146=""),0,IF($V146=1,0,1))</f>
        <v/>
      </c>
      <c r="U146" s="26">
        <f>IF($T146=0,0,IF($M146&lt;&gt;"",1,IF(IFERROR(INDEX(WF_CLASS,MATCH($H146,WF_CODE,0)),"")="Done",1,0)))</f>
        <v/>
      </c>
      <c r="V146" s="26">
        <f>IF(OR($A146="",$E146=""),0,IF(IFERROR(INDEX(WF_CLASS,MATCH($H146,WF_CODE,0)),"")="Inactive",1,0))</f>
        <v/>
      </c>
      <c r="W146" s="24">
        <f>IF($A146="","",IFERROR(INDEX(TYP_PHASE,MATCH($A146,TYP_TYPE,0)),"-"))</f>
        <v/>
      </c>
      <c r="X146" s="24">
        <f>IF(AND($T146=1,$U146=0,N($N146)&gt;0),$N146+ROW()/1000000,"")</f>
        <v/>
      </c>
      <c r="Y146" s="24">
        <f>IF(AND($T146=1,$U146=0,OR($I146&lt;&gt;"",N($N146)&gt;0)),N($N146)+ROW()/1000000,"")</f>
        <v/>
      </c>
      <c r="Z146" s="24">
        <f>IF(AND($T146=1,$U146=0,$I146="",N($N146)&lt;=0,-N($N146)&lt;=HORIZON),N($N146)+ROW()/1000000,"")</f>
        <v/>
      </c>
    </row>
    <row r="147">
      <c r="A147" s="21" t="n"/>
      <c r="B147" s="21" t="n"/>
      <c r="C147" s="21" t="n"/>
      <c r="D147" s="21" t="n"/>
      <c r="E147" s="21" t="n"/>
      <c r="F147" s="21" t="n"/>
      <c r="G147" s="21" t="n"/>
      <c r="H147" s="21" t="n"/>
      <c r="I147" s="22" t="n"/>
      <c r="J147" s="22" t="n"/>
      <c r="K147" s="23">
        <f>IF($A147="","",IF($J147&lt;&gt;"",$J147,$S147))</f>
        <v/>
      </c>
      <c r="L147" s="24">
        <f>IF(OR($A147="",$E147=""),"",IF($J147&lt;&gt;"","Manual",IF($S147="","-","Auto")))</f>
        <v/>
      </c>
      <c r="M147" s="22" t="n"/>
      <c r="N147" s="25">
        <f>IF($T147=0,"",IF($U147=1,IF($M147="","",$M147-$K147),IF($K147="","",TODAY()-$K147)))</f>
        <v/>
      </c>
      <c r="O147" s="24">
        <f>IF(OR($A147="",$E147=""),"",IF($V147=1,S_INACT,IF(ISNA(MATCH($A147,TYP_TYPE,0)),S_TYPEKO,IF($U147=1,S_DONE,IF(AND($K147="",$R147=""),S_NOSCOPE,IF($K147="",S_NOTARGET,IF($N147&gt;0,S_LATE,IF($I147&lt;&gt;"",S_WIP,IF(-$N147&lt;=FEN_DOC,S_RISK,IF(-$N147&lt;=HORIZON,S_COMING,S_NOTYET))))))))))</f>
        <v/>
      </c>
      <c r="P147" s="24">
        <f>IF(OR($A147="",$E147=""),"",IF($V147=1,"",IF(ISNA(MATCH($A147,TYP_TYPE,0)),"Type not in the library",IF($B147="","Scope not set",IF(AND($B147="System",$C147=""),"System not set",IF(AND($B147="Equipment",$D147=""),"Equipment not set",IF($F147="","Responsible not set",IF($K147="","No target date",IF(AND($B147="Equipment",$C147&lt;&gt;"",IFERROR(INDEX(EQP_SYS,MATCH($D147,EQP_NOM,0)),"")&lt;&gt;$C147),"Equipment not in that system",IF(AND($U147=1,$M147=""),"Approved with no approval date",""))))))))))</f>
        <v/>
      </c>
      <c r="Q147" s="21" t="n"/>
      <c r="R147" s="23">
        <f>IF(OR($A147="",$B147=""),"",IF($B147="Equipment",IFERROR(INDEX(EQP_START,MATCH($D147,EQP_NOM,0)),""),IF($B147="System",IFERROR(INDEX(SYS_EARLIEST,MATCH($C147,SYS_ID,0)),""),IF($B147="All",CTR_EARLIEST,""))))</f>
        <v/>
      </c>
      <c r="S147" s="23">
        <f>IF(OR($A147="",$E147=""),"",IFERROR(IF(INDEX(TYP_ANCHOR,MATCH($A147,TYP_TYPE,0))="Commissioning Start",IF($R147="","",$R147-INDEX(TYP_LEAD,MATCH($A147,TYP_TYPE,0))),IF(INDEX(MS_PLAN,MATCH(INDEX(TYP_ANCHOR,MATCH($A147,TYP_TYPE,0)),MS_NOM,0))="","",INDEX(MS_PLAN,MATCH(INDEX(TYP_ANCHOR,MATCH($A147,TYP_TYPE,0)),MS_NOM,0))-INDEX(TYP_LEAD,MATCH($A147,TYP_TYPE,0)))),""))</f>
        <v/>
      </c>
      <c r="T147" s="26">
        <f>IF(OR($A147="",$E147=""),0,IF($V147=1,0,1))</f>
        <v/>
      </c>
      <c r="U147" s="26">
        <f>IF($T147=0,0,IF($M147&lt;&gt;"",1,IF(IFERROR(INDEX(WF_CLASS,MATCH($H147,WF_CODE,0)),"")="Done",1,0)))</f>
        <v/>
      </c>
      <c r="V147" s="26">
        <f>IF(OR($A147="",$E147=""),0,IF(IFERROR(INDEX(WF_CLASS,MATCH($H147,WF_CODE,0)),"")="Inactive",1,0))</f>
        <v/>
      </c>
      <c r="W147" s="24">
        <f>IF($A147="","",IFERROR(INDEX(TYP_PHASE,MATCH($A147,TYP_TYPE,0)),"-"))</f>
        <v/>
      </c>
      <c r="X147" s="24">
        <f>IF(AND($T147=1,$U147=0,N($N147)&gt;0),$N147+ROW()/1000000,"")</f>
        <v/>
      </c>
      <c r="Y147" s="24">
        <f>IF(AND($T147=1,$U147=0,OR($I147&lt;&gt;"",N($N147)&gt;0)),N($N147)+ROW()/1000000,"")</f>
        <v/>
      </c>
      <c r="Z147" s="24">
        <f>IF(AND($T147=1,$U147=0,$I147="",N($N147)&lt;=0,-N($N147)&lt;=HORIZON),N($N147)+ROW()/1000000,"")</f>
        <v/>
      </c>
    </row>
    <row r="148">
      <c r="A148" s="21" t="n"/>
      <c r="B148" s="21" t="n"/>
      <c r="C148" s="21" t="n"/>
      <c r="D148" s="21" t="n"/>
      <c r="E148" s="21" t="n"/>
      <c r="F148" s="21" t="n"/>
      <c r="G148" s="21" t="n"/>
      <c r="H148" s="21" t="n"/>
      <c r="I148" s="22" t="n"/>
      <c r="J148" s="22" t="n"/>
      <c r="K148" s="23">
        <f>IF($A148="","",IF($J148&lt;&gt;"",$J148,$S148))</f>
        <v/>
      </c>
      <c r="L148" s="24">
        <f>IF(OR($A148="",$E148=""),"",IF($J148&lt;&gt;"","Manual",IF($S148="","-","Auto")))</f>
        <v/>
      </c>
      <c r="M148" s="22" t="n"/>
      <c r="N148" s="25">
        <f>IF($T148=0,"",IF($U148=1,IF($M148="","",$M148-$K148),IF($K148="","",TODAY()-$K148)))</f>
        <v/>
      </c>
      <c r="O148" s="24">
        <f>IF(OR($A148="",$E148=""),"",IF($V148=1,S_INACT,IF(ISNA(MATCH($A148,TYP_TYPE,0)),S_TYPEKO,IF($U148=1,S_DONE,IF(AND($K148="",$R148=""),S_NOSCOPE,IF($K148="",S_NOTARGET,IF($N148&gt;0,S_LATE,IF($I148&lt;&gt;"",S_WIP,IF(-$N148&lt;=FEN_DOC,S_RISK,IF(-$N148&lt;=HORIZON,S_COMING,S_NOTYET))))))))))</f>
        <v/>
      </c>
      <c r="P148" s="24">
        <f>IF(OR($A148="",$E148=""),"",IF($V148=1,"",IF(ISNA(MATCH($A148,TYP_TYPE,0)),"Type not in the library",IF($B148="","Scope not set",IF(AND($B148="System",$C148=""),"System not set",IF(AND($B148="Equipment",$D148=""),"Equipment not set",IF($F148="","Responsible not set",IF($K148="","No target date",IF(AND($B148="Equipment",$C148&lt;&gt;"",IFERROR(INDEX(EQP_SYS,MATCH($D148,EQP_NOM,0)),"")&lt;&gt;$C148),"Equipment not in that system",IF(AND($U148=1,$M148=""),"Approved with no approval date",""))))))))))</f>
        <v/>
      </c>
      <c r="Q148" s="21" t="n"/>
      <c r="R148" s="23">
        <f>IF(OR($A148="",$B148=""),"",IF($B148="Equipment",IFERROR(INDEX(EQP_START,MATCH($D148,EQP_NOM,0)),""),IF($B148="System",IFERROR(INDEX(SYS_EARLIEST,MATCH($C148,SYS_ID,0)),""),IF($B148="All",CTR_EARLIEST,""))))</f>
        <v/>
      </c>
      <c r="S148" s="23">
        <f>IF(OR($A148="",$E148=""),"",IFERROR(IF(INDEX(TYP_ANCHOR,MATCH($A148,TYP_TYPE,0))="Commissioning Start",IF($R148="","",$R148-INDEX(TYP_LEAD,MATCH($A148,TYP_TYPE,0))),IF(INDEX(MS_PLAN,MATCH(INDEX(TYP_ANCHOR,MATCH($A148,TYP_TYPE,0)),MS_NOM,0))="","",INDEX(MS_PLAN,MATCH(INDEX(TYP_ANCHOR,MATCH($A148,TYP_TYPE,0)),MS_NOM,0))-INDEX(TYP_LEAD,MATCH($A148,TYP_TYPE,0)))),""))</f>
        <v/>
      </c>
      <c r="T148" s="26">
        <f>IF(OR($A148="",$E148=""),0,IF($V148=1,0,1))</f>
        <v/>
      </c>
      <c r="U148" s="26">
        <f>IF($T148=0,0,IF($M148&lt;&gt;"",1,IF(IFERROR(INDEX(WF_CLASS,MATCH($H148,WF_CODE,0)),"")="Done",1,0)))</f>
        <v/>
      </c>
      <c r="V148" s="26">
        <f>IF(OR($A148="",$E148=""),0,IF(IFERROR(INDEX(WF_CLASS,MATCH($H148,WF_CODE,0)),"")="Inactive",1,0))</f>
        <v/>
      </c>
      <c r="W148" s="24">
        <f>IF($A148="","",IFERROR(INDEX(TYP_PHASE,MATCH($A148,TYP_TYPE,0)),"-"))</f>
        <v/>
      </c>
      <c r="X148" s="24">
        <f>IF(AND($T148=1,$U148=0,N($N148)&gt;0),$N148+ROW()/1000000,"")</f>
        <v/>
      </c>
      <c r="Y148" s="24">
        <f>IF(AND($T148=1,$U148=0,OR($I148&lt;&gt;"",N($N148)&gt;0)),N($N148)+ROW()/1000000,"")</f>
        <v/>
      </c>
      <c r="Z148" s="24">
        <f>IF(AND($T148=1,$U148=0,$I148="",N($N148)&lt;=0,-N($N148)&lt;=HORIZON),N($N148)+ROW()/1000000,"")</f>
        <v/>
      </c>
    </row>
    <row r="149">
      <c r="A149" s="21" t="n"/>
      <c r="B149" s="21" t="n"/>
      <c r="C149" s="21" t="n"/>
      <c r="D149" s="21" t="n"/>
      <c r="E149" s="21" t="n"/>
      <c r="F149" s="21" t="n"/>
      <c r="G149" s="21" t="n"/>
      <c r="H149" s="21" t="n"/>
      <c r="I149" s="22" t="n"/>
      <c r="J149" s="22" t="n"/>
      <c r="K149" s="23">
        <f>IF($A149="","",IF($J149&lt;&gt;"",$J149,$S149))</f>
        <v/>
      </c>
      <c r="L149" s="24">
        <f>IF(OR($A149="",$E149=""),"",IF($J149&lt;&gt;"","Manual",IF($S149="","-","Auto")))</f>
        <v/>
      </c>
      <c r="M149" s="22" t="n"/>
      <c r="N149" s="25">
        <f>IF($T149=0,"",IF($U149=1,IF($M149="","",$M149-$K149),IF($K149="","",TODAY()-$K149)))</f>
        <v/>
      </c>
      <c r="O149" s="24">
        <f>IF(OR($A149="",$E149=""),"",IF($V149=1,S_INACT,IF(ISNA(MATCH($A149,TYP_TYPE,0)),S_TYPEKO,IF($U149=1,S_DONE,IF(AND($K149="",$R149=""),S_NOSCOPE,IF($K149="",S_NOTARGET,IF($N149&gt;0,S_LATE,IF($I149&lt;&gt;"",S_WIP,IF(-$N149&lt;=FEN_DOC,S_RISK,IF(-$N149&lt;=HORIZON,S_COMING,S_NOTYET))))))))))</f>
        <v/>
      </c>
      <c r="P149" s="24">
        <f>IF(OR($A149="",$E149=""),"",IF($V149=1,"",IF(ISNA(MATCH($A149,TYP_TYPE,0)),"Type not in the library",IF($B149="","Scope not set",IF(AND($B149="System",$C149=""),"System not set",IF(AND($B149="Equipment",$D149=""),"Equipment not set",IF($F149="","Responsible not set",IF($K149="","No target date",IF(AND($B149="Equipment",$C149&lt;&gt;"",IFERROR(INDEX(EQP_SYS,MATCH($D149,EQP_NOM,0)),"")&lt;&gt;$C149),"Equipment not in that system",IF(AND($U149=1,$M149=""),"Approved with no approval date",""))))))))))</f>
        <v/>
      </c>
      <c r="Q149" s="21" t="n"/>
      <c r="R149" s="23">
        <f>IF(OR($A149="",$B149=""),"",IF($B149="Equipment",IFERROR(INDEX(EQP_START,MATCH($D149,EQP_NOM,0)),""),IF($B149="System",IFERROR(INDEX(SYS_EARLIEST,MATCH($C149,SYS_ID,0)),""),IF($B149="All",CTR_EARLIEST,""))))</f>
        <v/>
      </c>
      <c r="S149" s="23">
        <f>IF(OR($A149="",$E149=""),"",IFERROR(IF(INDEX(TYP_ANCHOR,MATCH($A149,TYP_TYPE,0))="Commissioning Start",IF($R149="","",$R149-INDEX(TYP_LEAD,MATCH($A149,TYP_TYPE,0))),IF(INDEX(MS_PLAN,MATCH(INDEX(TYP_ANCHOR,MATCH($A149,TYP_TYPE,0)),MS_NOM,0))="","",INDEX(MS_PLAN,MATCH(INDEX(TYP_ANCHOR,MATCH($A149,TYP_TYPE,0)),MS_NOM,0))-INDEX(TYP_LEAD,MATCH($A149,TYP_TYPE,0)))),""))</f>
        <v/>
      </c>
      <c r="T149" s="26">
        <f>IF(OR($A149="",$E149=""),0,IF($V149=1,0,1))</f>
        <v/>
      </c>
      <c r="U149" s="26">
        <f>IF($T149=0,0,IF($M149&lt;&gt;"",1,IF(IFERROR(INDEX(WF_CLASS,MATCH($H149,WF_CODE,0)),"")="Done",1,0)))</f>
        <v/>
      </c>
      <c r="V149" s="26">
        <f>IF(OR($A149="",$E149=""),0,IF(IFERROR(INDEX(WF_CLASS,MATCH($H149,WF_CODE,0)),"")="Inactive",1,0))</f>
        <v/>
      </c>
      <c r="W149" s="24">
        <f>IF($A149="","",IFERROR(INDEX(TYP_PHASE,MATCH($A149,TYP_TYPE,0)),"-"))</f>
        <v/>
      </c>
      <c r="X149" s="24">
        <f>IF(AND($T149=1,$U149=0,N($N149)&gt;0),$N149+ROW()/1000000,"")</f>
        <v/>
      </c>
      <c r="Y149" s="24">
        <f>IF(AND($T149=1,$U149=0,OR($I149&lt;&gt;"",N($N149)&gt;0)),N($N149)+ROW()/1000000,"")</f>
        <v/>
      </c>
      <c r="Z149" s="24">
        <f>IF(AND($T149=1,$U149=0,$I149="",N($N149)&lt;=0,-N($N149)&lt;=HORIZON),N($N149)+ROW()/1000000,"")</f>
        <v/>
      </c>
    </row>
    <row r="150">
      <c r="A150" s="21" t="n"/>
      <c r="B150" s="21" t="n"/>
      <c r="C150" s="21" t="n"/>
      <c r="D150" s="21" t="n"/>
      <c r="E150" s="21" t="n"/>
      <c r="F150" s="21" t="n"/>
      <c r="G150" s="21" t="n"/>
      <c r="H150" s="21" t="n"/>
      <c r="I150" s="22" t="n"/>
      <c r="J150" s="22" t="n"/>
      <c r="K150" s="23">
        <f>IF($A150="","",IF($J150&lt;&gt;"",$J150,$S150))</f>
        <v/>
      </c>
      <c r="L150" s="24">
        <f>IF(OR($A150="",$E150=""),"",IF($J150&lt;&gt;"","Manual",IF($S150="","-","Auto")))</f>
        <v/>
      </c>
      <c r="M150" s="22" t="n"/>
      <c r="N150" s="25">
        <f>IF($T150=0,"",IF($U150=1,IF($M150="","",$M150-$K150),IF($K150="","",TODAY()-$K150)))</f>
        <v/>
      </c>
      <c r="O150" s="24">
        <f>IF(OR($A150="",$E150=""),"",IF($V150=1,S_INACT,IF(ISNA(MATCH($A150,TYP_TYPE,0)),S_TYPEKO,IF($U150=1,S_DONE,IF(AND($K150="",$R150=""),S_NOSCOPE,IF($K150="",S_NOTARGET,IF($N150&gt;0,S_LATE,IF($I150&lt;&gt;"",S_WIP,IF(-$N150&lt;=FEN_DOC,S_RISK,IF(-$N150&lt;=HORIZON,S_COMING,S_NOTYET))))))))))</f>
        <v/>
      </c>
      <c r="P150" s="24">
        <f>IF(OR($A150="",$E150=""),"",IF($V150=1,"",IF(ISNA(MATCH($A150,TYP_TYPE,0)),"Type not in the library",IF($B150="","Scope not set",IF(AND($B150="System",$C150=""),"System not set",IF(AND($B150="Equipment",$D150=""),"Equipment not set",IF($F150="","Responsible not set",IF($K150="","No target date",IF(AND($B150="Equipment",$C150&lt;&gt;"",IFERROR(INDEX(EQP_SYS,MATCH($D150,EQP_NOM,0)),"")&lt;&gt;$C150),"Equipment not in that system",IF(AND($U150=1,$M150=""),"Approved with no approval date",""))))))))))</f>
        <v/>
      </c>
      <c r="Q150" s="21" t="n"/>
      <c r="R150" s="23">
        <f>IF(OR($A150="",$B150=""),"",IF($B150="Equipment",IFERROR(INDEX(EQP_START,MATCH($D150,EQP_NOM,0)),""),IF($B150="System",IFERROR(INDEX(SYS_EARLIEST,MATCH($C150,SYS_ID,0)),""),IF($B150="All",CTR_EARLIEST,""))))</f>
        <v/>
      </c>
      <c r="S150" s="23">
        <f>IF(OR($A150="",$E150=""),"",IFERROR(IF(INDEX(TYP_ANCHOR,MATCH($A150,TYP_TYPE,0))="Commissioning Start",IF($R150="","",$R150-INDEX(TYP_LEAD,MATCH($A150,TYP_TYPE,0))),IF(INDEX(MS_PLAN,MATCH(INDEX(TYP_ANCHOR,MATCH($A150,TYP_TYPE,0)),MS_NOM,0))="","",INDEX(MS_PLAN,MATCH(INDEX(TYP_ANCHOR,MATCH($A150,TYP_TYPE,0)),MS_NOM,0))-INDEX(TYP_LEAD,MATCH($A150,TYP_TYPE,0)))),""))</f>
        <v/>
      </c>
      <c r="T150" s="26">
        <f>IF(OR($A150="",$E150=""),0,IF($V150=1,0,1))</f>
        <v/>
      </c>
      <c r="U150" s="26">
        <f>IF($T150=0,0,IF($M150&lt;&gt;"",1,IF(IFERROR(INDEX(WF_CLASS,MATCH($H150,WF_CODE,0)),"")="Done",1,0)))</f>
        <v/>
      </c>
      <c r="V150" s="26">
        <f>IF(OR($A150="",$E150=""),0,IF(IFERROR(INDEX(WF_CLASS,MATCH($H150,WF_CODE,0)),"")="Inactive",1,0))</f>
        <v/>
      </c>
      <c r="W150" s="24">
        <f>IF($A150="","",IFERROR(INDEX(TYP_PHASE,MATCH($A150,TYP_TYPE,0)),"-"))</f>
        <v/>
      </c>
      <c r="X150" s="24">
        <f>IF(AND($T150=1,$U150=0,N($N150)&gt;0),$N150+ROW()/1000000,"")</f>
        <v/>
      </c>
      <c r="Y150" s="24">
        <f>IF(AND($T150=1,$U150=0,OR($I150&lt;&gt;"",N($N150)&gt;0)),N($N150)+ROW()/1000000,"")</f>
        <v/>
      </c>
      <c r="Z150" s="24">
        <f>IF(AND($T150=1,$U150=0,$I150="",N($N150)&lt;=0,-N($N150)&lt;=HORIZON),N($N150)+ROW()/1000000,"")</f>
        <v/>
      </c>
    </row>
    <row r="151">
      <c r="A151" s="21" t="n"/>
      <c r="B151" s="21" t="n"/>
      <c r="C151" s="21" t="n"/>
      <c r="D151" s="21" t="n"/>
      <c r="E151" s="21" t="n"/>
      <c r="F151" s="21" t="n"/>
      <c r="G151" s="21" t="n"/>
      <c r="H151" s="21" t="n"/>
      <c r="I151" s="22" t="n"/>
      <c r="J151" s="22" t="n"/>
      <c r="K151" s="23">
        <f>IF($A151="","",IF($J151&lt;&gt;"",$J151,$S151))</f>
        <v/>
      </c>
      <c r="L151" s="24">
        <f>IF(OR($A151="",$E151=""),"",IF($J151&lt;&gt;"","Manual",IF($S151="","-","Auto")))</f>
        <v/>
      </c>
      <c r="M151" s="22" t="n"/>
      <c r="N151" s="25">
        <f>IF($T151=0,"",IF($U151=1,IF($M151="","",$M151-$K151),IF($K151="","",TODAY()-$K151)))</f>
        <v/>
      </c>
      <c r="O151" s="24">
        <f>IF(OR($A151="",$E151=""),"",IF($V151=1,S_INACT,IF(ISNA(MATCH($A151,TYP_TYPE,0)),S_TYPEKO,IF($U151=1,S_DONE,IF(AND($K151="",$R151=""),S_NOSCOPE,IF($K151="",S_NOTARGET,IF($N151&gt;0,S_LATE,IF($I151&lt;&gt;"",S_WIP,IF(-$N151&lt;=FEN_DOC,S_RISK,IF(-$N151&lt;=HORIZON,S_COMING,S_NOTYET))))))))))</f>
        <v/>
      </c>
      <c r="P151" s="24">
        <f>IF(OR($A151="",$E151=""),"",IF($V151=1,"",IF(ISNA(MATCH($A151,TYP_TYPE,0)),"Type not in the library",IF($B151="","Scope not set",IF(AND($B151="System",$C151=""),"System not set",IF(AND($B151="Equipment",$D151=""),"Equipment not set",IF($F151="","Responsible not set",IF($K151="","No target date",IF(AND($B151="Equipment",$C151&lt;&gt;"",IFERROR(INDEX(EQP_SYS,MATCH($D151,EQP_NOM,0)),"")&lt;&gt;$C151),"Equipment not in that system",IF(AND($U151=1,$M151=""),"Approved with no approval date",""))))))))))</f>
        <v/>
      </c>
      <c r="Q151" s="21" t="n"/>
      <c r="R151" s="23">
        <f>IF(OR($A151="",$B151=""),"",IF($B151="Equipment",IFERROR(INDEX(EQP_START,MATCH($D151,EQP_NOM,0)),""),IF($B151="System",IFERROR(INDEX(SYS_EARLIEST,MATCH($C151,SYS_ID,0)),""),IF($B151="All",CTR_EARLIEST,""))))</f>
        <v/>
      </c>
      <c r="S151" s="23">
        <f>IF(OR($A151="",$E151=""),"",IFERROR(IF(INDEX(TYP_ANCHOR,MATCH($A151,TYP_TYPE,0))="Commissioning Start",IF($R151="","",$R151-INDEX(TYP_LEAD,MATCH($A151,TYP_TYPE,0))),IF(INDEX(MS_PLAN,MATCH(INDEX(TYP_ANCHOR,MATCH($A151,TYP_TYPE,0)),MS_NOM,0))="","",INDEX(MS_PLAN,MATCH(INDEX(TYP_ANCHOR,MATCH($A151,TYP_TYPE,0)),MS_NOM,0))-INDEX(TYP_LEAD,MATCH($A151,TYP_TYPE,0)))),""))</f>
        <v/>
      </c>
      <c r="T151" s="26">
        <f>IF(OR($A151="",$E151=""),0,IF($V151=1,0,1))</f>
        <v/>
      </c>
      <c r="U151" s="26">
        <f>IF($T151=0,0,IF($M151&lt;&gt;"",1,IF(IFERROR(INDEX(WF_CLASS,MATCH($H151,WF_CODE,0)),"")="Done",1,0)))</f>
        <v/>
      </c>
      <c r="V151" s="26">
        <f>IF(OR($A151="",$E151=""),0,IF(IFERROR(INDEX(WF_CLASS,MATCH($H151,WF_CODE,0)),"")="Inactive",1,0))</f>
        <v/>
      </c>
      <c r="W151" s="24">
        <f>IF($A151="","",IFERROR(INDEX(TYP_PHASE,MATCH($A151,TYP_TYPE,0)),"-"))</f>
        <v/>
      </c>
      <c r="X151" s="24">
        <f>IF(AND($T151=1,$U151=0,N($N151)&gt;0),$N151+ROW()/1000000,"")</f>
        <v/>
      </c>
      <c r="Y151" s="24">
        <f>IF(AND($T151=1,$U151=0,OR($I151&lt;&gt;"",N($N151)&gt;0)),N($N151)+ROW()/1000000,"")</f>
        <v/>
      </c>
      <c r="Z151" s="24">
        <f>IF(AND($T151=1,$U151=0,$I151="",N($N151)&lt;=0,-N($N151)&lt;=HORIZON),N($N151)+ROW()/1000000,"")</f>
        <v/>
      </c>
    </row>
    <row r="152">
      <c r="A152" s="21" t="n"/>
      <c r="B152" s="21" t="n"/>
      <c r="C152" s="21" t="n"/>
      <c r="D152" s="21" t="n"/>
      <c r="E152" s="21" t="n"/>
      <c r="F152" s="21" t="n"/>
      <c r="G152" s="21" t="n"/>
      <c r="H152" s="21" t="n"/>
      <c r="I152" s="22" t="n"/>
      <c r="J152" s="22" t="n"/>
      <c r="K152" s="23">
        <f>IF($A152="","",IF($J152&lt;&gt;"",$J152,$S152))</f>
        <v/>
      </c>
      <c r="L152" s="24">
        <f>IF(OR($A152="",$E152=""),"",IF($J152&lt;&gt;"","Manual",IF($S152="","-","Auto")))</f>
        <v/>
      </c>
      <c r="M152" s="22" t="n"/>
      <c r="N152" s="25">
        <f>IF($T152=0,"",IF($U152=1,IF($M152="","",$M152-$K152),IF($K152="","",TODAY()-$K152)))</f>
        <v/>
      </c>
      <c r="O152" s="24">
        <f>IF(OR($A152="",$E152=""),"",IF($V152=1,S_INACT,IF(ISNA(MATCH($A152,TYP_TYPE,0)),S_TYPEKO,IF($U152=1,S_DONE,IF(AND($K152="",$R152=""),S_NOSCOPE,IF($K152="",S_NOTARGET,IF($N152&gt;0,S_LATE,IF($I152&lt;&gt;"",S_WIP,IF(-$N152&lt;=FEN_DOC,S_RISK,IF(-$N152&lt;=HORIZON,S_COMING,S_NOTYET))))))))))</f>
        <v/>
      </c>
      <c r="P152" s="24">
        <f>IF(OR($A152="",$E152=""),"",IF($V152=1,"",IF(ISNA(MATCH($A152,TYP_TYPE,0)),"Type not in the library",IF($B152="","Scope not set",IF(AND($B152="System",$C152=""),"System not set",IF(AND($B152="Equipment",$D152=""),"Equipment not set",IF($F152="","Responsible not set",IF($K152="","No target date",IF(AND($B152="Equipment",$C152&lt;&gt;"",IFERROR(INDEX(EQP_SYS,MATCH($D152,EQP_NOM,0)),"")&lt;&gt;$C152),"Equipment not in that system",IF(AND($U152=1,$M152=""),"Approved with no approval date",""))))))))))</f>
        <v/>
      </c>
      <c r="Q152" s="21" t="n"/>
      <c r="R152" s="23">
        <f>IF(OR($A152="",$B152=""),"",IF($B152="Equipment",IFERROR(INDEX(EQP_START,MATCH($D152,EQP_NOM,0)),""),IF($B152="System",IFERROR(INDEX(SYS_EARLIEST,MATCH($C152,SYS_ID,0)),""),IF($B152="All",CTR_EARLIEST,""))))</f>
        <v/>
      </c>
      <c r="S152" s="23">
        <f>IF(OR($A152="",$E152=""),"",IFERROR(IF(INDEX(TYP_ANCHOR,MATCH($A152,TYP_TYPE,0))="Commissioning Start",IF($R152="","",$R152-INDEX(TYP_LEAD,MATCH($A152,TYP_TYPE,0))),IF(INDEX(MS_PLAN,MATCH(INDEX(TYP_ANCHOR,MATCH($A152,TYP_TYPE,0)),MS_NOM,0))="","",INDEX(MS_PLAN,MATCH(INDEX(TYP_ANCHOR,MATCH($A152,TYP_TYPE,0)),MS_NOM,0))-INDEX(TYP_LEAD,MATCH($A152,TYP_TYPE,0)))),""))</f>
        <v/>
      </c>
      <c r="T152" s="26">
        <f>IF(OR($A152="",$E152=""),0,IF($V152=1,0,1))</f>
        <v/>
      </c>
      <c r="U152" s="26">
        <f>IF($T152=0,0,IF($M152&lt;&gt;"",1,IF(IFERROR(INDEX(WF_CLASS,MATCH($H152,WF_CODE,0)),"")="Done",1,0)))</f>
        <v/>
      </c>
      <c r="V152" s="26">
        <f>IF(OR($A152="",$E152=""),0,IF(IFERROR(INDEX(WF_CLASS,MATCH($H152,WF_CODE,0)),"")="Inactive",1,0))</f>
        <v/>
      </c>
      <c r="W152" s="24">
        <f>IF($A152="","",IFERROR(INDEX(TYP_PHASE,MATCH($A152,TYP_TYPE,0)),"-"))</f>
        <v/>
      </c>
      <c r="X152" s="24">
        <f>IF(AND($T152=1,$U152=0,N($N152)&gt;0),$N152+ROW()/1000000,"")</f>
        <v/>
      </c>
      <c r="Y152" s="24">
        <f>IF(AND($T152=1,$U152=0,OR($I152&lt;&gt;"",N($N152)&gt;0)),N($N152)+ROW()/1000000,"")</f>
        <v/>
      </c>
      <c r="Z152" s="24">
        <f>IF(AND($T152=1,$U152=0,$I152="",N($N152)&lt;=0,-N($N152)&lt;=HORIZON),N($N152)+ROW()/1000000,"")</f>
        <v/>
      </c>
    </row>
    <row r="153">
      <c r="A153" s="21" t="n"/>
      <c r="B153" s="21" t="n"/>
      <c r="C153" s="21" t="n"/>
      <c r="D153" s="21" t="n"/>
      <c r="E153" s="21" t="n"/>
      <c r="F153" s="21" t="n"/>
      <c r="G153" s="21" t="n"/>
      <c r="H153" s="21" t="n"/>
      <c r="I153" s="22" t="n"/>
      <c r="J153" s="22" t="n"/>
      <c r="K153" s="23">
        <f>IF($A153="","",IF($J153&lt;&gt;"",$J153,$S153))</f>
        <v/>
      </c>
      <c r="L153" s="24">
        <f>IF(OR($A153="",$E153=""),"",IF($J153&lt;&gt;"","Manual",IF($S153="","-","Auto")))</f>
        <v/>
      </c>
      <c r="M153" s="22" t="n"/>
      <c r="N153" s="25">
        <f>IF($T153=0,"",IF($U153=1,IF($M153="","",$M153-$K153),IF($K153="","",TODAY()-$K153)))</f>
        <v/>
      </c>
      <c r="O153" s="24">
        <f>IF(OR($A153="",$E153=""),"",IF($V153=1,S_INACT,IF(ISNA(MATCH($A153,TYP_TYPE,0)),S_TYPEKO,IF($U153=1,S_DONE,IF(AND($K153="",$R153=""),S_NOSCOPE,IF($K153="",S_NOTARGET,IF($N153&gt;0,S_LATE,IF($I153&lt;&gt;"",S_WIP,IF(-$N153&lt;=FEN_DOC,S_RISK,IF(-$N153&lt;=HORIZON,S_COMING,S_NOTYET))))))))))</f>
        <v/>
      </c>
      <c r="P153" s="24">
        <f>IF(OR($A153="",$E153=""),"",IF($V153=1,"",IF(ISNA(MATCH($A153,TYP_TYPE,0)),"Type not in the library",IF($B153="","Scope not set",IF(AND($B153="System",$C153=""),"System not set",IF(AND($B153="Equipment",$D153=""),"Equipment not set",IF($F153="","Responsible not set",IF($K153="","No target date",IF(AND($B153="Equipment",$C153&lt;&gt;"",IFERROR(INDEX(EQP_SYS,MATCH($D153,EQP_NOM,0)),"")&lt;&gt;$C153),"Equipment not in that system",IF(AND($U153=1,$M153=""),"Approved with no approval date",""))))))))))</f>
        <v/>
      </c>
      <c r="Q153" s="21" t="n"/>
      <c r="R153" s="23">
        <f>IF(OR($A153="",$B153=""),"",IF($B153="Equipment",IFERROR(INDEX(EQP_START,MATCH($D153,EQP_NOM,0)),""),IF($B153="System",IFERROR(INDEX(SYS_EARLIEST,MATCH($C153,SYS_ID,0)),""),IF($B153="All",CTR_EARLIEST,""))))</f>
        <v/>
      </c>
      <c r="S153" s="23">
        <f>IF(OR($A153="",$E153=""),"",IFERROR(IF(INDEX(TYP_ANCHOR,MATCH($A153,TYP_TYPE,0))="Commissioning Start",IF($R153="","",$R153-INDEX(TYP_LEAD,MATCH($A153,TYP_TYPE,0))),IF(INDEX(MS_PLAN,MATCH(INDEX(TYP_ANCHOR,MATCH($A153,TYP_TYPE,0)),MS_NOM,0))="","",INDEX(MS_PLAN,MATCH(INDEX(TYP_ANCHOR,MATCH($A153,TYP_TYPE,0)),MS_NOM,0))-INDEX(TYP_LEAD,MATCH($A153,TYP_TYPE,0)))),""))</f>
        <v/>
      </c>
      <c r="T153" s="26">
        <f>IF(OR($A153="",$E153=""),0,IF($V153=1,0,1))</f>
        <v/>
      </c>
      <c r="U153" s="26">
        <f>IF($T153=0,0,IF($M153&lt;&gt;"",1,IF(IFERROR(INDEX(WF_CLASS,MATCH($H153,WF_CODE,0)),"")="Done",1,0)))</f>
        <v/>
      </c>
      <c r="V153" s="26">
        <f>IF(OR($A153="",$E153=""),0,IF(IFERROR(INDEX(WF_CLASS,MATCH($H153,WF_CODE,0)),"")="Inactive",1,0))</f>
        <v/>
      </c>
      <c r="W153" s="24">
        <f>IF($A153="","",IFERROR(INDEX(TYP_PHASE,MATCH($A153,TYP_TYPE,0)),"-"))</f>
        <v/>
      </c>
      <c r="X153" s="24">
        <f>IF(AND($T153=1,$U153=0,N($N153)&gt;0),$N153+ROW()/1000000,"")</f>
        <v/>
      </c>
      <c r="Y153" s="24">
        <f>IF(AND($T153=1,$U153=0,OR($I153&lt;&gt;"",N($N153)&gt;0)),N($N153)+ROW()/1000000,"")</f>
        <v/>
      </c>
      <c r="Z153" s="24">
        <f>IF(AND($T153=1,$U153=0,$I153="",N($N153)&lt;=0,-N($N153)&lt;=HORIZON),N($N153)+ROW()/1000000,"")</f>
        <v/>
      </c>
    </row>
    <row r="154">
      <c r="A154" s="21" t="n"/>
      <c r="B154" s="21" t="n"/>
      <c r="C154" s="21" t="n"/>
      <c r="D154" s="21" t="n"/>
      <c r="E154" s="21" t="n"/>
      <c r="F154" s="21" t="n"/>
      <c r="G154" s="21" t="n"/>
      <c r="H154" s="21" t="n"/>
      <c r="I154" s="22" t="n"/>
      <c r="J154" s="22" t="n"/>
      <c r="K154" s="23">
        <f>IF($A154="","",IF($J154&lt;&gt;"",$J154,$S154))</f>
        <v/>
      </c>
      <c r="L154" s="24">
        <f>IF(OR($A154="",$E154=""),"",IF($J154&lt;&gt;"","Manual",IF($S154="","-","Auto")))</f>
        <v/>
      </c>
      <c r="M154" s="22" t="n"/>
      <c r="N154" s="25">
        <f>IF($T154=0,"",IF($U154=1,IF($M154="","",$M154-$K154),IF($K154="","",TODAY()-$K154)))</f>
        <v/>
      </c>
      <c r="O154" s="24">
        <f>IF(OR($A154="",$E154=""),"",IF($V154=1,S_INACT,IF(ISNA(MATCH($A154,TYP_TYPE,0)),S_TYPEKO,IF($U154=1,S_DONE,IF(AND($K154="",$R154=""),S_NOSCOPE,IF($K154="",S_NOTARGET,IF($N154&gt;0,S_LATE,IF($I154&lt;&gt;"",S_WIP,IF(-$N154&lt;=FEN_DOC,S_RISK,IF(-$N154&lt;=HORIZON,S_COMING,S_NOTYET))))))))))</f>
        <v/>
      </c>
      <c r="P154" s="24">
        <f>IF(OR($A154="",$E154=""),"",IF($V154=1,"",IF(ISNA(MATCH($A154,TYP_TYPE,0)),"Type not in the library",IF($B154="","Scope not set",IF(AND($B154="System",$C154=""),"System not set",IF(AND($B154="Equipment",$D154=""),"Equipment not set",IF($F154="","Responsible not set",IF($K154="","No target date",IF(AND($B154="Equipment",$C154&lt;&gt;"",IFERROR(INDEX(EQP_SYS,MATCH($D154,EQP_NOM,0)),"")&lt;&gt;$C154),"Equipment not in that system",IF(AND($U154=1,$M154=""),"Approved with no approval date",""))))))))))</f>
        <v/>
      </c>
      <c r="Q154" s="21" t="n"/>
      <c r="R154" s="23">
        <f>IF(OR($A154="",$B154=""),"",IF($B154="Equipment",IFERROR(INDEX(EQP_START,MATCH($D154,EQP_NOM,0)),""),IF($B154="System",IFERROR(INDEX(SYS_EARLIEST,MATCH($C154,SYS_ID,0)),""),IF($B154="All",CTR_EARLIEST,""))))</f>
        <v/>
      </c>
      <c r="S154" s="23">
        <f>IF(OR($A154="",$E154=""),"",IFERROR(IF(INDEX(TYP_ANCHOR,MATCH($A154,TYP_TYPE,0))="Commissioning Start",IF($R154="","",$R154-INDEX(TYP_LEAD,MATCH($A154,TYP_TYPE,0))),IF(INDEX(MS_PLAN,MATCH(INDEX(TYP_ANCHOR,MATCH($A154,TYP_TYPE,0)),MS_NOM,0))="","",INDEX(MS_PLAN,MATCH(INDEX(TYP_ANCHOR,MATCH($A154,TYP_TYPE,0)),MS_NOM,0))-INDEX(TYP_LEAD,MATCH($A154,TYP_TYPE,0)))),""))</f>
        <v/>
      </c>
      <c r="T154" s="26">
        <f>IF(OR($A154="",$E154=""),0,IF($V154=1,0,1))</f>
        <v/>
      </c>
      <c r="U154" s="26">
        <f>IF($T154=0,0,IF($M154&lt;&gt;"",1,IF(IFERROR(INDEX(WF_CLASS,MATCH($H154,WF_CODE,0)),"")="Done",1,0)))</f>
        <v/>
      </c>
      <c r="V154" s="26">
        <f>IF(OR($A154="",$E154=""),0,IF(IFERROR(INDEX(WF_CLASS,MATCH($H154,WF_CODE,0)),"")="Inactive",1,0))</f>
        <v/>
      </c>
      <c r="W154" s="24">
        <f>IF($A154="","",IFERROR(INDEX(TYP_PHASE,MATCH($A154,TYP_TYPE,0)),"-"))</f>
        <v/>
      </c>
      <c r="X154" s="24">
        <f>IF(AND($T154=1,$U154=0,N($N154)&gt;0),$N154+ROW()/1000000,"")</f>
        <v/>
      </c>
      <c r="Y154" s="24">
        <f>IF(AND($T154=1,$U154=0,OR($I154&lt;&gt;"",N($N154)&gt;0)),N($N154)+ROW()/1000000,"")</f>
        <v/>
      </c>
      <c r="Z154" s="24">
        <f>IF(AND($T154=1,$U154=0,$I154="",N($N154)&lt;=0,-N($N154)&lt;=HORIZON),N($N154)+ROW()/1000000,"")</f>
        <v/>
      </c>
    </row>
    <row r="155">
      <c r="A155" s="21" t="n"/>
      <c r="B155" s="21" t="n"/>
      <c r="C155" s="21" t="n"/>
      <c r="D155" s="21" t="n"/>
      <c r="E155" s="21" t="n"/>
      <c r="F155" s="21" t="n"/>
      <c r="G155" s="21" t="n"/>
      <c r="H155" s="21" t="n"/>
      <c r="I155" s="22" t="n"/>
      <c r="J155" s="22" t="n"/>
      <c r="K155" s="23">
        <f>IF($A155="","",IF($J155&lt;&gt;"",$J155,$S155))</f>
        <v/>
      </c>
      <c r="L155" s="24">
        <f>IF(OR($A155="",$E155=""),"",IF($J155&lt;&gt;"","Manual",IF($S155="","-","Auto")))</f>
        <v/>
      </c>
      <c r="M155" s="22" t="n"/>
      <c r="N155" s="25">
        <f>IF($T155=0,"",IF($U155=1,IF($M155="","",$M155-$K155),IF($K155="","",TODAY()-$K155)))</f>
        <v/>
      </c>
      <c r="O155" s="24">
        <f>IF(OR($A155="",$E155=""),"",IF($V155=1,S_INACT,IF(ISNA(MATCH($A155,TYP_TYPE,0)),S_TYPEKO,IF($U155=1,S_DONE,IF(AND($K155="",$R155=""),S_NOSCOPE,IF($K155="",S_NOTARGET,IF($N155&gt;0,S_LATE,IF($I155&lt;&gt;"",S_WIP,IF(-$N155&lt;=FEN_DOC,S_RISK,IF(-$N155&lt;=HORIZON,S_COMING,S_NOTYET))))))))))</f>
        <v/>
      </c>
      <c r="P155" s="24">
        <f>IF(OR($A155="",$E155=""),"",IF($V155=1,"",IF(ISNA(MATCH($A155,TYP_TYPE,0)),"Type not in the library",IF($B155="","Scope not set",IF(AND($B155="System",$C155=""),"System not set",IF(AND($B155="Equipment",$D155=""),"Equipment not set",IF($F155="","Responsible not set",IF($K155="","No target date",IF(AND($B155="Equipment",$C155&lt;&gt;"",IFERROR(INDEX(EQP_SYS,MATCH($D155,EQP_NOM,0)),"")&lt;&gt;$C155),"Equipment not in that system",IF(AND($U155=1,$M155=""),"Approved with no approval date",""))))))))))</f>
        <v/>
      </c>
      <c r="Q155" s="21" t="n"/>
      <c r="R155" s="23">
        <f>IF(OR($A155="",$B155=""),"",IF($B155="Equipment",IFERROR(INDEX(EQP_START,MATCH($D155,EQP_NOM,0)),""),IF($B155="System",IFERROR(INDEX(SYS_EARLIEST,MATCH($C155,SYS_ID,0)),""),IF($B155="All",CTR_EARLIEST,""))))</f>
        <v/>
      </c>
      <c r="S155" s="23">
        <f>IF(OR($A155="",$E155=""),"",IFERROR(IF(INDEX(TYP_ANCHOR,MATCH($A155,TYP_TYPE,0))="Commissioning Start",IF($R155="","",$R155-INDEX(TYP_LEAD,MATCH($A155,TYP_TYPE,0))),IF(INDEX(MS_PLAN,MATCH(INDEX(TYP_ANCHOR,MATCH($A155,TYP_TYPE,0)),MS_NOM,0))="","",INDEX(MS_PLAN,MATCH(INDEX(TYP_ANCHOR,MATCH($A155,TYP_TYPE,0)),MS_NOM,0))-INDEX(TYP_LEAD,MATCH($A155,TYP_TYPE,0)))),""))</f>
        <v/>
      </c>
      <c r="T155" s="26">
        <f>IF(OR($A155="",$E155=""),0,IF($V155=1,0,1))</f>
        <v/>
      </c>
      <c r="U155" s="26">
        <f>IF($T155=0,0,IF($M155&lt;&gt;"",1,IF(IFERROR(INDEX(WF_CLASS,MATCH($H155,WF_CODE,0)),"")="Done",1,0)))</f>
        <v/>
      </c>
      <c r="V155" s="26">
        <f>IF(OR($A155="",$E155=""),0,IF(IFERROR(INDEX(WF_CLASS,MATCH($H155,WF_CODE,0)),"")="Inactive",1,0))</f>
        <v/>
      </c>
      <c r="W155" s="24">
        <f>IF($A155="","",IFERROR(INDEX(TYP_PHASE,MATCH($A155,TYP_TYPE,0)),"-"))</f>
        <v/>
      </c>
      <c r="X155" s="24">
        <f>IF(AND($T155=1,$U155=0,N($N155)&gt;0),$N155+ROW()/1000000,"")</f>
        <v/>
      </c>
      <c r="Y155" s="24">
        <f>IF(AND($T155=1,$U155=0,OR($I155&lt;&gt;"",N($N155)&gt;0)),N($N155)+ROW()/1000000,"")</f>
        <v/>
      </c>
      <c r="Z155" s="24">
        <f>IF(AND($T155=1,$U155=0,$I155="",N($N155)&lt;=0,-N($N155)&lt;=HORIZON),N($N155)+ROW()/1000000,"")</f>
        <v/>
      </c>
    </row>
    <row r="156">
      <c r="A156" s="21" t="n"/>
      <c r="B156" s="21" t="n"/>
      <c r="C156" s="21" t="n"/>
      <c r="D156" s="21" t="n"/>
      <c r="E156" s="21" t="n"/>
      <c r="F156" s="21" t="n"/>
      <c r="G156" s="21" t="n"/>
      <c r="H156" s="21" t="n"/>
      <c r="I156" s="22" t="n"/>
      <c r="J156" s="22" t="n"/>
      <c r="K156" s="23">
        <f>IF($A156="","",IF($J156&lt;&gt;"",$J156,$S156))</f>
        <v/>
      </c>
      <c r="L156" s="24">
        <f>IF(OR($A156="",$E156=""),"",IF($J156&lt;&gt;"","Manual",IF($S156="","-","Auto")))</f>
        <v/>
      </c>
      <c r="M156" s="22" t="n"/>
      <c r="N156" s="25">
        <f>IF($T156=0,"",IF($U156=1,IF($M156="","",$M156-$K156),IF($K156="","",TODAY()-$K156)))</f>
        <v/>
      </c>
      <c r="O156" s="24">
        <f>IF(OR($A156="",$E156=""),"",IF($V156=1,S_INACT,IF(ISNA(MATCH($A156,TYP_TYPE,0)),S_TYPEKO,IF($U156=1,S_DONE,IF(AND($K156="",$R156=""),S_NOSCOPE,IF($K156="",S_NOTARGET,IF($N156&gt;0,S_LATE,IF($I156&lt;&gt;"",S_WIP,IF(-$N156&lt;=FEN_DOC,S_RISK,IF(-$N156&lt;=HORIZON,S_COMING,S_NOTYET))))))))))</f>
        <v/>
      </c>
      <c r="P156" s="24">
        <f>IF(OR($A156="",$E156=""),"",IF($V156=1,"",IF(ISNA(MATCH($A156,TYP_TYPE,0)),"Type not in the library",IF($B156="","Scope not set",IF(AND($B156="System",$C156=""),"System not set",IF(AND($B156="Equipment",$D156=""),"Equipment not set",IF($F156="","Responsible not set",IF($K156="","No target date",IF(AND($B156="Equipment",$C156&lt;&gt;"",IFERROR(INDEX(EQP_SYS,MATCH($D156,EQP_NOM,0)),"")&lt;&gt;$C156),"Equipment not in that system",IF(AND($U156=1,$M156=""),"Approved with no approval date",""))))))))))</f>
        <v/>
      </c>
      <c r="Q156" s="21" t="n"/>
      <c r="R156" s="23">
        <f>IF(OR($A156="",$B156=""),"",IF($B156="Equipment",IFERROR(INDEX(EQP_START,MATCH($D156,EQP_NOM,0)),""),IF($B156="System",IFERROR(INDEX(SYS_EARLIEST,MATCH($C156,SYS_ID,0)),""),IF($B156="All",CTR_EARLIEST,""))))</f>
        <v/>
      </c>
      <c r="S156" s="23">
        <f>IF(OR($A156="",$E156=""),"",IFERROR(IF(INDEX(TYP_ANCHOR,MATCH($A156,TYP_TYPE,0))="Commissioning Start",IF($R156="","",$R156-INDEX(TYP_LEAD,MATCH($A156,TYP_TYPE,0))),IF(INDEX(MS_PLAN,MATCH(INDEX(TYP_ANCHOR,MATCH($A156,TYP_TYPE,0)),MS_NOM,0))="","",INDEX(MS_PLAN,MATCH(INDEX(TYP_ANCHOR,MATCH($A156,TYP_TYPE,0)),MS_NOM,0))-INDEX(TYP_LEAD,MATCH($A156,TYP_TYPE,0)))),""))</f>
        <v/>
      </c>
      <c r="T156" s="26">
        <f>IF(OR($A156="",$E156=""),0,IF($V156=1,0,1))</f>
        <v/>
      </c>
      <c r="U156" s="26">
        <f>IF($T156=0,0,IF($M156&lt;&gt;"",1,IF(IFERROR(INDEX(WF_CLASS,MATCH($H156,WF_CODE,0)),"")="Done",1,0)))</f>
        <v/>
      </c>
      <c r="V156" s="26">
        <f>IF(OR($A156="",$E156=""),0,IF(IFERROR(INDEX(WF_CLASS,MATCH($H156,WF_CODE,0)),"")="Inactive",1,0))</f>
        <v/>
      </c>
      <c r="W156" s="24">
        <f>IF($A156="","",IFERROR(INDEX(TYP_PHASE,MATCH($A156,TYP_TYPE,0)),"-"))</f>
        <v/>
      </c>
      <c r="X156" s="24">
        <f>IF(AND($T156=1,$U156=0,N($N156)&gt;0),$N156+ROW()/1000000,"")</f>
        <v/>
      </c>
      <c r="Y156" s="24">
        <f>IF(AND($T156=1,$U156=0,OR($I156&lt;&gt;"",N($N156)&gt;0)),N($N156)+ROW()/1000000,"")</f>
        <v/>
      </c>
      <c r="Z156" s="24">
        <f>IF(AND($T156=1,$U156=0,$I156="",N($N156)&lt;=0,-N($N156)&lt;=HORIZON),N($N156)+ROW()/1000000,"")</f>
        <v/>
      </c>
    </row>
    <row r="157">
      <c r="A157" s="21" t="n"/>
      <c r="B157" s="21" t="n"/>
      <c r="C157" s="21" t="n"/>
      <c r="D157" s="21" t="n"/>
      <c r="E157" s="21" t="n"/>
      <c r="F157" s="21" t="n"/>
      <c r="G157" s="21" t="n"/>
      <c r="H157" s="21" t="n"/>
      <c r="I157" s="22" t="n"/>
      <c r="J157" s="22" t="n"/>
      <c r="K157" s="23">
        <f>IF($A157="","",IF($J157&lt;&gt;"",$J157,$S157))</f>
        <v/>
      </c>
      <c r="L157" s="24">
        <f>IF(OR($A157="",$E157=""),"",IF($J157&lt;&gt;"","Manual",IF($S157="","-","Auto")))</f>
        <v/>
      </c>
      <c r="M157" s="22" t="n"/>
      <c r="N157" s="25">
        <f>IF($T157=0,"",IF($U157=1,IF($M157="","",$M157-$K157),IF($K157="","",TODAY()-$K157)))</f>
        <v/>
      </c>
      <c r="O157" s="24">
        <f>IF(OR($A157="",$E157=""),"",IF($V157=1,S_INACT,IF(ISNA(MATCH($A157,TYP_TYPE,0)),S_TYPEKO,IF($U157=1,S_DONE,IF(AND($K157="",$R157=""),S_NOSCOPE,IF($K157="",S_NOTARGET,IF($N157&gt;0,S_LATE,IF($I157&lt;&gt;"",S_WIP,IF(-$N157&lt;=FEN_DOC,S_RISK,IF(-$N157&lt;=HORIZON,S_COMING,S_NOTYET))))))))))</f>
        <v/>
      </c>
      <c r="P157" s="24">
        <f>IF(OR($A157="",$E157=""),"",IF($V157=1,"",IF(ISNA(MATCH($A157,TYP_TYPE,0)),"Type not in the library",IF($B157="","Scope not set",IF(AND($B157="System",$C157=""),"System not set",IF(AND($B157="Equipment",$D157=""),"Equipment not set",IF($F157="","Responsible not set",IF($K157="","No target date",IF(AND($B157="Equipment",$C157&lt;&gt;"",IFERROR(INDEX(EQP_SYS,MATCH($D157,EQP_NOM,0)),"")&lt;&gt;$C157),"Equipment not in that system",IF(AND($U157=1,$M157=""),"Approved with no approval date",""))))))))))</f>
        <v/>
      </c>
      <c r="Q157" s="21" t="n"/>
      <c r="R157" s="23">
        <f>IF(OR($A157="",$B157=""),"",IF($B157="Equipment",IFERROR(INDEX(EQP_START,MATCH($D157,EQP_NOM,0)),""),IF($B157="System",IFERROR(INDEX(SYS_EARLIEST,MATCH($C157,SYS_ID,0)),""),IF($B157="All",CTR_EARLIEST,""))))</f>
        <v/>
      </c>
      <c r="S157" s="23">
        <f>IF(OR($A157="",$E157=""),"",IFERROR(IF(INDEX(TYP_ANCHOR,MATCH($A157,TYP_TYPE,0))="Commissioning Start",IF($R157="","",$R157-INDEX(TYP_LEAD,MATCH($A157,TYP_TYPE,0))),IF(INDEX(MS_PLAN,MATCH(INDEX(TYP_ANCHOR,MATCH($A157,TYP_TYPE,0)),MS_NOM,0))="","",INDEX(MS_PLAN,MATCH(INDEX(TYP_ANCHOR,MATCH($A157,TYP_TYPE,0)),MS_NOM,0))-INDEX(TYP_LEAD,MATCH($A157,TYP_TYPE,0)))),""))</f>
        <v/>
      </c>
      <c r="T157" s="26">
        <f>IF(OR($A157="",$E157=""),0,IF($V157=1,0,1))</f>
        <v/>
      </c>
      <c r="U157" s="26">
        <f>IF($T157=0,0,IF($M157&lt;&gt;"",1,IF(IFERROR(INDEX(WF_CLASS,MATCH($H157,WF_CODE,0)),"")="Done",1,0)))</f>
        <v/>
      </c>
      <c r="V157" s="26">
        <f>IF(OR($A157="",$E157=""),0,IF(IFERROR(INDEX(WF_CLASS,MATCH($H157,WF_CODE,0)),"")="Inactive",1,0))</f>
        <v/>
      </c>
      <c r="W157" s="24">
        <f>IF($A157="","",IFERROR(INDEX(TYP_PHASE,MATCH($A157,TYP_TYPE,0)),"-"))</f>
        <v/>
      </c>
      <c r="X157" s="24">
        <f>IF(AND($T157=1,$U157=0,N($N157)&gt;0),$N157+ROW()/1000000,"")</f>
        <v/>
      </c>
      <c r="Y157" s="24">
        <f>IF(AND($T157=1,$U157=0,OR($I157&lt;&gt;"",N($N157)&gt;0)),N($N157)+ROW()/1000000,"")</f>
        <v/>
      </c>
      <c r="Z157" s="24">
        <f>IF(AND($T157=1,$U157=0,$I157="",N($N157)&lt;=0,-N($N157)&lt;=HORIZON),N($N157)+ROW()/1000000,"")</f>
        <v/>
      </c>
    </row>
    <row r="158">
      <c r="A158" s="21" t="n"/>
      <c r="B158" s="21" t="n"/>
      <c r="C158" s="21" t="n"/>
      <c r="D158" s="21" t="n"/>
      <c r="E158" s="21" t="n"/>
      <c r="F158" s="21" t="n"/>
      <c r="G158" s="21" t="n"/>
      <c r="H158" s="21" t="n"/>
      <c r="I158" s="22" t="n"/>
      <c r="J158" s="22" t="n"/>
      <c r="K158" s="23">
        <f>IF($A158="","",IF($J158&lt;&gt;"",$J158,$S158))</f>
        <v/>
      </c>
      <c r="L158" s="24">
        <f>IF(OR($A158="",$E158=""),"",IF($J158&lt;&gt;"","Manual",IF($S158="","-","Auto")))</f>
        <v/>
      </c>
      <c r="M158" s="22" t="n"/>
      <c r="N158" s="25">
        <f>IF($T158=0,"",IF($U158=1,IF($M158="","",$M158-$K158),IF($K158="","",TODAY()-$K158)))</f>
        <v/>
      </c>
      <c r="O158" s="24">
        <f>IF(OR($A158="",$E158=""),"",IF($V158=1,S_INACT,IF(ISNA(MATCH($A158,TYP_TYPE,0)),S_TYPEKO,IF($U158=1,S_DONE,IF(AND($K158="",$R158=""),S_NOSCOPE,IF($K158="",S_NOTARGET,IF($N158&gt;0,S_LATE,IF($I158&lt;&gt;"",S_WIP,IF(-$N158&lt;=FEN_DOC,S_RISK,IF(-$N158&lt;=HORIZON,S_COMING,S_NOTYET))))))))))</f>
        <v/>
      </c>
      <c r="P158" s="24">
        <f>IF(OR($A158="",$E158=""),"",IF($V158=1,"",IF(ISNA(MATCH($A158,TYP_TYPE,0)),"Type not in the library",IF($B158="","Scope not set",IF(AND($B158="System",$C158=""),"System not set",IF(AND($B158="Equipment",$D158=""),"Equipment not set",IF($F158="","Responsible not set",IF($K158="","No target date",IF(AND($B158="Equipment",$C158&lt;&gt;"",IFERROR(INDEX(EQP_SYS,MATCH($D158,EQP_NOM,0)),"")&lt;&gt;$C158),"Equipment not in that system",IF(AND($U158=1,$M158=""),"Approved with no approval date",""))))))))))</f>
        <v/>
      </c>
      <c r="Q158" s="21" t="n"/>
      <c r="R158" s="23">
        <f>IF(OR($A158="",$B158=""),"",IF($B158="Equipment",IFERROR(INDEX(EQP_START,MATCH($D158,EQP_NOM,0)),""),IF($B158="System",IFERROR(INDEX(SYS_EARLIEST,MATCH($C158,SYS_ID,0)),""),IF($B158="All",CTR_EARLIEST,""))))</f>
        <v/>
      </c>
      <c r="S158" s="23">
        <f>IF(OR($A158="",$E158=""),"",IFERROR(IF(INDEX(TYP_ANCHOR,MATCH($A158,TYP_TYPE,0))="Commissioning Start",IF($R158="","",$R158-INDEX(TYP_LEAD,MATCH($A158,TYP_TYPE,0))),IF(INDEX(MS_PLAN,MATCH(INDEX(TYP_ANCHOR,MATCH($A158,TYP_TYPE,0)),MS_NOM,0))="","",INDEX(MS_PLAN,MATCH(INDEX(TYP_ANCHOR,MATCH($A158,TYP_TYPE,0)),MS_NOM,0))-INDEX(TYP_LEAD,MATCH($A158,TYP_TYPE,0)))),""))</f>
        <v/>
      </c>
      <c r="T158" s="26">
        <f>IF(OR($A158="",$E158=""),0,IF($V158=1,0,1))</f>
        <v/>
      </c>
      <c r="U158" s="26">
        <f>IF($T158=0,0,IF($M158&lt;&gt;"",1,IF(IFERROR(INDEX(WF_CLASS,MATCH($H158,WF_CODE,0)),"")="Done",1,0)))</f>
        <v/>
      </c>
      <c r="V158" s="26">
        <f>IF(OR($A158="",$E158=""),0,IF(IFERROR(INDEX(WF_CLASS,MATCH($H158,WF_CODE,0)),"")="Inactive",1,0))</f>
        <v/>
      </c>
      <c r="W158" s="24">
        <f>IF($A158="","",IFERROR(INDEX(TYP_PHASE,MATCH($A158,TYP_TYPE,0)),"-"))</f>
        <v/>
      </c>
      <c r="X158" s="24">
        <f>IF(AND($T158=1,$U158=0,N($N158)&gt;0),$N158+ROW()/1000000,"")</f>
        <v/>
      </c>
      <c r="Y158" s="24">
        <f>IF(AND($T158=1,$U158=0,OR($I158&lt;&gt;"",N($N158)&gt;0)),N($N158)+ROW()/1000000,"")</f>
        <v/>
      </c>
      <c r="Z158" s="24">
        <f>IF(AND($T158=1,$U158=0,$I158="",N($N158)&lt;=0,-N($N158)&lt;=HORIZON),N($N158)+ROW()/1000000,"")</f>
        <v/>
      </c>
    </row>
    <row r="159">
      <c r="A159" s="21" t="n"/>
      <c r="B159" s="21" t="n"/>
      <c r="C159" s="21" t="n"/>
      <c r="D159" s="21" t="n"/>
      <c r="E159" s="21" t="n"/>
      <c r="F159" s="21" t="n"/>
      <c r="G159" s="21" t="n"/>
      <c r="H159" s="21" t="n"/>
      <c r="I159" s="22" t="n"/>
      <c r="J159" s="22" t="n"/>
      <c r="K159" s="23">
        <f>IF($A159="","",IF($J159&lt;&gt;"",$J159,$S159))</f>
        <v/>
      </c>
      <c r="L159" s="24">
        <f>IF(OR($A159="",$E159=""),"",IF($J159&lt;&gt;"","Manual",IF($S159="","-","Auto")))</f>
        <v/>
      </c>
      <c r="M159" s="22" t="n"/>
      <c r="N159" s="25">
        <f>IF($T159=0,"",IF($U159=1,IF($M159="","",$M159-$K159),IF($K159="","",TODAY()-$K159)))</f>
        <v/>
      </c>
      <c r="O159" s="24">
        <f>IF(OR($A159="",$E159=""),"",IF($V159=1,S_INACT,IF(ISNA(MATCH($A159,TYP_TYPE,0)),S_TYPEKO,IF($U159=1,S_DONE,IF(AND($K159="",$R159=""),S_NOSCOPE,IF($K159="",S_NOTARGET,IF($N159&gt;0,S_LATE,IF($I159&lt;&gt;"",S_WIP,IF(-$N159&lt;=FEN_DOC,S_RISK,IF(-$N159&lt;=HORIZON,S_COMING,S_NOTYET))))))))))</f>
        <v/>
      </c>
      <c r="P159" s="24">
        <f>IF(OR($A159="",$E159=""),"",IF($V159=1,"",IF(ISNA(MATCH($A159,TYP_TYPE,0)),"Type not in the library",IF($B159="","Scope not set",IF(AND($B159="System",$C159=""),"System not set",IF(AND($B159="Equipment",$D159=""),"Equipment not set",IF($F159="","Responsible not set",IF($K159="","No target date",IF(AND($B159="Equipment",$C159&lt;&gt;"",IFERROR(INDEX(EQP_SYS,MATCH($D159,EQP_NOM,0)),"")&lt;&gt;$C159),"Equipment not in that system",IF(AND($U159=1,$M159=""),"Approved with no approval date",""))))))))))</f>
        <v/>
      </c>
      <c r="Q159" s="21" t="n"/>
      <c r="R159" s="23">
        <f>IF(OR($A159="",$B159=""),"",IF($B159="Equipment",IFERROR(INDEX(EQP_START,MATCH($D159,EQP_NOM,0)),""),IF($B159="System",IFERROR(INDEX(SYS_EARLIEST,MATCH($C159,SYS_ID,0)),""),IF($B159="All",CTR_EARLIEST,""))))</f>
        <v/>
      </c>
      <c r="S159" s="23">
        <f>IF(OR($A159="",$E159=""),"",IFERROR(IF(INDEX(TYP_ANCHOR,MATCH($A159,TYP_TYPE,0))="Commissioning Start",IF($R159="","",$R159-INDEX(TYP_LEAD,MATCH($A159,TYP_TYPE,0))),IF(INDEX(MS_PLAN,MATCH(INDEX(TYP_ANCHOR,MATCH($A159,TYP_TYPE,0)),MS_NOM,0))="","",INDEX(MS_PLAN,MATCH(INDEX(TYP_ANCHOR,MATCH($A159,TYP_TYPE,0)),MS_NOM,0))-INDEX(TYP_LEAD,MATCH($A159,TYP_TYPE,0)))),""))</f>
        <v/>
      </c>
      <c r="T159" s="26">
        <f>IF(OR($A159="",$E159=""),0,IF($V159=1,0,1))</f>
        <v/>
      </c>
      <c r="U159" s="26">
        <f>IF($T159=0,0,IF($M159&lt;&gt;"",1,IF(IFERROR(INDEX(WF_CLASS,MATCH($H159,WF_CODE,0)),"")="Done",1,0)))</f>
        <v/>
      </c>
      <c r="V159" s="26">
        <f>IF(OR($A159="",$E159=""),0,IF(IFERROR(INDEX(WF_CLASS,MATCH($H159,WF_CODE,0)),"")="Inactive",1,0))</f>
        <v/>
      </c>
      <c r="W159" s="24">
        <f>IF($A159="","",IFERROR(INDEX(TYP_PHASE,MATCH($A159,TYP_TYPE,0)),"-"))</f>
        <v/>
      </c>
      <c r="X159" s="24">
        <f>IF(AND($T159=1,$U159=0,N($N159)&gt;0),$N159+ROW()/1000000,"")</f>
        <v/>
      </c>
      <c r="Y159" s="24">
        <f>IF(AND($T159=1,$U159=0,OR($I159&lt;&gt;"",N($N159)&gt;0)),N($N159)+ROW()/1000000,"")</f>
        <v/>
      </c>
      <c r="Z159" s="24">
        <f>IF(AND($T159=1,$U159=0,$I159="",N($N159)&lt;=0,-N($N159)&lt;=HORIZON),N($N159)+ROW()/1000000,"")</f>
        <v/>
      </c>
    </row>
    <row r="160">
      <c r="A160" s="21" t="n"/>
      <c r="B160" s="21" t="n"/>
      <c r="C160" s="21" t="n"/>
      <c r="D160" s="21" t="n"/>
      <c r="E160" s="21" t="n"/>
      <c r="F160" s="21" t="n"/>
      <c r="G160" s="21" t="n"/>
      <c r="H160" s="21" t="n"/>
      <c r="I160" s="22" t="n"/>
      <c r="J160" s="22" t="n"/>
      <c r="K160" s="23">
        <f>IF($A160="","",IF($J160&lt;&gt;"",$J160,$S160))</f>
        <v/>
      </c>
      <c r="L160" s="24">
        <f>IF(OR($A160="",$E160=""),"",IF($J160&lt;&gt;"","Manual",IF($S160="","-","Auto")))</f>
        <v/>
      </c>
      <c r="M160" s="22" t="n"/>
      <c r="N160" s="25">
        <f>IF($T160=0,"",IF($U160=1,IF($M160="","",$M160-$K160),IF($K160="","",TODAY()-$K160)))</f>
        <v/>
      </c>
      <c r="O160" s="24">
        <f>IF(OR($A160="",$E160=""),"",IF($V160=1,S_INACT,IF(ISNA(MATCH($A160,TYP_TYPE,0)),S_TYPEKO,IF($U160=1,S_DONE,IF(AND($K160="",$R160=""),S_NOSCOPE,IF($K160="",S_NOTARGET,IF($N160&gt;0,S_LATE,IF($I160&lt;&gt;"",S_WIP,IF(-$N160&lt;=FEN_DOC,S_RISK,IF(-$N160&lt;=HORIZON,S_COMING,S_NOTYET))))))))))</f>
        <v/>
      </c>
      <c r="P160" s="24">
        <f>IF(OR($A160="",$E160=""),"",IF($V160=1,"",IF(ISNA(MATCH($A160,TYP_TYPE,0)),"Type not in the library",IF($B160="","Scope not set",IF(AND($B160="System",$C160=""),"System not set",IF(AND($B160="Equipment",$D160=""),"Equipment not set",IF($F160="","Responsible not set",IF($K160="","No target date",IF(AND($B160="Equipment",$C160&lt;&gt;"",IFERROR(INDEX(EQP_SYS,MATCH($D160,EQP_NOM,0)),"")&lt;&gt;$C160),"Equipment not in that system",IF(AND($U160=1,$M160=""),"Approved with no approval date",""))))))))))</f>
        <v/>
      </c>
      <c r="Q160" s="21" t="n"/>
      <c r="R160" s="23">
        <f>IF(OR($A160="",$B160=""),"",IF($B160="Equipment",IFERROR(INDEX(EQP_START,MATCH($D160,EQP_NOM,0)),""),IF($B160="System",IFERROR(INDEX(SYS_EARLIEST,MATCH($C160,SYS_ID,0)),""),IF($B160="All",CTR_EARLIEST,""))))</f>
        <v/>
      </c>
      <c r="S160" s="23">
        <f>IF(OR($A160="",$E160=""),"",IFERROR(IF(INDEX(TYP_ANCHOR,MATCH($A160,TYP_TYPE,0))="Commissioning Start",IF($R160="","",$R160-INDEX(TYP_LEAD,MATCH($A160,TYP_TYPE,0))),IF(INDEX(MS_PLAN,MATCH(INDEX(TYP_ANCHOR,MATCH($A160,TYP_TYPE,0)),MS_NOM,0))="","",INDEX(MS_PLAN,MATCH(INDEX(TYP_ANCHOR,MATCH($A160,TYP_TYPE,0)),MS_NOM,0))-INDEX(TYP_LEAD,MATCH($A160,TYP_TYPE,0)))),""))</f>
        <v/>
      </c>
      <c r="T160" s="26">
        <f>IF(OR($A160="",$E160=""),0,IF($V160=1,0,1))</f>
        <v/>
      </c>
      <c r="U160" s="26">
        <f>IF($T160=0,0,IF($M160&lt;&gt;"",1,IF(IFERROR(INDEX(WF_CLASS,MATCH($H160,WF_CODE,0)),"")="Done",1,0)))</f>
        <v/>
      </c>
      <c r="V160" s="26">
        <f>IF(OR($A160="",$E160=""),0,IF(IFERROR(INDEX(WF_CLASS,MATCH($H160,WF_CODE,0)),"")="Inactive",1,0))</f>
        <v/>
      </c>
      <c r="W160" s="24">
        <f>IF($A160="","",IFERROR(INDEX(TYP_PHASE,MATCH($A160,TYP_TYPE,0)),"-"))</f>
        <v/>
      </c>
      <c r="X160" s="24">
        <f>IF(AND($T160=1,$U160=0,N($N160)&gt;0),$N160+ROW()/1000000,"")</f>
        <v/>
      </c>
      <c r="Y160" s="24">
        <f>IF(AND($T160=1,$U160=0,OR($I160&lt;&gt;"",N($N160)&gt;0)),N($N160)+ROW()/1000000,"")</f>
        <v/>
      </c>
      <c r="Z160" s="24">
        <f>IF(AND($T160=1,$U160=0,$I160="",N($N160)&lt;=0,-N($N160)&lt;=HORIZON),N($N160)+ROW()/1000000,"")</f>
        <v/>
      </c>
    </row>
    <row r="161">
      <c r="A161" s="21" t="n"/>
      <c r="B161" s="21" t="n"/>
      <c r="C161" s="21" t="n"/>
      <c r="D161" s="21" t="n"/>
      <c r="E161" s="21" t="n"/>
      <c r="F161" s="21" t="n"/>
      <c r="G161" s="21" t="n"/>
      <c r="H161" s="21" t="n"/>
      <c r="I161" s="22" t="n"/>
      <c r="J161" s="22" t="n"/>
      <c r="K161" s="23">
        <f>IF($A161="","",IF($J161&lt;&gt;"",$J161,$S161))</f>
        <v/>
      </c>
      <c r="L161" s="24">
        <f>IF(OR($A161="",$E161=""),"",IF($J161&lt;&gt;"","Manual",IF($S161="","-","Auto")))</f>
        <v/>
      </c>
      <c r="M161" s="22" t="n"/>
      <c r="N161" s="25">
        <f>IF($T161=0,"",IF($U161=1,IF($M161="","",$M161-$K161),IF($K161="","",TODAY()-$K161)))</f>
        <v/>
      </c>
      <c r="O161" s="24">
        <f>IF(OR($A161="",$E161=""),"",IF($V161=1,S_INACT,IF(ISNA(MATCH($A161,TYP_TYPE,0)),S_TYPEKO,IF($U161=1,S_DONE,IF(AND($K161="",$R161=""),S_NOSCOPE,IF($K161="",S_NOTARGET,IF($N161&gt;0,S_LATE,IF($I161&lt;&gt;"",S_WIP,IF(-$N161&lt;=FEN_DOC,S_RISK,IF(-$N161&lt;=HORIZON,S_COMING,S_NOTYET))))))))))</f>
        <v/>
      </c>
      <c r="P161" s="24">
        <f>IF(OR($A161="",$E161=""),"",IF($V161=1,"",IF(ISNA(MATCH($A161,TYP_TYPE,0)),"Type not in the library",IF($B161="","Scope not set",IF(AND($B161="System",$C161=""),"System not set",IF(AND($B161="Equipment",$D161=""),"Equipment not set",IF($F161="","Responsible not set",IF($K161="","No target date",IF(AND($B161="Equipment",$C161&lt;&gt;"",IFERROR(INDEX(EQP_SYS,MATCH($D161,EQP_NOM,0)),"")&lt;&gt;$C161),"Equipment not in that system",IF(AND($U161=1,$M161=""),"Approved with no approval date",""))))))))))</f>
        <v/>
      </c>
      <c r="Q161" s="21" t="n"/>
      <c r="R161" s="23">
        <f>IF(OR($A161="",$B161=""),"",IF($B161="Equipment",IFERROR(INDEX(EQP_START,MATCH($D161,EQP_NOM,0)),""),IF($B161="System",IFERROR(INDEX(SYS_EARLIEST,MATCH($C161,SYS_ID,0)),""),IF($B161="All",CTR_EARLIEST,""))))</f>
        <v/>
      </c>
      <c r="S161" s="23">
        <f>IF(OR($A161="",$E161=""),"",IFERROR(IF(INDEX(TYP_ANCHOR,MATCH($A161,TYP_TYPE,0))="Commissioning Start",IF($R161="","",$R161-INDEX(TYP_LEAD,MATCH($A161,TYP_TYPE,0))),IF(INDEX(MS_PLAN,MATCH(INDEX(TYP_ANCHOR,MATCH($A161,TYP_TYPE,0)),MS_NOM,0))="","",INDEX(MS_PLAN,MATCH(INDEX(TYP_ANCHOR,MATCH($A161,TYP_TYPE,0)),MS_NOM,0))-INDEX(TYP_LEAD,MATCH($A161,TYP_TYPE,0)))),""))</f>
        <v/>
      </c>
      <c r="T161" s="26">
        <f>IF(OR($A161="",$E161=""),0,IF($V161=1,0,1))</f>
        <v/>
      </c>
      <c r="U161" s="26">
        <f>IF($T161=0,0,IF($M161&lt;&gt;"",1,IF(IFERROR(INDEX(WF_CLASS,MATCH($H161,WF_CODE,0)),"")="Done",1,0)))</f>
        <v/>
      </c>
      <c r="V161" s="26">
        <f>IF(OR($A161="",$E161=""),0,IF(IFERROR(INDEX(WF_CLASS,MATCH($H161,WF_CODE,0)),"")="Inactive",1,0))</f>
        <v/>
      </c>
      <c r="W161" s="24">
        <f>IF($A161="","",IFERROR(INDEX(TYP_PHASE,MATCH($A161,TYP_TYPE,0)),"-"))</f>
        <v/>
      </c>
      <c r="X161" s="24">
        <f>IF(AND($T161=1,$U161=0,N($N161)&gt;0),$N161+ROW()/1000000,"")</f>
        <v/>
      </c>
      <c r="Y161" s="24">
        <f>IF(AND($T161=1,$U161=0,OR($I161&lt;&gt;"",N($N161)&gt;0)),N($N161)+ROW()/1000000,"")</f>
        <v/>
      </c>
      <c r="Z161" s="24">
        <f>IF(AND($T161=1,$U161=0,$I161="",N($N161)&lt;=0,-N($N161)&lt;=HORIZON),N($N161)+ROW()/1000000,"")</f>
        <v/>
      </c>
    </row>
    <row r="162">
      <c r="A162" s="21" t="n"/>
      <c r="B162" s="21" t="n"/>
      <c r="C162" s="21" t="n"/>
      <c r="D162" s="21" t="n"/>
      <c r="E162" s="21" t="n"/>
      <c r="F162" s="21" t="n"/>
      <c r="G162" s="21" t="n"/>
      <c r="H162" s="21" t="n"/>
      <c r="I162" s="22" t="n"/>
      <c r="J162" s="22" t="n"/>
      <c r="K162" s="23">
        <f>IF($A162="","",IF($J162&lt;&gt;"",$J162,$S162))</f>
        <v/>
      </c>
      <c r="L162" s="24">
        <f>IF(OR($A162="",$E162=""),"",IF($J162&lt;&gt;"","Manual",IF($S162="","-","Auto")))</f>
        <v/>
      </c>
      <c r="M162" s="22" t="n"/>
      <c r="N162" s="25">
        <f>IF($T162=0,"",IF($U162=1,IF($M162="","",$M162-$K162),IF($K162="","",TODAY()-$K162)))</f>
        <v/>
      </c>
      <c r="O162" s="24">
        <f>IF(OR($A162="",$E162=""),"",IF($V162=1,S_INACT,IF(ISNA(MATCH($A162,TYP_TYPE,0)),S_TYPEKO,IF($U162=1,S_DONE,IF(AND($K162="",$R162=""),S_NOSCOPE,IF($K162="",S_NOTARGET,IF($N162&gt;0,S_LATE,IF($I162&lt;&gt;"",S_WIP,IF(-$N162&lt;=FEN_DOC,S_RISK,IF(-$N162&lt;=HORIZON,S_COMING,S_NOTYET))))))))))</f>
        <v/>
      </c>
      <c r="P162" s="24">
        <f>IF(OR($A162="",$E162=""),"",IF($V162=1,"",IF(ISNA(MATCH($A162,TYP_TYPE,0)),"Type not in the library",IF($B162="","Scope not set",IF(AND($B162="System",$C162=""),"System not set",IF(AND($B162="Equipment",$D162=""),"Equipment not set",IF($F162="","Responsible not set",IF($K162="","No target date",IF(AND($B162="Equipment",$C162&lt;&gt;"",IFERROR(INDEX(EQP_SYS,MATCH($D162,EQP_NOM,0)),"")&lt;&gt;$C162),"Equipment not in that system",IF(AND($U162=1,$M162=""),"Approved with no approval date",""))))))))))</f>
        <v/>
      </c>
      <c r="Q162" s="21" t="n"/>
      <c r="R162" s="23">
        <f>IF(OR($A162="",$B162=""),"",IF($B162="Equipment",IFERROR(INDEX(EQP_START,MATCH($D162,EQP_NOM,0)),""),IF($B162="System",IFERROR(INDEX(SYS_EARLIEST,MATCH($C162,SYS_ID,0)),""),IF($B162="All",CTR_EARLIEST,""))))</f>
        <v/>
      </c>
      <c r="S162" s="23">
        <f>IF(OR($A162="",$E162=""),"",IFERROR(IF(INDEX(TYP_ANCHOR,MATCH($A162,TYP_TYPE,0))="Commissioning Start",IF($R162="","",$R162-INDEX(TYP_LEAD,MATCH($A162,TYP_TYPE,0))),IF(INDEX(MS_PLAN,MATCH(INDEX(TYP_ANCHOR,MATCH($A162,TYP_TYPE,0)),MS_NOM,0))="","",INDEX(MS_PLAN,MATCH(INDEX(TYP_ANCHOR,MATCH($A162,TYP_TYPE,0)),MS_NOM,0))-INDEX(TYP_LEAD,MATCH($A162,TYP_TYPE,0)))),""))</f>
        <v/>
      </c>
      <c r="T162" s="26">
        <f>IF(OR($A162="",$E162=""),0,IF($V162=1,0,1))</f>
        <v/>
      </c>
      <c r="U162" s="26">
        <f>IF($T162=0,0,IF($M162&lt;&gt;"",1,IF(IFERROR(INDEX(WF_CLASS,MATCH($H162,WF_CODE,0)),"")="Done",1,0)))</f>
        <v/>
      </c>
      <c r="V162" s="26">
        <f>IF(OR($A162="",$E162=""),0,IF(IFERROR(INDEX(WF_CLASS,MATCH($H162,WF_CODE,0)),"")="Inactive",1,0))</f>
        <v/>
      </c>
      <c r="W162" s="24">
        <f>IF($A162="","",IFERROR(INDEX(TYP_PHASE,MATCH($A162,TYP_TYPE,0)),"-"))</f>
        <v/>
      </c>
      <c r="X162" s="24">
        <f>IF(AND($T162=1,$U162=0,N($N162)&gt;0),$N162+ROW()/1000000,"")</f>
        <v/>
      </c>
      <c r="Y162" s="24">
        <f>IF(AND($T162=1,$U162=0,OR($I162&lt;&gt;"",N($N162)&gt;0)),N($N162)+ROW()/1000000,"")</f>
        <v/>
      </c>
      <c r="Z162" s="24">
        <f>IF(AND($T162=1,$U162=0,$I162="",N($N162)&lt;=0,-N($N162)&lt;=HORIZON),N($N162)+ROW()/1000000,"")</f>
        <v/>
      </c>
    </row>
    <row r="163">
      <c r="A163" s="21" t="n"/>
      <c r="B163" s="21" t="n"/>
      <c r="C163" s="21" t="n"/>
      <c r="D163" s="21" t="n"/>
      <c r="E163" s="21" t="n"/>
      <c r="F163" s="21" t="n"/>
      <c r="G163" s="21" t="n"/>
      <c r="H163" s="21" t="n"/>
      <c r="I163" s="22" t="n"/>
      <c r="J163" s="22" t="n"/>
      <c r="K163" s="23">
        <f>IF($A163="","",IF($J163&lt;&gt;"",$J163,$S163))</f>
        <v/>
      </c>
      <c r="L163" s="24">
        <f>IF(OR($A163="",$E163=""),"",IF($J163&lt;&gt;"","Manual",IF($S163="","-","Auto")))</f>
        <v/>
      </c>
      <c r="M163" s="22" t="n"/>
      <c r="N163" s="25">
        <f>IF($T163=0,"",IF($U163=1,IF($M163="","",$M163-$K163),IF($K163="","",TODAY()-$K163)))</f>
        <v/>
      </c>
      <c r="O163" s="24">
        <f>IF(OR($A163="",$E163=""),"",IF($V163=1,S_INACT,IF(ISNA(MATCH($A163,TYP_TYPE,0)),S_TYPEKO,IF($U163=1,S_DONE,IF(AND($K163="",$R163=""),S_NOSCOPE,IF($K163="",S_NOTARGET,IF($N163&gt;0,S_LATE,IF($I163&lt;&gt;"",S_WIP,IF(-$N163&lt;=FEN_DOC,S_RISK,IF(-$N163&lt;=HORIZON,S_COMING,S_NOTYET))))))))))</f>
        <v/>
      </c>
      <c r="P163" s="24">
        <f>IF(OR($A163="",$E163=""),"",IF($V163=1,"",IF(ISNA(MATCH($A163,TYP_TYPE,0)),"Type not in the library",IF($B163="","Scope not set",IF(AND($B163="System",$C163=""),"System not set",IF(AND($B163="Equipment",$D163=""),"Equipment not set",IF($F163="","Responsible not set",IF($K163="","No target date",IF(AND($B163="Equipment",$C163&lt;&gt;"",IFERROR(INDEX(EQP_SYS,MATCH($D163,EQP_NOM,0)),"")&lt;&gt;$C163),"Equipment not in that system",IF(AND($U163=1,$M163=""),"Approved with no approval date",""))))))))))</f>
        <v/>
      </c>
      <c r="Q163" s="21" t="n"/>
      <c r="R163" s="23">
        <f>IF(OR($A163="",$B163=""),"",IF($B163="Equipment",IFERROR(INDEX(EQP_START,MATCH($D163,EQP_NOM,0)),""),IF($B163="System",IFERROR(INDEX(SYS_EARLIEST,MATCH($C163,SYS_ID,0)),""),IF($B163="All",CTR_EARLIEST,""))))</f>
        <v/>
      </c>
      <c r="S163" s="23">
        <f>IF(OR($A163="",$E163=""),"",IFERROR(IF(INDEX(TYP_ANCHOR,MATCH($A163,TYP_TYPE,0))="Commissioning Start",IF($R163="","",$R163-INDEX(TYP_LEAD,MATCH($A163,TYP_TYPE,0))),IF(INDEX(MS_PLAN,MATCH(INDEX(TYP_ANCHOR,MATCH($A163,TYP_TYPE,0)),MS_NOM,0))="","",INDEX(MS_PLAN,MATCH(INDEX(TYP_ANCHOR,MATCH($A163,TYP_TYPE,0)),MS_NOM,0))-INDEX(TYP_LEAD,MATCH($A163,TYP_TYPE,0)))),""))</f>
        <v/>
      </c>
      <c r="T163" s="26">
        <f>IF(OR($A163="",$E163=""),0,IF($V163=1,0,1))</f>
        <v/>
      </c>
      <c r="U163" s="26">
        <f>IF($T163=0,0,IF($M163&lt;&gt;"",1,IF(IFERROR(INDEX(WF_CLASS,MATCH($H163,WF_CODE,0)),"")="Done",1,0)))</f>
        <v/>
      </c>
      <c r="V163" s="26">
        <f>IF(OR($A163="",$E163=""),0,IF(IFERROR(INDEX(WF_CLASS,MATCH($H163,WF_CODE,0)),"")="Inactive",1,0))</f>
        <v/>
      </c>
      <c r="W163" s="24">
        <f>IF($A163="","",IFERROR(INDEX(TYP_PHASE,MATCH($A163,TYP_TYPE,0)),"-"))</f>
        <v/>
      </c>
      <c r="X163" s="24">
        <f>IF(AND($T163=1,$U163=0,N($N163)&gt;0),$N163+ROW()/1000000,"")</f>
        <v/>
      </c>
      <c r="Y163" s="24">
        <f>IF(AND($T163=1,$U163=0,OR($I163&lt;&gt;"",N($N163)&gt;0)),N($N163)+ROW()/1000000,"")</f>
        <v/>
      </c>
      <c r="Z163" s="24">
        <f>IF(AND($T163=1,$U163=0,$I163="",N($N163)&lt;=0,-N($N163)&lt;=HORIZON),N($N163)+ROW()/1000000,"")</f>
        <v/>
      </c>
    </row>
    <row r="164">
      <c r="A164" s="21" t="n"/>
      <c r="B164" s="21" t="n"/>
      <c r="C164" s="21" t="n"/>
      <c r="D164" s="21" t="n"/>
      <c r="E164" s="21" t="n"/>
      <c r="F164" s="21" t="n"/>
      <c r="G164" s="21" t="n"/>
      <c r="H164" s="21" t="n"/>
      <c r="I164" s="22" t="n"/>
      <c r="J164" s="22" t="n"/>
      <c r="K164" s="23">
        <f>IF($A164="","",IF($J164&lt;&gt;"",$J164,$S164))</f>
        <v/>
      </c>
      <c r="L164" s="24">
        <f>IF(OR($A164="",$E164=""),"",IF($J164&lt;&gt;"","Manual",IF($S164="","-","Auto")))</f>
        <v/>
      </c>
      <c r="M164" s="22" t="n"/>
      <c r="N164" s="25">
        <f>IF($T164=0,"",IF($U164=1,IF($M164="","",$M164-$K164),IF($K164="","",TODAY()-$K164)))</f>
        <v/>
      </c>
      <c r="O164" s="24">
        <f>IF(OR($A164="",$E164=""),"",IF($V164=1,S_INACT,IF(ISNA(MATCH($A164,TYP_TYPE,0)),S_TYPEKO,IF($U164=1,S_DONE,IF(AND($K164="",$R164=""),S_NOSCOPE,IF($K164="",S_NOTARGET,IF($N164&gt;0,S_LATE,IF($I164&lt;&gt;"",S_WIP,IF(-$N164&lt;=FEN_DOC,S_RISK,IF(-$N164&lt;=HORIZON,S_COMING,S_NOTYET))))))))))</f>
        <v/>
      </c>
      <c r="P164" s="24">
        <f>IF(OR($A164="",$E164=""),"",IF($V164=1,"",IF(ISNA(MATCH($A164,TYP_TYPE,0)),"Type not in the library",IF($B164="","Scope not set",IF(AND($B164="System",$C164=""),"System not set",IF(AND($B164="Equipment",$D164=""),"Equipment not set",IF($F164="","Responsible not set",IF($K164="","No target date",IF(AND($B164="Equipment",$C164&lt;&gt;"",IFERROR(INDEX(EQP_SYS,MATCH($D164,EQP_NOM,0)),"")&lt;&gt;$C164),"Equipment not in that system",IF(AND($U164=1,$M164=""),"Approved with no approval date",""))))))))))</f>
        <v/>
      </c>
      <c r="Q164" s="21" t="n"/>
      <c r="R164" s="23">
        <f>IF(OR($A164="",$B164=""),"",IF($B164="Equipment",IFERROR(INDEX(EQP_START,MATCH($D164,EQP_NOM,0)),""),IF($B164="System",IFERROR(INDEX(SYS_EARLIEST,MATCH($C164,SYS_ID,0)),""),IF($B164="All",CTR_EARLIEST,""))))</f>
        <v/>
      </c>
      <c r="S164" s="23">
        <f>IF(OR($A164="",$E164=""),"",IFERROR(IF(INDEX(TYP_ANCHOR,MATCH($A164,TYP_TYPE,0))="Commissioning Start",IF($R164="","",$R164-INDEX(TYP_LEAD,MATCH($A164,TYP_TYPE,0))),IF(INDEX(MS_PLAN,MATCH(INDEX(TYP_ANCHOR,MATCH($A164,TYP_TYPE,0)),MS_NOM,0))="","",INDEX(MS_PLAN,MATCH(INDEX(TYP_ANCHOR,MATCH($A164,TYP_TYPE,0)),MS_NOM,0))-INDEX(TYP_LEAD,MATCH($A164,TYP_TYPE,0)))),""))</f>
        <v/>
      </c>
      <c r="T164" s="26">
        <f>IF(OR($A164="",$E164=""),0,IF($V164=1,0,1))</f>
        <v/>
      </c>
      <c r="U164" s="26">
        <f>IF($T164=0,0,IF($M164&lt;&gt;"",1,IF(IFERROR(INDEX(WF_CLASS,MATCH($H164,WF_CODE,0)),"")="Done",1,0)))</f>
        <v/>
      </c>
      <c r="V164" s="26">
        <f>IF(OR($A164="",$E164=""),0,IF(IFERROR(INDEX(WF_CLASS,MATCH($H164,WF_CODE,0)),"")="Inactive",1,0))</f>
        <v/>
      </c>
      <c r="W164" s="24">
        <f>IF($A164="","",IFERROR(INDEX(TYP_PHASE,MATCH($A164,TYP_TYPE,0)),"-"))</f>
        <v/>
      </c>
      <c r="X164" s="24">
        <f>IF(AND($T164=1,$U164=0,N($N164)&gt;0),$N164+ROW()/1000000,"")</f>
        <v/>
      </c>
      <c r="Y164" s="24">
        <f>IF(AND($T164=1,$U164=0,OR($I164&lt;&gt;"",N($N164)&gt;0)),N($N164)+ROW()/1000000,"")</f>
        <v/>
      </c>
      <c r="Z164" s="24">
        <f>IF(AND($T164=1,$U164=0,$I164="",N($N164)&lt;=0,-N($N164)&lt;=HORIZON),N($N164)+ROW()/1000000,"")</f>
        <v/>
      </c>
    </row>
    <row r="165">
      <c r="A165" s="21" t="n"/>
      <c r="B165" s="21" t="n"/>
      <c r="C165" s="21" t="n"/>
      <c r="D165" s="21" t="n"/>
      <c r="E165" s="21" t="n"/>
      <c r="F165" s="21" t="n"/>
      <c r="G165" s="21" t="n"/>
      <c r="H165" s="21" t="n"/>
      <c r="I165" s="22" t="n"/>
      <c r="J165" s="22" t="n"/>
      <c r="K165" s="23">
        <f>IF($A165="","",IF($J165&lt;&gt;"",$J165,$S165))</f>
        <v/>
      </c>
      <c r="L165" s="24">
        <f>IF(OR($A165="",$E165=""),"",IF($J165&lt;&gt;"","Manual",IF($S165="","-","Auto")))</f>
        <v/>
      </c>
      <c r="M165" s="22" t="n"/>
      <c r="N165" s="25">
        <f>IF($T165=0,"",IF($U165=1,IF($M165="","",$M165-$K165),IF($K165="","",TODAY()-$K165)))</f>
        <v/>
      </c>
      <c r="O165" s="24">
        <f>IF(OR($A165="",$E165=""),"",IF($V165=1,S_INACT,IF(ISNA(MATCH($A165,TYP_TYPE,0)),S_TYPEKO,IF($U165=1,S_DONE,IF(AND($K165="",$R165=""),S_NOSCOPE,IF($K165="",S_NOTARGET,IF($N165&gt;0,S_LATE,IF($I165&lt;&gt;"",S_WIP,IF(-$N165&lt;=FEN_DOC,S_RISK,IF(-$N165&lt;=HORIZON,S_COMING,S_NOTYET))))))))))</f>
        <v/>
      </c>
      <c r="P165" s="24">
        <f>IF(OR($A165="",$E165=""),"",IF($V165=1,"",IF(ISNA(MATCH($A165,TYP_TYPE,0)),"Type not in the library",IF($B165="","Scope not set",IF(AND($B165="System",$C165=""),"System not set",IF(AND($B165="Equipment",$D165=""),"Equipment not set",IF($F165="","Responsible not set",IF($K165="","No target date",IF(AND($B165="Equipment",$C165&lt;&gt;"",IFERROR(INDEX(EQP_SYS,MATCH($D165,EQP_NOM,0)),"")&lt;&gt;$C165),"Equipment not in that system",IF(AND($U165=1,$M165=""),"Approved with no approval date",""))))))))))</f>
        <v/>
      </c>
      <c r="Q165" s="21" t="n"/>
      <c r="R165" s="23">
        <f>IF(OR($A165="",$B165=""),"",IF($B165="Equipment",IFERROR(INDEX(EQP_START,MATCH($D165,EQP_NOM,0)),""),IF($B165="System",IFERROR(INDEX(SYS_EARLIEST,MATCH($C165,SYS_ID,0)),""),IF($B165="All",CTR_EARLIEST,""))))</f>
        <v/>
      </c>
      <c r="S165" s="23">
        <f>IF(OR($A165="",$E165=""),"",IFERROR(IF(INDEX(TYP_ANCHOR,MATCH($A165,TYP_TYPE,0))="Commissioning Start",IF($R165="","",$R165-INDEX(TYP_LEAD,MATCH($A165,TYP_TYPE,0))),IF(INDEX(MS_PLAN,MATCH(INDEX(TYP_ANCHOR,MATCH($A165,TYP_TYPE,0)),MS_NOM,0))="","",INDEX(MS_PLAN,MATCH(INDEX(TYP_ANCHOR,MATCH($A165,TYP_TYPE,0)),MS_NOM,0))-INDEX(TYP_LEAD,MATCH($A165,TYP_TYPE,0)))),""))</f>
        <v/>
      </c>
      <c r="T165" s="26">
        <f>IF(OR($A165="",$E165=""),0,IF($V165=1,0,1))</f>
        <v/>
      </c>
      <c r="U165" s="26">
        <f>IF($T165=0,0,IF($M165&lt;&gt;"",1,IF(IFERROR(INDEX(WF_CLASS,MATCH($H165,WF_CODE,0)),"")="Done",1,0)))</f>
        <v/>
      </c>
      <c r="V165" s="26">
        <f>IF(OR($A165="",$E165=""),0,IF(IFERROR(INDEX(WF_CLASS,MATCH($H165,WF_CODE,0)),"")="Inactive",1,0))</f>
        <v/>
      </c>
      <c r="W165" s="24">
        <f>IF($A165="","",IFERROR(INDEX(TYP_PHASE,MATCH($A165,TYP_TYPE,0)),"-"))</f>
        <v/>
      </c>
      <c r="X165" s="24">
        <f>IF(AND($T165=1,$U165=0,N($N165)&gt;0),$N165+ROW()/1000000,"")</f>
        <v/>
      </c>
      <c r="Y165" s="24">
        <f>IF(AND($T165=1,$U165=0,OR($I165&lt;&gt;"",N($N165)&gt;0)),N($N165)+ROW()/1000000,"")</f>
        <v/>
      </c>
      <c r="Z165" s="24">
        <f>IF(AND($T165=1,$U165=0,$I165="",N($N165)&lt;=0,-N($N165)&lt;=HORIZON),N($N165)+ROW()/1000000,"")</f>
        <v/>
      </c>
    </row>
    <row r="166">
      <c r="A166" s="21" t="n"/>
      <c r="B166" s="21" t="n"/>
      <c r="C166" s="21" t="n"/>
      <c r="D166" s="21" t="n"/>
      <c r="E166" s="21" t="n"/>
      <c r="F166" s="21" t="n"/>
      <c r="G166" s="21" t="n"/>
      <c r="H166" s="21" t="n"/>
      <c r="I166" s="22" t="n"/>
      <c r="J166" s="22" t="n"/>
      <c r="K166" s="23">
        <f>IF($A166="","",IF($J166&lt;&gt;"",$J166,$S166))</f>
        <v/>
      </c>
      <c r="L166" s="24">
        <f>IF(OR($A166="",$E166=""),"",IF($J166&lt;&gt;"","Manual",IF($S166="","-","Auto")))</f>
        <v/>
      </c>
      <c r="M166" s="22" t="n"/>
      <c r="N166" s="25">
        <f>IF($T166=0,"",IF($U166=1,IF($M166="","",$M166-$K166),IF($K166="","",TODAY()-$K166)))</f>
        <v/>
      </c>
      <c r="O166" s="24">
        <f>IF(OR($A166="",$E166=""),"",IF($V166=1,S_INACT,IF(ISNA(MATCH($A166,TYP_TYPE,0)),S_TYPEKO,IF($U166=1,S_DONE,IF(AND($K166="",$R166=""),S_NOSCOPE,IF($K166="",S_NOTARGET,IF($N166&gt;0,S_LATE,IF($I166&lt;&gt;"",S_WIP,IF(-$N166&lt;=FEN_DOC,S_RISK,IF(-$N166&lt;=HORIZON,S_COMING,S_NOTYET))))))))))</f>
        <v/>
      </c>
      <c r="P166" s="24">
        <f>IF(OR($A166="",$E166=""),"",IF($V166=1,"",IF(ISNA(MATCH($A166,TYP_TYPE,0)),"Type not in the library",IF($B166="","Scope not set",IF(AND($B166="System",$C166=""),"System not set",IF(AND($B166="Equipment",$D166=""),"Equipment not set",IF($F166="","Responsible not set",IF($K166="","No target date",IF(AND($B166="Equipment",$C166&lt;&gt;"",IFERROR(INDEX(EQP_SYS,MATCH($D166,EQP_NOM,0)),"")&lt;&gt;$C166),"Equipment not in that system",IF(AND($U166=1,$M166=""),"Approved with no approval date",""))))))))))</f>
        <v/>
      </c>
      <c r="Q166" s="21" t="n"/>
      <c r="R166" s="23">
        <f>IF(OR($A166="",$B166=""),"",IF($B166="Equipment",IFERROR(INDEX(EQP_START,MATCH($D166,EQP_NOM,0)),""),IF($B166="System",IFERROR(INDEX(SYS_EARLIEST,MATCH($C166,SYS_ID,0)),""),IF($B166="All",CTR_EARLIEST,""))))</f>
        <v/>
      </c>
      <c r="S166" s="23">
        <f>IF(OR($A166="",$E166=""),"",IFERROR(IF(INDEX(TYP_ANCHOR,MATCH($A166,TYP_TYPE,0))="Commissioning Start",IF($R166="","",$R166-INDEX(TYP_LEAD,MATCH($A166,TYP_TYPE,0))),IF(INDEX(MS_PLAN,MATCH(INDEX(TYP_ANCHOR,MATCH($A166,TYP_TYPE,0)),MS_NOM,0))="","",INDEX(MS_PLAN,MATCH(INDEX(TYP_ANCHOR,MATCH($A166,TYP_TYPE,0)),MS_NOM,0))-INDEX(TYP_LEAD,MATCH($A166,TYP_TYPE,0)))),""))</f>
        <v/>
      </c>
      <c r="T166" s="26">
        <f>IF(OR($A166="",$E166=""),0,IF($V166=1,0,1))</f>
        <v/>
      </c>
      <c r="U166" s="26">
        <f>IF($T166=0,0,IF($M166&lt;&gt;"",1,IF(IFERROR(INDEX(WF_CLASS,MATCH($H166,WF_CODE,0)),"")="Done",1,0)))</f>
        <v/>
      </c>
      <c r="V166" s="26">
        <f>IF(OR($A166="",$E166=""),0,IF(IFERROR(INDEX(WF_CLASS,MATCH($H166,WF_CODE,0)),"")="Inactive",1,0))</f>
        <v/>
      </c>
      <c r="W166" s="24">
        <f>IF($A166="","",IFERROR(INDEX(TYP_PHASE,MATCH($A166,TYP_TYPE,0)),"-"))</f>
        <v/>
      </c>
      <c r="X166" s="24">
        <f>IF(AND($T166=1,$U166=0,N($N166)&gt;0),$N166+ROW()/1000000,"")</f>
        <v/>
      </c>
      <c r="Y166" s="24">
        <f>IF(AND($T166=1,$U166=0,OR($I166&lt;&gt;"",N($N166)&gt;0)),N($N166)+ROW()/1000000,"")</f>
        <v/>
      </c>
      <c r="Z166" s="24">
        <f>IF(AND($T166=1,$U166=0,$I166="",N($N166)&lt;=0,-N($N166)&lt;=HORIZON),N($N166)+ROW()/1000000,"")</f>
        <v/>
      </c>
    </row>
    <row r="167">
      <c r="A167" s="21" t="n"/>
      <c r="B167" s="21" t="n"/>
      <c r="C167" s="21" t="n"/>
      <c r="D167" s="21" t="n"/>
      <c r="E167" s="21" t="n"/>
      <c r="F167" s="21" t="n"/>
      <c r="G167" s="21" t="n"/>
      <c r="H167" s="21" t="n"/>
      <c r="I167" s="22" t="n"/>
      <c r="J167" s="22" t="n"/>
      <c r="K167" s="23">
        <f>IF($A167="","",IF($J167&lt;&gt;"",$J167,$S167))</f>
        <v/>
      </c>
      <c r="L167" s="24">
        <f>IF(OR($A167="",$E167=""),"",IF($J167&lt;&gt;"","Manual",IF($S167="","-","Auto")))</f>
        <v/>
      </c>
      <c r="M167" s="22" t="n"/>
      <c r="N167" s="25">
        <f>IF($T167=0,"",IF($U167=1,IF($M167="","",$M167-$K167),IF($K167="","",TODAY()-$K167)))</f>
        <v/>
      </c>
      <c r="O167" s="24">
        <f>IF(OR($A167="",$E167=""),"",IF($V167=1,S_INACT,IF(ISNA(MATCH($A167,TYP_TYPE,0)),S_TYPEKO,IF($U167=1,S_DONE,IF(AND($K167="",$R167=""),S_NOSCOPE,IF($K167="",S_NOTARGET,IF($N167&gt;0,S_LATE,IF($I167&lt;&gt;"",S_WIP,IF(-$N167&lt;=FEN_DOC,S_RISK,IF(-$N167&lt;=HORIZON,S_COMING,S_NOTYET))))))))))</f>
        <v/>
      </c>
      <c r="P167" s="24">
        <f>IF(OR($A167="",$E167=""),"",IF($V167=1,"",IF(ISNA(MATCH($A167,TYP_TYPE,0)),"Type not in the library",IF($B167="","Scope not set",IF(AND($B167="System",$C167=""),"System not set",IF(AND($B167="Equipment",$D167=""),"Equipment not set",IF($F167="","Responsible not set",IF($K167="","No target date",IF(AND($B167="Equipment",$C167&lt;&gt;"",IFERROR(INDEX(EQP_SYS,MATCH($D167,EQP_NOM,0)),"")&lt;&gt;$C167),"Equipment not in that system",IF(AND($U167=1,$M167=""),"Approved with no approval date",""))))))))))</f>
        <v/>
      </c>
      <c r="Q167" s="21" t="n"/>
      <c r="R167" s="23">
        <f>IF(OR($A167="",$B167=""),"",IF($B167="Equipment",IFERROR(INDEX(EQP_START,MATCH($D167,EQP_NOM,0)),""),IF($B167="System",IFERROR(INDEX(SYS_EARLIEST,MATCH($C167,SYS_ID,0)),""),IF($B167="All",CTR_EARLIEST,""))))</f>
        <v/>
      </c>
      <c r="S167" s="23">
        <f>IF(OR($A167="",$E167=""),"",IFERROR(IF(INDEX(TYP_ANCHOR,MATCH($A167,TYP_TYPE,0))="Commissioning Start",IF($R167="","",$R167-INDEX(TYP_LEAD,MATCH($A167,TYP_TYPE,0))),IF(INDEX(MS_PLAN,MATCH(INDEX(TYP_ANCHOR,MATCH($A167,TYP_TYPE,0)),MS_NOM,0))="","",INDEX(MS_PLAN,MATCH(INDEX(TYP_ANCHOR,MATCH($A167,TYP_TYPE,0)),MS_NOM,0))-INDEX(TYP_LEAD,MATCH($A167,TYP_TYPE,0)))),""))</f>
        <v/>
      </c>
      <c r="T167" s="26">
        <f>IF(OR($A167="",$E167=""),0,IF($V167=1,0,1))</f>
        <v/>
      </c>
      <c r="U167" s="26">
        <f>IF($T167=0,0,IF($M167&lt;&gt;"",1,IF(IFERROR(INDEX(WF_CLASS,MATCH($H167,WF_CODE,0)),"")="Done",1,0)))</f>
        <v/>
      </c>
      <c r="V167" s="26">
        <f>IF(OR($A167="",$E167=""),0,IF(IFERROR(INDEX(WF_CLASS,MATCH($H167,WF_CODE,0)),"")="Inactive",1,0))</f>
        <v/>
      </c>
      <c r="W167" s="24">
        <f>IF($A167="","",IFERROR(INDEX(TYP_PHASE,MATCH($A167,TYP_TYPE,0)),"-"))</f>
        <v/>
      </c>
      <c r="X167" s="24">
        <f>IF(AND($T167=1,$U167=0,N($N167)&gt;0),$N167+ROW()/1000000,"")</f>
        <v/>
      </c>
      <c r="Y167" s="24">
        <f>IF(AND($T167=1,$U167=0,OR($I167&lt;&gt;"",N($N167)&gt;0)),N($N167)+ROW()/1000000,"")</f>
        <v/>
      </c>
      <c r="Z167" s="24">
        <f>IF(AND($T167=1,$U167=0,$I167="",N($N167)&lt;=0,-N($N167)&lt;=HORIZON),N($N167)+ROW()/1000000,"")</f>
        <v/>
      </c>
    </row>
    <row r="168">
      <c r="A168" s="21" t="n"/>
      <c r="B168" s="21" t="n"/>
      <c r="C168" s="21" t="n"/>
      <c r="D168" s="21" t="n"/>
      <c r="E168" s="21" t="n"/>
      <c r="F168" s="21" t="n"/>
      <c r="G168" s="21" t="n"/>
      <c r="H168" s="21" t="n"/>
      <c r="I168" s="22" t="n"/>
      <c r="J168" s="22" t="n"/>
      <c r="K168" s="23">
        <f>IF($A168="","",IF($J168&lt;&gt;"",$J168,$S168))</f>
        <v/>
      </c>
      <c r="L168" s="24">
        <f>IF(OR($A168="",$E168=""),"",IF($J168&lt;&gt;"","Manual",IF($S168="","-","Auto")))</f>
        <v/>
      </c>
      <c r="M168" s="22" t="n"/>
      <c r="N168" s="25">
        <f>IF($T168=0,"",IF($U168=1,IF($M168="","",$M168-$K168),IF($K168="","",TODAY()-$K168)))</f>
        <v/>
      </c>
      <c r="O168" s="24">
        <f>IF(OR($A168="",$E168=""),"",IF($V168=1,S_INACT,IF(ISNA(MATCH($A168,TYP_TYPE,0)),S_TYPEKO,IF($U168=1,S_DONE,IF(AND($K168="",$R168=""),S_NOSCOPE,IF($K168="",S_NOTARGET,IF($N168&gt;0,S_LATE,IF($I168&lt;&gt;"",S_WIP,IF(-$N168&lt;=FEN_DOC,S_RISK,IF(-$N168&lt;=HORIZON,S_COMING,S_NOTYET))))))))))</f>
        <v/>
      </c>
      <c r="P168" s="24">
        <f>IF(OR($A168="",$E168=""),"",IF($V168=1,"",IF(ISNA(MATCH($A168,TYP_TYPE,0)),"Type not in the library",IF($B168="","Scope not set",IF(AND($B168="System",$C168=""),"System not set",IF(AND($B168="Equipment",$D168=""),"Equipment not set",IF($F168="","Responsible not set",IF($K168="","No target date",IF(AND($B168="Equipment",$C168&lt;&gt;"",IFERROR(INDEX(EQP_SYS,MATCH($D168,EQP_NOM,0)),"")&lt;&gt;$C168),"Equipment not in that system",IF(AND($U168=1,$M168=""),"Approved with no approval date",""))))))))))</f>
        <v/>
      </c>
      <c r="Q168" s="21" t="n"/>
      <c r="R168" s="23">
        <f>IF(OR($A168="",$B168=""),"",IF($B168="Equipment",IFERROR(INDEX(EQP_START,MATCH($D168,EQP_NOM,0)),""),IF($B168="System",IFERROR(INDEX(SYS_EARLIEST,MATCH($C168,SYS_ID,0)),""),IF($B168="All",CTR_EARLIEST,""))))</f>
        <v/>
      </c>
      <c r="S168" s="23">
        <f>IF(OR($A168="",$E168=""),"",IFERROR(IF(INDEX(TYP_ANCHOR,MATCH($A168,TYP_TYPE,0))="Commissioning Start",IF($R168="","",$R168-INDEX(TYP_LEAD,MATCH($A168,TYP_TYPE,0))),IF(INDEX(MS_PLAN,MATCH(INDEX(TYP_ANCHOR,MATCH($A168,TYP_TYPE,0)),MS_NOM,0))="","",INDEX(MS_PLAN,MATCH(INDEX(TYP_ANCHOR,MATCH($A168,TYP_TYPE,0)),MS_NOM,0))-INDEX(TYP_LEAD,MATCH($A168,TYP_TYPE,0)))),""))</f>
        <v/>
      </c>
      <c r="T168" s="26">
        <f>IF(OR($A168="",$E168=""),0,IF($V168=1,0,1))</f>
        <v/>
      </c>
      <c r="U168" s="26">
        <f>IF($T168=0,0,IF($M168&lt;&gt;"",1,IF(IFERROR(INDEX(WF_CLASS,MATCH($H168,WF_CODE,0)),"")="Done",1,0)))</f>
        <v/>
      </c>
      <c r="V168" s="26">
        <f>IF(OR($A168="",$E168=""),0,IF(IFERROR(INDEX(WF_CLASS,MATCH($H168,WF_CODE,0)),"")="Inactive",1,0))</f>
        <v/>
      </c>
      <c r="W168" s="24">
        <f>IF($A168="","",IFERROR(INDEX(TYP_PHASE,MATCH($A168,TYP_TYPE,0)),"-"))</f>
        <v/>
      </c>
      <c r="X168" s="24">
        <f>IF(AND($T168=1,$U168=0,N($N168)&gt;0),$N168+ROW()/1000000,"")</f>
        <v/>
      </c>
      <c r="Y168" s="24">
        <f>IF(AND($T168=1,$U168=0,OR($I168&lt;&gt;"",N($N168)&gt;0)),N($N168)+ROW()/1000000,"")</f>
        <v/>
      </c>
      <c r="Z168" s="24">
        <f>IF(AND($T168=1,$U168=0,$I168="",N($N168)&lt;=0,-N($N168)&lt;=HORIZON),N($N168)+ROW()/1000000,"")</f>
        <v/>
      </c>
    </row>
    <row r="169">
      <c r="A169" s="21" t="n"/>
      <c r="B169" s="21" t="n"/>
      <c r="C169" s="21" t="n"/>
      <c r="D169" s="21" t="n"/>
      <c r="E169" s="21" t="n"/>
      <c r="F169" s="21" t="n"/>
      <c r="G169" s="21" t="n"/>
      <c r="H169" s="21" t="n"/>
      <c r="I169" s="22" t="n"/>
      <c r="J169" s="22" t="n"/>
      <c r="K169" s="23">
        <f>IF($A169="","",IF($J169&lt;&gt;"",$J169,$S169))</f>
        <v/>
      </c>
      <c r="L169" s="24">
        <f>IF(OR($A169="",$E169=""),"",IF($J169&lt;&gt;"","Manual",IF($S169="","-","Auto")))</f>
        <v/>
      </c>
      <c r="M169" s="22" t="n"/>
      <c r="N169" s="25">
        <f>IF($T169=0,"",IF($U169=1,IF($M169="","",$M169-$K169),IF($K169="","",TODAY()-$K169)))</f>
        <v/>
      </c>
      <c r="O169" s="24">
        <f>IF(OR($A169="",$E169=""),"",IF($V169=1,S_INACT,IF(ISNA(MATCH($A169,TYP_TYPE,0)),S_TYPEKO,IF($U169=1,S_DONE,IF(AND($K169="",$R169=""),S_NOSCOPE,IF($K169="",S_NOTARGET,IF($N169&gt;0,S_LATE,IF($I169&lt;&gt;"",S_WIP,IF(-$N169&lt;=FEN_DOC,S_RISK,IF(-$N169&lt;=HORIZON,S_COMING,S_NOTYET))))))))))</f>
        <v/>
      </c>
      <c r="P169" s="24">
        <f>IF(OR($A169="",$E169=""),"",IF($V169=1,"",IF(ISNA(MATCH($A169,TYP_TYPE,0)),"Type not in the library",IF($B169="","Scope not set",IF(AND($B169="System",$C169=""),"System not set",IF(AND($B169="Equipment",$D169=""),"Equipment not set",IF($F169="","Responsible not set",IF($K169="","No target date",IF(AND($B169="Equipment",$C169&lt;&gt;"",IFERROR(INDEX(EQP_SYS,MATCH($D169,EQP_NOM,0)),"")&lt;&gt;$C169),"Equipment not in that system",IF(AND($U169=1,$M169=""),"Approved with no approval date",""))))))))))</f>
        <v/>
      </c>
      <c r="Q169" s="21" t="n"/>
      <c r="R169" s="23">
        <f>IF(OR($A169="",$B169=""),"",IF($B169="Equipment",IFERROR(INDEX(EQP_START,MATCH($D169,EQP_NOM,0)),""),IF($B169="System",IFERROR(INDEX(SYS_EARLIEST,MATCH($C169,SYS_ID,0)),""),IF($B169="All",CTR_EARLIEST,""))))</f>
        <v/>
      </c>
      <c r="S169" s="23">
        <f>IF(OR($A169="",$E169=""),"",IFERROR(IF(INDEX(TYP_ANCHOR,MATCH($A169,TYP_TYPE,0))="Commissioning Start",IF($R169="","",$R169-INDEX(TYP_LEAD,MATCH($A169,TYP_TYPE,0))),IF(INDEX(MS_PLAN,MATCH(INDEX(TYP_ANCHOR,MATCH($A169,TYP_TYPE,0)),MS_NOM,0))="","",INDEX(MS_PLAN,MATCH(INDEX(TYP_ANCHOR,MATCH($A169,TYP_TYPE,0)),MS_NOM,0))-INDEX(TYP_LEAD,MATCH($A169,TYP_TYPE,0)))),""))</f>
        <v/>
      </c>
      <c r="T169" s="26">
        <f>IF(OR($A169="",$E169=""),0,IF($V169=1,0,1))</f>
        <v/>
      </c>
      <c r="U169" s="26">
        <f>IF($T169=0,0,IF($M169&lt;&gt;"",1,IF(IFERROR(INDEX(WF_CLASS,MATCH($H169,WF_CODE,0)),"")="Done",1,0)))</f>
        <v/>
      </c>
      <c r="V169" s="26">
        <f>IF(OR($A169="",$E169=""),0,IF(IFERROR(INDEX(WF_CLASS,MATCH($H169,WF_CODE,0)),"")="Inactive",1,0))</f>
        <v/>
      </c>
      <c r="W169" s="24">
        <f>IF($A169="","",IFERROR(INDEX(TYP_PHASE,MATCH($A169,TYP_TYPE,0)),"-"))</f>
        <v/>
      </c>
      <c r="X169" s="24">
        <f>IF(AND($T169=1,$U169=0,N($N169)&gt;0),$N169+ROW()/1000000,"")</f>
        <v/>
      </c>
      <c r="Y169" s="24">
        <f>IF(AND($T169=1,$U169=0,OR($I169&lt;&gt;"",N($N169)&gt;0)),N($N169)+ROW()/1000000,"")</f>
        <v/>
      </c>
      <c r="Z169" s="24">
        <f>IF(AND($T169=1,$U169=0,$I169="",N($N169)&lt;=0,-N($N169)&lt;=HORIZON),N($N169)+ROW()/1000000,"")</f>
        <v/>
      </c>
    </row>
    <row r="170">
      <c r="A170" s="21" t="n"/>
      <c r="B170" s="21" t="n"/>
      <c r="C170" s="21" t="n"/>
      <c r="D170" s="21" t="n"/>
      <c r="E170" s="21" t="n"/>
      <c r="F170" s="21" t="n"/>
      <c r="G170" s="21" t="n"/>
      <c r="H170" s="21" t="n"/>
      <c r="I170" s="22" t="n"/>
      <c r="J170" s="22" t="n"/>
      <c r="K170" s="23">
        <f>IF($A170="","",IF($J170&lt;&gt;"",$J170,$S170))</f>
        <v/>
      </c>
      <c r="L170" s="24">
        <f>IF(OR($A170="",$E170=""),"",IF($J170&lt;&gt;"","Manual",IF($S170="","-","Auto")))</f>
        <v/>
      </c>
      <c r="M170" s="22" t="n"/>
      <c r="N170" s="25">
        <f>IF($T170=0,"",IF($U170=1,IF($M170="","",$M170-$K170),IF($K170="","",TODAY()-$K170)))</f>
        <v/>
      </c>
      <c r="O170" s="24">
        <f>IF(OR($A170="",$E170=""),"",IF($V170=1,S_INACT,IF(ISNA(MATCH($A170,TYP_TYPE,0)),S_TYPEKO,IF($U170=1,S_DONE,IF(AND($K170="",$R170=""),S_NOSCOPE,IF($K170="",S_NOTARGET,IF($N170&gt;0,S_LATE,IF($I170&lt;&gt;"",S_WIP,IF(-$N170&lt;=FEN_DOC,S_RISK,IF(-$N170&lt;=HORIZON,S_COMING,S_NOTYET))))))))))</f>
        <v/>
      </c>
      <c r="P170" s="24">
        <f>IF(OR($A170="",$E170=""),"",IF($V170=1,"",IF(ISNA(MATCH($A170,TYP_TYPE,0)),"Type not in the library",IF($B170="","Scope not set",IF(AND($B170="System",$C170=""),"System not set",IF(AND($B170="Equipment",$D170=""),"Equipment not set",IF($F170="","Responsible not set",IF($K170="","No target date",IF(AND($B170="Equipment",$C170&lt;&gt;"",IFERROR(INDEX(EQP_SYS,MATCH($D170,EQP_NOM,0)),"")&lt;&gt;$C170),"Equipment not in that system",IF(AND($U170=1,$M170=""),"Approved with no approval date",""))))))))))</f>
        <v/>
      </c>
      <c r="Q170" s="21" t="n"/>
      <c r="R170" s="23">
        <f>IF(OR($A170="",$B170=""),"",IF($B170="Equipment",IFERROR(INDEX(EQP_START,MATCH($D170,EQP_NOM,0)),""),IF($B170="System",IFERROR(INDEX(SYS_EARLIEST,MATCH($C170,SYS_ID,0)),""),IF($B170="All",CTR_EARLIEST,""))))</f>
        <v/>
      </c>
      <c r="S170" s="23">
        <f>IF(OR($A170="",$E170=""),"",IFERROR(IF(INDEX(TYP_ANCHOR,MATCH($A170,TYP_TYPE,0))="Commissioning Start",IF($R170="","",$R170-INDEX(TYP_LEAD,MATCH($A170,TYP_TYPE,0))),IF(INDEX(MS_PLAN,MATCH(INDEX(TYP_ANCHOR,MATCH($A170,TYP_TYPE,0)),MS_NOM,0))="","",INDEX(MS_PLAN,MATCH(INDEX(TYP_ANCHOR,MATCH($A170,TYP_TYPE,0)),MS_NOM,0))-INDEX(TYP_LEAD,MATCH($A170,TYP_TYPE,0)))),""))</f>
        <v/>
      </c>
      <c r="T170" s="26">
        <f>IF(OR($A170="",$E170=""),0,IF($V170=1,0,1))</f>
        <v/>
      </c>
      <c r="U170" s="26">
        <f>IF($T170=0,0,IF($M170&lt;&gt;"",1,IF(IFERROR(INDEX(WF_CLASS,MATCH($H170,WF_CODE,0)),"")="Done",1,0)))</f>
        <v/>
      </c>
      <c r="V170" s="26">
        <f>IF(OR($A170="",$E170=""),0,IF(IFERROR(INDEX(WF_CLASS,MATCH($H170,WF_CODE,0)),"")="Inactive",1,0))</f>
        <v/>
      </c>
      <c r="W170" s="24">
        <f>IF($A170="","",IFERROR(INDEX(TYP_PHASE,MATCH($A170,TYP_TYPE,0)),"-"))</f>
        <v/>
      </c>
      <c r="X170" s="24">
        <f>IF(AND($T170=1,$U170=0,N($N170)&gt;0),$N170+ROW()/1000000,"")</f>
        <v/>
      </c>
      <c r="Y170" s="24">
        <f>IF(AND($T170=1,$U170=0,OR($I170&lt;&gt;"",N($N170)&gt;0)),N($N170)+ROW()/1000000,"")</f>
        <v/>
      </c>
      <c r="Z170" s="24">
        <f>IF(AND($T170=1,$U170=0,$I170="",N($N170)&lt;=0,-N($N170)&lt;=HORIZON),N($N170)+ROW()/1000000,"")</f>
        <v/>
      </c>
    </row>
    <row r="171">
      <c r="A171" s="21" t="n"/>
      <c r="B171" s="21" t="n"/>
      <c r="C171" s="21" t="n"/>
      <c r="D171" s="21" t="n"/>
      <c r="E171" s="21" t="n"/>
      <c r="F171" s="21" t="n"/>
      <c r="G171" s="21" t="n"/>
      <c r="H171" s="21" t="n"/>
      <c r="I171" s="22" t="n"/>
      <c r="J171" s="22" t="n"/>
      <c r="K171" s="23">
        <f>IF($A171="","",IF($J171&lt;&gt;"",$J171,$S171))</f>
        <v/>
      </c>
      <c r="L171" s="24">
        <f>IF(OR($A171="",$E171=""),"",IF($J171&lt;&gt;"","Manual",IF($S171="","-","Auto")))</f>
        <v/>
      </c>
      <c r="M171" s="22" t="n"/>
      <c r="N171" s="25">
        <f>IF($T171=0,"",IF($U171=1,IF($M171="","",$M171-$K171),IF($K171="","",TODAY()-$K171)))</f>
        <v/>
      </c>
      <c r="O171" s="24">
        <f>IF(OR($A171="",$E171=""),"",IF($V171=1,S_INACT,IF(ISNA(MATCH($A171,TYP_TYPE,0)),S_TYPEKO,IF($U171=1,S_DONE,IF(AND($K171="",$R171=""),S_NOSCOPE,IF($K171="",S_NOTARGET,IF($N171&gt;0,S_LATE,IF($I171&lt;&gt;"",S_WIP,IF(-$N171&lt;=FEN_DOC,S_RISK,IF(-$N171&lt;=HORIZON,S_COMING,S_NOTYET))))))))))</f>
        <v/>
      </c>
      <c r="P171" s="24">
        <f>IF(OR($A171="",$E171=""),"",IF($V171=1,"",IF(ISNA(MATCH($A171,TYP_TYPE,0)),"Type not in the library",IF($B171="","Scope not set",IF(AND($B171="System",$C171=""),"System not set",IF(AND($B171="Equipment",$D171=""),"Equipment not set",IF($F171="","Responsible not set",IF($K171="","No target date",IF(AND($B171="Equipment",$C171&lt;&gt;"",IFERROR(INDEX(EQP_SYS,MATCH($D171,EQP_NOM,0)),"")&lt;&gt;$C171),"Equipment not in that system",IF(AND($U171=1,$M171=""),"Approved with no approval date",""))))))))))</f>
        <v/>
      </c>
      <c r="Q171" s="21" t="n"/>
      <c r="R171" s="23">
        <f>IF(OR($A171="",$B171=""),"",IF($B171="Equipment",IFERROR(INDEX(EQP_START,MATCH($D171,EQP_NOM,0)),""),IF($B171="System",IFERROR(INDEX(SYS_EARLIEST,MATCH($C171,SYS_ID,0)),""),IF($B171="All",CTR_EARLIEST,""))))</f>
        <v/>
      </c>
      <c r="S171" s="23">
        <f>IF(OR($A171="",$E171=""),"",IFERROR(IF(INDEX(TYP_ANCHOR,MATCH($A171,TYP_TYPE,0))="Commissioning Start",IF($R171="","",$R171-INDEX(TYP_LEAD,MATCH($A171,TYP_TYPE,0))),IF(INDEX(MS_PLAN,MATCH(INDEX(TYP_ANCHOR,MATCH($A171,TYP_TYPE,0)),MS_NOM,0))="","",INDEX(MS_PLAN,MATCH(INDEX(TYP_ANCHOR,MATCH($A171,TYP_TYPE,0)),MS_NOM,0))-INDEX(TYP_LEAD,MATCH($A171,TYP_TYPE,0)))),""))</f>
        <v/>
      </c>
      <c r="T171" s="26">
        <f>IF(OR($A171="",$E171=""),0,IF($V171=1,0,1))</f>
        <v/>
      </c>
      <c r="U171" s="26">
        <f>IF($T171=0,0,IF($M171&lt;&gt;"",1,IF(IFERROR(INDEX(WF_CLASS,MATCH($H171,WF_CODE,0)),"")="Done",1,0)))</f>
        <v/>
      </c>
      <c r="V171" s="26">
        <f>IF(OR($A171="",$E171=""),0,IF(IFERROR(INDEX(WF_CLASS,MATCH($H171,WF_CODE,0)),"")="Inactive",1,0))</f>
        <v/>
      </c>
      <c r="W171" s="24">
        <f>IF($A171="","",IFERROR(INDEX(TYP_PHASE,MATCH($A171,TYP_TYPE,0)),"-"))</f>
        <v/>
      </c>
      <c r="X171" s="24">
        <f>IF(AND($T171=1,$U171=0,N($N171)&gt;0),$N171+ROW()/1000000,"")</f>
        <v/>
      </c>
      <c r="Y171" s="24">
        <f>IF(AND($T171=1,$U171=0,OR($I171&lt;&gt;"",N($N171)&gt;0)),N($N171)+ROW()/1000000,"")</f>
        <v/>
      </c>
      <c r="Z171" s="24">
        <f>IF(AND($T171=1,$U171=0,$I171="",N($N171)&lt;=0,-N($N171)&lt;=HORIZON),N($N171)+ROW()/1000000,"")</f>
        <v/>
      </c>
    </row>
    <row r="172">
      <c r="A172" s="21" t="n"/>
      <c r="B172" s="21" t="n"/>
      <c r="C172" s="21" t="n"/>
      <c r="D172" s="21" t="n"/>
      <c r="E172" s="21" t="n"/>
      <c r="F172" s="21" t="n"/>
      <c r="G172" s="21" t="n"/>
      <c r="H172" s="21" t="n"/>
      <c r="I172" s="22" t="n"/>
      <c r="J172" s="22" t="n"/>
      <c r="K172" s="23">
        <f>IF($A172="","",IF($J172&lt;&gt;"",$J172,$S172))</f>
        <v/>
      </c>
      <c r="L172" s="24">
        <f>IF(OR($A172="",$E172=""),"",IF($J172&lt;&gt;"","Manual",IF($S172="","-","Auto")))</f>
        <v/>
      </c>
      <c r="M172" s="22" t="n"/>
      <c r="N172" s="25">
        <f>IF($T172=0,"",IF($U172=1,IF($M172="","",$M172-$K172),IF($K172="","",TODAY()-$K172)))</f>
        <v/>
      </c>
      <c r="O172" s="24">
        <f>IF(OR($A172="",$E172=""),"",IF($V172=1,S_INACT,IF(ISNA(MATCH($A172,TYP_TYPE,0)),S_TYPEKO,IF($U172=1,S_DONE,IF(AND($K172="",$R172=""),S_NOSCOPE,IF($K172="",S_NOTARGET,IF($N172&gt;0,S_LATE,IF($I172&lt;&gt;"",S_WIP,IF(-$N172&lt;=FEN_DOC,S_RISK,IF(-$N172&lt;=HORIZON,S_COMING,S_NOTYET))))))))))</f>
        <v/>
      </c>
      <c r="P172" s="24">
        <f>IF(OR($A172="",$E172=""),"",IF($V172=1,"",IF(ISNA(MATCH($A172,TYP_TYPE,0)),"Type not in the library",IF($B172="","Scope not set",IF(AND($B172="System",$C172=""),"System not set",IF(AND($B172="Equipment",$D172=""),"Equipment not set",IF($F172="","Responsible not set",IF($K172="","No target date",IF(AND($B172="Equipment",$C172&lt;&gt;"",IFERROR(INDEX(EQP_SYS,MATCH($D172,EQP_NOM,0)),"")&lt;&gt;$C172),"Equipment not in that system",IF(AND($U172=1,$M172=""),"Approved with no approval date",""))))))))))</f>
        <v/>
      </c>
      <c r="Q172" s="21" t="n"/>
      <c r="R172" s="23">
        <f>IF(OR($A172="",$B172=""),"",IF($B172="Equipment",IFERROR(INDEX(EQP_START,MATCH($D172,EQP_NOM,0)),""),IF($B172="System",IFERROR(INDEX(SYS_EARLIEST,MATCH($C172,SYS_ID,0)),""),IF($B172="All",CTR_EARLIEST,""))))</f>
        <v/>
      </c>
      <c r="S172" s="23">
        <f>IF(OR($A172="",$E172=""),"",IFERROR(IF(INDEX(TYP_ANCHOR,MATCH($A172,TYP_TYPE,0))="Commissioning Start",IF($R172="","",$R172-INDEX(TYP_LEAD,MATCH($A172,TYP_TYPE,0))),IF(INDEX(MS_PLAN,MATCH(INDEX(TYP_ANCHOR,MATCH($A172,TYP_TYPE,0)),MS_NOM,0))="","",INDEX(MS_PLAN,MATCH(INDEX(TYP_ANCHOR,MATCH($A172,TYP_TYPE,0)),MS_NOM,0))-INDEX(TYP_LEAD,MATCH($A172,TYP_TYPE,0)))),""))</f>
        <v/>
      </c>
      <c r="T172" s="26">
        <f>IF(OR($A172="",$E172=""),0,IF($V172=1,0,1))</f>
        <v/>
      </c>
      <c r="U172" s="26">
        <f>IF($T172=0,0,IF($M172&lt;&gt;"",1,IF(IFERROR(INDEX(WF_CLASS,MATCH($H172,WF_CODE,0)),"")="Done",1,0)))</f>
        <v/>
      </c>
      <c r="V172" s="26">
        <f>IF(OR($A172="",$E172=""),0,IF(IFERROR(INDEX(WF_CLASS,MATCH($H172,WF_CODE,0)),"")="Inactive",1,0))</f>
        <v/>
      </c>
      <c r="W172" s="24">
        <f>IF($A172="","",IFERROR(INDEX(TYP_PHASE,MATCH($A172,TYP_TYPE,0)),"-"))</f>
        <v/>
      </c>
      <c r="X172" s="24">
        <f>IF(AND($T172=1,$U172=0,N($N172)&gt;0),$N172+ROW()/1000000,"")</f>
        <v/>
      </c>
      <c r="Y172" s="24">
        <f>IF(AND($T172=1,$U172=0,OR($I172&lt;&gt;"",N($N172)&gt;0)),N($N172)+ROW()/1000000,"")</f>
        <v/>
      </c>
      <c r="Z172" s="24">
        <f>IF(AND($T172=1,$U172=0,$I172="",N($N172)&lt;=0,-N($N172)&lt;=HORIZON),N($N172)+ROW()/1000000,"")</f>
        <v/>
      </c>
    </row>
    <row r="173">
      <c r="A173" s="21" t="n"/>
      <c r="B173" s="21" t="n"/>
      <c r="C173" s="21" t="n"/>
      <c r="D173" s="21" t="n"/>
      <c r="E173" s="21" t="n"/>
      <c r="F173" s="21" t="n"/>
      <c r="G173" s="21" t="n"/>
      <c r="H173" s="21" t="n"/>
      <c r="I173" s="22" t="n"/>
      <c r="J173" s="22" t="n"/>
      <c r="K173" s="23">
        <f>IF($A173="","",IF($J173&lt;&gt;"",$J173,$S173))</f>
        <v/>
      </c>
      <c r="L173" s="24">
        <f>IF(OR($A173="",$E173=""),"",IF($J173&lt;&gt;"","Manual",IF($S173="","-","Auto")))</f>
        <v/>
      </c>
      <c r="M173" s="22" t="n"/>
      <c r="N173" s="25">
        <f>IF($T173=0,"",IF($U173=1,IF($M173="","",$M173-$K173),IF($K173="","",TODAY()-$K173)))</f>
        <v/>
      </c>
      <c r="O173" s="24">
        <f>IF(OR($A173="",$E173=""),"",IF($V173=1,S_INACT,IF(ISNA(MATCH($A173,TYP_TYPE,0)),S_TYPEKO,IF($U173=1,S_DONE,IF(AND($K173="",$R173=""),S_NOSCOPE,IF($K173="",S_NOTARGET,IF($N173&gt;0,S_LATE,IF($I173&lt;&gt;"",S_WIP,IF(-$N173&lt;=FEN_DOC,S_RISK,IF(-$N173&lt;=HORIZON,S_COMING,S_NOTYET))))))))))</f>
        <v/>
      </c>
      <c r="P173" s="24">
        <f>IF(OR($A173="",$E173=""),"",IF($V173=1,"",IF(ISNA(MATCH($A173,TYP_TYPE,0)),"Type not in the library",IF($B173="","Scope not set",IF(AND($B173="System",$C173=""),"System not set",IF(AND($B173="Equipment",$D173=""),"Equipment not set",IF($F173="","Responsible not set",IF($K173="","No target date",IF(AND($B173="Equipment",$C173&lt;&gt;"",IFERROR(INDEX(EQP_SYS,MATCH($D173,EQP_NOM,0)),"")&lt;&gt;$C173),"Equipment not in that system",IF(AND($U173=1,$M173=""),"Approved with no approval date",""))))))))))</f>
        <v/>
      </c>
      <c r="Q173" s="21" t="n"/>
      <c r="R173" s="23">
        <f>IF(OR($A173="",$B173=""),"",IF($B173="Equipment",IFERROR(INDEX(EQP_START,MATCH($D173,EQP_NOM,0)),""),IF($B173="System",IFERROR(INDEX(SYS_EARLIEST,MATCH($C173,SYS_ID,0)),""),IF($B173="All",CTR_EARLIEST,""))))</f>
        <v/>
      </c>
      <c r="S173" s="23">
        <f>IF(OR($A173="",$E173=""),"",IFERROR(IF(INDEX(TYP_ANCHOR,MATCH($A173,TYP_TYPE,0))="Commissioning Start",IF($R173="","",$R173-INDEX(TYP_LEAD,MATCH($A173,TYP_TYPE,0))),IF(INDEX(MS_PLAN,MATCH(INDEX(TYP_ANCHOR,MATCH($A173,TYP_TYPE,0)),MS_NOM,0))="","",INDEX(MS_PLAN,MATCH(INDEX(TYP_ANCHOR,MATCH($A173,TYP_TYPE,0)),MS_NOM,0))-INDEX(TYP_LEAD,MATCH($A173,TYP_TYPE,0)))),""))</f>
        <v/>
      </c>
      <c r="T173" s="26">
        <f>IF(OR($A173="",$E173=""),0,IF($V173=1,0,1))</f>
        <v/>
      </c>
      <c r="U173" s="26">
        <f>IF($T173=0,0,IF($M173&lt;&gt;"",1,IF(IFERROR(INDEX(WF_CLASS,MATCH($H173,WF_CODE,0)),"")="Done",1,0)))</f>
        <v/>
      </c>
      <c r="V173" s="26">
        <f>IF(OR($A173="",$E173=""),0,IF(IFERROR(INDEX(WF_CLASS,MATCH($H173,WF_CODE,0)),"")="Inactive",1,0))</f>
        <v/>
      </c>
      <c r="W173" s="24">
        <f>IF($A173="","",IFERROR(INDEX(TYP_PHASE,MATCH($A173,TYP_TYPE,0)),"-"))</f>
        <v/>
      </c>
      <c r="X173" s="24">
        <f>IF(AND($T173=1,$U173=0,N($N173)&gt;0),$N173+ROW()/1000000,"")</f>
        <v/>
      </c>
      <c r="Y173" s="24">
        <f>IF(AND($T173=1,$U173=0,OR($I173&lt;&gt;"",N($N173)&gt;0)),N($N173)+ROW()/1000000,"")</f>
        <v/>
      </c>
      <c r="Z173" s="24">
        <f>IF(AND($T173=1,$U173=0,$I173="",N($N173)&lt;=0,-N($N173)&lt;=HORIZON),N($N173)+ROW()/1000000,"")</f>
        <v/>
      </c>
    </row>
    <row r="174">
      <c r="A174" s="21" t="n"/>
      <c r="B174" s="21" t="n"/>
      <c r="C174" s="21" t="n"/>
      <c r="D174" s="21" t="n"/>
      <c r="E174" s="21" t="n"/>
      <c r="F174" s="21" t="n"/>
      <c r="G174" s="21" t="n"/>
      <c r="H174" s="21" t="n"/>
      <c r="I174" s="22" t="n"/>
      <c r="J174" s="22" t="n"/>
      <c r="K174" s="23">
        <f>IF($A174="","",IF($J174&lt;&gt;"",$J174,$S174))</f>
        <v/>
      </c>
      <c r="L174" s="24">
        <f>IF(OR($A174="",$E174=""),"",IF($J174&lt;&gt;"","Manual",IF($S174="","-","Auto")))</f>
        <v/>
      </c>
      <c r="M174" s="22" t="n"/>
      <c r="N174" s="25">
        <f>IF($T174=0,"",IF($U174=1,IF($M174="","",$M174-$K174),IF($K174="","",TODAY()-$K174)))</f>
        <v/>
      </c>
      <c r="O174" s="24">
        <f>IF(OR($A174="",$E174=""),"",IF($V174=1,S_INACT,IF(ISNA(MATCH($A174,TYP_TYPE,0)),S_TYPEKO,IF($U174=1,S_DONE,IF(AND($K174="",$R174=""),S_NOSCOPE,IF($K174="",S_NOTARGET,IF($N174&gt;0,S_LATE,IF($I174&lt;&gt;"",S_WIP,IF(-$N174&lt;=FEN_DOC,S_RISK,IF(-$N174&lt;=HORIZON,S_COMING,S_NOTYET))))))))))</f>
        <v/>
      </c>
      <c r="P174" s="24">
        <f>IF(OR($A174="",$E174=""),"",IF($V174=1,"",IF(ISNA(MATCH($A174,TYP_TYPE,0)),"Type not in the library",IF($B174="","Scope not set",IF(AND($B174="System",$C174=""),"System not set",IF(AND($B174="Equipment",$D174=""),"Equipment not set",IF($F174="","Responsible not set",IF($K174="","No target date",IF(AND($B174="Equipment",$C174&lt;&gt;"",IFERROR(INDEX(EQP_SYS,MATCH($D174,EQP_NOM,0)),"")&lt;&gt;$C174),"Equipment not in that system",IF(AND($U174=1,$M174=""),"Approved with no approval date",""))))))))))</f>
        <v/>
      </c>
      <c r="Q174" s="21" t="n"/>
      <c r="R174" s="23">
        <f>IF(OR($A174="",$B174=""),"",IF($B174="Equipment",IFERROR(INDEX(EQP_START,MATCH($D174,EQP_NOM,0)),""),IF($B174="System",IFERROR(INDEX(SYS_EARLIEST,MATCH($C174,SYS_ID,0)),""),IF($B174="All",CTR_EARLIEST,""))))</f>
        <v/>
      </c>
      <c r="S174" s="23">
        <f>IF(OR($A174="",$E174=""),"",IFERROR(IF(INDEX(TYP_ANCHOR,MATCH($A174,TYP_TYPE,0))="Commissioning Start",IF($R174="","",$R174-INDEX(TYP_LEAD,MATCH($A174,TYP_TYPE,0))),IF(INDEX(MS_PLAN,MATCH(INDEX(TYP_ANCHOR,MATCH($A174,TYP_TYPE,0)),MS_NOM,0))="","",INDEX(MS_PLAN,MATCH(INDEX(TYP_ANCHOR,MATCH($A174,TYP_TYPE,0)),MS_NOM,0))-INDEX(TYP_LEAD,MATCH($A174,TYP_TYPE,0)))),""))</f>
        <v/>
      </c>
      <c r="T174" s="26">
        <f>IF(OR($A174="",$E174=""),0,IF($V174=1,0,1))</f>
        <v/>
      </c>
      <c r="U174" s="26">
        <f>IF($T174=0,0,IF($M174&lt;&gt;"",1,IF(IFERROR(INDEX(WF_CLASS,MATCH($H174,WF_CODE,0)),"")="Done",1,0)))</f>
        <v/>
      </c>
      <c r="V174" s="26">
        <f>IF(OR($A174="",$E174=""),0,IF(IFERROR(INDEX(WF_CLASS,MATCH($H174,WF_CODE,0)),"")="Inactive",1,0))</f>
        <v/>
      </c>
      <c r="W174" s="24">
        <f>IF($A174="","",IFERROR(INDEX(TYP_PHASE,MATCH($A174,TYP_TYPE,0)),"-"))</f>
        <v/>
      </c>
      <c r="X174" s="24">
        <f>IF(AND($T174=1,$U174=0,N($N174)&gt;0),$N174+ROW()/1000000,"")</f>
        <v/>
      </c>
      <c r="Y174" s="24">
        <f>IF(AND($T174=1,$U174=0,OR($I174&lt;&gt;"",N($N174)&gt;0)),N($N174)+ROW()/1000000,"")</f>
        <v/>
      </c>
      <c r="Z174" s="24">
        <f>IF(AND($T174=1,$U174=0,$I174="",N($N174)&lt;=0,-N($N174)&lt;=HORIZON),N($N174)+ROW()/1000000,"")</f>
        <v/>
      </c>
    </row>
    <row r="175">
      <c r="A175" s="21" t="n"/>
      <c r="B175" s="21" t="n"/>
      <c r="C175" s="21" t="n"/>
      <c r="D175" s="21" t="n"/>
      <c r="E175" s="21" t="n"/>
      <c r="F175" s="21" t="n"/>
      <c r="G175" s="21" t="n"/>
      <c r="H175" s="21" t="n"/>
      <c r="I175" s="22" t="n"/>
      <c r="J175" s="22" t="n"/>
      <c r="K175" s="23">
        <f>IF($A175="","",IF($J175&lt;&gt;"",$J175,$S175))</f>
        <v/>
      </c>
      <c r="L175" s="24">
        <f>IF(OR($A175="",$E175=""),"",IF($J175&lt;&gt;"","Manual",IF($S175="","-","Auto")))</f>
        <v/>
      </c>
      <c r="M175" s="22" t="n"/>
      <c r="N175" s="25">
        <f>IF($T175=0,"",IF($U175=1,IF($M175="","",$M175-$K175),IF($K175="","",TODAY()-$K175)))</f>
        <v/>
      </c>
      <c r="O175" s="24">
        <f>IF(OR($A175="",$E175=""),"",IF($V175=1,S_INACT,IF(ISNA(MATCH($A175,TYP_TYPE,0)),S_TYPEKO,IF($U175=1,S_DONE,IF(AND($K175="",$R175=""),S_NOSCOPE,IF($K175="",S_NOTARGET,IF($N175&gt;0,S_LATE,IF($I175&lt;&gt;"",S_WIP,IF(-$N175&lt;=FEN_DOC,S_RISK,IF(-$N175&lt;=HORIZON,S_COMING,S_NOTYET))))))))))</f>
        <v/>
      </c>
      <c r="P175" s="24">
        <f>IF(OR($A175="",$E175=""),"",IF($V175=1,"",IF(ISNA(MATCH($A175,TYP_TYPE,0)),"Type not in the library",IF($B175="","Scope not set",IF(AND($B175="System",$C175=""),"System not set",IF(AND($B175="Equipment",$D175=""),"Equipment not set",IF($F175="","Responsible not set",IF($K175="","No target date",IF(AND($B175="Equipment",$C175&lt;&gt;"",IFERROR(INDEX(EQP_SYS,MATCH($D175,EQP_NOM,0)),"")&lt;&gt;$C175),"Equipment not in that system",IF(AND($U175=1,$M175=""),"Approved with no approval date",""))))))))))</f>
        <v/>
      </c>
      <c r="Q175" s="21" t="n"/>
      <c r="R175" s="23">
        <f>IF(OR($A175="",$B175=""),"",IF($B175="Equipment",IFERROR(INDEX(EQP_START,MATCH($D175,EQP_NOM,0)),""),IF($B175="System",IFERROR(INDEX(SYS_EARLIEST,MATCH($C175,SYS_ID,0)),""),IF($B175="All",CTR_EARLIEST,""))))</f>
        <v/>
      </c>
      <c r="S175" s="23">
        <f>IF(OR($A175="",$E175=""),"",IFERROR(IF(INDEX(TYP_ANCHOR,MATCH($A175,TYP_TYPE,0))="Commissioning Start",IF($R175="","",$R175-INDEX(TYP_LEAD,MATCH($A175,TYP_TYPE,0))),IF(INDEX(MS_PLAN,MATCH(INDEX(TYP_ANCHOR,MATCH($A175,TYP_TYPE,0)),MS_NOM,0))="","",INDEX(MS_PLAN,MATCH(INDEX(TYP_ANCHOR,MATCH($A175,TYP_TYPE,0)),MS_NOM,0))-INDEX(TYP_LEAD,MATCH($A175,TYP_TYPE,0)))),""))</f>
        <v/>
      </c>
      <c r="T175" s="26">
        <f>IF(OR($A175="",$E175=""),0,IF($V175=1,0,1))</f>
        <v/>
      </c>
      <c r="U175" s="26">
        <f>IF($T175=0,0,IF($M175&lt;&gt;"",1,IF(IFERROR(INDEX(WF_CLASS,MATCH($H175,WF_CODE,0)),"")="Done",1,0)))</f>
        <v/>
      </c>
      <c r="V175" s="26">
        <f>IF(OR($A175="",$E175=""),0,IF(IFERROR(INDEX(WF_CLASS,MATCH($H175,WF_CODE,0)),"")="Inactive",1,0))</f>
        <v/>
      </c>
      <c r="W175" s="24">
        <f>IF($A175="","",IFERROR(INDEX(TYP_PHASE,MATCH($A175,TYP_TYPE,0)),"-"))</f>
        <v/>
      </c>
      <c r="X175" s="24">
        <f>IF(AND($T175=1,$U175=0,N($N175)&gt;0),$N175+ROW()/1000000,"")</f>
        <v/>
      </c>
      <c r="Y175" s="24">
        <f>IF(AND($T175=1,$U175=0,OR($I175&lt;&gt;"",N($N175)&gt;0)),N($N175)+ROW()/1000000,"")</f>
        <v/>
      </c>
      <c r="Z175" s="24">
        <f>IF(AND($T175=1,$U175=0,$I175="",N($N175)&lt;=0,-N($N175)&lt;=HORIZON),N($N175)+ROW()/1000000,"")</f>
        <v/>
      </c>
    </row>
    <row r="176">
      <c r="A176" s="21" t="n"/>
      <c r="B176" s="21" t="n"/>
      <c r="C176" s="21" t="n"/>
      <c r="D176" s="21" t="n"/>
      <c r="E176" s="21" t="n"/>
      <c r="F176" s="21" t="n"/>
      <c r="G176" s="21" t="n"/>
      <c r="H176" s="21" t="n"/>
      <c r="I176" s="22" t="n"/>
      <c r="J176" s="22" t="n"/>
      <c r="K176" s="23">
        <f>IF($A176="","",IF($J176&lt;&gt;"",$J176,$S176))</f>
        <v/>
      </c>
      <c r="L176" s="24">
        <f>IF(OR($A176="",$E176=""),"",IF($J176&lt;&gt;"","Manual",IF($S176="","-","Auto")))</f>
        <v/>
      </c>
      <c r="M176" s="22" t="n"/>
      <c r="N176" s="25">
        <f>IF($T176=0,"",IF($U176=1,IF($M176="","",$M176-$K176),IF($K176="","",TODAY()-$K176)))</f>
        <v/>
      </c>
      <c r="O176" s="24">
        <f>IF(OR($A176="",$E176=""),"",IF($V176=1,S_INACT,IF(ISNA(MATCH($A176,TYP_TYPE,0)),S_TYPEKO,IF($U176=1,S_DONE,IF(AND($K176="",$R176=""),S_NOSCOPE,IF($K176="",S_NOTARGET,IF($N176&gt;0,S_LATE,IF($I176&lt;&gt;"",S_WIP,IF(-$N176&lt;=FEN_DOC,S_RISK,IF(-$N176&lt;=HORIZON,S_COMING,S_NOTYET))))))))))</f>
        <v/>
      </c>
      <c r="P176" s="24">
        <f>IF(OR($A176="",$E176=""),"",IF($V176=1,"",IF(ISNA(MATCH($A176,TYP_TYPE,0)),"Type not in the library",IF($B176="","Scope not set",IF(AND($B176="System",$C176=""),"System not set",IF(AND($B176="Equipment",$D176=""),"Equipment not set",IF($F176="","Responsible not set",IF($K176="","No target date",IF(AND($B176="Equipment",$C176&lt;&gt;"",IFERROR(INDEX(EQP_SYS,MATCH($D176,EQP_NOM,0)),"")&lt;&gt;$C176),"Equipment not in that system",IF(AND($U176=1,$M176=""),"Approved with no approval date",""))))))))))</f>
        <v/>
      </c>
      <c r="Q176" s="21" t="n"/>
      <c r="R176" s="23">
        <f>IF(OR($A176="",$B176=""),"",IF($B176="Equipment",IFERROR(INDEX(EQP_START,MATCH($D176,EQP_NOM,0)),""),IF($B176="System",IFERROR(INDEX(SYS_EARLIEST,MATCH($C176,SYS_ID,0)),""),IF($B176="All",CTR_EARLIEST,""))))</f>
        <v/>
      </c>
      <c r="S176" s="23">
        <f>IF(OR($A176="",$E176=""),"",IFERROR(IF(INDEX(TYP_ANCHOR,MATCH($A176,TYP_TYPE,0))="Commissioning Start",IF($R176="","",$R176-INDEX(TYP_LEAD,MATCH($A176,TYP_TYPE,0))),IF(INDEX(MS_PLAN,MATCH(INDEX(TYP_ANCHOR,MATCH($A176,TYP_TYPE,0)),MS_NOM,0))="","",INDEX(MS_PLAN,MATCH(INDEX(TYP_ANCHOR,MATCH($A176,TYP_TYPE,0)),MS_NOM,0))-INDEX(TYP_LEAD,MATCH($A176,TYP_TYPE,0)))),""))</f>
        <v/>
      </c>
      <c r="T176" s="26">
        <f>IF(OR($A176="",$E176=""),0,IF($V176=1,0,1))</f>
        <v/>
      </c>
      <c r="U176" s="26">
        <f>IF($T176=0,0,IF($M176&lt;&gt;"",1,IF(IFERROR(INDEX(WF_CLASS,MATCH($H176,WF_CODE,0)),"")="Done",1,0)))</f>
        <v/>
      </c>
      <c r="V176" s="26">
        <f>IF(OR($A176="",$E176=""),0,IF(IFERROR(INDEX(WF_CLASS,MATCH($H176,WF_CODE,0)),"")="Inactive",1,0))</f>
        <v/>
      </c>
      <c r="W176" s="24">
        <f>IF($A176="","",IFERROR(INDEX(TYP_PHASE,MATCH($A176,TYP_TYPE,0)),"-"))</f>
        <v/>
      </c>
      <c r="X176" s="24">
        <f>IF(AND($T176=1,$U176=0,N($N176)&gt;0),$N176+ROW()/1000000,"")</f>
        <v/>
      </c>
      <c r="Y176" s="24">
        <f>IF(AND($T176=1,$U176=0,OR($I176&lt;&gt;"",N($N176)&gt;0)),N($N176)+ROW()/1000000,"")</f>
        <v/>
      </c>
      <c r="Z176" s="24">
        <f>IF(AND($T176=1,$U176=0,$I176="",N($N176)&lt;=0,-N($N176)&lt;=HORIZON),N($N176)+ROW()/1000000,"")</f>
        <v/>
      </c>
    </row>
    <row r="177">
      <c r="A177" s="21" t="n"/>
      <c r="B177" s="21" t="n"/>
      <c r="C177" s="21" t="n"/>
      <c r="D177" s="21" t="n"/>
      <c r="E177" s="21" t="n"/>
      <c r="F177" s="21" t="n"/>
      <c r="G177" s="21" t="n"/>
      <c r="H177" s="21" t="n"/>
      <c r="I177" s="22" t="n"/>
      <c r="J177" s="22" t="n"/>
      <c r="K177" s="23">
        <f>IF($A177="","",IF($J177&lt;&gt;"",$J177,$S177))</f>
        <v/>
      </c>
      <c r="L177" s="24">
        <f>IF(OR($A177="",$E177=""),"",IF($J177&lt;&gt;"","Manual",IF($S177="","-","Auto")))</f>
        <v/>
      </c>
      <c r="M177" s="22" t="n"/>
      <c r="N177" s="25">
        <f>IF($T177=0,"",IF($U177=1,IF($M177="","",$M177-$K177),IF($K177="","",TODAY()-$K177)))</f>
        <v/>
      </c>
      <c r="O177" s="24">
        <f>IF(OR($A177="",$E177=""),"",IF($V177=1,S_INACT,IF(ISNA(MATCH($A177,TYP_TYPE,0)),S_TYPEKO,IF($U177=1,S_DONE,IF(AND($K177="",$R177=""),S_NOSCOPE,IF($K177="",S_NOTARGET,IF($N177&gt;0,S_LATE,IF($I177&lt;&gt;"",S_WIP,IF(-$N177&lt;=FEN_DOC,S_RISK,IF(-$N177&lt;=HORIZON,S_COMING,S_NOTYET))))))))))</f>
        <v/>
      </c>
      <c r="P177" s="24">
        <f>IF(OR($A177="",$E177=""),"",IF($V177=1,"",IF(ISNA(MATCH($A177,TYP_TYPE,0)),"Type not in the library",IF($B177="","Scope not set",IF(AND($B177="System",$C177=""),"System not set",IF(AND($B177="Equipment",$D177=""),"Equipment not set",IF($F177="","Responsible not set",IF($K177="","No target date",IF(AND($B177="Equipment",$C177&lt;&gt;"",IFERROR(INDEX(EQP_SYS,MATCH($D177,EQP_NOM,0)),"")&lt;&gt;$C177),"Equipment not in that system",IF(AND($U177=1,$M177=""),"Approved with no approval date",""))))))))))</f>
        <v/>
      </c>
      <c r="Q177" s="21" t="n"/>
      <c r="R177" s="23">
        <f>IF(OR($A177="",$B177=""),"",IF($B177="Equipment",IFERROR(INDEX(EQP_START,MATCH($D177,EQP_NOM,0)),""),IF($B177="System",IFERROR(INDEX(SYS_EARLIEST,MATCH($C177,SYS_ID,0)),""),IF($B177="All",CTR_EARLIEST,""))))</f>
        <v/>
      </c>
      <c r="S177" s="23">
        <f>IF(OR($A177="",$E177=""),"",IFERROR(IF(INDEX(TYP_ANCHOR,MATCH($A177,TYP_TYPE,0))="Commissioning Start",IF($R177="","",$R177-INDEX(TYP_LEAD,MATCH($A177,TYP_TYPE,0))),IF(INDEX(MS_PLAN,MATCH(INDEX(TYP_ANCHOR,MATCH($A177,TYP_TYPE,0)),MS_NOM,0))="","",INDEX(MS_PLAN,MATCH(INDEX(TYP_ANCHOR,MATCH($A177,TYP_TYPE,0)),MS_NOM,0))-INDEX(TYP_LEAD,MATCH($A177,TYP_TYPE,0)))),""))</f>
        <v/>
      </c>
      <c r="T177" s="26">
        <f>IF(OR($A177="",$E177=""),0,IF($V177=1,0,1))</f>
        <v/>
      </c>
      <c r="U177" s="26">
        <f>IF($T177=0,0,IF($M177&lt;&gt;"",1,IF(IFERROR(INDEX(WF_CLASS,MATCH($H177,WF_CODE,0)),"")="Done",1,0)))</f>
        <v/>
      </c>
      <c r="V177" s="26">
        <f>IF(OR($A177="",$E177=""),0,IF(IFERROR(INDEX(WF_CLASS,MATCH($H177,WF_CODE,0)),"")="Inactive",1,0))</f>
        <v/>
      </c>
      <c r="W177" s="24">
        <f>IF($A177="","",IFERROR(INDEX(TYP_PHASE,MATCH($A177,TYP_TYPE,0)),"-"))</f>
        <v/>
      </c>
      <c r="X177" s="24">
        <f>IF(AND($T177=1,$U177=0,N($N177)&gt;0),$N177+ROW()/1000000,"")</f>
        <v/>
      </c>
      <c r="Y177" s="24">
        <f>IF(AND($T177=1,$U177=0,OR($I177&lt;&gt;"",N($N177)&gt;0)),N($N177)+ROW()/1000000,"")</f>
        <v/>
      </c>
      <c r="Z177" s="24">
        <f>IF(AND($T177=1,$U177=0,$I177="",N($N177)&lt;=0,-N($N177)&lt;=HORIZON),N($N177)+ROW()/1000000,"")</f>
        <v/>
      </c>
    </row>
    <row r="178">
      <c r="A178" s="21" t="n"/>
      <c r="B178" s="21" t="n"/>
      <c r="C178" s="21" t="n"/>
      <c r="D178" s="21" t="n"/>
      <c r="E178" s="21" t="n"/>
      <c r="F178" s="21" t="n"/>
      <c r="G178" s="21" t="n"/>
      <c r="H178" s="21" t="n"/>
      <c r="I178" s="22" t="n"/>
      <c r="J178" s="22" t="n"/>
      <c r="K178" s="23">
        <f>IF($A178="","",IF($J178&lt;&gt;"",$J178,$S178))</f>
        <v/>
      </c>
      <c r="L178" s="24">
        <f>IF(OR($A178="",$E178=""),"",IF($J178&lt;&gt;"","Manual",IF($S178="","-","Auto")))</f>
        <v/>
      </c>
      <c r="M178" s="22" t="n"/>
      <c r="N178" s="25">
        <f>IF($T178=0,"",IF($U178=1,IF($M178="","",$M178-$K178),IF($K178="","",TODAY()-$K178)))</f>
        <v/>
      </c>
      <c r="O178" s="24">
        <f>IF(OR($A178="",$E178=""),"",IF($V178=1,S_INACT,IF(ISNA(MATCH($A178,TYP_TYPE,0)),S_TYPEKO,IF($U178=1,S_DONE,IF(AND($K178="",$R178=""),S_NOSCOPE,IF($K178="",S_NOTARGET,IF($N178&gt;0,S_LATE,IF($I178&lt;&gt;"",S_WIP,IF(-$N178&lt;=FEN_DOC,S_RISK,IF(-$N178&lt;=HORIZON,S_COMING,S_NOTYET))))))))))</f>
        <v/>
      </c>
      <c r="P178" s="24">
        <f>IF(OR($A178="",$E178=""),"",IF($V178=1,"",IF(ISNA(MATCH($A178,TYP_TYPE,0)),"Type not in the library",IF($B178="","Scope not set",IF(AND($B178="System",$C178=""),"System not set",IF(AND($B178="Equipment",$D178=""),"Equipment not set",IF($F178="","Responsible not set",IF($K178="","No target date",IF(AND($B178="Equipment",$C178&lt;&gt;"",IFERROR(INDEX(EQP_SYS,MATCH($D178,EQP_NOM,0)),"")&lt;&gt;$C178),"Equipment not in that system",IF(AND($U178=1,$M178=""),"Approved with no approval date",""))))))))))</f>
        <v/>
      </c>
      <c r="Q178" s="21" t="n"/>
      <c r="R178" s="23">
        <f>IF(OR($A178="",$B178=""),"",IF($B178="Equipment",IFERROR(INDEX(EQP_START,MATCH($D178,EQP_NOM,0)),""),IF($B178="System",IFERROR(INDEX(SYS_EARLIEST,MATCH($C178,SYS_ID,0)),""),IF($B178="All",CTR_EARLIEST,""))))</f>
        <v/>
      </c>
      <c r="S178" s="23">
        <f>IF(OR($A178="",$E178=""),"",IFERROR(IF(INDEX(TYP_ANCHOR,MATCH($A178,TYP_TYPE,0))="Commissioning Start",IF($R178="","",$R178-INDEX(TYP_LEAD,MATCH($A178,TYP_TYPE,0))),IF(INDEX(MS_PLAN,MATCH(INDEX(TYP_ANCHOR,MATCH($A178,TYP_TYPE,0)),MS_NOM,0))="","",INDEX(MS_PLAN,MATCH(INDEX(TYP_ANCHOR,MATCH($A178,TYP_TYPE,0)),MS_NOM,0))-INDEX(TYP_LEAD,MATCH($A178,TYP_TYPE,0)))),""))</f>
        <v/>
      </c>
      <c r="T178" s="26">
        <f>IF(OR($A178="",$E178=""),0,IF($V178=1,0,1))</f>
        <v/>
      </c>
      <c r="U178" s="26">
        <f>IF($T178=0,0,IF($M178&lt;&gt;"",1,IF(IFERROR(INDEX(WF_CLASS,MATCH($H178,WF_CODE,0)),"")="Done",1,0)))</f>
        <v/>
      </c>
      <c r="V178" s="26">
        <f>IF(OR($A178="",$E178=""),0,IF(IFERROR(INDEX(WF_CLASS,MATCH($H178,WF_CODE,0)),"")="Inactive",1,0))</f>
        <v/>
      </c>
      <c r="W178" s="24">
        <f>IF($A178="","",IFERROR(INDEX(TYP_PHASE,MATCH($A178,TYP_TYPE,0)),"-"))</f>
        <v/>
      </c>
      <c r="X178" s="24">
        <f>IF(AND($T178=1,$U178=0,N($N178)&gt;0),$N178+ROW()/1000000,"")</f>
        <v/>
      </c>
      <c r="Y178" s="24">
        <f>IF(AND($T178=1,$U178=0,OR($I178&lt;&gt;"",N($N178)&gt;0)),N($N178)+ROW()/1000000,"")</f>
        <v/>
      </c>
      <c r="Z178" s="24">
        <f>IF(AND($T178=1,$U178=0,$I178="",N($N178)&lt;=0,-N($N178)&lt;=HORIZON),N($N178)+ROW()/1000000,"")</f>
        <v/>
      </c>
    </row>
    <row r="179">
      <c r="A179" s="21" t="n"/>
      <c r="B179" s="21" t="n"/>
      <c r="C179" s="21" t="n"/>
      <c r="D179" s="21" t="n"/>
      <c r="E179" s="21" t="n"/>
      <c r="F179" s="21" t="n"/>
      <c r="G179" s="21" t="n"/>
      <c r="H179" s="21" t="n"/>
      <c r="I179" s="22" t="n"/>
      <c r="J179" s="22" t="n"/>
      <c r="K179" s="23">
        <f>IF($A179="","",IF($J179&lt;&gt;"",$J179,$S179))</f>
        <v/>
      </c>
      <c r="L179" s="24">
        <f>IF(OR($A179="",$E179=""),"",IF($J179&lt;&gt;"","Manual",IF($S179="","-","Auto")))</f>
        <v/>
      </c>
      <c r="M179" s="22" t="n"/>
      <c r="N179" s="25">
        <f>IF($T179=0,"",IF($U179=1,IF($M179="","",$M179-$K179),IF($K179="","",TODAY()-$K179)))</f>
        <v/>
      </c>
      <c r="O179" s="24">
        <f>IF(OR($A179="",$E179=""),"",IF($V179=1,S_INACT,IF(ISNA(MATCH($A179,TYP_TYPE,0)),S_TYPEKO,IF($U179=1,S_DONE,IF(AND($K179="",$R179=""),S_NOSCOPE,IF($K179="",S_NOTARGET,IF($N179&gt;0,S_LATE,IF($I179&lt;&gt;"",S_WIP,IF(-$N179&lt;=FEN_DOC,S_RISK,IF(-$N179&lt;=HORIZON,S_COMING,S_NOTYET))))))))))</f>
        <v/>
      </c>
      <c r="P179" s="24">
        <f>IF(OR($A179="",$E179=""),"",IF($V179=1,"",IF(ISNA(MATCH($A179,TYP_TYPE,0)),"Type not in the library",IF($B179="","Scope not set",IF(AND($B179="System",$C179=""),"System not set",IF(AND($B179="Equipment",$D179=""),"Equipment not set",IF($F179="","Responsible not set",IF($K179="","No target date",IF(AND($B179="Equipment",$C179&lt;&gt;"",IFERROR(INDEX(EQP_SYS,MATCH($D179,EQP_NOM,0)),"")&lt;&gt;$C179),"Equipment not in that system",IF(AND($U179=1,$M179=""),"Approved with no approval date",""))))))))))</f>
        <v/>
      </c>
      <c r="Q179" s="21" t="n"/>
      <c r="R179" s="23">
        <f>IF(OR($A179="",$B179=""),"",IF($B179="Equipment",IFERROR(INDEX(EQP_START,MATCH($D179,EQP_NOM,0)),""),IF($B179="System",IFERROR(INDEX(SYS_EARLIEST,MATCH($C179,SYS_ID,0)),""),IF($B179="All",CTR_EARLIEST,""))))</f>
        <v/>
      </c>
      <c r="S179" s="23">
        <f>IF(OR($A179="",$E179=""),"",IFERROR(IF(INDEX(TYP_ANCHOR,MATCH($A179,TYP_TYPE,0))="Commissioning Start",IF($R179="","",$R179-INDEX(TYP_LEAD,MATCH($A179,TYP_TYPE,0))),IF(INDEX(MS_PLAN,MATCH(INDEX(TYP_ANCHOR,MATCH($A179,TYP_TYPE,0)),MS_NOM,0))="","",INDEX(MS_PLAN,MATCH(INDEX(TYP_ANCHOR,MATCH($A179,TYP_TYPE,0)),MS_NOM,0))-INDEX(TYP_LEAD,MATCH($A179,TYP_TYPE,0)))),""))</f>
        <v/>
      </c>
      <c r="T179" s="26">
        <f>IF(OR($A179="",$E179=""),0,IF($V179=1,0,1))</f>
        <v/>
      </c>
      <c r="U179" s="26">
        <f>IF($T179=0,0,IF($M179&lt;&gt;"",1,IF(IFERROR(INDEX(WF_CLASS,MATCH($H179,WF_CODE,0)),"")="Done",1,0)))</f>
        <v/>
      </c>
      <c r="V179" s="26">
        <f>IF(OR($A179="",$E179=""),0,IF(IFERROR(INDEX(WF_CLASS,MATCH($H179,WF_CODE,0)),"")="Inactive",1,0))</f>
        <v/>
      </c>
      <c r="W179" s="24">
        <f>IF($A179="","",IFERROR(INDEX(TYP_PHASE,MATCH($A179,TYP_TYPE,0)),"-"))</f>
        <v/>
      </c>
      <c r="X179" s="24">
        <f>IF(AND($T179=1,$U179=0,N($N179)&gt;0),$N179+ROW()/1000000,"")</f>
        <v/>
      </c>
      <c r="Y179" s="24">
        <f>IF(AND($T179=1,$U179=0,OR($I179&lt;&gt;"",N($N179)&gt;0)),N($N179)+ROW()/1000000,"")</f>
        <v/>
      </c>
      <c r="Z179" s="24">
        <f>IF(AND($T179=1,$U179=0,$I179="",N($N179)&lt;=0,-N($N179)&lt;=HORIZON),N($N179)+ROW()/1000000,"")</f>
        <v/>
      </c>
    </row>
    <row r="180">
      <c r="A180" s="21" t="n"/>
      <c r="B180" s="21" t="n"/>
      <c r="C180" s="21" t="n"/>
      <c r="D180" s="21" t="n"/>
      <c r="E180" s="21" t="n"/>
      <c r="F180" s="21" t="n"/>
      <c r="G180" s="21" t="n"/>
      <c r="H180" s="21" t="n"/>
      <c r="I180" s="22" t="n"/>
      <c r="J180" s="22" t="n"/>
      <c r="K180" s="23">
        <f>IF($A180="","",IF($J180&lt;&gt;"",$J180,$S180))</f>
        <v/>
      </c>
      <c r="L180" s="24">
        <f>IF(OR($A180="",$E180=""),"",IF($J180&lt;&gt;"","Manual",IF($S180="","-","Auto")))</f>
        <v/>
      </c>
      <c r="M180" s="22" t="n"/>
      <c r="N180" s="25">
        <f>IF($T180=0,"",IF($U180=1,IF($M180="","",$M180-$K180),IF($K180="","",TODAY()-$K180)))</f>
        <v/>
      </c>
      <c r="O180" s="24">
        <f>IF(OR($A180="",$E180=""),"",IF($V180=1,S_INACT,IF(ISNA(MATCH($A180,TYP_TYPE,0)),S_TYPEKO,IF($U180=1,S_DONE,IF(AND($K180="",$R180=""),S_NOSCOPE,IF($K180="",S_NOTARGET,IF($N180&gt;0,S_LATE,IF($I180&lt;&gt;"",S_WIP,IF(-$N180&lt;=FEN_DOC,S_RISK,IF(-$N180&lt;=HORIZON,S_COMING,S_NOTYET))))))))))</f>
        <v/>
      </c>
      <c r="P180" s="24">
        <f>IF(OR($A180="",$E180=""),"",IF($V180=1,"",IF(ISNA(MATCH($A180,TYP_TYPE,0)),"Type not in the library",IF($B180="","Scope not set",IF(AND($B180="System",$C180=""),"System not set",IF(AND($B180="Equipment",$D180=""),"Equipment not set",IF($F180="","Responsible not set",IF($K180="","No target date",IF(AND($B180="Equipment",$C180&lt;&gt;"",IFERROR(INDEX(EQP_SYS,MATCH($D180,EQP_NOM,0)),"")&lt;&gt;$C180),"Equipment not in that system",IF(AND($U180=1,$M180=""),"Approved with no approval date",""))))))))))</f>
        <v/>
      </c>
      <c r="Q180" s="21" t="n"/>
      <c r="R180" s="23">
        <f>IF(OR($A180="",$B180=""),"",IF($B180="Equipment",IFERROR(INDEX(EQP_START,MATCH($D180,EQP_NOM,0)),""),IF($B180="System",IFERROR(INDEX(SYS_EARLIEST,MATCH($C180,SYS_ID,0)),""),IF($B180="All",CTR_EARLIEST,""))))</f>
        <v/>
      </c>
      <c r="S180" s="23">
        <f>IF(OR($A180="",$E180=""),"",IFERROR(IF(INDEX(TYP_ANCHOR,MATCH($A180,TYP_TYPE,0))="Commissioning Start",IF($R180="","",$R180-INDEX(TYP_LEAD,MATCH($A180,TYP_TYPE,0))),IF(INDEX(MS_PLAN,MATCH(INDEX(TYP_ANCHOR,MATCH($A180,TYP_TYPE,0)),MS_NOM,0))="","",INDEX(MS_PLAN,MATCH(INDEX(TYP_ANCHOR,MATCH($A180,TYP_TYPE,0)),MS_NOM,0))-INDEX(TYP_LEAD,MATCH($A180,TYP_TYPE,0)))),""))</f>
        <v/>
      </c>
      <c r="T180" s="26">
        <f>IF(OR($A180="",$E180=""),0,IF($V180=1,0,1))</f>
        <v/>
      </c>
      <c r="U180" s="26">
        <f>IF($T180=0,0,IF($M180&lt;&gt;"",1,IF(IFERROR(INDEX(WF_CLASS,MATCH($H180,WF_CODE,0)),"")="Done",1,0)))</f>
        <v/>
      </c>
      <c r="V180" s="26">
        <f>IF(OR($A180="",$E180=""),0,IF(IFERROR(INDEX(WF_CLASS,MATCH($H180,WF_CODE,0)),"")="Inactive",1,0))</f>
        <v/>
      </c>
      <c r="W180" s="24">
        <f>IF($A180="","",IFERROR(INDEX(TYP_PHASE,MATCH($A180,TYP_TYPE,0)),"-"))</f>
        <v/>
      </c>
      <c r="X180" s="24">
        <f>IF(AND($T180=1,$U180=0,N($N180)&gt;0),$N180+ROW()/1000000,"")</f>
        <v/>
      </c>
      <c r="Y180" s="24">
        <f>IF(AND($T180=1,$U180=0,OR($I180&lt;&gt;"",N($N180)&gt;0)),N($N180)+ROW()/1000000,"")</f>
        <v/>
      </c>
      <c r="Z180" s="24">
        <f>IF(AND($T180=1,$U180=0,$I180="",N($N180)&lt;=0,-N($N180)&lt;=HORIZON),N($N180)+ROW()/1000000,"")</f>
        <v/>
      </c>
    </row>
    <row r="181">
      <c r="A181" s="21" t="n"/>
      <c r="B181" s="21" t="n"/>
      <c r="C181" s="21" t="n"/>
      <c r="D181" s="21" t="n"/>
      <c r="E181" s="21" t="n"/>
      <c r="F181" s="21" t="n"/>
      <c r="G181" s="21" t="n"/>
      <c r="H181" s="21" t="n"/>
      <c r="I181" s="22" t="n"/>
      <c r="J181" s="22" t="n"/>
      <c r="K181" s="23">
        <f>IF($A181="","",IF($J181&lt;&gt;"",$J181,$S181))</f>
        <v/>
      </c>
      <c r="L181" s="24">
        <f>IF(OR($A181="",$E181=""),"",IF($J181&lt;&gt;"","Manual",IF($S181="","-","Auto")))</f>
        <v/>
      </c>
      <c r="M181" s="22" t="n"/>
      <c r="N181" s="25">
        <f>IF($T181=0,"",IF($U181=1,IF($M181="","",$M181-$K181),IF($K181="","",TODAY()-$K181)))</f>
        <v/>
      </c>
      <c r="O181" s="24">
        <f>IF(OR($A181="",$E181=""),"",IF($V181=1,S_INACT,IF(ISNA(MATCH($A181,TYP_TYPE,0)),S_TYPEKO,IF($U181=1,S_DONE,IF(AND($K181="",$R181=""),S_NOSCOPE,IF($K181="",S_NOTARGET,IF($N181&gt;0,S_LATE,IF($I181&lt;&gt;"",S_WIP,IF(-$N181&lt;=FEN_DOC,S_RISK,IF(-$N181&lt;=HORIZON,S_COMING,S_NOTYET))))))))))</f>
        <v/>
      </c>
      <c r="P181" s="24">
        <f>IF(OR($A181="",$E181=""),"",IF($V181=1,"",IF(ISNA(MATCH($A181,TYP_TYPE,0)),"Type not in the library",IF($B181="","Scope not set",IF(AND($B181="System",$C181=""),"System not set",IF(AND($B181="Equipment",$D181=""),"Equipment not set",IF($F181="","Responsible not set",IF($K181="","No target date",IF(AND($B181="Equipment",$C181&lt;&gt;"",IFERROR(INDEX(EQP_SYS,MATCH($D181,EQP_NOM,0)),"")&lt;&gt;$C181),"Equipment not in that system",IF(AND($U181=1,$M181=""),"Approved with no approval date",""))))))))))</f>
        <v/>
      </c>
      <c r="Q181" s="21" t="n"/>
      <c r="R181" s="23">
        <f>IF(OR($A181="",$B181=""),"",IF($B181="Equipment",IFERROR(INDEX(EQP_START,MATCH($D181,EQP_NOM,0)),""),IF($B181="System",IFERROR(INDEX(SYS_EARLIEST,MATCH($C181,SYS_ID,0)),""),IF($B181="All",CTR_EARLIEST,""))))</f>
        <v/>
      </c>
      <c r="S181" s="23">
        <f>IF(OR($A181="",$E181=""),"",IFERROR(IF(INDEX(TYP_ANCHOR,MATCH($A181,TYP_TYPE,0))="Commissioning Start",IF($R181="","",$R181-INDEX(TYP_LEAD,MATCH($A181,TYP_TYPE,0))),IF(INDEX(MS_PLAN,MATCH(INDEX(TYP_ANCHOR,MATCH($A181,TYP_TYPE,0)),MS_NOM,0))="","",INDEX(MS_PLAN,MATCH(INDEX(TYP_ANCHOR,MATCH($A181,TYP_TYPE,0)),MS_NOM,0))-INDEX(TYP_LEAD,MATCH($A181,TYP_TYPE,0)))),""))</f>
        <v/>
      </c>
      <c r="T181" s="26">
        <f>IF(OR($A181="",$E181=""),0,IF($V181=1,0,1))</f>
        <v/>
      </c>
      <c r="U181" s="26">
        <f>IF($T181=0,0,IF($M181&lt;&gt;"",1,IF(IFERROR(INDEX(WF_CLASS,MATCH($H181,WF_CODE,0)),"")="Done",1,0)))</f>
        <v/>
      </c>
      <c r="V181" s="26">
        <f>IF(OR($A181="",$E181=""),0,IF(IFERROR(INDEX(WF_CLASS,MATCH($H181,WF_CODE,0)),"")="Inactive",1,0))</f>
        <v/>
      </c>
      <c r="W181" s="24">
        <f>IF($A181="","",IFERROR(INDEX(TYP_PHASE,MATCH($A181,TYP_TYPE,0)),"-"))</f>
        <v/>
      </c>
      <c r="X181" s="24">
        <f>IF(AND($T181=1,$U181=0,N($N181)&gt;0),$N181+ROW()/1000000,"")</f>
        <v/>
      </c>
      <c r="Y181" s="24">
        <f>IF(AND($T181=1,$U181=0,OR($I181&lt;&gt;"",N($N181)&gt;0)),N($N181)+ROW()/1000000,"")</f>
        <v/>
      </c>
      <c r="Z181" s="24">
        <f>IF(AND($T181=1,$U181=0,$I181="",N($N181)&lt;=0,-N($N181)&lt;=HORIZON),N($N181)+ROW()/1000000,"")</f>
        <v/>
      </c>
    </row>
    <row r="182">
      <c r="A182" s="21" t="n"/>
      <c r="B182" s="21" t="n"/>
      <c r="C182" s="21" t="n"/>
      <c r="D182" s="21" t="n"/>
      <c r="E182" s="21" t="n"/>
      <c r="F182" s="21" t="n"/>
      <c r="G182" s="21" t="n"/>
      <c r="H182" s="21" t="n"/>
      <c r="I182" s="22" t="n"/>
      <c r="J182" s="22" t="n"/>
      <c r="K182" s="23">
        <f>IF($A182="","",IF($J182&lt;&gt;"",$J182,$S182))</f>
        <v/>
      </c>
      <c r="L182" s="24">
        <f>IF(OR($A182="",$E182=""),"",IF($J182&lt;&gt;"","Manual",IF($S182="","-","Auto")))</f>
        <v/>
      </c>
      <c r="M182" s="22" t="n"/>
      <c r="N182" s="25">
        <f>IF($T182=0,"",IF($U182=1,IF($M182="","",$M182-$K182),IF($K182="","",TODAY()-$K182)))</f>
        <v/>
      </c>
      <c r="O182" s="24">
        <f>IF(OR($A182="",$E182=""),"",IF($V182=1,S_INACT,IF(ISNA(MATCH($A182,TYP_TYPE,0)),S_TYPEKO,IF($U182=1,S_DONE,IF(AND($K182="",$R182=""),S_NOSCOPE,IF($K182="",S_NOTARGET,IF($N182&gt;0,S_LATE,IF($I182&lt;&gt;"",S_WIP,IF(-$N182&lt;=FEN_DOC,S_RISK,IF(-$N182&lt;=HORIZON,S_COMING,S_NOTYET))))))))))</f>
        <v/>
      </c>
      <c r="P182" s="24">
        <f>IF(OR($A182="",$E182=""),"",IF($V182=1,"",IF(ISNA(MATCH($A182,TYP_TYPE,0)),"Type not in the library",IF($B182="","Scope not set",IF(AND($B182="System",$C182=""),"System not set",IF(AND($B182="Equipment",$D182=""),"Equipment not set",IF($F182="","Responsible not set",IF($K182="","No target date",IF(AND($B182="Equipment",$C182&lt;&gt;"",IFERROR(INDEX(EQP_SYS,MATCH($D182,EQP_NOM,0)),"")&lt;&gt;$C182),"Equipment not in that system",IF(AND($U182=1,$M182=""),"Approved with no approval date",""))))))))))</f>
        <v/>
      </c>
      <c r="Q182" s="21" t="n"/>
      <c r="R182" s="23">
        <f>IF(OR($A182="",$B182=""),"",IF($B182="Equipment",IFERROR(INDEX(EQP_START,MATCH($D182,EQP_NOM,0)),""),IF($B182="System",IFERROR(INDEX(SYS_EARLIEST,MATCH($C182,SYS_ID,0)),""),IF($B182="All",CTR_EARLIEST,""))))</f>
        <v/>
      </c>
      <c r="S182" s="23">
        <f>IF(OR($A182="",$E182=""),"",IFERROR(IF(INDEX(TYP_ANCHOR,MATCH($A182,TYP_TYPE,0))="Commissioning Start",IF($R182="","",$R182-INDEX(TYP_LEAD,MATCH($A182,TYP_TYPE,0))),IF(INDEX(MS_PLAN,MATCH(INDEX(TYP_ANCHOR,MATCH($A182,TYP_TYPE,0)),MS_NOM,0))="","",INDEX(MS_PLAN,MATCH(INDEX(TYP_ANCHOR,MATCH($A182,TYP_TYPE,0)),MS_NOM,0))-INDEX(TYP_LEAD,MATCH($A182,TYP_TYPE,0)))),""))</f>
        <v/>
      </c>
      <c r="T182" s="26">
        <f>IF(OR($A182="",$E182=""),0,IF($V182=1,0,1))</f>
        <v/>
      </c>
      <c r="U182" s="26">
        <f>IF($T182=0,0,IF($M182&lt;&gt;"",1,IF(IFERROR(INDEX(WF_CLASS,MATCH($H182,WF_CODE,0)),"")="Done",1,0)))</f>
        <v/>
      </c>
      <c r="V182" s="26">
        <f>IF(OR($A182="",$E182=""),0,IF(IFERROR(INDEX(WF_CLASS,MATCH($H182,WF_CODE,0)),"")="Inactive",1,0))</f>
        <v/>
      </c>
      <c r="W182" s="24">
        <f>IF($A182="","",IFERROR(INDEX(TYP_PHASE,MATCH($A182,TYP_TYPE,0)),"-"))</f>
        <v/>
      </c>
      <c r="X182" s="24">
        <f>IF(AND($T182=1,$U182=0,N($N182)&gt;0),$N182+ROW()/1000000,"")</f>
        <v/>
      </c>
      <c r="Y182" s="24">
        <f>IF(AND($T182=1,$U182=0,OR($I182&lt;&gt;"",N($N182)&gt;0)),N($N182)+ROW()/1000000,"")</f>
        <v/>
      </c>
      <c r="Z182" s="24">
        <f>IF(AND($T182=1,$U182=0,$I182="",N($N182)&lt;=0,-N($N182)&lt;=HORIZON),N($N182)+ROW()/1000000,"")</f>
        <v/>
      </c>
    </row>
    <row r="183">
      <c r="A183" s="21" t="n"/>
      <c r="B183" s="21" t="n"/>
      <c r="C183" s="21" t="n"/>
      <c r="D183" s="21" t="n"/>
      <c r="E183" s="21" t="n"/>
      <c r="F183" s="21" t="n"/>
      <c r="G183" s="21" t="n"/>
      <c r="H183" s="21" t="n"/>
      <c r="I183" s="22" t="n"/>
      <c r="J183" s="22" t="n"/>
      <c r="K183" s="23">
        <f>IF($A183="","",IF($J183&lt;&gt;"",$J183,$S183))</f>
        <v/>
      </c>
      <c r="L183" s="24">
        <f>IF(OR($A183="",$E183=""),"",IF($J183&lt;&gt;"","Manual",IF($S183="","-","Auto")))</f>
        <v/>
      </c>
      <c r="M183" s="22" t="n"/>
      <c r="N183" s="25">
        <f>IF($T183=0,"",IF($U183=1,IF($M183="","",$M183-$K183),IF($K183="","",TODAY()-$K183)))</f>
        <v/>
      </c>
      <c r="O183" s="24">
        <f>IF(OR($A183="",$E183=""),"",IF($V183=1,S_INACT,IF(ISNA(MATCH($A183,TYP_TYPE,0)),S_TYPEKO,IF($U183=1,S_DONE,IF(AND($K183="",$R183=""),S_NOSCOPE,IF($K183="",S_NOTARGET,IF($N183&gt;0,S_LATE,IF($I183&lt;&gt;"",S_WIP,IF(-$N183&lt;=FEN_DOC,S_RISK,IF(-$N183&lt;=HORIZON,S_COMING,S_NOTYET))))))))))</f>
        <v/>
      </c>
      <c r="P183" s="24">
        <f>IF(OR($A183="",$E183=""),"",IF($V183=1,"",IF(ISNA(MATCH($A183,TYP_TYPE,0)),"Type not in the library",IF($B183="","Scope not set",IF(AND($B183="System",$C183=""),"System not set",IF(AND($B183="Equipment",$D183=""),"Equipment not set",IF($F183="","Responsible not set",IF($K183="","No target date",IF(AND($B183="Equipment",$C183&lt;&gt;"",IFERROR(INDEX(EQP_SYS,MATCH($D183,EQP_NOM,0)),"")&lt;&gt;$C183),"Equipment not in that system",IF(AND($U183=1,$M183=""),"Approved with no approval date",""))))))))))</f>
        <v/>
      </c>
      <c r="Q183" s="21" t="n"/>
      <c r="R183" s="23">
        <f>IF(OR($A183="",$B183=""),"",IF($B183="Equipment",IFERROR(INDEX(EQP_START,MATCH($D183,EQP_NOM,0)),""),IF($B183="System",IFERROR(INDEX(SYS_EARLIEST,MATCH($C183,SYS_ID,0)),""),IF($B183="All",CTR_EARLIEST,""))))</f>
        <v/>
      </c>
      <c r="S183" s="23">
        <f>IF(OR($A183="",$E183=""),"",IFERROR(IF(INDEX(TYP_ANCHOR,MATCH($A183,TYP_TYPE,0))="Commissioning Start",IF($R183="","",$R183-INDEX(TYP_LEAD,MATCH($A183,TYP_TYPE,0))),IF(INDEX(MS_PLAN,MATCH(INDEX(TYP_ANCHOR,MATCH($A183,TYP_TYPE,0)),MS_NOM,0))="","",INDEX(MS_PLAN,MATCH(INDEX(TYP_ANCHOR,MATCH($A183,TYP_TYPE,0)),MS_NOM,0))-INDEX(TYP_LEAD,MATCH($A183,TYP_TYPE,0)))),""))</f>
        <v/>
      </c>
      <c r="T183" s="26">
        <f>IF(OR($A183="",$E183=""),0,IF($V183=1,0,1))</f>
        <v/>
      </c>
      <c r="U183" s="26">
        <f>IF($T183=0,0,IF($M183&lt;&gt;"",1,IF(IFERROR(INDEX(WF_CLASS,MATCH($H183,WF_CODE,0)),"")="Done",1,0)))</f>
        <v/>
      </c>
      <c r="V183" s="26">
        <f>IF(OR($A183="",$E183=""),0,IF(IFERROR(INDEX(WF_CLASS,MATCH($H183,WF_CODE,0)),"")="Inactive",1,0))</f>
        <v/>
      </c>
      <c r="W183" s="24">
        <f>IF($A183="","",IFERROR(INDEX(TYP_PHASE,MATCH($A183,TYP_TYPE,0)),"-"))</f>
        <v/>
      </c>
      <c r="X183" s="24">
        <f>IF(AND($T183=1,$U183=0,N($N183)&gt;0),$N183+ROW()/1000000,"")</f>
        <v/>
      </c>
      <c r="Y183" s="24">
        <f>IF(AND($T183=1,$U183=0,OR($I183&lt;&gt;"",N($N183)&gt;0)),N($N183)+ROW()/1000000,"")</f>
        <v/>
      </c>
      <c r="Z183" s="24">
        <f>IF(AND($T183=1,$U183=0,$I183="",N($N183)&lt;=0,-N($N183)&lt;=HORIZON),N($N183)+ROW()/1000000,"")</f>
        <v/>
      </c>
    </row>
    <row r="184">
      <c r="A184" s="21" t="n"/>
      <c r="B184" s="21" t="n"/>
      <c r="C184" s="21" t="n"/>
      <c r="D184" s="21" t="n"/>
      <c r="E184" s="21" t="n"/>
      <c r="F184" s="21" t="n"/>
      <c r="G184" s="21" t="n"/>
      <c r="H184" s="21" t="n"/>
      <c r="I184" s="22" t="n"/>
      <c r="J184" s="22" t="n"/>
      <c r="K184" s="23">
        <f>IF($A184="","",IF($J184&lt;&gt;"",$J184,$S184))</f>
        <v/>
      </c>
      <c r="L184" s="24">
        <f>IF(OR($A184="",$E184=""),"",IF($J184&lt;&gt;"","Manual",IF($S184="","-","Auto")))</f>
        <v/>
      </c>
      <c r="M184" s="22" t="n"/>
      <c r="N184" s="25">
        <f>IF($T184=0,"",IF($U184=1,IF($M184="","",$M184-$K184),IF($K184="","",TODAY()-$K184)))</f>
        <v/>
      </c>
      <c r="O184" s="24">
        <f>IF(OR($A184="",$E184=""),"",IF($V184=1,S_INACT,IF(ISNA(MATCH($A184,TYP_TYPE,0)),S_TYPEKO,IF($U184=1,S_DONE,IF(AND($K184="",$R184=""),S_NOSCOPE,IF($K184="",S_NOTARGET,IF($N184&gt;0,S_LATE,IF($I184&lt;&gt;"",S_WIP,IF(-$N184&lt;=FEN_DOC,S_RISK,IF(-$N184&lt;=HORIZON,S_COMING,S_NOTYET))))))))))</f>
        <v/>
      </c>
      <c r="P184" s="24">
        <f>IF(OR($A184="",$E184=""),"",IF($V184=1,"",IF(ISNA(MATCH($A184,TYP_TYPE,0)),"Type not in the library",IF($B184="","Scope not set",IF(AND($B184="System",$C184=""),"System not set",IF(AND($B184="Equipment",$D184=""),"Equipment not set",IF($F184="","Responsible not set",IF($K184="","No target date",IF(AND($B184="Equipment",$C184&lt;&gt;"",IFERROR(INDEX(EQP_SYS,MATCH($D184,EQP_NOM,0)),"")&lt;&gt;$C184),"Equipment not in that system",IF(AND($U184=1,$M184=""),"Approved with no approval date",""))))))))))</f>
        <v/>
      </c>
      <c r="Q184" s="21" t="n"/>
      <c r="R184" s="23">
        <f>IF(OR($A184="",$B184=""),"",IF($B184="Equipment",IFERROR(INDEX(EQP_START,MATCH($D184,EQP_NOM,0)),""),IF($B184="System",IFERROR(INDEX(SYS_EARLIEST,MATCH($C184,SYS_ID,0)),""),IF($B184="All",CTR_EARLIEST,""))))</f>
        <v/>
      </c>
      <c r="S184" s="23">
        <f>IF(OR($A184="",$E184=""),"",IFERROR(IF(INDEX(TYP_ANCHOR,MATCH($A184,TYP_TYPE,0))="Commissioning Start",IF($R184="","",$R184-INDEX(TYP_LEAD,MATCH($A184,TYP_TYPE,0))),IF(INDEX(MS_PLAN,MATCH(INDEX(TYP_ANCHOR,MATCH($A184,TYP_TYPE,0)),MS_NOM,0))="","",INDEX(MS_PLAN,MATCH(INDEX(TYP_ANCHOR,MATCH($A184,TYP_TYPE,0)),MS_NOM,0))-INDEX(TYP_LEAD,MATCH($A184,TYP_TYPE,0)))),""))</f>
        <v/>
      </c>
      <c r="T184" s="26">
        <f>IF(OR($A184="",$E184=""),0,IF($V184=1,0,1))</f>
        <v/>
      </c>
      <c r="U184" s="26">
        <f>IF($T184=0,0,IF($M184&lt;&gt;"",1,IF(IFERROR(INDEX(WF_CLASS,MATCH($H184,WF_CODE,0)),"")="Done",1,0)))</f>
        <v/>
      </c>
      <c r="V184" s="26">
        <f>IF(OR($A184="",$E184=""),0,IF(IFERROR(INDEX(WF_CLASS,MATCH($H184,WF_CODE,0)),"")="Inactive",1,0))</f>
        <v/>
      </c>
      <c r="W184" s="24">
        <f>IF($A184="","",IFERROR(INDEX(TYP_PHASE,MATCH($A184,TYP_TYPE,0)),"-"))</f>
        <v/>
      </c>
      <c r="X184" s="24">
        <f>IF(AND($T184=1,$U184=0,N($N184)&gt;0),$N184+ROW()/1000000,"")</f>
        <v/>
      </c>
      <c r="Y184" s="24">
        <f>IF(AND($T184=1,$U184=0,OR($I184&lt;&gt;"",N($N184)&gt;0)),N($N184)+ROW()/1000000,"")</f>
        <v/>
      </c>
      <c r="Z184" s="24">
        <f>IF(AND($T184=1,$U184=0,$I184="",N($N184)&lt;=0,-N($N184)&lt;=HORIZON),N($N184)+ROW()/1000000,"")</f>
        <v/>
      </c>
    </row>
    <row r="185">
      <c r="A185" s="21" t="n"/>
      <c r="B185" s="21" t="n"/>
      <c r="C185" s="21" t="n"/>
      <c r="D185" s="21" t="n"/>
      <c r="E185" s="21" t="n"/>
      <c r="F185" s="21" t="n"/>
      <c r="G185" s="21" t="n"/>
      <c r="H185" s="21" t="n"/>
      <c r="I185" s="22" t="n"/>
      <c r="J185" s="22" t="n"/>
      <c r="K185" s="23">
        <f>IF($A185="","",IF($J185&lt;&gt;"",$J185,$S185))</f>
        <v/>
      </c>
      <c r="L185" s="24">
        <f>IF(OR($A185="",$E185=""),"",IF($J185&lt;&gt;"","Manual",IF($S185="","-","Auto")))</f>
        <v/>
      </c>
      <c r="M185" s="22" t="n"/>
      <c r="N185" s="25">
        <f>IF($T185=0,"",IF($U185=1,IF($M185="","",$M185-$K185),IF($K185="","",TODAY()-$K185)))</f>
        <v/>
      </c>
      <c r="O185" s="24">
        <f>IF(OR($A185="",$E185=""),"",IF($V185=1,S_INACT,IF(ISNA(MATCH($A185,TYP_TYPE,0)),S_TYPEKO,IF($U185=1,S_DONE,IF(AND($K185="",$R185=""),S_NOSCOPE,IF($K185="",S_NOTARGET,IF($N185&gt;0,S_LATE,IF($I185&lt;&gt;"",S_WIP,IF(-$N185&lt;=FEN_DOC,S_RISK,IF(-$N185&lt;=HORIZON,S_COMING,S_NOTYET))))))))))</f>
        <v/>
      </c>
      <c r="P185" s="24">
        <f>IF(OR($A185="",$E185=""),"",IF($V185=1,"",IF(ISNA(MATCH($A185,TYP_TYPE,0)),"Type not in the library",IF($B185="","Scope not set",IF(AND($B185="System",$C185=""),"System not set",IF(AND($B185="Equipment",$D185=""),"Equipment not set",IF($F185="","Responsible not set",IF($K185="","No target date",IF(AND($B185="Equipment",$C185&lt;&gt;"",IFERROR(INDEX(EQP_SYS,MATCH($D185,EQP_NOM,0)),"")&lt;&gt;$C185),"Equipment not in that system",IF(AND($U185=1,$M185=""),"Approved with no approval date",""))))))))))</f>
        <v/>
      </c>
      <c r="Q185" s="21" t="n"/>
      <c r="R185" s="23">
        <f>IF(OR($A185="",$B185=""),"",IF($B185="Equipment",IFERROR(INDEX(EQP_START,MATCH($D185,EQP_NOM,0)),""),IF($B185="System",IFERROR(INDEX(SYS_EARLIEST,MATCH($C185,SYS_ID,0)),""),IF($B185="All",CTR_EARLIEST,""))))</f>
        <v/>
      </c>
      <c r="S185" s="23">
        <f>IF(OR($A185="",$E185=""),"",IFERROR(IF(INDEX(TYP_ANCHOR,MATCH($A185,TYP_TYPE,0))="Commissioning Start",IF($R185="","",$R185-INDEX(TYP_LEAD,MATCH($A185,TYP_TYPE,0))),IF(INDEX(MS_PLAN,MATCH(INDEX(TYP_ANCHOR,MATCH($A185,TYP_TYPE,0)),MS_NOM,0))="","",INDEX(MS_PLAN,MATCH(INDEX(TYP_ANCHOR,MATCH($A185,TYP_TYPE,0)),MS_NOM,0))-INDEX(TYP_LEAD,MATCH($A185,TYP_TYPE,0)))),""))</f>
        <v/>
      </c>
      <c r="T185" s="26">
        <f>IF(OR($A185="",$E185=""),0,IF($V185=1,0,1))</f>
        <v/>
      </c>
      <c r="U185" s="26">
        <f>IF($T185=0,0,IF($M185&lt;&gt;"",1,IF(IFERROR(INDEX(WF_CLASS,MATCH($H185,WF_CODE,0)),"")="Done",1,0)))</f>
        <v/>
      </c>
      <c r="V185" s="26">
        <f>IF(OR($A185="",$E185=""),0,IF(IFERROR(INDEX(WF_CLASS,MATCH($H185,WF_CODE,0)),"")="Inactive",1,0))</f>
        <v/>
      </c>
      <c r="W185" s="24">
        <f>IF($A185="","",IFERROR(INDEX(TYP_PHASE,MATCH($A185,TYP_TYPE,0)),"-"))</f>
        <v/>
      </c>
      <c r="X185" s="24">
        <f>IF(AND($T185=1,$U185=0,N($N185)&gt;0),$N185+ROW()/1000000,"")</f>
        <v/>
      </c>
      <c r="Y185" s="24">
        <f>IF(AND($T185=1,$U185=0,OR($I185&lt;&gt;"",N($N185)&gt;0)),N($N185)+ROW()/1000000,"")</f>
        <v/>
      </c>
      <c r="Z185" s="24">
        <f>IF(AND($T185=1,$U185=0,$I185="",N($N185)&lt;=0,-N($N185)&lt;=HORIZON),N($N185)+ROW()/1000000,"")</f>
        <v/>
      </c>
    </row>
    <row r="186">
      <c r="A186" s="21" t="n"/>
      <c r="B186" s="21" t="n"/>
      <c r="C186" s="21" t="n"/>
      <c r="D186" s="21" t="n"/>
      <c r="E186" s="21" t="n"/>
      <c r="F186" s="21" t="n"/>
      <c r="G186" s="21" t="n"/>
      <c r="H186" s="21" t="n"/>
      <c r="I186" s="22" t="n"/>
      <c r="J186" s="22" t="n"/>
      <c r="K186" s="23">
        <f>IF($A186="","",IF($J186&lt;&gt;"",$J186,$S186))</f>
        <v/>
      </c>
      <c r="L186" s="24">
        <f>IF(OR($A186="",$E186=""),"",IF($J186&lt;&gt;"","Manual",IF($S186="","-","Auto")))</f>
        <v/>
      </c>
      <c r="M186" s="22" t="n"/>
      <c r="N186" s="25">
        <f>IF($T186=0,"",IF($U186=1,IF($M186="","",$M186-$K186),IF($K186="","",TODAY()-$K186)))</f>
        <v/>
      </c>
      <c r="O186" s="24">
        <f>IF(OR($A186="",$E186=""),"",IF($V186=1,S_INACT,IF(ISNA(MATCH($A186,TYP_TYPE,0)),S_TYPEKO,IF($U186=1,S_DONE,IF(AND($K186="",$R186=""),S_NOSCOPE,IF($K186="",S_NOTARGET,IF($N186&gt;0,S_LATE,IF($I186&lt;&gt;"",S_WIP,IF(-$N186&lt;=FEN_DOC,S_RISK,IF(-$N186&lt;=HORIZON,S_COMING,S_NOTYET))))))))))</f>
        <v/>
      </c>
      <c r="P186" s="24">
        <f>IF(OR($A186="",$E186=""),"",IF($V186=1,"",IF(ISNA(MATCH($A186,TYP_TYPE,0)),"Type not in the library",IF($B186="","Scope not set",IF(AND($B186="System",$C186=""),"System not set",IF(AND($B186="Equipment",$D186=""),"Equipment not set",IF($F186="","Responsible not set",IF($K186="","No target date",IF(AND($B186="Equipment",$C186&lt;&gt;"",IFERROR(INDEX(EQP_SYS,MATCH($D186,EQP_NOM,0)),"")&lt;&gt;$C186),"Equipment not in that system",IF(AND($U186=1,$M186=""),"Approved with no approval date",""))))))))))</f>
        <v/>
      </c>
      <c r="Q186" s="21" t="n"/>
      <c r="R186" s="23">
        <f>IF(OR($A186="",$B186=""),"",IF($B186="Equipment",IFERROR(INDEX(EQP_START,MATCH($D186,EQP_NOM,0)),""),IF($B186="System",IFERROR(INDEX(SYS_EARLIEST,MATCH($C186,SYS_ID,0)),""),IF($B186="All",CTR_EARLIEST,""))))</f>
        <v/>
      </c>
      <c r="S186" s="23">
        <f>IF(OR($A186="",$E186=""),"",IFERROR(IF(INDEX(TYP_ANCHOR,MATCH($A186,TYP_TYPE,0))="Commissioning Start",IF($R186="","",$R186-INDEX(TYP_LEAD,MATCH($A186,TYP_TYPE,0))),IF(INDEX(MS_PLAN,MATCH(INDEX(TYP_ANCHOR,MATCH($A186,TYP_TYPE,0)),MS_NOM,0))="","",INDEX(MS_PLAN,MATCH(INDEX(TYP_ANCHOR,MATCH($A186,TYP_TYPE,0)),MS_NOM,0))-INDEX(TYP_LEAD,MATCH($A186,TYP_TYPE,0)))),""))</f>
        <v/>
      </c>
      <c r="T186" s="26">
        <f>IF(OR($A186="",$E186=""),0,IF($V186=1,0,1))</f>
        <v/>
      </c>
      <c r="U186" s="26">
        <f>IF($T186=0,0,IF($M186&lt;&gt;"",1,IF(IFERROR(INDEX(WF_CLASS,MATCH($H186,WF_CODE,0)),"")="Done",1,0)))</f>
        <v/>
      </c>
      <c r="V186" s="26">
        <f>IF(OR($A186="",$E186=""),0,IF(IFERROR(INDEX(WF_CLASS,MATCH($H186,WF_CODE,0)),"")="Inactive",1,0))</f>
        <v/>
      </c>
      <c r="W186" s="24">
        <f>IF($A186="","",IFERROR(INDEX(TYP_PHASE,MATCH($A186,TYP_TYPE,0)),"-"))</f>
        <v/>
      </c>
      <c r="X186" s="24">
        <f>IF(AND($T186=1,$U186=0,N($N186)&gt;0),$N186+ROW()/1000000,"")</f>
        <v/>
      </c>
      <c r="Y186" s="24">
        <f>IF(AND($T186=1,$U186=0,OR($I186&lt;&gt;"",N($N186)&gt;0)),N($N186)+ROW()/1000000,"")</f>
        <v/>
      </c>
      <c r="Z186" s="24">
        <f>IF(AND($T186=1,$U186=0,$I186="",N($N186)&lt;=0,-N($N186)&lt;=HORIZON),N($N186)+ROW()/1000000,"")</f>
        <v/>
      </c>
    </row>
    <row r="187">
      <c r="A187" s="21" t="n"/>
      <c r="B187" s="21" t="n"/>
      <c r="C187" s="21" t="n"/>
      <c r="D187" s="21" t="n"/>
      <c r="E187" s="21" t="n"/>
      <c r="F187" s="21" t="n"/>
      <c r="G187" s="21" t="n"/>
      <c r="H187" s="21" t="n"/>
      <c r="I187" s="22" t="n"/>
      <c r="J187" s="22" t="n"/>
      <c r="K187" s="23">
        <f>IF($A187="","",IF($J187&lt;&gt;"",$J187,$S187))</f>
        <v/>
      </c>
      <c r="L187" s="24">
        <f>IF(OR($A187="",$E187=""),"",IF($J187&lt;&gt;"","Manual",IF($S187="","-","Auto")))</f>
        <v/>
      </c>
      <c r="M187" s="22" t="n"/>
      <c r="N187" s="25">
        <f>IF($T187=0,"",IF($U187=1,IF($M187="","",$M187-$K187),IF($K187="","",TODAY()-$K187)))</f>
        <v/>
      </c>
      <c r="O187" s="24">
        <f>IF(OR($A187="",$E187=""),"",IF($V187=1,S_INACT,IF(ISNA(MATCH($A187,TYP_TYPE,0)),S_TYPEKO,IF($U187=1,S_DONE,IF(AND($K187="",$R187=""),S_NOSCOPE,IF($K187="",S_NOTARGET,IF($N187&gt;0,S_LATE,IF($I187&lt;&gt;"",S_WIP,IF(-$N187&lt;=FEN_DOC,S_RISK,IF(-$N187&lt;=HORIZON,S_COMING,S_NOTYET))))))))))</f>
        <v/>
      </c>
      <c r="P187" s="24">
        <f>IF(OR($A187="",$E187=""),"",IF($V187=1,"",IF(ISNA(MATCH($A187,TYP_TYPE,0)),"Type not in the library",IF($B187="","Scope not set",IF(AND($B187="System",$C187=""),"System not set",IF(AND($B187="Equipment",$D187=""),"Equipment not set",IF($F187="","Responsible not set",IF($K187="","No target date",IF(AND($B187="Equipment",$C187&lt;&gt;"",IFERROR(INDEX(EQP_SYS,MATCH($D187,EQP_NOM,0)),"")&lt;&gt;$C187),"Equipment not in that system",IF(AND($U187=1,$M187=""),"Approved with no approval date",""))))))))))</f>
        <v/>
      </c>
      <c r="Q187" s="21" t="n"/>
      <c r="R187" s="23">
        <f>IF(OR($A187="",$B187=""),"",IF($B187="Equipment",IFERROR(INDEX(EQP_START,MATCH($D187,EQP_NOM,0)),""),IF($B187="System",IFERROR(INDEX(SYS_EARLIEST,MATCH($C187,SYS_ID,0)),""),IF($B187="All",CTR_EARLIEST,""))))</f>
        <v/>
      </c>
      <c r="S187" s="23">
        <f>IF(OR($A187="",$E187=""),"",IFERROR(IF(INDEX(TYP_ANCHOR,MATCH($A187,TYP_TYPE,0))="Commissioning Start",IF($R187="","",$R187-INDEX(TYP_LEAD,MATCH($A187,TYP_TYPE,0))),IF(INDEX(MS_PLAN,MATCH(INDEX(TYP_ANCHOR,MATCH($A187,TYP_TYPE,0)),MS_NOM,0))="","",INDEX(MS_PLAN,MATCH(INDEX(TYP_ANCHOR,MATCH($A187,TYP_TYPE,0)),MS_NOM,0))-INDEX(TYP_LEAD,MATCH($A187,TYP_TYPE,0)))),""))</f>
        <v/>
      </c>
      <c r="T187" s="26">
        <f>IF(OR($A187="",$E187=""),0,IF($V187=1,0,1))</f>
        <v/>
      </c>
      <c r="U187" s="26">
        <f>IF($T187=0,0,IF($M187&lt;&gt;"",1,IF(IFERROR(INDEX(WF_CLASS,MATCH($H187,WF_CODE,0)),"")="Done",1,0)))</f>
        <v/>
      </c>
      <c r="V187" s="26">
        <f>IF(OR($A187="",$E187=""),0,IF(IFERROR(INDEX(WF_CLASS,MATCH($H187,WF_CODE,0)),"")="Inactive",1,0))</f>
        <v/>
      </c>
      <c r="W187" s="24">
        <f>IF($A187="","",IFERROR(INDEX(TYP_PHASE,MATCH($A187,TYP_TYPE,0)),"-"))</f>
        <v/>
      </c>
      <c r="X187" s="24">
        <f>IF(AND($T187=1,$U187=0,N($N187)&gt;0),$N187+ROW()/1000000,"")</f>
        <v/>
      </c>
      <c r="Y187" s="24">
        <f>IF(AND($T187=1,$U187=0,OR($I187&lt;&gt;"",N($N187)&gt;0)),N($N187)+ROW()/1000000,"")</f>
        <v/>
      </c>
      <c r="Z187" s="24">
        <f>IF(AND($T187=1,$U187=0,$I187="",N($N187)&lt;=0,-N($N187)&lt;=HORIZON),N($N187)+ROW()/1000000,"")</f>
        <v/>
      </c>
    </row>
    <row r="188">
      <c r="A188" s="21" t="n"/>
      <c r="B188" s="21" t="n"/>
      <c r="C188" s="21" t="n"/>
      <c r="D188" s="21" t="n"/>
      <c r="E188" s="21" t="n"/>
      <c r="F188" s="21" t="n"/>
      <c r="G188" s="21" t="n"/>
      <c r="H188" s="21" t="n"/>
      <c r="I188" s="22" t="n"/>
      <c r="J188" s="22" t="n"/>
      <c r="K188" s="23">
        <f>IF($A188="","",IF($J188&lt;&gt;"",$J188,$S188))</f>
        <v/>
      </c>
      <c r="L188" s="24">
        <f>IF(OR($A188="",$E188=""),"",IF($J188&lt;&gt;"","Manual",IF($S188="","-","Auto")))</f>
        <v/>
      </c>
      <c r="M188" s="22" t="n"/>
      <c r="N188" s="25">
        <f>IF($T188=0,"",IF($U188=1,IF($M188="","",$M188-$K188),IF($K188="","",TODAY()-$K188)))</f>
        <v/>
      </c>
      <c r="O188" s="24">
        <f>IF(OR($A188="",$E188=""),"",IF($V188=1,S_INACT,IF(ISNA(MATCH($A188,TYP_TYPE,0)),S_TYPEKO,IF($U188=1,S_DONE,IF(AND($K188="",$R188=""),S_NOSCOPE,IF($K188="",S_NOTARGET,IF($N188&gt;0,S_LATE,IF($I188&lt;&gt;"",S_WIP,IF(-$N188&lt;=FEN_DOC,S_RISK,IF(-$N188&lt;=HORIZON,S_COMING,S_NOTYET))))))))))</f>
        <v/>
      </c>
      <c r="P188" s="24">
        <f>IF(OR($A188="",$E188=""),"",IF($V188=1,"",IF(ISNA(MATCH($A188,TYP_TYPE,0)),"Type not in the library",IF($B188="","Scope not set",IF(AND($B188="System",$C188=""),"System not set",IF(AND($B188="Equipment",$D188=""),"Equipment not set",IF($F188="","Responsible not set",IF($K188="","No target date",IF(AND($B188="Equipment",$C188&lt;&gt;"",IFERROR(INDEX(EQP_SYS,MATCH($D188,EQP_NOM,0)),"")&lt;&gt;$C188),"Equipment not in that system",IF(AND($U188=1,$M188=""),"Approved with no approval date",""))))))))))</f>
        <v/>
      </c>
      <c r="Q188" s="21" t="n"/>
      <c r="R188" s="23">
        <f>IF(OR($A188="",$B188=""),"",IF($B188="Equipment",IFERROR(INDEX(EQP_START,MATCH($D188,EQP_NOM,0)),""),IF($B188="System",IFERROR(INDEX(SYS_EARLIEST,MATCH($C188,SYS_ID,0)),""),IF($B188="All",CTR_EARLIEST,""))))</f>
        <v/>
      </c>
      <c r="S188" s="23">
        <f>IF(OR($A188="",$E188=""),"",IFERROR(IF(INDEX(TYP_ANCHOR,MATCH($A188,TYP_TYPE,0))="Commissioning Start",IF($R188="","",$R188-INDEX(TYP_LEAD,MATCH($A188,TYP_TYPE,0))),IF(INDEX(MS_PLAN,MATCH(INDEX(TYP_ANCHOR,MATCH($A188,TYP_TYPE,0)),MS_NOM,0))="","",INDEX(MS_PLAN,MATCH(INDEX(TYP_ANCHOR,MATCH($A188,TYP_TYPE,0)),MS_NOM,0))-INDEX(TYP_LEAD,MATCH($A188,TYP_TYPE,0)))),""))</f>
        <v/>
      </c>
      <c r="T188" s="26">
        <f>IF(OR($A188="",$E188=""),0,IF($V188=1,0,1))</f>
        <v/>
      </c>
      <c r="U188" s="26">
        <f>IF($T188=0,0,IF($M188&lt;&gt;"",1,IF(IFERROR(INDEX(WF_CLASS,MATCH($H188,WF_CODE,0)),"")="Done",1,0)))</f>
        <v/>
      </c>
      <c r="V188" s="26">
        <f>IF(OR($A188="",$E188=""),0,IF(IFERROR(INDEX(WF_CLASS,MATCH($H188,WF_CODE,0)),"")="Inactive",1,0))</f>
        <v/>
      </c>
      <c r="W188" s="24">
        <f>IF($A188="","",IFERROR(INDEX(TYP_PHASE,MATCH($A188,TYP_TYPE,0)),"-"))</f>
        <v/>
      </c>
      <c r="X188" s="24">
        <f>IF(AND($T188=1,$U188=0,N($N188)&gt;0),$N188+ROW()/1000000,"")</f>
        <v/>
      </c>
      <c r="Y188" s="24">
        <f>IF(AND($T188=1,$U188=0,OR($I188&lt;&gt;"",N($N188)&gt;0)),N($N188)+ROW()/1000000,"")</f>
        <v/>
      </c>
      <c r="Z188" s="24">
        <f>IF(AND($T188=1,$U188=0,$I188="",N($N188)&lt;=0,-N($N188)&lt;=HORIZON),N($N188)+ROW()/1000000,"")</f>
        <v/>
      </c>
    </row>
    <row r="189">
      <c r="A189" s="21" t="n"/>
      <c r="B189" s="21" t="n"/>
      <c r="C189" s="21" t="n"/>
      <c r="D189" s="21" t="n"/>
      <c r="E189" s="21" t="n"/>
      <c r="F189" s="21" t="n"/>
      <c r="G189" s="21" t="n"/>
      <c r="H189" s="21" t="n"/>
      <c r="I189" s="22" t="n"/>
      <c r="J189" s="22" t="n"/>
      <c r="K189" s="23">
        <f>IF($A189="","",IF($J189&lt;&gt;"",$J189,$S189))</f>
        <v/>
      </c>
      <c r="L189" s="24">
        <f>IF(OR($A189="",$E189=""),"",IF($J189&lt;&gt;"","Manual",IF($S189="","-","Auto")))</f>
        <v/>
      </c>
      <c r="M189" s="22" t="n"/>
      <c r="N189" s="25">
        <f>IF($T189=0,"",IF($U189=1,IF($M189="","",$M189-$K189),IF($K189="","",TODAY()-$K189)))</f>
        <v/>
      </c>
      <c r="O189" s="24">
        <f>IF(OR($A189="",$E189=""),"",IF($V189=1,S_INACT,IF(ISNA(MATCH($A189,TYP_TYPE,0)),S_TYPEKO,IF($U189=1,S_DONE,IF(AND($K189="",$R189=""),S_NOSCOPE,IF($K189="",S_NOTARGET,IF($N189&gt;0,S_LATE,IF($I189&lt;&gt;"",S_WIP,IF(-$N189&lt;=FEN_DOC,S_RISK,IF(-$N189&lt;=HORIZON,S_COMING,S_NOTYET))))))))))</f>
        <v/>
      </c>
      <c r="P189" s="24">
        <f>IF(OR($A189="",$E189=""),"",IF($V189=1,"",IF(ISNA(MATCH($A189,TYP_TYPE,0)),"Type not in the library",IF($B189="","Scope not set",IF(AND($B189="System",$C189=""),"System not set",IF(AND($B189="Equipment",$D189=""),"Equipment not set",IF($F189="","Responsible not set",IF($K189="","No target date",IF(AND($B189="Equipment",$C189&lt;&gt;"",IFERROR(INDEX(EQP_SYS,MATCH($D189,EQP_NOM,0)),"")&lt;&gt;$C189),"Equipment not in that system",IF(AND($U189=1,$M189=""),"Approved with no approval date",""))))))))))</f>
        <v/>
      </c>
      <c r="Q189" s="21" t="n"/>
      <c r="R189" s="23">
        <f>IF(OR($A189="",$B189=""),"",IF($B189="Equipment",IFERROR(INDEX(EQP_START,MATCH($D189,EQP_NOM,0)),""),IF($B189="System",IFERROR(INDEX(SYS_EARLIEST,MATCH($C189,SYS_ID,0)),""),IF($B189="All",CTR_EARLIEST,""))))</f>
        <v/>
      </c>
      <c r="S189" s="23">
        <f>IF(OR($A189="",$E189=""),"",IFERROR(IF(INDEX(TYP_ANCHOR,MATCH($A189,TYP_TYPE,0))="Commissioning Start",IF($R189="","",$R189-INDEX(TYP_LEAD,MATCH($A189,TYP_TYPE,0))),IF(INDEX(MS_PLAN,MATCH(INDEX(TYP_ANCHOR,MATCH($A189,TYP_TYPE,0)),MS_NOM,0))="","",INDEX(MS_PLAN,MATCH(INDEX(TYP_ANCHOR,MATCH($A189,TYP_TYPE,0)),MS_NOM,0))-INDEX(TYP_LEAD,MATCH($A189,TYP_TYPE,0)))),""))</f>
        <v/>
      </c>
      <c r="T189" s="26">
        <f>IF(OR($A189="",$E189=""),0,IF($V189=1,0,1))</f>
        <v/>
      </c>
      <c r="U189" s="26">
        <f>IF($T189=0,0,IF($M189&lt;&gt;"",1,IF(IFERROR(INDEX(WF_CLASS,MATCH($H189,WF_CODE,0)),"")="Done",1,0)))</f>
        <v/>
      </c>
      <c r="V189" s="26">
        <f>IF(OR($A189="",$E189=""),0,IF(IFERROR(INDEX(WF_CLASS,MATCH($H189,WF_CODE,0)),"")="Inactive",1,0))</f>
        <v/>
      </c>
      <c r="W189" s="24">
        <f>IF($A189="","",IFERROR(INDEX(TYP_PHASE,MATCH($A189,TYP_TYPE,0)),"-"))</f>
        <v/>
      </c>
      <c r="X189" s="24">
        <f>IF(AND($T189=1,$U189=0,N($N189)&gt;0),$N189+ROW()/1000000,"")</f>
        <v/>
      </c>
      <c r="Y189" s="24">
        <f>IF(AND($T189=1,$U189=0,OR($I189&lt;&gt;"",N($N189)&gt;0)),N($N189)+ROW()/1000000,"")</f>
        <v/>
      </c>
      <c r="Z189" s="24">
        <f>IF(AND($T189=1,$U189=0,$I189="",N($N189)&lt;=0,-N($N189)&lt;=HORIZON),N($N189)+ROW()/1000000,"")</f>
        <v/>
      </c>
    </row>
    <row r="190">
      <c r="A190" s="21" t="n"/>
      <c r="B190" s="21" t="n"/>
      <c r="C190" s="21" t="n"/>
      <c r="D190" s="21" t="n"/>
      <c r="E190" s="21" t="n"/>
      <c r="F190" s="21" t="n"/>
      <c r="G190" s="21" t="n"/>
      <c r="H190" s="21" t="n"/>
      <c r="I190" s="22" t="n"/>
      <c r="J190" s="22" t="n"/>
      <c r="K190" s="23">
        <f>IF($A190="","",IF($J190&lt;&gt;"",$J190,$S190))</f>
        <v/>
      </c>
      <c r="L190" s="24">
        <f>IF(OR($A190="",$E190=""),"",IF($J190&lt;&gt;"","Manual",IF($S190="","-","Auto")))</f>
        <v/>
      </c>
      <c r="M190" s="22" t="n"/>
      <c r="N190" s="25">
        <f>IF($T190=0,"",IF($U190=1,IF($M190="","",$M190-$K190),IF($K190="","",TODAY()-$K190)))</f>
        <v/>
      </c>
      <c r="O190" s="24">
        <f>IF(OR($A190="",$E190=""),"",IF($V190=1,S_INACT,IF(ISNA(MATCH($A190,TYP_TYPE,0)),S_TYPEKO,IF($U190=1,S_DONE,IF(AND($K190="",$R190=""),S_NOSCOPE,IF($K190="",S_NOTARGET,IF($N190&gt;0,S_LATE,IF($I190&lt;&gt;"",S_WIP,IF(-$N190&lt;=FEN_DOC,S_RISK,IF(-$N190&lt;=HORIZON,S_COMING,S_NOTYET))))))))))</f>
        <v/>
      </c>
      <c r="P190" s="24">
        <f>IF(OR($A190="",$E190=""),"",IF($V190=1,"",IF(ISNA(MATCH($A190,TYP_TYPE,0)),"Type not in the library",IF($B190="","Scope not set",IF(AND($B190="System",$C190=""),"System not set",IF(AND($B190="Equipment",$D190=""),"Equipment not set",IF($F190="","Responsible not set",IF($K190="","No target date",IF(AND($B190="Equipment",$C190&lt;&gt;"",IFERROR(INDEX(EQP_SYS,MATCH($D190,EQP_NOM,0)),"")&lt;&gt;$C190),"Equipment not in that system",IF(AND($U190=1,$M190=""),"Approved with no approval date",""))))))))))</f>
        <v/>
      </c>
      <c r="Q190" s="21" t="n"/>
      <c r="R190" s="23">
        <f>IF(OR($A190="",$B190=""),"",IF($B190="Equipment",IFERROR(INDEX(EQP_START,MATCH($D190,EQP_NOM,0)),""),IF($B190="System",IFERROR(INDEX(SYS_EARLIEST,MATCH($C190,SYS_ID,0)),""),IF($B190="All",CTR_EARLIEST,""))))</f>
        <v/>
      </c>
      <c r="S190" s="23">
        <f>IF(OR($A190="",$E190=""),"",IFERROR(IF(INDEX(TYP_ANCHOR,MATCH($A190,TYP_TYPE,0))="Commissioning Start",IF($R190="","",$R190-INDEX(TYP_LEAD,MATCH($A190,TYP_TYPE,0))),IF(INDEX(MS_PLAN,MATCH(INDEX(TYP_ANCHOR,MATCH($A190,TYP_TYPE,0)),MS_NOM,0))="","",INDEX(MS_PLAN,MATCH(INDEX(TYP_ANCHOR,MATCH($A190,TYP_TYPE,0)),MS_NOM,0))-INDEX(TYP_LEAD,MATCH($A190,TYP_TYPE,0)))),""))</f>
        <v/>
      </c>
      <c r="T190" s="26">
        <f>IF(OR($A190="",$E190=""),0,IF($V190=1,0,1))</f>
        <v/>
      </c>
      <c r="U190" s="26">
        <f>IF($T190=0,0,IF($M190&lt;&gt;"",1,IF(IFERROR(INDEX(WF_CLASS,MATCH($H190,WF_CODE,0)),"")="Done",1,0)))</f>
        <v/>
      </c>
      <c r="V190" s="26">
        <f>IF(OR($A190="",$E190=""),0,IF(IFERROR(INDEX(WF_CLASS,MATCH($H190,WF_CODE,0)),"")="Inactive",1,0))</f>
        <v/>
      </c>
      <c r="W190" s="24">
        <f>IF($A190="","",IFERROR(INDEX(TYP_PHASE,MATCH($A190,TYP_TYPE,0)),"-"))</f>
        <v/>
      </c>
      <c r="X190" s="24">
        <f>IF(AND($T190=1,$U190=0,N($N190)&gt;0),$N190+ROW()/1000000,"")</f>
        <v/>
      </c>
      <c r="Y190" s="24">
        <f>IF(AND($T190=1,$U190=0,OR($I190&lt;&gt;"",N($N190)&gt;0)),N($N190)+ROW()/1000000,"")</f>
        <v/>
      </c>
      <c r="Z190" s="24">
        <f>IF(AND($T190=1,$U190=0,$I190="",N($N190)&lt;=0,-N($N190)&lt;=HORIZON),N($N190)+ROW()/1000000,"")</f>
        <v/>
      </c>
    </row>
    <row r="191">
      <c r="A191" s="21" t="n"/>
      <c r="B191" s="21" t="n"/>
      <c r="C191" s="21" t="n"/>
      <c r="D191" s="21" t="n"/>
      <c r="E191" s="21" t="n"/>
      <c r="F191" s="21" t="n"/>
      <c r="G191" s="21" t="n"/>
      <c r="H191" s="21" t="n"/>
      <c r="I191" s="22" t="n"/>
      <c r="J191" s="22" t="n"/>
      <c r="K191" s="23">
        <f>IF($A191="","",IF($J191&lt;&gt;"",$J191,$S191))</f>
        <v/>
      </c>
      <c r="L191" s="24">
        <f>IF(OR($A191="",$E191=""),"",IF($J191&lt;&gt;"","Manual",IF($S191="","-","Auto")))</f>
        <v/>
      </c>
      <c r="M191" s="22" t="n"/>
      <c r="N191" s="25">
        <f>IF($T191=0,"",IF($U191=1,IF($M191="","",$M191-$K191),IF($K191="","",TODAY()-$K191)))</f>
        <v/>
      </c>
      <c r="O191" s="24">
        <f>IF(OR($A191="",$E191=""),"",IF($V191=1,S_INACT,IF(ISNA(MATCH($A191,TYP_TYPE,0)),S_TYPEKO,IF($U191=1,S_DONE,IF(AND($K191="",$R191=""),S_NOSCOPE,IF($K191="",S_NOTARGET,IF($N191&gt;0,S_LATE,IF($I191&lt;&gt;"",S_WIP,IF(-$N191&lt;=FEN_DOC,S_RISK,IF(-$N191&lt;=HORIZON,S_COMING,S_NOTYET))))))))))</f>
        <v/>
      </c>
      <c r="P191" s="24">
        <f>IF(OR($A191="",$E191=""),"",IF($V191=1,"",IF(ISNA(MATCH($A191,TYP_TYPE,0)),"Type not in the library",IF($B191="","Scope not set",IF(AND($B191="System",$C191=""),"System not set",IF(AND($B191="Equipment",$D191=""),"Equipment not set",IF($F191="","Responsible not set",IF($K191="","No target date",IF(AND($B191="Equipment",$C191&lt;&gt;"",IFERROR(INDEX(EQP_SYS,MATCH($D191,EQP_NOM,0)),"")&lt;&gt;$C191),"Equipment not in that system",IF(AND($U191=1,$M191=""),"Approved with no approval date",""))))))))))</f>
        <v/>
      </c>
      <c r="Q191" s="21" t="n"/>
      <c r="R191" s="23">
        <f>IF(OR($A191="",$B191=""),"",IF($B191="Equipment",IFERROR(INDEX(EQP_START,MATCH($D191,EQP_NOM,0)),""),IF($B191="System",IFERROR(INDEX(SYS_EARLIEST,MATCH($C191,SYS_ID,0)),""),IF($B191="All",CTR_EARLIEST,""))))</f>
        <v/>
      </c>
      <c r="S191" s="23">
        <f>IF(OR($A191="",$E191=""),"",IFERROR(IF(INDEX(TYP_ANCHOR,MATCH($A191,TYP_TYPE,0))="Commissioning Start",IF($R191="","",$R191-INDEX(TYP_LEAD,MATCH($A191,TYP_TYPE,0))),IF(INDEX(MS_PLAN,MATCH(INDEX(TYP_ANCHOR,MATCH($A191,TYP_TYPE,0)),MS_NOM,0))="","",INDEX(MS_PLAN,MATCH(INDEX(TYP_ANCHOR,MATCH($A191,TYP_TYPE,0)),MS_NOM,0))-INDEX(TYP_LEAD,MATCH($A191,TYP_TYPE,0)))),""))</f>
        <v/>
      </c>
      <c r="T191" s="26">
        <f>IF(OR($A191="",$E191=""),0,IF($V191=1,0,1))</f>
        <v/>
      </c>
      <c r="U191" s="26">
        <f>IF($T191=0,0,IF($M191&lt;&gt;"",1,IF(IFERROR(INDEX(WF_CLASS,MATCH($H191,WF_CODE,0)),"")="Done",1,0)))</f>
        <v/>
      </c>
      <c r="V191" s="26">
        <f>IF(OR($A191="",$E191=""),0,IF(IFERROR(INDEX(WF_CLASS,MATCH($H191,WF_CODE,0)),"")="Inactive",1,0))</f>
        <v/>
      </c>
      <c r="W191" s="24">
        <f>IF($A191="","",IFERROR(INDEX(TYP_PHASE,MATCH($A191,TYP_TYPE,0)),"-"))</f>
        <v/>
      </c>
      <c r="X191" s="24">
        <f>IF(AND($T191=1,$U191=0,N($N191)&gt;0),$N191+ROW()/1000000,"")</f>
        <v/>
      </c>
      <c r="Y191" s="24">
        <f>IF(AND($T191=1,$U191=0,OR($I191&lt;&gt;"",N($N191)&gt;0)),N($N191)+ROW()/1000000,"")</f>
        <v/>
      </c>
      <c r="Z191" s="24">
        <f>IF(AND($T191=1,$U191=0,$I191="",N($N191)&lt;=0,-N($N191)&lt;=HORIZON),N($N191)+ROW()/1000000,"")</f>
        <v/>
      </c>
    </row>
    <row r="192">
      <c r="A192" s="21" t="n"/>
      <c r="B192" s="21" t="n"/>
      <c r="C192" s="21" t="n"/>
      <c r="D192" s="21" t="n"/>
      <c r="E192" s="21" t="n"/>
      <c r="F192" s="21" t="n"/>
      <c r="G192" s="21" t="n"/>
      <c r="H192" s="21" t="n"/>
      <c r="I192" s="22" t="n"/>
      <c r="J192" s="22" t="n"/>
      <c r="K192" s="23">
        <f>IF($A192="","",IF($J192&lt;&gt;"",$J192,$S192))</f>
        <v/>
      </c>
      <c r="L192" s="24">
        <f>IF(OR($A192="",$E192=""),"",IF($J192&lt;&gt;"","Manual",IF($S192="","-","Auto")))</f>
        <v/>
      </c>
      <c r="M192" s="22" t="n"/>
      <c r="N192" s="25">
        <f>IF($T192=0,"",IF($U192=1,IF($M192="","",$M192-$K192),IF($K192="","",TODAY()-$K192)))</f>
        <v/>
      </c>
      <c r="O192" s="24">
        <f>IF(OR($A192="",$E192=""),"",IF($V192=1,S_INACT,IF(ISNA(MATCH($A192,TYP_TYPE,0)),S_TYPEKO,IF($U192=1,S_DONE,IF(AND($K192="",$R192=""),S_NOSCOPE,IF($K192="",S_NOTARGET,IF($N192&gt;0,S_LATE,IF($I192&lt;&gt;"",S_WIP,IF(-$N192&lt;=FEN_DOC,S_RISK,IF(-$N192&lt;=HORIZON,S_COMING,S_NOTYET))))))))))</f>
        <v/>
      </c>
      <c r="P192" s="24">
        <f>IF(OR($A192="",$E192=""),"",IF($V192=1,"",IF(ISNA(MATCH($A192,TYP_TYPE,0)),"Type not in the library",IF($B192="","Scope not set",IF(AND($B192="System",$C192=""),"System not set",IF(AND($B192="Equipment",$D192=""),"Equipment not set",IF($F192="","Responsible not set",IF($K192="","No target date",IF(AND($B192="Equipment",$C192&lt;&gt;"",IFERROR(INDEX(EQP_SYS,MATCH($D192,EQP_NOM,0)),"")&lt;&gt;$C192),"Equipment not in that system",IF(AND($U192=1,$M192=""),"Approved with no approval date",""))))))))))</f>
        <v/>
      </c>
      <c r="Q192" s="21" t="n"/>
      <c r="R192" s="23">
        <f>IF(OR($A192="",$B192=""),"",IF($B192="Equipment",IFERROR(INDEX(EQP_START,MATCH($D192,EQP_NOM,0)),""),IF($B192="System",IFERROR(INDEX(SYS_EARLIEST,MATCH($C192,SYS_ID,0)),""),IF($B192="All",CTR_EARLIEST,""))))</f>
        <v/>
      </c>
      <c r="S192" s="23">
        <f>IF(OR($A192="",$E192=""),"",IFERROR(IF(INDEX(TYP_ANCHOR,MATCH($A192,TYP_TYPE,0))="Commissioning Start",IF($R192="","",$R192-INDEX(TYP_LEAD,MATCH($A192,TYP_TYPE,0))),IF(INDEX(MS_PLAN,MATCH(INDEX(TYP_ANCHOR,MATCH($A192,TYP_TYPE,0)),MS_NOM,0))="","",INDEX(MS_PLAN,MATCH(INDEX(TYP_ANCHOR,MATCH($A192,TYP_TYPE,0)),MS_NOM,0))-INDEX(TYP_LEAD,MATCH($A192,TYP_TYPE,0)))),""))</f>
        <v/>
      </c>
      <c r="T192" s="26">
        <f>IF(OR($A192="",$E192=""),0,IF($V192=1,0,1))</f>
        <v/>
      </c>
      <c r="U192" s="26">
        <f>IF($T192=0,0,IF($M192&lt;&gt;"",1,IF(IFERROR(INDEX(WF_CLASS,MATCH($H192,WF_CODE,0)),"")="Done",1,0)))</f>
        <v/>
      </c>
      <c r="V192" s="26">
        <f>IF(OR($A192="",$E192=""),0,IF(IFERROR(INDEX(WF_CLASS,MATCH($H192,WF_CODE,0)),"")="Inactive",1,0))</f>
        <v/>
      </c>
      <c r="W192" s="24">
        <f>IF($A192="","",IFERROR(INDEX(TYP_PHASE,MATCH($A192,TYP_TYPE,0)),"-"))</f>
        <v/>
      </c>
      <c r="X192" s="24">
        <f>IF(AND($T192=1,$U192=0,N($N192)&gt;0),$N192+ROW()/1000000,"")</f>
        <v/>
      </c>
      <c r="Y192" s="24">
        <f>IF(AND($T192=1,$U192=0,OR($I192&lt;&gt;"",N($N192)&gt;0)),N($N192)+ROW()/1000000,"")</f>
        <v/>
      </c>
      <c r="Z192" s="24">
        <f>IF(AND($T192=1,$U192=0,$I192="",N($N192)&lt;=0,-N($N192)&lt;=HORIZON),N($N192)+ROW()/1000000,"")</f>
        <v/>
      </c>
    </row>
    <row r="193">
      <c r="A193" s="21" t="n"/>
      <c r="B193" s="21" t="n"/>
      <c r="C193" s="21" t="n"/>
      <c r="D193" s="21" t="n"/>
      <c r="E193" s="21" t="n"/>
      <c r="F193" s="21" t="n"/>
      <c r="G193" s="21" t="n"/>
      <c r="H193" s="21" t="n"/>
      <c r="I193" s="22" t="n"/>
      <c r="J193" s="22" t="n"/>
      <c r="K193" s="23">
        <f>IF($A193="","",IF($J193&lt;&gt;"",$J193,$S193))</f>
        <v/>
      </c>
      <c r="L193" s="24">
        <f>IF(OR($A193="",$E193=""),"",IF($J193&lt;&gt;"","Manual",IF($S193="","-","Auto")))</f>
        <v/>
      </c>
      <c r="M193" s="22" t="n"/>
      <c r="N193" s="25">
        <f>IF($T193=0,"",IF($U193=1,IF($M193="","",$M193-$K193),IF($K193="","",TODAY()-$K193)))</f>
        <v/>
      </c>
      <c r="O193" s="24">
        <f>IF(OR($A193="",$E193=""),"",IF($V193=1,S_INACT,IF(ISNA(MATCH($A193,TYP_TYPE,0)),S_TYPEKO,IF($U193=1,S_DONE,IF(AND($K193="",$R193=""),S_NOSCOPE,IF($K193="",S_NOTARGET,IF($N193&gt;0,S_LATE,IF($I193&lt;&gt;"",S_WIP,IF(-$N193&lt;=FEN_DOC,S_RISK,IF(-$N193&lt;=HORIZON,S_COMING,S_NOTYET))))))))))</f>
        <v/>
      </c>
      <c r="P193" s="24">
        <f>IF(OR($A193="",$E193=""),"",IF($V193=1,"",IF(ISNA(MATCH($A193,TYP_TYPE,0)),"Type not in the library",IF($B193="","Scope not set",IF(AND($B193="System",$C193=""),"System not set",IF(AND($B193="Equipment",$D193=""),"Equipment not set",IF($F193="","Responsible not set",IF($K193="","No target date",IF(AND($B193="Equipment",$C193&lt;&gt;"",IFERROR(INDEX(EQP_SYS,MATCH($D193,EQP_NOM,0)),"")&lt;&gt;$C193),"Equipment not in that system",IF(AND($U193=1,$M193=""),"Approved with no approval date",""))))))))))</f>
        <v/>
      </c>
      <c r="Q193" s="21" t="n"/>
      <c r="R193" s="23">
        <f>IF(OR($A193="",$B193=""),"",IF($B193="Equipment",IFERROR(INDEX(EQP_START,MATCH($D193,EQP_NOM,0)),""),IF($B193="System",IFERROR(INDEX(SYS_EARLIEST,MATCH($C193,SYS_ID,0)),""),IF($B193="All",CTR_EARLIEST,""))))</f>
        <v/>
      </c>
      <c r="S193" s="23">
        <f>IF(OR($A193="",$E193=""),"",IFERROR(IF(INDEX(TYP_ANCHOR,MATCH($A193,TYP_TYPE,0))="Commissioning Start",IF($R193="","",$R193-INDEX(TYP_LEAD,MATCH($A193,TYP_TYPE,0))),IF(INDEX(MS_PLAN,MATCH(INDEX(TYP_ANCHOR,MATCH($A193,TYP_TYPE,0)),MS_NOM,0))="","",INDEX(MS_PLAN,MATCH(INDEX(TYP_ANCHOR,MATCH($A193,TYP_TYPE,0)),MS_NOM,0))-INDEX(TYP_LEAD,MATCH($A193,TYP_TYPE,0)))),""))</f>
        <v/>
      </c>
      <c r="T193" s="26">
        <f>IF(OR($A193="",$E193=""),0,IF($V193=1,0,1))</f>
        <v/>
      </c>
      <c r="U193" s="26">
        <f>IF($T193=0,0,IF($M193&lt;&gt;"",1,IF(IFERROR(INDEX(WF_CLASS,MATCH($H193,WF_CODE,0)),"")="Done",1,0)))</f>
        <v/>
      </c>
      <c r="V193" s="26">
        <f>IF(OR($A193="",$E193=""),0,IF(IFERROR(INDEX(WF_CLASS,MATCH($H193,WF_CODE,0)),"")="Inactive",1,0))</f>
        <v/>
      </c>
      <c r="W193" s="24">
        <f>IF($A193="","",IFERROR(INDEX(TYP_PHASE,MATCH($A193,TYP_TYPE,0)),"-"))</f>
        <v/>
      </c>
      <c r="X193" s="24">
        <f>IF(AND($T193=1,$U193=0,N($N193)&gt;0),$N193+ROW()/1000000,"")</f>
        <v/>
      </c>
      <c r="Y193" s="24">
        <f>IF(AND($T193=1,$U193=0,OR($I193&lt;&gt;"",N($N193)&gt;0)),N($N193)+ROW()/1000000,"")</f>
        <v/>
      </c>
      <c r="Z193" s="24">
        <f>IF(AND($T193=1,$U193=0,$I193="",N($N193)&lt;=0,-N($N193)&lt;=HORIZON),N($N193)+ROW()/1000000,"")</f>
        <v/>
      </c>
    </row>
    <row r="194">
      <c r="A194" s="21" t="n"/>
      <c r="B194" s="21" t="n"/>
      <c r="C194" s="21" t="n"/>
      <c r="D194" s="21" t="n"/>
      <c r="E194" s="21" t="n"/>
      <c r="F194" s="21" t="n"/>
      <c r="G194" s="21" t="n"/>
      <c r="H194" s="21" t="n"/>
      <c r="I194" s="22" t="n"/>
      <c r="J194" s="22" t="n"/>
      <c r="K194" s="23">
        <f>IF($A194="","",IF($J194&lt;&gt;"",$J194,$S194))</f>
        <v/>
      </c>
      <c r="L194" s="24">
        <f>IF(OR($A194="",$E194=""),"",IF($J194&lt;&gt;"","Manual",IF($S194="","-","Auto")))</f>
        <v/>
      </c>
      <c r="M194" s="22" t="n"/>
      <c r="N194" s="25">
        <f>IF($T194=0,"",IF($U194=1,IF($M194="","",$M194-$K194),IF($K194="","",TODAY()-$K194)))</f>
        <v/>
      </c>
      <c r="O194" s="24">
        <f>IF(OR($A194="",$E194=""),"",IF($V194=1,S_INACT,IF(ISNA(MATCH($A194,TYP_TYPE,0)),S_TYPEKO,IF($U194=1,S_DONE,IF(AND($K194="",$R194=""),S_NOSCOPE,IF($K194="",S_NOTARGET,IF($N194&gt;0,S_LATE,IF($I194&lt;&gt;"",S_WIP,IF(-$N194&lt;=FEN_DOC,S_RISK,IF(-$N194&lt;=HORIZON,S_COMING,S_NOTYET))))))))))</f>
        <v/>
      </c>
      <c r="P194" s="24">
        <f>IF(OR($A194="",$E194=""),"",IF($V194=1,"",IF(ISNA(MATCH($A194,TYP_TYPE,0)),"Type not in the library",IF($B194="","Scope not set",IF(AND($B194="System",$C194=""),"System not set",IF(AND($B194="Equipment",$D194=""),"Equipment not set",IF($F194="","Responsible not set",IF($K194="","No target date",IF(AND($B194="Equipment",$C194&lt;&gt;"",IFERROR(INDEX(EQP_SYS,MATCH($D194,EQP_NOM,0)),"")&lt;&gt;$C194),"Equipment not in that system",IF(AND($U194=1,$M194=""),"Approved with no approval date",""))))))))))</f>
        <v/>
      </c>
      <c r="Q194" s="21" t="n"/>
      <c r="R194" s="23">
        <f>IF(OR($A194="",$B194=""),"",IF($B194="Equipment",IFERROR(INDEX(EQP_START,MATCH($D194,EQP_NOM,0)),""),IF($B194="System",IFERROR(INDEX(SYS_EARLIEST,MATCH($C194,SYS_ID,0)),""),IF($B194="All",CTR_EARLIEST,""))))</f>
        <v/>
      </c>
      <c r="S194" s="23">
        <f>IF(OR($A194="",$E194=""),"",IFERROR(IF(INDEX(TYP_ANCHOR,MATCH($A194,TYP_TYPE,0))="Commissioning Start",IF($R194="","",$R194-INDEX(TYP_LEAD,MATCH($A194,TYP_TYPE,0))),IF(INDEX(MS_PLAN,MATCH(INDEX(TYP_ANCHOR,MATCH($A194,TYP_TYPE,0)),MS_NOM,0))="","",INDEX(MS_PLAN,MATCH(INDEX(TYP_ANCHOR,MATCH($A194,TYP_TYPE,0)),MS_NOM,0))-INDEX(TYP_LEAD,MATCH($A194,TYP_TYPE,0)))),""))</f>
        <v/>
      </c>
      <c r="T194" s="26">
        <f>IF(OR($A194="",$E194=""),0,IF($V194=1,0,1))</f>
        <v/>
      </c>
      <c r="U194" s="26">
        <f>IF($T194=0,0,IF($M194&lt;&gt;"",1,IF(IFERROR(INDEX(WF_CLASS,MATCH($H194,WF_CODE,0)),"")="Done",1,0)))</f>
        <v/>
      </c>
      <c r="V194" s="26">
        <f>IF(OR($A194="",$E194=""),0,IF(IFERROR(INDEX(WF_CLASS,MATCH($H194,WF_CODE,0)),"")="Inactive",1,0))</f>
        <v/>
      </c>
      <c r="W194" s="24">
        <f>IF($A194="","",IFERROR(INDEX(TYP_PHASE,MATCH($A194,TYP_TYPE,0)),"-"))</f>
        <v/>
      </c>
      <c r="X194" s="24">
        <f>IF(AND($T194=1,$U194=0,N($N194)&gt;0),$N194+ROW()/1000000,"")</f>
        <v/>
      </c>
      <c r="Y194" s="24">
        <f>IF(AND($T194=1,$U194=0,OR($I194&lt;&gt;"",N($N194)&gt;0)),N($N194)+ROW()/1000000,"")</f>
        <v/>
      </c>
      <c r="Z194" s="24">
        <f>IF(AND($T194=1,$U194=0,$I194="",N($N194)&lt;=0,-N($N194)&lt;=HORIZON),N($N194)+ROW()/1000000,"")</f>
        <v/>
      </c>
    </row>
    <row r="195">
      <c r="A195" s="21" t="n"/>
      <c r="B195" s="21" t="n"/>
      <c r="C195" s="21" t="n"/>
      <c r="D195" s="21" t="n"/>
      <c r="E195" s="21" t="n"/>
      <c r="F195" s="21" t="n"/>
      <c r="G195" s="21" t="n"/>
      <c r="H195" s="21" t="n"/>
      <c r="I195" s="22" t="n"/>
      <c r="J195" s="22" t="n"/>
      <c r="K195" s="23">
        <f>IF($A195="","",IF($J195&lt;&gt;"",$J195,$S195))</f>
        <v/>
      </c>
      <c r="L195" s="24">
        <f>IF(OR($A195="",$E195=""),"",IF($J195&lt;&gt;"","Manual",IF($S195="","-","Auto")))</f>
        <v/>
      </c>
      <c r="M195" s="22" t="n"/>
      <c r="N195" s="25">
        <f>IF($T195=0,"",IF($U195=1,IF($M195="","",$M195-$K195),IF($K195="","",TODAY()-$K195)))</f>
        <v/>
      </c>
      <c r="O195" s="24">
        <f>IF(OR($A195="",$E195=""),"",IF($V195=1,S_INACT,IF(ISNA(MATCH($A195,TYP_TYPE,0)),S_TYPEKO,IF($U195=1,S_DONE,IF(AND($K195="",$R195=""),S_NOSCOPE,IF($K195="",S_NOTARGET,IF($N195&gt;0,S_LATE,IF($I195&lt;&gt;"",S_WIP,IF(-$N195&lt;=FEN_DOC,S_RISK,IF(-$N195&lt;=HORIZON,S_COMING,S_NOTYET))))))))))</f>
        <v/>
      </c>
      <c r="P195" s="24">
        <f>IF(OR($A195="",$E195=""),"",IF($V195=1,"",IF(ISNA(MATCH($A195,TYP_TYPE,0)),"Type not in the library",IF($B195="","Scope not set",IF(AND($B195="System",$C195=""),"System not set",IF(AND($B195="Equipment",$D195=""),"Equipment not set",IF($F195="","Responsible not set",IF($K195="","No target date",IF(AND($B195="Equipment",$C195&lt;&gt;"",IFERROR(INDEX(EQP_SYS,MATCH($D195,EQP_NOM,0)),"")&lt;&gt;$C195),"Equipment not in that system",IF(AND($U195=1,$M195=""),"Approved with no approval date",""))))))))))</f>
        <v/>
      </c>
      <c r="Q195" s="21" t="n"/>
      <c r="R195" s="23">
        <f>IF(OR($A195="",$B195=""),"",IF($B195="Equipment",IFERROR(INDEX(EQP_START,MATCH($D195,EQP_NOM,0)),""),IF($B195="System",IFERROR(INDEX(SYS_EARLIEST,MATCH($C195,SYS_ID,0)),""),IF($B195="All",CTR_EARLIEST,""))))</f>
        <v/>
      </c>
      <c r="S195" s="23">
        <f>IF(OR($A195="",$E195=""),"",IFERROR(IF(INDEX(TYP_ANCHOR,MATCH($A195,TYP_TYPE,0))="Commissioning Start",IF($R195="","",$R195-INDEX(TYP_LEAD,MATCH($A195,TYP_TYPE,0))),IF(INDEX(MS_PLAN,MATCH(INDEX(TYP_ANCHOR,MATCH($A195,TYP_TYPE,0)),MS_NOM,0))="","",INDEX(MS_PLAN,MATCH(INDEX(TYP_ANCHOR,MATCH($A195,TYP_TYPE,0)),MS_NOM,0))-INDEX(TYP_LEAD,MATCH($A195,TYP_TYPE,0)))),""))</f>
        <v/>
      </c>
      <c r="T195" s="26">
        <f>IF(OR($A195="",$E195=""),0,IF($V195=1,0,1))</f>
        <v/>
      </c>
      <c r="U195" s="26">
        <f>IF($T195=0,0,IF($M195&lt;&gt;"",1,IF(IFERROR(INDEX(WF_CLASS,MATCH($H195,WF_CODE,0)),"")="Done",1,0)))</f>
        <v/>
      </c>
      <c r="V195" s="26">
        <f>IF(OR($A195="",$E195=""),0,IF(IFERROR(INDEX(WF_CLASS,MATCH($H195,WF_CODE,0)),"")="Inactive",1,0))</f>
        <v/>
      </c>
      <c r="W195" s="24">
        <f>IF($A195="","",IFERROR(INDEX(TYP_PHASE,MATCH($A195,TYP_TYPE,0)),"-"))</f>
        <v/>
      </c>
      <c r="X195" s="24">
        <f>IF(AND($T195=1,$U195=0,N($N195)&gt;0),$N195+ROW()/1000000,"")</f>
        <v/>
      </c>
      <c r="Y195" s="24">
        <f>IF(AND($T195=1,$U195=0,OR($I195&lt;&gt;"",N($N195)&gt;0)),N($N195)+ROW()/1000000,"")</f>
        <v/>
      </c>
      <c r="Z195" s="24">
        <f>IF(AND($T195=1,$U195=0,$I195="",N($N195)&lt;=0,-N($N195)&lt;=HORIZON),N($N195)+ROW()/1000000,"")</f>
        <v/>
      </c>
    </row>
    <row r="196">
      <c r="A196" s="21" t="n"/>
      <c r="B196" s="21" t="n"/>
      <c r="C196" s="21" t="n"/>
      <c r="D196" s="21" t="n"/>
      <c r="E196" s="21" t="n"/>
      <c r="F196" s="21" t="n"/>
      <c r="G196" s="21" t="n"/>
      <c r="H196" s="21" t="n"/>
      <c r="I196" s="22" t="n"/>
      <c r="J196" s="22" t="n"/>
      <c r="K196" s="23">
        <f>IF($A196="","",IF($J196&lt;&gt;"",$J196,$S196))</f>
        <v/>
      </c>
      <c r="L196" s="24">
        <f>IF(OR($A196="",$E196=""),"",IF($J196&lt;&gt;"","Manual",IF($S196="","-","Auto")))</f>
        <v/>
      </c>
      <c r="M196" s="22" t="n"/>
      <c r="N196" s="25">
        <f>IF($T196=0,"",IF($U196=1,IF($M196="","",$M196-$K196),IF($K196="","",TODAY()-$K196)))</f>
        <v/>
      </c>
      <c r="O196" s="24">
        <f>IF(OR($A196="",$E196=""),"",IF($V196=1,S_INACT,IF(ISNA(MATCH($A196,TYP_TYPE,0)),S_TYPEKO,IF($U196=1,S_DONE,IF(AND($K196="",$R196=""),S_NOSCOPE,IF($K196="",S_NOTARGET,IF($N196&gt;0,S_LATE,IF($I196&lt;&gt;"",S_WIP,IF(-$N196&lt;=FEN_DOC,S_RISK,IF(-$N196&lt;=HORIZON,S_COMING,S_NOTYET))))))))))</f>
        <v/>
      </c>
      <c r="P196" s="24">
        <f>IF(OR($A196="",$E196=""),"",IF($V196=1,"",IF(ISNA(MATCH($A196,TYP_TYPE,0)),"Type not in the library",IF($B196="","Scope not set",IF(AND($B196="System",$C196=""),"System not set",IF(AND($B196="Equipment",$D196=""),"Equipment not set",IF($F196="","Responsible not set",IF($K196="","No target date",IF(AND($B196="Equipment",$C196&lt;&gt;"",IFERROR(INDEX(EQP_SYS,MATCH($D196,EQP_NOM,0)),"")&lt;&gt;$C196),"Equipment not in that system",IF(AND($U196=1,$M196=""),"Approved with no approval date",""))))))))))</f>
        <v/>
      </c>
      <c r="Q196" s="21" t="n"/>
      <c r="R196" s="23">
        <f>IF(OR($A196="",$B196=""),"",IF($B196="Equipment",IFERROR(INDEX(EQP_START,MATCH($D196,EQP_NOM,0)),""),IF($B196="System",IFERROR(INDEX(SYS_EARLIEST,MATCH($C196,SYS_ID,0)),""),IF($B196="All",CTR_EARLIEST,""))))</f>
        <v/>
      </c>
      <c r="S196" s="23">
        <f>IF(OR($A196="",$E196=""),"",IFERROR(IF(INDEX(TYP_ANCHOR,MATCH($A196,TYP_TYPE,0))="Commissioning Start",IF($R196="","",$R196-INDEX(TYP_LEAD,MATCH($A196,TYP_TYPE,0))),IF(INDEX(MS_PLAN,MATCH(INDEX(TYP_ANCHOR,MATCH($A196,TYP_TYPE,0)),MS_NOM,0))="","",INDEX(MS_PLAN,MATCH(INDEX(TYP_ANCHOR,MATCH($A196,TYP_TYPE,0)),MS_NOM,0))-INDEX(TYP_LEAD,MATCH($A196,TYP_TYPE,0)))),""))</f>
        <v/>
      </c>
      <c r="T196" s="26">
        <f>IF(OR($A196="",$E196=""),0,IF($V196=1,0,1))</f>
        <v/>
      </c>
      <c r="U196" s="26">
        <f>IF($T196=0,0,IF($M196&lt;&gt;"",1,IF(IFERROR(INDEX(WF_CLASS,MATCH($H196,WF_CODE,0)),"")="Done",1,0)))</f>
        <v/>
      </c>
      <c r="V196" s="26">
        <f>IF(OR($A196="",$E196=""),0,IF(IFERROR(INDEX(WF_CLASS,MATCH($H196,WF_CODE,0)),"")="Inactive",1,0))</f>
        <v/>
      </c>
      <c r="W196" s="24">
        <f>IF($A196="","",IFERROR(INDEX(TYP_PHASE,MATCH($A196,TYP_TYPE,0)),"-"))</f>
        <v/>
      </c>
      <c r="X196" s="24">
        <f>IF(AND($T196=1,$U196=0,N($N196)&gt;0),$N196+ROW()/1000000,"")</f>
        <v/>
      </c>
      <c r="Y196" s="24">
        <f>IF(AND($T196=1,$U196=0,OR($I196&lt;&gt;"",N($N196)&gt;0)),N($N196)+ROW()/1000000,"")</f>
        <v/>
      </c>
      <c r="Z196" s="24">
        <f>IF(AND($T196=1,$U196=0,$I196="",N($N196)&lt;=0,-N($N196)&lt;=HORIZON),N($N196)+ROW()/1000000,"")</f>
        <v/>
      </c>
    </row>
    <row r="197">
      <c r="A197" s="21" t="n"/>
      <c r="B197" s="21" t="n"/>
      <c r="C197" s="21" t="n"/>
      <c r="D197" s="21" t="n"/>
      <c r="E197" s="21" t="n"/>
      <c r="F197" s="21" t="n"/>
      <c r="G197" s="21" t="n"/>
      <c r="H197" s="21" t="n"/>
      <c r="I197" s="22" t="n"/>
      <c r="J197" s="22" t="n"/>
      <c r="K197" s="23">
        <f>IF($A197="","",IF($J197&lt;&gt;"",$J197,$S197))</f>
        <v/>
      </c>
      <c r="L197" s="24">
        <f>IF(OR($A197="",$E197=""),"",IF($J197&lt;&gt;"","Manual",IF($S197="","-","Auto")))</f>
        <v/>
      </c>
      <c r="M197" s="22" t="n"/>
      <c r="N197" s="25">
        <f>IF($T197=0,"",IF($U197=1,IF($M197="","",$M197-$K197),IF($K197="","",TODAY()-$K197)))</f>
        <v/>
      </c>
      <c r="O197" s="24">
        <f>IF(OR($A197="",$E197=""),"",IF($V197=1,S_INACT,IF(ISNA(MATCH($A197,TYP_TYPE,0)),S_TYPEKO,IF($U197=1,S_DONE,IF(AND($K197="",$R197=""),S_NOSCOPE,IF($K197="",S_NOTARGET,IF($N197&gt;0,S_LATE,IF($I197&lt;&gt;"",S_WIP,IF(-$N197&lt;=FEN_DOC,S_RISK,IF(-$N197&lt;=HORIZON,S_COMING,S_NOTYET))))))))))</f>
        <v/>
      </c>
      <c r="P197" s="24">
        <f>IF(OR($A197="",$E197=""),"",IF($V197=1,"",IF(ISNA(MATCH($A197,TYP_TYPE,0)),"Type not in the library",IF($B197="","Scope not set",IF(AND($B197="System",$C197=""),"System not set",IF(AND($B197="Equipment",$D197=""),"Equipment not set",IF($F197="","Responsible not set",IF($K197="","No target date",IF(AND($B197="Equipment",$C197&lt;&gt;"",IFERROR(INDEX(EQP_SYS,MATCH($D197,EQP_NOM,0)),"")&lt;&gt;$C197),"Equipment not in that system",IF(AND($U197=1,$M197=""),"Approved with no approval date",""))))))))))</f>
        <v/>
      </c>
      <c r="Q197" s="21" t="n"/>
      <c r="R197" s="23">
        <f>IF(OR($A197="",$B197=""),"",IF($B197="Equipment",IFERROR(INDEX(EQP_START,MATCH($D197,EQP_NOM,0)),""),IF($B197="System",IFERROR(INDEX(SYS_EARLIEST,MATCH($C197,SYS_ID,0)),""),IF($B197="All",CTR_EARLIEST,""))))</f>
        <v/>
      </c>
      <c r="S197" s="23">
        <f>IF(OR($A197="",$E197=""),"",IFERROR(IF(INDEX(TYP_ANCHOR,MATCH($A197,TYP_TYPE,0))="Commissioning Start",IF($R197="","",$R197-INDEX(TYP_LEAD,MATCH($A197,TYP_TYPE,0))),IF(INDEX(MS_PLAN,MATCH(INDEX(TYP_ANCHOR,MATCH($A197,TYP_TYPE,0)),MS_NOM,0))="","",INDEX(MS_PLAN,MATCH(INDEX(TYP_ANCHOR,MATCH($A197,TYP_TYPE,0)),MS_NOM,0))-INDEX(TYP_LEAD,MATCH($A197,TYP_TYPE,0)))),""))</f>
        <v/>
      </c>
      <c r="T197" s="26">
        <f>IF(OR($A197="",$E197=""),0,IF($V197=1,0,1))</f>
        <v/>
      </c>
      <c r="U197" s="26">
        <f>IF($T197=0,0,IF($M197&lt;&gt;"",1,IF(IFERROR(INDEX(WF_CLASS,MATCH($H197,WF_CODE,0)),"")="Done",1,0)))</f>
        <v/>
      </c>
      <c r="V197" s="26">
        <f>IF(OR($A197="",$E197=""),0,IF(IFERROR(INDEX(WF_CLASS,MATCH($H197,WF_CODE,0)),"")="Inactive",1,0))</f>
        <v/>
      </c>
      <c r="W197" s="24">
        <f>IF($A197="","",IFERROR(INDEX(TYP_PHASE,MATCH($A197,TYP_TYPE,0)),"-"))</f>
        <v/>
      </c>
      <c r="X197" s="24">
        <f>IF(AND($T197=1,$U197=0,N($N197)&gt;0),$N197+ROW()/1000000,"")</f>
        <v/>
      </c>
      <c r="Y197" s="24">
        <f>IF(AND($T197=1,$U197=0,OR($I197&lt;&gt;"",N($N197)&gt;0)),N($N197)+ROW()/1000000,"")</f>
        <v/>
      </c>
      <c r="Z197" s="24">
        <f>IF(AND($T197=1,$U197=0,$I197="",N($N197)&lt;=0,-N($N197)&lt;=HORIZON),N($N197)+ROW()/1000000,"")</f>
        <v/>
      </c>
    </row>
    <row r="198">
      <c r="A198" s="21" t="n"/>
      <c r="B198" s="21" t="n"/>
      <c r="C198" s="21" t="n"/>
      <c r="D198" s="21" t="n"/>
      <c r="E198" s="21" t="n"/>
      <c r="F198" s="21" t="n"/>
      <c r="G198" s="21" t="n"/>
      <c r="H198" s="21" t="n"/>
      <c r="I198" s="22" t="n"/>
      <c r="J198" s="22" t="n"/>
      <c r="K198" s="23">
        <f>IF($A198="","",IF($J198&lt;&gt;"",$J198,$S198))</f>
        <v/>
      </c>
      <c r="L198" s="24">
        <f>IF(OR($A198="",$E198=""),"",IF($J198&lt;&gt;"","Manual",IF($S198="","-","Auto")))</f>
        <v/>
      </c>
      <c r="M198" s="22" t="n"/>
      <c r="N198" s="25">
        <f>IF($T198=0,"",IF($U198=1,IF($M198="","",$M198-$K198),IF($K198="","",TODAY()-$K198)))</f>
        <v/>
      </c>
      <c r="O198" s="24">
        <f>IF(OR($A198="",$E198=""),"",IF($V198=1,S_INACT,IF(ISNA(MATCH($A198,TYP_TYPE,0)),S_TYPEKO,IF($U198=1,S_DONE,IF(AND($K198="",$R198=""),S_NOSCOPE,IF($K198="",S_NOTARGET,IF($N198&gt;0,S_LATE,IF($I198&lt;&gt;"",S_WIP,IF(-$N198&lt;=FEN_DOC,S_RISK,IF(-$N198&lt;=HORIZON,S_COMING,S_NOTYET))))))))))</f>
        <v/>
      </c>
      <c r="P198" s="24">
        <f>IF(OR($A198="",$E198=""),"",IF($V198=1,"",IF(ISNA(MATCH($A198,TYP_TYPE,0)),"Type not in the library",IF($B198="","Scope not set",IF(AND($B198="System",$C198=""),"System not set",IF(AND($B198="Equipment",$D198=""),"Equipment not set",IF($F198="","Responsible not set",IF($K198="","No target date",IF(AND($B198="Equipment",$C198&lt;&gt;"",IFERROR(INDEX(EQP_SYS,MATCH($D198,EQP_NOM,0)),"")&lt;&gt;$C198),"Equipment not in that system",IF(AND($U198=1,$M198=""),"Approved with no approval date",""))))))))))</f>
        <v/>
      </c>
      <c r="Q198" s="21" t="n"/>
      <c r="R198" s="23">
        <f>IF(OR($A198="",$B198=""),"",IF($B198="Equipment",IFERROR(INDEX(EQP_START,MATCH($D198,EQP_NOM,0)),""),IF($B198="System",IFERROR(INDEX(SYS_EARLIEST,MATCH($C198,SYS_ID,0)),""),IF($B198="All",CTR_EARLIEST,""))))</f>
        <v/>
      </c>
      <c r="S198" s="23">
        <f>IF(OR($A198="",$E198=""),"",IFERROR(IF(INDEX(TYP_ANCHOR,MATCH($A198,TYP_TYPE,0))="Commissioning Start",IF($R198="","",$R198-INDEX(TYP_LEAD,MATCH($A198,TYP_TYPE,0))),IF(INDEX(MS_PLAN,MATCH(INDEX(TYP_ANCHOR,MATCH($A198,TYP_TYPE,0)),MS_NOM,0))="","",INDEX(MS_PLAN,MATCH(INDEX(TYP_ANCHOR,MATCH($A198,TYP_TYPE,0)),MS_NOM,0))-INDEX(TYP_LEAD,MATCH($A198,TYP_TYPE,0)))),""))</f>
        <v/>
      </c>
      <c r="T198" s="26">
        <f>IF(OR($A198="",$E198=""),0,IF($V198=1,0,1))</f>
        <v/>
      </c>
      <c r="U198" s="26">
        <f>IF($T198=0,0,IF($M198&lt;&gt;"",1,IF(IFERROR(INDEX(WF_CLASS,MATCH($H198,WF_CODE,0)),"")="Done",1,0)))</f>
        <v/>
      </c>
      <c r="V198" s="26">
        <f>IF(OR($A198="",$E198=""),0,IF(IFERROR(INDEX(WF_CLASS,MATCH($H198,WF_CODE,0)),"")="Inactive",1,0))</f>
        <v/>
      </c>
      <c r="W198" s="24">
        <f>IF($A198="","",IFERROR(INDEX(TYP_PHASE,MATCH($A198,TYP_TYPE,0)),"-"))</f>
        <v/>
      </c>
      <c r="X198" s="24">
        <f>IF(AND($T198=1,$U198=0,N($N198)&gt;0),$N198+ROW()/1000000,"")</f>
        <v/>
      </c>
      <c r="Y198" s="24">
        <f>IF(AND($T198=1,$U198=0,OR($I198&lt;&gt;"",N($N198)&gt;0)),N($N198)+ROW()/1000000,"")</f>
        <v/>
      </c>
      <c r="Z198" s="24">
        <f>IF(AND($T198=1,$U198=0,$I198="",N($N198)&lt;=0,-N($N198)&lt;=HORIZON),N($N198)+ROW()/1000000,"")</f>
        <v/>
      </c>
    </row>
    <row r="199">
      <c r="A199" s="21" t="n"/>
      <c r="B199" s="21" t="n"/>
      <c r="C199" s="21" t="n"/>
      <c r="D199" s="21" t="n"/>
      <c r="E199" s="21" t="n"/>
      <c r="F199" s="21" t="n"/>
      <c r="G199" s="21" t="n"/>
      <c r="H199" s="21" t="n"/>
      <c r="I199" s="22" t="n"/>
      <c r="J199" s="22" t="n"/>
      <c r="K199" s="23">
        <f>IF($A199="","",IF($J199&lt;&gt;"",$J199,$S199))</f>
        <v/>
      </c>
      <c r="L199" s="24">
        <f>IF(OR($A199="",$E199=""),"",IF($J199&lt;&gt;"","Manual",IF($S199="","-","Auto")))</f>
        <v/>
      </c>
      <c r="M199" s="22" t="n"/>
      <c r="N199" s="25">
        <f>IF($T199=0,"",IF($U199=1,IF($M199="","",$M199-$K199),IF($K199="","",TODAY()-$K199)))</f>
        <v/>
      </c>
      <c r="O199" s="24">
        <f>IF(OR($A199="",$E199=""),"",IF($V199=1,S_INACT,IF(ISNA(MATCH($A199,TYP_TYPE,0)),S_TYPEKO,IF($U199=1,S_DONE,IF(AND($K199="",$R199=""),S_NOSCOPE,IF($K199="",S_NOTARGET,IF($N199&gt;0,S_LATE,IF($I199&lt;&gt;"",S_WIP,IF(-$N199&lt;=FEN_DOC,S_RISK,IF(-$N199&lt;=HORIZON,S_COMING,S_NOTYET))))))))))</f>
        <v/>
      </c>
      <c r="P199" s="24">
        <f>IF(OR($A199="",$E199=""),"",IF($V199=1,"",IF(ISNA(MATCH($A199,TYP_TYPE,0)),"Type not in the library",IF($B199="","Scope not set",IF(AND($B199="System",$C199=""),"System not set",IF(AND($B199="Equipment",$D199=""),"Equipment not set",IF($F199="","Responsible not set",IF($K199="","No target date",IF(AND($B199="Equipment",$C199&lt;&gt;"",IFERROR(INDEX(EQP_SYS,MATCH($D199,EQP_NOM,0)),"")&lt;&gt;$C199),"Equipment not in that system",IF(AND($U199=1,$M199=""),"Approved with no approval date",""))))))))))</f>
        <v/>
      </c>
      <c r="Q199" s="21" t="n"/>
      <c r="R199" s="23">
        <f>IF(OR($A199="",$B199=""),"",IF($B199="Equipment",IFERROR(INDEX(EQP_START,MATCH($D199,EQP_NOM,0)),""),IF($B199="System",IFERROR(INDEX(SYS_EARLIEST,MATCH($C199,SYS_ID,0)),""),IF($B199="All",CTR_EARLIEST,""))))</f>
        <v/>
      </c>
      <c r="S199" s="23">
        <f>IF(OR($A199="",$E199=""),"",IFERROR(IF(INDEX(TYP_ANCHOR,MATCH($A199,TYP_TYPE,0))="Commissioning Start",IF($R199="","",$R199-INDEX(TYP_LEAD,MATCH($A199,TYP_TYPE,0))),IF(INDEX(MS_PLAN,MATCH(INDEX(TYP_ANCHOR,MATCH($A199,TYP_TYPE,0)),MS_NOM,0))="","",INDEX(MS_PLAN,MATCH(INDEX(TYP_ANCHOR,MATCH($A199,TYP_TYPE,0)),MS_NOM,0))-INDEX(TYP_LEAD,MATCH($A199,TYP_TYPE,0)))),""))</f>
        <v/>
      </c>
      <c r="T199" s="26">
        <f>IF(OR($A199="",$E199=""),0,IF($V199=1,0,1))</f>
        <v/>
      </c>
      <c r="U199" s="26">
        <f>IF($T199=0,0,IF($M199&lt;&gt;"",1,IF(IFERROR(INDEX(WF_CLASS,MATCH($H199,WF_CODE,0)),"")="Done",1,0)))</f>
        <v/>
      </c>
      <c r="V199" s="26">
        <f>IF(OR($A199="",$E199=""),0,IF(IFERROR(INDEX(WF_CLASS,MATCH($H199,WF_CODE,0)),"")="Inactive",1,0))</f>
        <v/>
      </c>
      <c r="W199" s="24">
        <f>IF($A199="","",IFERROR(INDEX(TYP_PHASE,MATCH($A199,TYP_TYPE,0)),"-"))</f>
        <v/>
      </c>
      <c r="X199" s="24">
        <f>IF(AND($T199=1,$U199=0,N($N199)&gt;0),$N199+ROW()/1000000,"")</f>
        <v/>
      </c>
      <c r="Y199" s="24">
        <f>IF(AND($T199=1,$U199=0,OR($I199&lt;&gt;"",N($N199)&gt;0)),N($N199)+ROW()/1000000,"")</f>
        <v/>
      </c>
      <c r="Z199" s="24">
        <f>IF(AND($T199=1,$U199=0,$I199="",N($N199)&lt;=0,-N($N199)&lt;=HORIZON),N($N199)+ROW()/1000000,"")</f>
        <v/>
      </c>
    </row>
    <row r="200">
      <c r="A200" s="21" t="n"/>
      <c r="B200" s="21" t="n"/>
      <c r="C200" s="21" t="n"/>
      <c r="D200" s="21" t="n"/>
      <c r="E200" s="21" t="n"/>
      <c r="F200" s="21" t="n"/>
      <c r="G200" s="21" t="n"/>
      <c r="H200" s="21" t="n"/>
      <c r="I200" s="22" t="n"/>
      <c r="J200" s="22" t="n"/>
      <c r="K200" s="23">
        <f>IF($A200="","",IF($J200&lt;&gt;"",$J200,$S200))</f>
        <v/>
      </c>
      <c r="L200" s="24">
        <f>IF(OR($A200="",$E200=""),"",IF($J200&lt;&gt;"","Manual",IF($S200="","-","Auto")))</f>
        <v/>
      </c>
      <c r="M200" s="22" t="n"/>
      <c r="N200" s="25">
        <f>IF($T200=0,"",IF($U200=1,IF($M200="","",$M200-$K200),IF($K200="","",TODAY()-$K200)))</f>
        <v/>
      </c>
      <c r="O200" s="24">
        <f>IF(OR($A200="",$E200=""),"",IF($V200=1,S_INACT,IF(ISNA(MATCH($A200,TYP_TYPE,0)),S_TYPEKO,IF($U200=1,S_DONE,IF(AND($K200="",$R200=""),S_NOSCOPE,IF($K200="",S_NOTARGET,IF($N200&gt;0,S_LATE,IF($I200&lt;&gt;"",S_WIP,IF(-$N200&lt;=FEN_DOC,S_RISK,IF(-$N200&lt;=HORIZON,S_COMING,S_NOTYET))))))))))</f>
        <v/>
      </c>
      <c r="P200" s="24">
        <f>IF(OR($A200="",$E200=""),"",IF($V200=1,"",IF(ISNA(MATCH($A200,TYP_TYPE,0)),"Type not in the library",IF($B200="","Scope not set",IF(AND($B200="System",$C200=""),"System not set",IF(AND($B200="Equipment",$D200=""),"Equipment not set",IF($F200="","Responsible not set",IF($K200="","No target date",IF(AND($B200="Equipment",$C200&lt;&gt;"",IFERROR(INDEX(EQP_SYS,MATCH($D200,EQP_NOM,0)),"")&lt;&gt;$C200),"Equipment not in that system",IF(AND($U200=1,$M200=""),"Approved with no approval date",""))))))))))</f>
        <v/>
      </c>
      <c r="Q200" s="21" t="n"/>
      <c r="R200" s="23">
        <f>IF(OR($A200="",$B200=""),"",IF($B200="Equipment",IFERROR(INDEX(EQP_START,MATCH($D200,EQP_NOM,0)),""),IF($B200="System",IFERROR(INDEX(SYS_EARLIEST,MATCH($C200,SYS_ID,0)),""),IF($B200="All",CTR_EARLIEST,""))))</f>
        <v/>
      </c>
      <c r="S200" s="23">
        <f>IF(OR($A200="",$E200=""),"",IFERROR(IF(INDEX(TYP_ANCHOR,MATCH($A200,TYP_TYPE,0))="Commissioning Start",IF($R200="","",$R200-INDEX(TYP_LEAD,MATCH($A200,TYP_TYPE,0))),IF(INDEX(MS_PLAN,MATCH(INDEX(TYP_ANCHOR,MATCH($A200,TYP_TYPE,0)),MS_NOM,0))="","",INDEX(MS_PLAN,MATCH(INDEX(TYP_ANCHOR,MATCH($A200,TYP_TYPE,0)),MS_NOM,0))-INDEX(TYP_LEAD,MATCH($A200,TYP_TYPE,0)))),""))</f>
        <v/>
      </c>
      <c r="T200" s="26">
        <f>IF(OR($A200="",$E200=""),0,IF($V200=1,0,1))</f>
        <v/>
      </c>
      <c r="U200" s="26">
        <f>IF($T200=0,0,IF($M200&lt;&gt;"",1,IF(IFERROR(INDEX(WF_CLASS,MATCH($H200,WF_CODE,0)),"")="Done",1,0)))</f>
        <v/>
      </c>
      <c r="V200" s="26">
        <f>IF(OR($A200="",$E200=""),0,IF(IFERROR(INDEX(WF_CLASS,MATCH($H200,WF_CODE,0)),"")="Inactive",1,0))</f>
        <v/>
      </c>
      <c r="W200" s="24">
        <f>IF($A200="","",IFERROR(INDEX(TYP_PHASE,MATCH($A200,TYP_TYPE,0)),"-"))</f>
        <v/>
      </c>
      <c r="X200" s="24">
        <f>IF(AND($T200=1,$U200=0,N($N200)&gt;0),$N200+ROW()/1000000,"")</f>
        <v/>
      </c>
      <c r="Y200" s="24">
        <f>IF(AND($T200=1,$U200=0,OR($I200&lt;&gt;"",N($N200)&gt;0)),N($N200)+ROW()/1000000,"")</f>
        <v/>
      </c>
      <c r="Z200" s="24">
        <f>IF(AND($T200=1,$U200=0,$I200="",N($N200)&lt;=0,-N($N200)&lt;=HORIZON),N($N200)+ROW()/1000000,"")</f>
        <v/>
      </c>
    </row>
    <row r="201">
      <c r="A201" s="21" t="n"/>
      <c r="B201" s="21" t="n"/>
      <c r="C201" s="21" t="n"/>
      <c r="D201" s="21" t="n"/>
      <c r="E201" s="21" t="n"/>
      <c r="F201" s="21" t="n"/>
      <c r="G201" s="21" t="n"/>
      <c r="H201" s="21" t="n"/>
      <c r="I201" s="22" t="n"/>
      <c r="J201" s="22" t="n"/>
      <c r="K201" s="23">
        <f>IF($A201="","",IF($J201&lt;&gt;"",$J201,$S201))</f>
        <v/>
      </c>
      <c r="L201" s="24">
        <f>IF(OR($A201="",$E201=""),"",IF($J201&lt;&gt;"","Manual",IF($S201="","-","Auto")))</f>
        <v/>
      </c>
      <c r="M201" s="22" t="n"/>
      <c r="N201" s="25">
        <f>IF($T201=0,"",IF($U201=1,IF($M201="","",$M201-$K201),IF($K201="","",TODAY()-$K201)))</f>
        <v/>
      </c>
      <c r="O201" s="24">
        <f>IF(OR($A201="",$E201=""),"",IF($V201=1,S_INACT,IF(ISNA(MATCH($A201,TYP_TYPE,0)),S_TYPEKO,IF($U201=1,S_DONE,IF(AND($K201="",$R201=""),S_NOSCOPE,IF($K201="",S_NOTARGET,IF($N201&gt;0,S_LATE,IF($I201&lt;&gt;"",S_WIP,IF(-$N201&lt;=FEN_DOC,S_RISK,IF(-$N201&lt;=HORIZON,S_COMING,S_NOTYET))))))))))</f>
        <v/>
      </c>
      <c r="P201" s="24">
        <f>IF(OR($A201="",$E201=""),"",IF($V201=1,"",IF(ISNA(MATCH($A201,TYP_TYPE,0)),"Type not in the library",IF($B201="","Scope not set",IF(AND($B201="System",$C201=""),"System not set",IF(AND($B201="Equipment",$D201=""),"Equipment not set",IF($F201="","Responsible not set",IF($K201="","No target date",IF(AND($B201="Equipment",$C201&lt;&gt;"",IFERROR(INDEX(EQP_SYS,MATCH($D201,EQP_NOM,0)),"")&lt;&gt;$C201),"Equipment not in that system",IF(AND($U201=1,$M201=""),"Approved with no approval date",""))))))))))</f>
        <v/>
      </c>
      <c r="Q201" s="21" t="n"/>
      <c r="R201" s="23">
        <f>IF(OR($A201="",$B201=""),"",IF($B201="Equipment",IFERROR(INDEX(EQP_START,MATCH($D201,EQP_NOM,0)),""),IF($B201="System",IFERROR(INDEX(SYS_EARLIEST,MATCH($C201,SYS_ID,0)),""),IF($B201="All",CTR_EARLIEST,""))))</f>
        <v/>
      </c>
      <c r="S201" s="23">
        <f>IF(OR($A201="",$E201=""),"",IFERROR(IF(INDEX(TYP_ANCHOR,MATCH($A201,TYP_TYPE,0))="Commissioning Start",IF($R201="","",$R201-INDEX(TYP_LEAD,MATCH($A201,TYP_TYPE,0))),IF(INDEX(MS_PLAN,MATCH(INDEX(TYP_ANCHOR,MATCH($A201,TYP_TYPE,0)),MS_NOM,0))="","",INDEX(MS_PLAN,MATCH(INDEX(TYP_ANCHOR,MATCH($A201,TYP_TYPE,0)),MS_NOM,0))-INDEX(TYP_LEAD,MATCH($A201,TYP_TYPE,0)))),""))</f>
        <v/>
      </c>
      <c r="T201" s="26">
        <f>IF(OR($A201="",$E201=""),0,IF($V201=1,0,1))</f>
        <v/>
      </c>
      <c r="U201" s="26">
        <f>IF($T201=0,0,IF($M201&lt;&gt;"",1,IF(IFERROR(INDEX(WF_CLASS,MATCH($H201,WF_CODE,0)),"")="Done",1,0)))</f>
        <v/>
      </c>
      <c r="V201" s="26">
        <f>IF(OR($A201="",$E201=""),0,IF(IFERROR(INDEX(WF_CLASS,MATCH($H201,WF_CODE,0)),"")="Inactive",1,0))</f>
        <v/>
      </c>
      <c r="W201" s="24">
        <f>IF($A201="","",IFERROR(INDEX(TYP_PHASE,MATCH($A201,TYP_TYPE,0)),"-"))</f>
        <v/>
      </c>
      <c r="X201" s="24">
        <f>IF(AND($T201=1,$U201=0,N($N201)&gt;0),$N201+ROW()/1000000,"")</f>
        <v/>
      </c>
      <c r="Y201" s="24">
        <f>IF(AND($T201=1,$U201=0,OR($I201&lt;&gt;"",N($N201)&gt;0)),N($N201)+ROW()/1000000,"")</f>
        <v/>
      </c>
      <c r="Z201" s="24">
        <f>IF(AND($T201=1,$U201=0,$I201="",N($N201)&lt;=0,-N($N201)&lt;=HORIZON),N($N201)+ROW()/1000000,"")</f>
        <v/>
      </c>
    </row>
    <row r="202">
      <c r="A202" s="21" t="n"/>
      <c r="B202" s="21" t="n"/>
      <c r="C202" s="21" t="n"/>
      <c r="D202" s="21" t="n"/>
      <c r="E202" s="21" t="n"/>
      <c r="F202" s="21" t="n"/>
      <c r="G202" s="21" t="n"/>
      <c r="H202" s="21" t="n"/>
      <c r="I202" s="22" t="n"/>
      <c r="J202" s="22" t="n"/>
      <c r="K202" s="23">
        <f>IF($A202="","",IF($J202&lt;&gt;"",$J202,$S202))</f>
        <v/>
      </c>
      <c r="L202" s="24">
        <f>IF(OR($A202="",$E202=""),"",IF($J202&lt;&gt;"","Manual",IF($S202="","-","Auto")))</f>
        <v/>
      </c>
      <c r="M202" s="22" t="n"/>
      <c r="N202" s="25">
        <f>IF($T202=0,"",IF($U202=1,IF($M202="","",$M202-$K202),IF($K202="","",TODAY()-$K202)))</f>
        <v/>
      </c>
      <c r="O202" s="24">
        <f>IF(OR($A202="",$E202=""),"",IF($V202=1,S_INACT,IF(ISNA(MATCH($A202,TYP_TYPE,0)),S_TYPEKO,IF($U202=1,S_DONE,IF(AND($K202="",$R202=""),S_NOSCOPE,IF($K202="",S_NOTARGET,IF($N202&gt;0,S_LATE,IF($I202&lt;&gt;"",S_WIP,IF(-$N202&lt;=FEN_DOC,S_RISK,IF(-$N202&lt;=HORIZON,S_COMING,S_NOTYET))))))))))</f>
        <v/>
      </c>
      <c r="P202" s="24">
        <f>IF(OR($A202="",$E202=""),"",IF($V202=1,"",IF(ISNA(MATCH($A202,TYP_TYPE,0)),"Type not in the library",IF($B202="","Scope not set",IF(AND($B202="System",$C202=""),"System not set",IF(AND($B202="Equipment",$D202=""),"Equipment not set",IF($F202="","Responsible not set",IF($K202="","No target date",IF(AND($B202="Equipment",$C202&lt;&gt;"",IFERROR(INDEX(EQP_SYS,MATCH($D202,EQP_NOM,0)),"")&lt;&gt;$C202),"Equipment not in that system",IF(AND($U202=1,$M202=""),"Approved with no approval date",""))))))))))</f>
        <v/>
      </c>
      <c r="Q202" s="21" t="n"/>
      <c r="R202" s="23">
        <f>IF(OR($A202="",$B202=""),"",IF($B202="Equipment",IFERROR(INDEX(EQP_START,MATCH($D202,EQP_NOM,0)),""),IF($B202="System",IFERROR(INDEX(SYS_EARLIEST,MATCH($C202,SYS_ID,0)),""),IF($B202="All",CTR_EARLIEST,""))))</f>
        <v/>
      </c>
      <c r="S202" s="23">
        <f>IF(OR($A202="",$E202=""),"",IFERROR(IF(INDEX(TYP_ANCHOR,MATCH($A202,TYP_TYPE,0))="Commissioning Start",IF($R202="","",$R202-INDEX(TYP_LEAD,MATCH($A202,TYP_TYPE,0))),IF(INDEX(MS_PLAN,MATCH(INDEX(TYP_ANCHOR,MATCH($A202,TYP_TYPE,0)),MS_NOM,0))="","",INDEX(MS_PLAN,MATCH(INDEX(TYP_ANCHOR,MATCH($A202,TYP_TYPE,0)),MS_NOM,0))-INDEX(TYP_LEAD,MATCH($A202,TYP_TYPE,0)))),""))</f>
        <v/>
      </c>
      <c r="T202" s="26">
        <f>IF(OR($A202="",$E202=""),0,IF($V202=1,0,1))</f>
        <v/>
      </c>
      <c r="U202" s="26">
        <f>IF($T202=0,0,IF($M202&lt;&gt;"",1,IF(IFERROR(INDEX(WF_CLASS,MATCH($H202,WF_CODE,0)),"")="Done",1,0)))</f>
        <v/>
      </c>
      <c r="V202" s="26">
        <f>IF(OR($A202="",$E202=""),0,IF(IFERROR(INDEX(WF_CLASS,MATCH($H202,WF_CODE,0)),"")="Inactive",1,0))</f>
        <v/>
      </c>
      <c r="W202" s="24">
        <f>IF($A202="","",IFERROR(INDEX(TYP_PHASE,MATCH($A202,TYP_TYPE,0)),"-"))</f>
        <v/>
      </c>
      <c r="X202" s="24">
        <f>IF(AND($T202=1,$U202=0,N($N202)&gt;0),$N202+ROW()/1000000,"")</f>
        <v/>
      </c>
      <c r="Y202" s="24">
        <f>IF(AND($T202=1,$U202=0,OR($I202&lt;&gt;"",N($N202)&gt;0)),N($N202)+ROW()/1000000,"")</f>
        <v/>
      </c>
      <c r="Z202" s="24">
        <f>IF(AND($T202=1,$U202=0,$I202="",N($N202)&lt;=0,-N($N202)&lt;=HORIZON),N($N202)+ROW()/1000000,"")</f>
        <v/>
      </c>
    </row>
    <row r="203">
      <c r="A203" s="21" t="n"/>
      <c r="B203" s="21" t="n"/>
      <c r="C203" s="21" t="n"/>
      <c r="D203" s="21" t="n"/>
      <c r="E203" s="21" t="n"/>
      <c r="F203" s="21" t="n"/>
      <c r="G203" s="21" t="n"/>
      <c r="H203" s="21" t="n"/>
      <c r="I203" s="22" t="n"/>
      <c r="J203" s="22" t="n"/>
      <c r="K203" s="23">
        <f>IF($A203="","",IF($J203&lt;&gt;"",$J203,$S203))</f>
        <v/>
      </c>
      <c r="L203" s="24">
        <f>IF(OR($A203="",$E203=""),"",IF($J203&lt;&gt;"","Manual",IF($S203="","-","Auto")))</f>
        <v/>
      </c>
      <c r="M203" s="22" t="n"/>
      <c r="N203" s="25">
        <f>IF($T203=0,"",IF($U203=1,IF($M203="","",$M203-$K203),IF($K203="","",TODAY()-$K203)))</f>
        <v/>
      </c>
      <c r="O203" s="24">
        <f>IF(OR($A203="",$E203=""),"",IF($V203=1,S_INACT,IF(ISNA(MATCH($A203,TYP_TYPE,0)),S_TYPEKO,IF($U203=1,S_DONE,IF(AND($K203="",$R203=""),S_NOSCOPE,IF($K203="",S_NOTARGET,IF($N203&gt;0,S_LATE,IF($I203&lt;&gt;"",S_WIP,IF(-$N203&lt;=FEN_DOC,S_RISK,IF(-$N203&lt;=HORIZON,S_COMING,S_NOTYET))))))))))</f>
        <v/>
      </c>
      <c r="P203" s="24">
        <f>IF(OR($A203="",$E203=""),"",IF($V203=1,"",IF(ISNA(MATCH($A203,TYP_TYPE,0)),"Type not in the library",IF($B203="","Scope not set",IF(AND($B203="System",$C203=""),"System not set",IF(AND($B203="Equipment",$D203=""),"Equipment not set",IF($F203="","Responsible not set",IF($K203="","No target date",IF(AND($B203="Equipment",$C203&lt;&gt;"",IFERROR(INDEX(EQP_SYS,MATCH($D203,EQP_NOM,0)),"")&lt;&gt;$C203),"Equipment not in that system",IF(AND($U203=1,$M203=""),"Approved with no approval date",""))))))))))</f>
        <v/>
      </c>
      <c r="Q203" s="21" t="n"/>
      <c r="R203" s="23">
        <f>IF(OR($A203="",$B203=""),"",IF($B203="Equipment",IFERROR(INDEX(EQP_START,MATCH($D203,EQP_NOM,0)),""),IF($B203="System",IFERROR(INDEX(SYS_EARLIEST,MATCH($C203,SYS_ID,0)),""),IF($B203="All",CTR_EARLIEST,""))))</f>
        <v/>
      </c>
      <c r="S203" s="23">
        <f>IF(OR($A203="",$E203=""),"",IFERROR(IF(INDEX(TYP_ANCHOR,MATCH($A203,TYP_TYPE,0))="Commissioning Start",IF($R203="","",$R203-INDEX(TYP_LEAD,MATCH($A203,TYP_TYPE,0))),IF(INDEX(MS_PLAN,MATCH(INDEX(TYP_ANCHOR,MATCH($A203,TYP_TYPE,0)),MS_NOM,0))="","",INDEX(MS_PLAN,MATCH(INDEX(TYP_ANCHOR,MATCH($A203,TYP_TYPE,0)),MS_NOM,0))-INDEX(TYP_LEAD,MATCH($A203,TYP_TYPE,0)))),""))</f>
        <v/>
      </c>
      <c r="T203" s="26">
        <f>IF(OR($A203="",$E203=""),0,IF($V203=1,0,1))</f>
        <v/>
      </c>
      <c r="U203" s="26">
        <f>IF($T203=0,0,IF($M203&lt;&gt;"",1,IF(IFERROR(INDEX(WF_CLASS,MATCH($H203,WF_CODE,0)),"")="Done",1,0)))</f>
        <v/>
      </c>
      <c r="V203" s="26">
        <f>IF(OR($A203="",$E203=""),0,IF(IFERROR(INDEX(WF_CLASS,MATCH($H203,WF_CODE,0)),"")="Inactive",1,0))</f>
        <v/>
      </c>
      <c r="W203" s="24">
        <f>IF($A203="","",IFERROR(INDEX(TYP_PHASE,MATCH($A203,TYP_TYPE,0)),"-"))</f>
        <v/>
      </c>
      <c r="X203" s="24">
        <f>IF(AND($T203=1,$U203=0,N($N203)&gt;0),$N203+ROW()/1000000,"")</f>
        <v/>
      </c>
      <c r="Y203" s="24">
        <f>IF(AND($T203=1,$U203=0,OR($I203&lt;&gt;"",N($N203)&gt;0)),N($N203)+ROW()/1000000,"")</f>
        <v/>
      </c>
      <c r="Z203" s="24">
        <f>IF(AND($T203=1,$U203=0,$I203="",N($N203)&lt;=0,-N($N203)&lt;=HORIZON),N($N203)+ROW()/1000000,"")</f>
        <v/>
      </c>
    </row>
    <row r="204">
      <c r="A204" s="21" t="n"/>
      <c r="B204" s="21" t="n"/>
      <c r="C204" s="21" t="n"/>
      <c r="D204" s="21" t="n"/>
      <c r="E204" s="21" t="n"/>
      <c r="F204" s="21" t="n"/>
      <c r="G204" s="21" t="n"/>
      <c r="H204" s="21" t="n"/>
      <c r="I204" s="22" t="n"/>
      <c r="J204" s="22" t="n"/>
      <c r="K204" s="23">
        <f>IF($A204="","",IF($J204&lt;&gt;"",$J204,$S204))</f>
        <v/>
      </c>
      <c r="L204" s="24">
        <f>IF(OR($A204="",$E204=""),"",IF($J204&lt;&gt;"","Manual",IF($S204="","-","Auto")))</f>
        <v/>
      </c>
      <c r="M204" s="22" t="n"/>
      <c r="N204" s="25">
        <f>IF($T204=0,"",IF($U204=1,IF($M204="","",$M204-$K204),IF($K204="","",TODAY()-$K204)))</f>
        <v/>
      </c>
      <c r="O204" s="24">
        <f>IF(OR($A204="",$E204=""),"",IF($V204=1,S_INACT,IF(ISNA(MATCH($A204,TYP_TYPE,0)),S_TYPEKO,IF($U204=1,S_DONE,IF(AND($K204="",$R204=""),S_NOSCOPE,IF($K204="",S_NOTARGET,IF($N204&gt;0,S_LATE,IF($I204&lt;&gt;"",S_WIP,IF(-$N204&lt;=FEN_DOC,S_RISK,IF(-$N204&lt;=HORIZON,S_COMING,S_NOTYET))))))))))</f>
        <v/>
      </c>
      <c r="P204" s="24">
        <f>IF(OR($A204="",$E204=""),"",IF($V204=1,"",IF(ISNA(MATCH($A204,TYP_TYPE,0)),"Type not in the library",IF($B204="","Scope not set",IF(AND($B204="System",$C204=""),"System not set",IF(AND($B204="Equipment",$D204=""),"Equipment not set",IF($F204="","Responsible not set",IF($K204="","No target date",IF(AND($B204="Equipment",$C204&lt;&gt;"",IFERROR(INDEX(EQP_SYS,MATCH($D204,EQP_NOM,0)),"")&lt;&gt;$C204),"Equipment not in that system",IF(AND($U204=1,$M204=""),"Approved with no approval date",""))))))))))</f>
        <v/>
      </c>
      <c r="Q204" s="21" t="n"/>
      <c r="R204" s="23">
        <f>IF(OR($A204="",$B204=""),"",IF($B204="Equipment",IFERROR(INDEX(EQP_START,MATCH($D204,EQP_NOM,0)),""),IF($B204="System",IFERROR(INDEX(SYS_EARLIEST,MATCH($C204,SYS_ID,0)),""),IF($B204="All",CTR_EARLIEST,""))))</f>
        <v/>
      </c>
      <c r="S204" s="23">
        <f>IF(OR($A204="",$E204=""),"",IFERROR(IF(INDEX(TYP_ANCHOR,MATCH($A204,TYP_TYPE,0))="Commissioning Start",IF($R204="","",$R204-INDEX(TYP_LEAD,MATCH($A204,TYP_TYPE,0))),IF(INDEX(MS_PLAN,MATCH(INDEX(TYP_ANCHOR,MATCH($A204,TYP_TYPE,0)),MS_NOM,0))="","",INDEX(MS_PLAN,MATCH(INDEX(TYP_ANCHOR,MATCH($A204,TYP_TYPE,0)),MS_NOM,0))-INDEX(TYP_LEAD,MATCH($A204,TYP_TYPE,0)))),""))</f>
        <v/>
      </c>
      <c r="T204" s="26">
        <f>IF(OR($A204="",$E204=""),0,IF($V204=1,0,1))</f>
        <v/>
      </c>
      <c r="U204" s="26">
        <f>IF($T204=0,0,IF($M204&lt;&gt;"",1,IF(IFERROR(INDEX(WF_CLASS,MATCH($H204,WF_CODE,0)),"")="Done",1,0)))</f>
        <v/>
      </c>
      <c r="V204" s="26">
        <f>IF(OR($A204="",$E204=""),0,IF(IFERROR(INDEX(WF_CLASS,MATCH($H204,WF_CODE,0)),"")="Inactive",1,0))</f>
        <v/>
      </c>
      <c r="W204" s="24">
        <f>IF($A204="","",IFERROR(INDEX(TYP_PHASE,MATCH($A204,TYP_TYPE,0)),"-"))</f>
        <v/>
      </c>
      <c r="X204" s="24">
        <f>IF(AND($T204=1,$U204=0,N($N204)&gt;0),$N204+ROW()/1000000,"")</f>
        <v/>
      </c>
      <c r="Y204" s="24">
        <f>IF(AND($T204=1,$U204=0,OR($I204&lt;&gt;"",N($N204)&gt;0)),N($N204)+ROW()/1000000,"")</f>
        <v/>
      </c>
      <c r="Z204" s="24">
        <f>IF(AND($T204=1,$U204=0,$I204="",N($N204)&lt;=0,-N($N204)&lt;=HORIZON),N($N204)+ROW()/1000000,"")</f>
        <v/>
      </c>
    </row>
    <row r="205">
      <c r="A205" s="21" t="n"/>
      <c r="B205" s="21" t="n"/>
      <c r="C205" s="21" t="n"/>
      <c r="D205" s="21" t="n"/>
      <c r="E205" s="21" t="n"/>
      <c r="F205" s="21" t="n"/>
      <c r="G205" s="21" t="n"/>
      <c r="H205" s="21" t="n"/>
      <c r="I205" s="22" t="n"/>
      <c r="J205" s="22" t="n"/>
      <c r="K205" s="23">
        <f>IF($A205="","",IF($J205&lt;&gt;"",$J205,$S205))</f>
        <v/>
      </c>
      <c r="L205" s="24">
        <f>IF(OR($A205="",$E205=""),"",IF($J205&lt;&gt;"","Manual",IF($S205="","-","Auto")))</f>
        <v/>
      </c>
      <c r="M205" s="22" t="n"/>
      <c r="N205" s="25">
        <f>IF($T205=0,"",IF($U205=1,IF($M205="","",$M205-$K205),IF($K205="","",TODAY()-$K205)))</f>
        <v/>
      </c>
      <c r="O205" s="24">
        <f>IF(OR($A205="",$E205=""),"",IF($V205=1,S_INACT,IF(ISNA(MATCH($A205,TYP_TYPE,0)),S_TYPEKO,IF($U205=1,S_DONE,IF(AND($K205="",$R205=""),S_NOSCOPE,IF($K205="",S_NOTARGET,IF($N205&gt;0,S_LATE,IF($I205&lt;&gt;"",S_WIP,IF(-$N205&lt;=FEN_DOC,S_RISK,IF(-$N205&lt;=HORIZON,S_COMING,S_NOTYET))))))))))</f>
        <v/>
      </c>
      <c r="P205" s="24">
        <f>IF(OR($A205="",$E205=""),"",IF($V205=1,"",IF(ISNA(MATCH($A205,TYP_TYPE,0)),"Type not in the library",IF($B205="","Scope not set",IF(AND($B205="System",$C205=""),"System not set",IF(AND($B205="Equipment",$D205=""),"Equipment not set",IF($F205="","Responsible not set",IF($K205="","No target date",IF(AND($B205="Equipment",$C205&lt;&gt;"",IFERROR(INDEX(EQP_SYS,MATCH($D205,EQP_NOM,0)),"")&lt;&gt;$C205),"Equipment not in that system",IF(AND($U205=1,$M205=""),"Approved with no approval date",""))))))))))</f>
        <v/>
      </c>
      <c r="Q205" s="21" t="n"/>
      <c r="R205" s="23">
        <f>IF(OR($A205="",$B205=""),"",IF($B205="Equipment",IFERROR(INDEX(EQP_START,MATCH($D205,EQP_NOM,0)),""),IF($B205="System",IFERROR(INDEX(SYS_EARLIEST,MATCH($C205,SYS_ID,0)),""),IF($B205="All",CTR_EARLIEST,""))))</f>
        <v/>
      </c>
      <c r="S205" s="23">
        <f>IF(OR($A205="",$E205=""),"",IFERROR(IF(INDEX(TYP_ANCHOR,MATCH($A205,TYP_TYPE,0))="Commissioning Start",IF($R205="","",$R205-INDEX(TYP_LEAD,MATCH($A205,TYP_TYPE,0))),IF(INDEX(MS_PLAN,MATCH(INDEX(TYP_ANCHOR,MATCH($A205,TYP_TYPE,0)),MS_NOM,0))="","",INDEX(MS_PLAN,MATCH(INDEX(TYP_ANCHOR,MATCH($A205,TYP_TYPE,0)),MS_NOM,0))-INDEX(TYP_LEAD,MATCH($A205,TYP_TYPE,0)))),""))</f>
        <v/>
      </c>
      <c r="T205" s="26">
        <f>IF(OR($A205="",$E205=""),0,IF($V205=1,0,1))</f>
        <v/>
      </c>
      <c r="U205" s="26">
        <f>IF($T205=0,0,IF($M205&lt;&gt;"",1,IF(IFERROR(INDEX(WF_CLASS,MATCH($H205,WF_CODE,0)),"")="Done",1,0)))</f>
        <v/>
      </c>
      <c r="V205" s="26">
        <f>IF(OR($A205="",$E205=""),0,IF(IFERROR(INDEX(WF_CLASS,MATCH($H205,WF_CODE,0)),"")="Inactive",1,0))</f>
        <v/>
      </c>
      <c r="W205" s="24">
        <f>IF($A205="","",IFERROR(INDEX(TYP_PHASE,MATCH($A205,TYP_TYPE,0)),"-"))</f>
        <v/>
      </c>
      <c r="X205" s="24">
        <f>IF(AND($T205=1,$U205=0,N($N205)&gt;0),$N205+ROW()/1000000,"")</f>
        <v/>
      </c>
      <c r="Y205" s="24">
        <f>IF(AND($T205=1,$U205=0,OR($I205&lt;&gt;"",N($N205)&gt;0)),N($N205)+ROW()/1000000,"")</f>
        <v/>
      </c>
      <c r="Z205" s="24">
        <f>IF(AND($T205=1,$U205=0,$I205="",N($N205)&lt;=0,-N($N205)&lt;=HORIZON),N($N205)+ROW()/1000000,"")</f>
        <v/>
      </c>
    </row>
    <row r="206">
      <c r="A206" s="21" t="n"/>
      <c r="B206" s="21" t="n"/>
      <c r="C206" s="21" t="n"/>
      <c r="D206" s="21" t="n"/>
      <c r="E206" s="21" t="n"/>
      <c r="F206" s="21" t="n"/>
      <c r="G206" s="21" t="n"/>
      <c r="H206" s="21" t="n"/>
      <c r="I206" s="22" t="n"/>
      <c r="J206" s="22" t="n"/>
      <c r="K206" s="23">
        <f>IF($A206="","",IF($J206&lt;&gt;"",$J206,$S206))</f>
        <v/>
      </c>
      <c r="L206" s="24">
        <f>IF(OR($A206="",$E206=""),"",IF($J206&lt;&gt;"","Manual",IF($S206="","-","Auto")))</f>
        <v/>
      </c>
      <c r="M206" s="22" t="n"/>
      <c r="N206" s="25">
        <f>IF($T206=0,"",IF($U206=1,IF($M206="","",$M206-$K206),IF($K206="","",TODAY()-$K206)))</f>
        <v/>
      </c>
      <c r="O206" s="24">
        <f>IF(OR($A206="",$E206=""),"",IF($V206=1,S_INACT,IF(ISNA(MATCH($A206,TYP_TYPE,0)),S_TYPEKO,IF($U206=1,S_DONE,IF(AND($K206="",$R206=""),S_NOSCOPE,IF($K206="",S_NOTARGET,IF($N206&gt;0,S_LATE,IF($I206&lt;&gt;"",S_WIP,IF(-$N206&lt;=FEN_DOC,S_RISK,IF(-$N206&lt;=HORIZON,S_COMING,S_NOTYET))))))))))</f>
        <v/>
      </c>
      <c r="P206" s="24">
        <f>IF(OR($A206="",$E206=""),"",IF($V206=1,"",IF(ISNA(MATCH($A206,TYP_TYPE,0)),"Type not in the library",IF($B206="","Scope not set",IF(AND($B206="System",$C206=""),"System not set",IF(AND($B206="Equipment",$D206=""),"Equipment not set",IF($F206="","Responsible not set",IF($K206="","No target date",IF(AND($B206="Equipment",$C206&lt;&gt;"",IFERROR(INDEX(EQP_SYS,MATCH($D206,EQP_NOM,0)),"")&lt;&gt;$C206),"Equipment not in that system",IF(AND($U206=1,$M206=""),"Approved with no approval date",""))))))))))</f>
        <v/>
      </c>
      <c r="Q206" s="21" t="n"/>
      <c r="R206" s="23">
        <f>IF(OR($A206="",$B206=""),"",IF($B206="Equipment",IFERROR(INDEX(EQP_START,MATCH($D206,EQP_NOM,0)),""),IF($B206="System",IFERROR(INDEX(SYS_EARLIEST,MATCH($C206,SYS_ID,0)),""),IF($B206="All",CTR_EARLIEST,""))))</f>
        <v/>
      </c>
      <c r="S206" s="23">
        <f>IF(OR($A206="",$E206=""),"",IFERROR(IF(INDEX(TYP_ANCHOR,MATCH($A206,TYP_TYPE,0))="Commissioning Start",IF($R206="","",$R206-INDEX(TYP_LEAD,MATCH($A206,TYP_TYPE,0))),IF(INDEX(MS_PLAN,MATCH(INDEX(TYP_ANCHOR,MATCH($A206,TYP_TYPE,0)),MS_NOM,0))="","",INDEX(MS_PLAN,MATCH(INDEX(TYP_ANCHOR,MATCH($A206,TYP_TYPE,0)),MS_NOM,0))-INDEX(TYP_LEAD,MATCH($A206,TYP_TYPE,0)))),""))</f>
        <v/>
      </c>
      <c r="T206" s="26">
        <f>IF(OR($A206="",$E206=""),0,IF($V206=1,0,1))</f>
        <v/>
      </c>
      <c r="U206" s="26">
        <f>IF($T206=0,0,IF($M206&lt;&gt;"",1,IF(IFERROR(INDEX(WF_CLASS,MATCH($H206,WF_CODE,0)),"")="Done",1,0)))</f>
        <v/>
      </c>
      <c r="V206" s="26">
        <f>IF(OR($A206="",$E206=""),0,IF(IFERROR(INDEX(WF_CLASS,MATCH($H206,WF_CODE,0)),"")="Inactive",1,0))</f>
        <v/>
      </c>
      <c r="W206" s="24">
        <f>IF($A206="","",IFERROR(INDEX(TYP_PHASE,MATCH($A206,TYP_TYPE,0)),"-"))</f>
        <v/>
      </c>
      <c r="X206" s="24">
        <f>IF(AND($T206=1,$U206=0,N($N206)&gt;0),$N206+ROW()/1000000,"")</f>
        <v/>
      </c>
      <c r="Y206" s="24">
        <f>IF(AND($T206=1,$U206=0,OR($I206&lt;&gt;"",N($N206)&gt;0)),N($N206)+ROW()/1000000,"")</f>
        <v/>
      </c>
      <c r="Z206" s="24">
        <f>IF(AND($T206=1,$U206=0,$I206="",N($N206)&lt;=0,-N($N206)&lt;=HORIZON),N($N206)+ROW()/1000000,"")</f>
        <v/>
      </c>
    </row>
    <row r="207">
      <c r="A207" s="21" t="n"/>
      <c r="B207" s="21" t="n"/>
      <c r="C207" s="21" t="n"/>
      <c r="D207" s="21" t="n"/>
      <c r="E207" s="21" t="n"/>
      <c r="F207" s="21" t="n"/>
      <c r="G207" s="21" t="n"/>
      <c r="H207" s="21" t="n"/>
      <c r="I207" s="22" t="n"/>
      <c r="J207" s="22" t="n"/>
      <c r="K207" s="23">
        <f>IF($A207="","",IF($J207&lt;&gt;"",$J207,$S207))</f>
        <v/>
      </c>
      <c r="L207" s="24">
        <f>IF(OR($A207="",$E207=""),"",IF($J207&lt;&gt;"","Manual",IF($S207="","-","Auto")))</f>
        <v/>
      </c>
      <c r="M207" s="22" t="n"/>
      <c r="N207" s="25">
        <f>IF($T207=0,"",IF($U207=1,IF($M207="","",$M207-$K207),IF($K207="","",TODAY()-$K207)))</f>
        <v/>
      </c>
      <c r="O207" s="24">
        <f>IF(OR($A207="",$E207=""),"",IF($V207=1,S_INACT,IF(ISNA(MATCH($A207,TYP_TYPE,0)),S_TYPEKO,IF($U207=1,S_DONE,IF(AND($K207="",$R207=""),S_NOSCOPE,IF($K207="",S_NOTARGET,IF($N207&gt;0,S_LATE,IF($I207&lt;&gt;"",S_WIP,IF(-$N207&lt;=FEN_DOC,S_RISK,IF(-$N207&lt;=HORIZON,S_COMING,S_NOTYET))))))))))</f>
        <v/>
      </c>
      <c r="P207" s="24">
        <f>IF(OR($A207="",$E207=""),"",IF($V207=1,"",IF(ISNA(MATCH($A207,TYP_TYPE,0)),"Type not in the library",IF($B207="","Scope not set",IF(AND($B207="System",$C207=""),"System not set",IF(AND($B207="Equipment",$D207=""),"Equipment not set",IF($F207="","Responsible not set",IF($K207="","No target date",IF(AND($B207="Equipment",$C207&lt;&gt;"",IFERROR(INDEX(EQP_SYS,MATCH($D207,EQP_NOM,0)),"")&lt;&gt;$C207),"Equipment not in that system",IF(AND($U207=1,$M207=""),"Approved with no approval date",""))))))))))</f>
        <v/>
      </c>
      <c r="Q207" s="21" t="n"/>
      <c r="R207" s="23">
        <f>IF(OR($A207="",$B207=""),"",IF($B207="Equipment",IFERROR(INDEX(EQP_START,MATCH($D207,EQP_NOM,0)),""),IF($B207="System",IFERROR(INDEX(SYS_EARLIEST,MATCH($C207,SYS_ID,0)),""),IF($B207="All",CTR_EARLIEST,""))))</f>
        <v/>
      </c>
      <c r="S207" s="23">
        <f>IF(OR($A207="",$E207=""),"",IFERROR(IF(INDEX(TYP_ANCHOR,MATCH($A207,TYP_TYPE,0))="Commissioning Start",IF($R207="","",$R207-INDEX(TYP_LEAD,MATCH($A207,TYP_TYPE,0))),IF(INDEX(MS_PLAN,MATCH(INDEX(TYP_ANCHOR,MATCH($A207,TYP_TYPE,0)),MS_NOM,0))="","",INDEX(MS_PLAN,MATCH(INDEX(TYP_ANCHOR,MATCH($A207,TYP_TYPE,0)),MS_NOM,0))-INDEX(TYP_LEAD,MATCH($A207,TYP_TYPE,0)))),""))</f>
        <v/>
      </c>
      <c r="T207" s="26">
        <f>IF(OR($A207="",$E207=""),0,IF($V207=1,0,1))</f>
        <v/>
      </c>
      <c r="U207" s="26">
        <f>IF($T207=0,0,IF($M207&lt;&gt;"",1,IF(IFERROR(INDEX(WF_CLASS,MATCH($H207,WF_CODE,0)),"")="Done",1,0)))</f>
        <v/>
      </c>
      <c r="V207" s="26">
        <f>IF(OR($A207="",$E207=""),0,IF(IFERROR(INDEX(WF_CLASS,MATCH($H207,WF_CODE,0)),"")="Inactive",1,0))</f>
        <v/>
      </c>
      <c r="W207" s="24">
        <f>IF($A207="","",IFERROR(INDEX(TYP_PHASE,MATCH($A207,TYP_TYPE,0)),"-"))</f>
        <v/>
      </c>
      <c r="X207" s="24">
        <f>IF(AND($T207=1,$U207=0,N($N207)&gt;0),$N207+ROW()/1000000,"")</f>
        <v/>
      </c>
      <c r="Y207" s="24">
        <f>IF(AND($T207=1,$U207=0,OR($I207&lt;&gt;"",N($N207)&gt;0)),N($N207)+ROW()/1000000,"")</f>
        <v/>
      </c>
      <c r="Z207" s="24">
        <f>IF(AND($T207=1,$U207=0,$I207="",N($N207)&lt;=0,-N($N207)&lt;=HORIZON),N($N207)+ROW()/1000000,"")</f>
        <v/>
      </c>
    </row>
    <row r="208">
      <c r="A208" s="21" t="n"/>
      <c r="B208" s="21" t="n"/>
      <c r="C208" s="21" t="n"/>
      <c r="D208" s="21" t="n"/>
      <c r="E208" s="21" t="n"/>
      <c r="F208" s="21" t="n"/>
      <c r="G208" s="21" t="n"/>
      <c r="H208" s="21" t="n"/>
      <c r="I208" s="22" t="n"/>
      <c r="J208" s="22" t="n"/>
      <c r="K208" s="23">
        <f>IF($A208="","",IF($J208&lt;&gt;"",$J208,$S208))</f>
        <v/>
      </c>
      <c r="L208" s="24">
        <f>IF(OR($A208="",$E208=""),"",IF($J208&lt;&gt;"","Manual",IF($S208="","-","Auto")))</f>
        <v/>
      </c>
      <c r="M208" s="22" t="n"/>
      <c r="N208" s="25">
        <f>IF($T208=0,"",IF($U208=1,IF($M208="","",$M208-$K208),IF($K208="","",TODAY()-$K208)))</f>
        <v/>
      </c>
      <c r="O208" s="24">
        <f>IF(OR($A208="",$E208=""),"",IF($V208=1,S_INACT,IF(ISNA(MATCH($A208,TYP_TYPE,0)),S_TYPEKO,IF($U208=1,S_DONE,IF(AND($K208="",$R208=""),S_NOSCOPE,IF($K208="",S_NOTARGET,IF($N208&gt;0,S_LATE,IF($I208&lt;&gt;"",S_WIP,IF(-$N208&lt;=FEN_DOC,S_RISK,IF(-$N208&lt;=HORIZON,S_COMING,S_NOTYET))))))))))</f>
        <v/>
      </c>
      <c r="P208" s="24">
        <f>IF(OR($A208="",$E208=""),"",IF($V208=1,"",IF(ISNA(MATCH($A208,TYP_TYPE,0)),"Type not in the library",IF($B208="","Scope not set",IF(AND($B208="System",$C208=""),"System not set",IF(AND($B208="Equipment",$D208=""),"Equipment not set",IF($F208="","Responsible not set",IF($K208="","No target date",IF(AND($B208="Equipment",$C208&lt;&gt;"",IFERROR(INDEX(EQP_SYS,MATCH($D208,EQP_NOM,0)),"")&lt;&gt;$C208),"Equipment not in that system",IF(AND($U208=1,$M208=""),"Approved with no approval date",""))))))))))</f>
        <v/>
      </c>
      <c r="Q208" s="21" t="n"/>
      <c r="R208" s="23">
        <f>IF(OR($A208="",$B208=""),"",IF($B208="Equipment",IFERROR(INDEX(EQP_START,MATCH($D208,EQP_NOM,0)),""),IF($B208="System",IFERROR(INDEX(SYS_EARLIEST,MATCH($C208,SYS_ID,0)),""),IF($B208="All",CTR_EARLIEST,""))))</f>
        <v/>
      </c>
      <c r="S208" s="23">
        <f>IF(OR($A208="",$E208=""),"",IFERROR(IF(INDEX(TYP_ANCHOR,MATCH($A208,TYP_TYPE,0))="Commissioning Start",IF($R208="","",$R208-INDEX(TYP_LEAD,MATCH($A208,TYP_TYPE,0))),IF(INDEX(MS_PLAN,MATCH(INDEX(TYP_ANCHOR,MATCH($A208,TYP_TYPE,0)),MS_NOM,0))="","",INDEX(MS_PLAN,MATCH(INDEX(TYP_ANCHOR,MATCH($A208,TYP_TYPE,0)),MS_NOM,0))-INDEX(TYP_LEAD,MATCH($A208,TYP_TYPE,0)))),""))</f>
        <v/>
      </c>
      <c r="T208" s="26">
        <f>IF(OR($A208="",$E208=""),0,IF($V208=1,0,1))</f>
        <v/>
      </c>
      <c r="U208" s="26">
        <f>IF($T208=0,0,IF($M208&lt;&gt;"",1,IF(IFERROR(INDEX(WF_CLASS,MATCH($H208,WF_CODE,0)),"")="Done",1,0)))</f>
        <v/>
      </c>
      <c r="V208" s="26">
        <f>IF(OR($A208="",$E208=""),0,IF(IFERROR(INDEX(WF_CLASS,MATCH($H208,WF_CODE,0)),"")="Inactive",1,0))</f>
        <v/>
      </c>
      <c r="W208" s="24">
        <f>IF($A208="","",IFERROR(INDEX(TYP_PHASE,MATCH($A208,TYP_TYPE,0)),"-"))</f>
        <v/>
      </c>
      <c r="X208" s="24">
        <f>IF(AND($T208=1,$U208=0,N($N208)&gt;0),$N208+ROW()/1000000,"")</f>
        <v/>
      </c>
      <c r="Y208" s="24">
        <f>IF(AND($T208=1,$U208=0,OR($I208&lt;&gt;"",N($N208)&gt;0)),N($N208)+ROW()/1000000,"")</f>
        <v/>
      </c>
      <c r="Z208" s="24">
        <f>IF(AND($T208=1,$U208=0,$I208="",N($N208)&lt;=0,-N($N208)&lt;=HORIZON),N($N208)+ROW()/1000000,"")</f>
        <v/>
      </c>
    </row>
    <row r="209">
      <c r="A209" s="21" t="n"/>
      <c r="B209" s="21" t="n"/>
      <c r="C209" s="21" t="n"/>
      <c r="D209" s="21" t="n"/>
      <c r="E209" s="21" t="n"/>
      <c r="F209" s="21" t="n"/>
      <c r="G209" s="21" t="n"/>
      <c r="H209" s="21" t="n"/>
      <c r="I209" s="22" t="n"/>
      <c r="J209" s="22" t="n"/>
      <c r="K209" s="23">
        <f>IF($A209="","",IF($J209&lt;&gt;"",$J209,$S209))</f>
        <v/>
      </c>
      <c r="L209" s="24">
        <f>IF(OR($A209="",$E209=""),"",IF($J209&lt;&gt;"","Manual",IF($S209="","-","Auto")))</f>
        <v/>
      </c>
      <c r="M209" s="22" t="n"/>
      <c r="N209" s="25">
        <f>IF($T209=0,"",IF($U209=1,IF($M209="","",$M209-$K209),IF($K209="","",TODAY()-$K209)))</f>
        <v/>
      </c>
      <c r="O209" s="24">
        <f>IF(OR($A209="",$E209=""),"",IF($V209=1,S_INACT,IF(ISNA(MATCH($A209,TYP_TYPE,0)),S_TYPEKO,IF($U209=1,S_DONE,IF(AND($K209="",$R209=""),S_NOSCOPE,IF($K209="",S_NOTARGET,IF($N209&gt;0,S_LATE,IF($I209&lt;&gt;"",S_WIP,IF(-$N209&lt;=FEN_DOC,S_RISK,IF(-$N209&lt;=HORIZON,S_COMING,S_NOTYET))))))))))</f>
        <v/>
      </c>
      <c r="P209" s="24">
        <f>IF(OR($A209="",$E209=""),"",IF($V209=1,"",IF(ISNA(MATCH($A209,TYP_TYPE,0)),"Type not in the library",IF($B209="","Scope not set",IF(AND($B209="System",$C209=""),"System not set",IF(AND($B209="Equipment",$D209=""),"Equipment not set",IF($F209="","Responsible not set",IF($K209="","No target date",IF(AND($B209="Equipment",$C209&lt;&gt;"",IFERROR(INDEX(EQP_SYS,MATCH($D209,EQP_NOM,0)),"")&lt;&gt;$C209),"Equipment not in that system",IF(AND($U209=1,$M209=""),"Approved with no approval date",""))))))))))</f>
        <v/>
      </c>
      <c r="Q209" s="21" t="n"/>
      <c r="R209" s="23">
        <f>IF(OR($A209="",$B209=""),"",IF($B209="Equipment",IFERROR(INDEX(EQP_START,MATCH($D209,EQP_NOM,0)),""),IF($B209="System",IFERROR(INDEX(SYS_EARLIEST,MATCH($C209,SYS_ID,0)),""),IF($B209="All",CTR_EARLIEST,""))))</f>
        <v/>
      </c>
      <c r="S209" s="23">
        <f>IF(OR($A209="",$E209=""),"",IFERROR(IF(INDEX(TYP_ANCHOR,MATCH($A209,TYP_TYPE,0))="Commissioning Start",IF($R209="","",$R209-INDEX(TYP_LEAD,MATCH($A209,TYP_TYPE,0))),IF(INDEX(MS_PLAN,MATCH(INDEX(TYP_ANCHOR,MATCH($A209,TYP_TYPE,0)),MS_NOM,0))="","",INDEX(MS_PLAN,MATCH(INDEX(TYP_ANCHOR,MATCH($A209,TYP_TYPE,0)),MS_NOM,0))-INDEX(TYP_LEAD,MATCH($A209,TYP_TYPE,0)))),""))</f>
        <v/>
      </c>
      <c r="T209" s="26">
        <f>IF(OR($A209="",$E209=""),0,IF($V209=1,0,1))</f>
        <v/>
      </c>
      <c r="U209" s="26">
        <f>IF($T209=0,0,IF($M209&lt;&gt;"",1,IF(IFERROR(INDEX(WF_CLASS,MATCH($H209,WF_CODE,0)),"")="Done",1,0)))</f>
        <v/>
      </c>
      <c r="V209" s="26">
        <f>IF(OR($A209="",$E209=""),0,IF(IFERROR(INDEX(WF_CLASS,MATCH($H209,WF_CODE,0)),"")="Inactive",1,0))</f>
        <v/>
      </c>
      <c r="W209" s="24">
        <f>IF($A209="","",IFERROR(INDEX(TYP_PHASE,MATCH($A209,TYP_TYPE,0)),"-"))</f>
        <v/>
      </c>
      <c r="X209" s="24">
        <f>IF(AND($T209=1,$U209=0,N($N209)&gt;0),$N209+ROW()/1000000,"")</f>
        <v/>
      </c>
      <c r="Y209" s="24">
        <f>IF(AND($T209=1,$U209=0,OR($I209&lt;&gt;"",N($N209)&gt;0)),N($N209)+ROW()/1000000,"")</f>
        <v/>
      </c>
      <c r="Z209" s="24">
        <f>IF(AND($T209=1,$U209=0,$I209="",N($N209)&lt;=0,-N($N209)&lt;=HORIZON),N($N209)+ROW()/1000000,"")</f>
        <v/>
      </c>
    </row>
    <row r="210">
      <c r="A210" s="21" t="n"/>
      <c r="B210" s="21" t="n"/>
      <c r="C210" s="21" t="n"/>
      <c r="D210" s="21" t="n"/>
      <c r="E210" s="21" t="n"/>
      <c r="F210" s="21" t="n"/>
      <c r="G210" s="21" t="n"/>
      <c r="H210" s="21" t="n"/>
      <c r="I210" s="22" t="n"/>
      <c r="J210" s="22" t="n"/>
      <c r="K210" s="23">
        <f>IF($A210="","",IF($J210&lt;&gt;"",$J210,$S210))</f>
        <v/>
      </c>
      <c r="L210" s="24">
        <f>IF(OR($A210="",$E210=""),"",IF($J210&lt;&gt;"","Manual",IF($S210="","-","Auto")))</f>
        <v/>
      </c>
      <c r="M210" s="22" t="n"/>
      <c r="N210" s="25">
        <f>IF($T210=0,"",IF($U210=1,IF($M210="","",$M210-$K210),IF($K210="","",TODAY()-$K210)))</f>
        <v/>
      </c>
      <c r="O210" s="24">
        <f>IF(OR($A210="",$E210=""),"",IF($V210=1,S_INACT,IF(ISNA(MATCH($A210,TYP_TYPE,0)),S_TYPEKO,IF($U210=1,S_DONE,IF(AND($K210="",$R210=""),S_NOSCOPE,IF($K210="",S_NOTARGET,IF($N210&gt;0,S_LATE,IF($I210&lt;&gt;"",S_WIP,IF(-$N210&lt;=FEN_DOC,S_RISK,IF(-$N210&lt;=HORIZON,S_COMING,S_NOTYET))))))))))</f>
        <v/>
      </c>
      <c r="P210" s="24">
        <f>IF(OR($A210="",$E210=""),"",IF($V210=1,"",IF(ISNA(MATCH($A210,TYP_TYPE,0)),"Type not in the library",IF($B210="","Scope not set",IF(AND($B210="System",$C210=""),"System not set",IF(AND($B210="Equipment",$D210=""),"Equipment not set",IF($F210="","Responsible not set",IF($K210="","No target date",IF(AND($B210="Equipment",$C210&lt;&gt;"",IFERROR(INDEX(EQP_SYS,MATCH($D210,EQP_NOM,0)),"")&lt;&gt;$C210),"Equipment not in that system",IF(AND($U210=1,$M210=""),"Approved with no approval date",""))))))))))</f>
        <v/>
      </c>
      <c r="Q210" s="21" t="n"/>
      <c r="R210" s="23">
        <f>IF(OR($A210="",$B210=""),"",IF($B210="Equipment",IFERROR(INDEX(EQP_START,MATCH($D210,EQP_NOM,0)),""),IF($B210="System",IFERROR(INDEX(SYS_EARLIEST,MATCH($C210,SYS_ID,0)),""),IF($B210="All",CTR_EARLIEST,""))))</f>
        <v/>
      </c>
      <c r="S210" s="23">
        <f>IF(OR($A210="",$E210=""),"",IFERROR(IF(INDEX(TYP_ANCHOR,MATCH($A210,TYP_TYPE,0))="Commissioning Start",IF($R210="","",$R210-INDEX(TYP_LEAD,MATCH($A210,TYP_TYPE,0))),IF(INDEX(MS_PLAN,MATCH(INDEX(TYP_ANCHOR,MATCH($A210,TYP_TYPE,0)),MS_NOM,0))="","",INDEX(MS_PLAN,MATCH(INDEX(TYP_ANCHOR,MATCH($A210,TYP_TYPE,0)),MS_NOM,0))-INDEX(TYP_LEAD,MATCH($A210,TYP_TYPE,0)))),""))</f>
        <v/>
      </c>
      <c r="T210" s="26">
        <f>IF(OR($A210="",$E210=""),0,IF($V210=1,0,1))</f>
        <v/>
      </c>
      <c r="U210" s="26">
        <f>IF($T210=0,0,IF($M210&lt;&gt;"",1,IF(IFERROR(INDEX(WF_CLASS,MATCH($H210,WF_CODE,0)),"")="Done",1,0)))</f>
        <v/>
      </c>
      <c r="V210" s="26">
        <f>IF(OR($A210="",$E210=""),0,IF(IFERROR(INDEX(WF_CLASS,MATCH($H210,WF_CODE,0)),"")="Inactive",1,0))</f>
        <v/>
      </c>
      <c r="W210" s="24">
        <f>IF($A210="","",IFERROR(INDEX(TYP_PHASE,MATCH($A210,TYP_TYPE,0)),"-"))</f>
        <v/>
      </c>
      <c r="X210" s="24">
        <f>IF(AND($T210=1,$U210=0,N($N210)&gt;0),$N210+ROW()/1000000,"")</f>
        <v/>
      </c>
      <c r="Y210" s="24">
        <f>IF(AND($T210=1,$U210=0,OR($I210&lt;&gt;"",N($N210)&gt;0)),N($N210)+ROW()/1000000,"")</f>
        <v/>
      </c>
      <c r="Z210" s="24">
        <f>IF(AND($T210=1,$U210=0,$I210="",N($N210)&lt;=0,-N($N210)&lt;=HORIZON),N($N210)+ROW()/1000000,"")</f>
        <v/>
      </c>
    </row>
    <row r="211">
      <c r="A211" s="21" t="n"/>
      <c r="B211" s="21" t="n"/>
      <c r="C211" s="21" t="n"/>
      <c r="D211" s="21" t="n"/>
      <c r="E211" s="21" t="n"/>
      <c r="F211" s="21" t="n"/>
      <c r="G211" s="21" t="n"/>
      <c r="H211" s="21" t="n"/>
      <c r="I211" s="22" t="n"/>
      <c r="J211" s="22" t="n"/>
      <c r="K211" s="23">
        <f>IF($A211="","",IF($J211&lt;&gt;"",$J211,$S211))</f>
        <v/>
      </c>
      <c r="L211" s="24">
        <f>IF(OR($A211="",$E211=""),"",IF($J211&lt;&gt;"","Manual",IF($S211="","-","Auto")))</f>
        <v/>
      </c>
      <c r="M211" s="22" t="n"/>
      <c r="N211" s="25">
        <f>IF($T211=0,"",IF($U211=1,IF($M211="","",$M211-$K211),IF($K211="","",TODAY()-$K211)))</f>
        <v/>
      </c>
      <c r="O211" s="24">
        <f>IF(OR($A211="",$E211=""),"",IF($V211=1,S_INACT,IF(ISNA(MATCH($A211,TYP_TYPE,0)),S_TYPEKO,IF($U211=1,S_DONE,IF(AND($K211="",$R211=""),S_NOSCOPE,IF($K211="",S_NOTARGET,IF($N211&gt;0,S_LATE,IF($I211&lt;&gt;"",S_WIP,IF(-$N211&lt;=FEN_DOC,S_RISK,IF(-$N211&lt;=HORIZON,S_COMING,S_NOTYET))))))))))</f>
        <v/>
      </c>
      <c r="P211" s="24">
        <f>IF(OR($A211="",$E211=""),"",IF($V211=1,"",IF(ISNA(MATCH($A211,TYP_TYPE,0)),"Type not in the library",IF($B211="","Scope not set",IF(AND($B211="System",$C211=""),"System not set",IF(AND($B211="Equipment",$D211=""),"Equipment not set",IF($F211="","Responsible not set",IF($K211="","No target date",IF(AND($B211="Equipment",$C211&lt;&gt;"",IFERROR(INDEX(EQP_SYS,MATCH($D211,EQP_NOM,0)),"")&lt;&gt;$C211),"Equipment not in that system",IF(AND($U211=1,$M211=""),"Approved with no approval date",""))))))))))</f>
        <v/>
      </c>
      <c r="Q211" s="21" t="n"/>
      <c r="R211" s="23">
        <f>IF(OR($A211="",$B211=""),"",IF($B211="Equipment",IFERROR(INDEX(EQP_START,MATCH($D211,EQP_NOM,0)),""),IF($B211="System",IFERROR(INDEX(SYS_EARLIEST,MATCH($C211,SYS_ID,0)),""),IF($B211="All",CTR_EARLIEST,""))))</f>
        <v/>
      </c>
      <c r="S211" s="23">
        <f>IF(OR($A211="",$E211=""),"",IFERROR(IF(INDEX(TYP_ANCHOR,MATCH($A211,TYP_TYPE,0))="Commissioning Start",IF($R211="","",$R211-INDEX(TYP_LEAD,MATCH($A211,TYP_TYPE,0))),IF(INDEX(MS_PLAN,MATCH(INDEX(TYP_ANCHOR,MATCH($A211,TYP_TYPE,0)),MS_NOM,0))="","",INDEX(MS_PLAN,MATCH(INDEX(TYP_ANCHOR,MATCH($A211,TYP_TYPE,0)),MS_NOM,0))-INDEX(TYP_LEAD,MATCH($A211,TYP_TYPE,0)))),""))</f>
        <v/>
      </c>
      <c r="T211" s="26">
        <f>IF(OR($A211="",$E211=""),0,IF($V211=1,0,1))</f>
        <v/>
      </c>
      <c r="U211" s="26">
        <f>IF($T211=0,0,IF($M211&lt;&gt;"",1,IF(IFERROR(INDEX(WF_CLASS,MATCH($H211,WF_CODE,0)),"")="Done",1,0)))</f>
        <v/>
      </c>
      <c r="V211" s="26">
        <f>IF(OR($A211="",$E211=""),0,IF(IFERROR(INDEX(WF_CLASS,MATCH($H211,WF_CODE,0)),"")="Inactive",1,0))</f>
        <v/>
      </c>
      <c r="W211" s="24">
        <f>IF($A211="","",IFERROR(INDEX(TYP_PHASE,MATCH($A211,TYP_TYPE,0)),"-"))</f>
        <v/>
      </c>
      <c r="X211" s="24">
        <f>IF(AND($T211=1,$U211=0,N($N211)&gt;0),$N211+ROW()/1000000,"")</f>
        <v/>
      </c>
      <c r="Y211" s="24">
        <f>IF(AND($T211=1,$U211=0,OR($I211&lt;&gt;"",N($N211)&gt;0)),N($N211)+ROW()/1000000,"")</f>
        <v/>
      </c>
      <c r="Z211" s="24">
        <f>IF(AND($T211=1,$U211=0,$I211="",N($N211)&lt;=0,-N($N211)&lt;=HORIZON),N($N211)+ROW()/1000000,"")</f>
        <v/>
      </c>
    </row>
    <row r="212">
      <c r="A212" s="21" t="n"/>
      <c r="B212" s="21" t="n"/>
      <c r="C212" s="21" t="n"/>
      <c r="D212" s="21" t="n"/>
      <c r="E212" s="21" t="n"/>
      <c r="F212" s="21" t="n"/>
      <c r="G212" s="21" t="n"/>
      <c r="H212" s="21" t="n"/>
      <c r="I212" s="22" t="n"/>
      <c r="J212" s="22" t="n"/>
      <c r="K212" s="23">
        <f>IF($A212="","",IF($J212&lt;&gt;"",$J212,$S212))</f>
        <v/>
      </c>
      <c r="L212" s="24">
        <f>IF(OR($A212="",$E212=""),"",IF($J212&lt;&gt;"","Manual",IF($S212="","-","Auto")))</f>
        <v/>
      </c>
      <c r="M212" s="22" t="n"/>
      <c r="N212" s="25">
        <f>IF($T212=0,"",IF($U212=1,IF($M212="","",$M212-$K212),IF($K212="","",TODAY()-$K212)))</f>
        <v/>
      </c>
      <c r="O212" s="24">
        <f>IF(OR($A212="",$E212=""),"",IF($V212=1,S_INACT,IF(ISNA(MATCH($A212,TYP_TYPE,0)),S_TYPEKO,IF($U212=1,S_DONE,IF(AND($K212="",$R212=""),S_NOSCOPE,IF($K212="",S_NOTARGET,IF($N212&gt;0,S_LATE,IF($I212&lt;&gt;"",S_WIP,IF(-$N212&lt;=FEN_DOC,S_RISK,IF(-$N212&lt;=HORIZON,S_COMING,S_NOTYET))))))))))</f>
        <v/>
      </c>
      <c r="P212" s="24">
        <f>IF(OR($A212="",$E212=""),"",IF($V212=1,"",IF(ISNA(MATCH($A212,TYP_TYPE,0)),"Type not in the library",IF($B212="","Scope not set",IF(AND($B212="System",$C212=""),"System not set",IF(AND($B212="Equipment",$D212=""),"Equipment not set",IF($F212="","Responsible not set",IF($K212="","No target date",IF(AND($B212="Equipment",$C212&lt;&gt;"",IFERROR(INDEX(EQP_SYS,MATCH($D212,EQP_NOM,0)),"")&lt;&gt;$C212),"Equipment not in that system",IF(AND($U212=1,$M212=""),"Approved with no approval date",""))))))))))</f>
        <v/>
      </c>
      <c r="Q212" s="21" t="n"/>
      <c r="R212" s="23">
        <f>IF(OR($A212="",$B212=""),"",IF($B212="Equipment",IFERROR(INDEX(EQP_START,MATCH($D212,EQP_NOM,0)),""),IF($B212="System",IFERROR(INDEX(SYS_EARLIEST,MATCH($C212,SYS_ID,0)),""),IF($B212="All",CTR_EARLIEST,""))))</f>
        <v/>
      </c>
      <c r="S212" s="23">
        <f>IF(OR($A212="",$E212=""),"",IFERROR(IF(INDEX(TYP_ANCHOR,MATCH($A212,TYP_TYPE,0))="Commissioning Start",IF($R212="","",$R212-INDEX(TYP_LEAD,MATCH($A212,TYP_TYPE,0))),IF(INDEX(MS_PLAN,MATCH(INDEX(TYP_ANCHOR,MATCH($A212,TYP_TYPE,0)),MS_NOM,0))="","",INDEX(MS_PLAN,MATCH(INDEX(TYP_ANCHOR,MATCH($A212,TYP_TYPE,0)),MS_NOM,0))-INDEX(TYP_LEAD,MATCH($A212,TYP_TYPE,0)))),""))</f>
        <v/>
      </c>
      <c r="T212" s="26">
        <f>IF(OR($A212="",$E212=""),0,IF($V212=1,0,1))</f>
        <v/>
      </c>
      <c r="U212" s="26">
        <f>IF($T212=0,0,IF($M212&lt;&gt;"",1,IF(IFERROR(INDEX(WF_CLASS,MATCH($H212,WF_CODE,0)),"")="Done",1,0)))</f>
        <v/>
      </c>
      <c r="V212" s="26">
        <f>IF(OR($A212="",$E212=""),0,IF(IFERROR(INDEX(WF_CLASS,MATCH($H212,WF_CODE,0)),"")="Inactive",1,0))</f>
        <v/>
      </c>
      <c r="W212" s="24">
        <f>IF($A212="","",IFERROR(INDEX(TYP_PHASE,MATCH($A212,TYP_TYPE,0)),"-"))</f>
        <v/>
      </c>
      <c r="X212" s="24">
        <f>IF(AND($T212=1,$U212=0,N($N212)&gt;0),$N212+ROW()/1000000,"")</f>
        <v/>
      </c>
      <c r="Y212" s="24">
        <f>IF(AND($T212=1,$U212=0,OR($I212&lt;&gt;"",N($N212)&gt;0)),N($N212)+ROW()/1000000,"")</f>
        <v/>
      </c>
      <c r="Z212" s="24">
        <f>IF(AND($T212=1,$U212=0,$I212="",N($N212)&lt;=0,-N($N212)&lt;=HORIZON),N($N212)+ROW()/1000000,"")</f>
        <v/>
      </c>
    </row>
    <row r="213">
      <c r="A213" s="21" t="n"/>
      <c r="B213" s="21" t="n"/>
      <c r="C213" s="21" t="n"/>
      <c r="D213" s="21" t="n"/>
      <c r="E213" s="21" t="n"/>
      <c r="F213" s="21" t="n"/>
      <c r="G213" s="21" t="n"/>
      <c r="H213" s="21" t="n"/>
      <c r="I213" s="22" t="n"/>
      <c r="J213" s="22" t="n"/>
      <c r="K213" s="23">
        <f>IF($A213="","",IF($J213&lt;&gt;"",$J213,$S213))</f>
        <v/>
      </c>
      <c r="L213" s="24">
        <f>IF(OR($A213="",$E213=""),"",IF($J213&lt;&gt;"","Manual",IF($S213="","-","Auto")))</f>
        <v/>
      </c>
      <c r="M213" s="22" t="n"/>
      <c r="N213" s="25">
        <f>IF($T213=0,"",IF($U213=1,IF($M213="","",$M213-$K213),IF($K213="","",TODAY()-$K213)))</f>
        <v/>
      </c>
      <c r="O213" s="24">
        <f>IF(OR($A213="",$E213=""),"",IF($V213=1,S_INACT,IF(ISNA(MATCH($A213,TYP_TYPE,0)),S_TYPEKO,IF($U213=1,S_DONE,IF(AND($K213="",$R213=""),S_NOSCOPE,IF($K213="",S_NOTARGET,IF($N213&gt;0,S_LATE,IF($I213&lt;&gt;"",S_WIP,IF(-$N213&lt;=FEN_DOC,S_RISK,IF(-$N213&lt;=HORIZON,S_COMING,S_NOTYET))))))))))</f>
        <v/>
      </c>
      <c r="P213" s="24">
        <f>IF(OR($A213="",$E213=""),"",IF($V213=1,"",IF(ISNA(MATCH($A213,TYP_TYPE,0)),"Type not in the library",IF($B213="","Scope not set",IF(AND($B213="System",$C213=""),"System not set",IF(AND($B213="Equipment",$D213=""),"Equipment not set",IF($F213="","Responsible not set",IF($K213="","No target date",IF(AND($B213="Equipment",$C213&lt;&gt;"",IFERROR(INDEX(EQP_SYS,MATCH($D213,EQP_NOM,0)),"")&lt;&gt;$C213),"Equipment not in that system",IF(AND($U213=1,$M213=""),"Approved with no approval date",""))))))))))</f>
        <v/>
      </c>
      <c r="Q213" s="21" t="n"/>
      <c r="R213" s="23">
        <f>IF(OR($A213="",$B213=""),"",IF($B213="Equipment",IFERROR(INDEX(EQP_START,MATCH($D213,EQP_NOM,0)),""),IF($B213="System",IFERROR(INDEX(SYS_EARLIEST,MATCH($C213,SYS_ID,0)),""),IF($B213="All",CTR_EARLIEST,""))))</f>
        <v/>
      </c>
      <c r="S213" s="23">
        <f>IF(OR($A213="",$E213=""),"",IFERROR(IF(INDEX(TYP_ANCHOR,MATCH($A213,TYP_TYPE,0))="Commissioning Start",IF($R213="","",$R213-INDEX(TYP_LEAD,MATCH($A213,TYP_TYPE,0))),IF(INDEX(MS_PLAN,MATCH(INDEX(TYP_ANCHOR,MATCH($A213,TYP_TYPE,0)),MS_NOM,0))="","",INDEX(MS_PLAN,MATCH(INDEX(TYP_ANCHOR,MATCH($A213,TYP_TYPE,0)),MS_NOM,0))-INDEX(TYP_LEAD,MATCH($A213,TYP_TYPE,0)))),""))</f>
        <v/>
      </c>
      <c r="T213" s="26">
        <f>IF(OR($A213="",$E213=""),0,IF($V213=1,0,1))</f>
        <v/>
      </c>
      <c r="U213" s="26">
        <f>IF($T213=0,0,IF($M213&lt;&gt;"",1,IF(IFERROR(INDEX(WF_CLASS,MATCH($H213,WF_CODE,0)),"")="Done",1,0)))</f>
        <v/>
      </c>
      <c r="V213" s="26">
        <f>IF(OR($A213="",$E213=""),0,IF(IFERROR(INDEX(WF_CLASS,MATCH($H213,WF_CODE,0)),"")="Inactive",1,0))</f>
        <v/>
      </c>
      <c r="W213" s="24">
        <f>IF($A213="","",IFERROR(INDEX(TYP_PHASE,MATCH($A213,TYP_TYPE,0)),"-"))</f>
        <v/>
      </c>
      <c r="X213" s="24">
        <f>IF(AND($T213=1,$U213=0,N($N213)&gt;0),$N213+ROW()/1000000,"")</f>
        <v/>
      </c>
      <c r="Y213" s="24">
        <f>IF(AND($T213=1,$U213=0,OR($I213&lt;&gt;"",N($N213)&gt;0)),N($N213)+ROW()/1000000,"")</f>
        <v/>
      </c>
      <c r="Z213" s="24">
        <f>IF(AND($T213=1,$U213=0,$I213="",N($N213)&lt;=0,-N($N213)&lt;=HORIZON),N($N213)+ROW()/1000000,"")</f>
        <v/>
      </c>
    </row>
    <row r="214">
      <c r="A214" s="21" t="n"/>
      <c r="B214" s="21" t="n"/>
      <c r="C214" s="21" t="n"/>
      <c r="D214" s="21" t="n"/>
      <c r="E214" s="21" t="n"/>
      <c r="F214" s="21" t="n"/>
      <c r="G214" s="21" t="n"/>
      <c r="H214" s="21" t="n"/>
      <c r="I214" s="22" t="n"/>
      <c r="J214" s="22" t="n"/>
      <c r="K214" s="23">
        <f>IF($A214="","",IF($J214&lt;&gt;"",$J214,$S214))</f>
        <v/>
      </c>
      <c r="L214" s="24">
        <f>IF(OR($A214="",$E214=""),"",IF($J214&lt;&gt;"","Manual",IF($S214="","-","Auto")))</f>
        <v/>
      </c>
      <c r="M214" s="22" t="n"/>
      <c r="N214" s="25">
        <f>IF($T214=0,"",IF($U214=1,IF($M214="","",$M214-$K214),IF($K214="","",TODAY()-$K214)))</f>
        <v/>
      </c>
      <c r="O214" s="24">
        <f>IF(OR($A214="",$E214=""),"",IF($V214=1,S_INACT,IF(ISNA(MATCH($A214,TYP_TYPE,0)),S_TYPEKO,IF($U214=1,S_DONE,IF(AND($K214="",$R214=""),S_NOSCOPE,IF($K214="",S_NOTARGET,IF($N214&gt;0,S_LATE,IF($I214&lt;&gt;"",S_WIP,IF(-$N214&lt;=FEN_DOC,S_RISK,IF(-$N214&lt;=HORIZON,S_COMING,S_NOTYET))))))))))</f>
        <v/>
      </c>
      <c r="P214" s="24">
        <f>IF(OR($A214="",$E214=""),"",IF($V214=1,"",IF(ISNA(MATCH($A214,TYP_TYPE,0)),"Type not in the library",IF($B214="","Scope not set",IF(AND($B214="System",$C214=""),"System not set",IF(AND($B214="Equipment",$D214=""),"Equipment not set",IF($F214="","Responsible not set",IF($K214="","No target date",IF(AND($B214="Equipment",$C214&lt;&gt;"",IFERROR(INDEX(EQP_SYS,MATCH($D214,EQP_NOM,0)),"")&lt;&gt;$C214),"Equipment not in that system",IF(AND($U214=1,$M214=""),"Approved with no approval date",""))))))))))</f>
        <v/>
      </c>
      <c r="Q214" s="21" t="n"/>
      <c r="R214" s="23">
        <f>IF(OR($A214="",$B214=""),"",IF($B214="Equipment",IFERROR(INDEX(EQP_START,MATCH($D214,EQP_NOM,0)),""),IF($B214="System",IFERROR(INDEX(SYS_EARLIEST,MATCH($C214,SYS_ID,0)),""),IF($B214="All",CTR_EARLIEST,""))))</f>
        <v/>
      </c>
      <c r="S214" s="23">
        <f>IF(OR($A214="",$E214=""),"",IFERROR(IF(INDEX(TYP_ANCHOR,MATCH($A214,TYP_TYPE,0))="Commissioning Start",IF($R214="","",$R214-INDEX(TYP_LEAD,MATCH($A214,TYP_TYPE,0))),IF(INDEX(MS_PLAN,MATCH(INDEX(TYP_ANCHOR,MATCH($A214,TYP_TYPE,0)),MS_NOM,0))="","",INDEX(MS_PLAN,MATCH(INDEX(TYP_ANCHOR,MATCH($A214,TYP_TYPE,0)),MS_NOM,0))-INDEX(TYP_LEAD,MATCH($A214,TYP_TYPE,0)))),""))</f>
        <v/>
      </c>
      <c r="T214" s="26">
        <f>IF(OR($A214="",$E214=""),0,IF($V214=1,0,1))</f>
        <v/>
      </c>
      <c r="U214" s="26">
        <f>IF($T214=0,0,IF($M214&lt;&gt;"",1,IF(IFERROR(INDEX(WF_CLASS,MATCH($H214,WF_CODE,0)),"")="Done",1,0)))</f>
        <v/>
      </c>
      <c r="V214" s="26">
        <f>IF(OR($A214="",$E214=""),0,IF(IFERROR(INDEX(WF_CLASS,MATCH($H214,WF_CODE,0)),"")="Inactive",1,0))</f>
        <v/>
      </c>
      <c r="W214" s="24">
        <f>IF($A214="","",IFERROR(INDEX(TYP_PHASE,MATCH($A214,TYP_TYPE,0)),"-"))</f>
        <v/>
      </c>
      <c r="X214" s="24">
        <f>IF(AND($T214=1,$U214=0,N($N214)&gt;0),$N214+ROW()/1000000,"")</f>
        <v/>
      </c>
      <c r="Y214" s="24">
        <f>IF(AND($T214=1,$U214=0,OR($I214&lt;&gt;"",N($N214)&gt;0)),N($N214)+ROW()/1000000,"")</f>
        <v/>
      </c>
      <c r="Z214" s="24">
        <f>IF(AND($T214=1,$U214=0,$I214="",N($N214)&lt;=0,-N($N214)&lt;=HORIZON),N($N214)+ROW()/1000000,"")</f>
        <v/>
      </c>
    </row>
    <row r="215">
      <c r="A215" s="21" t="n"/>
      <c r="B215" s="21" t="n"/>
      <c r="C215" s="21" t="n"/>
      <c r="D215" s="21" t="n"/>
      <c r="E215" s="21" t="n"/>
      <c r="F215" s="21" t="n"/>
      <c r="G215" s="21" t="n"/>
      <c r="H215" s="21" t="n"/>
      <c r="I215" s="22" t="n"/>
      <c r="J215" s="22" t="n"/>
      <c r="K215" s="23">
        <f>IF($A215="","",IF($J215&lt;&gt;"",$J215,$S215))</f>
        <v/>
      </c>
      <c r="L215" s="24">
        <f>IF(OR($A215="",$E215=""),"",IF($J215&lt;&gt;"","Manual",IF($S215="","-","Auto")))</f>
        <v/>
      </c>
      <c r="M215" s="22" t="n"/>
      <c r="N215" s="25">
        <f>IF($T215=0,"",IF($U215=1,IF($M215="","",$M215-$K215),IF($K215="","",TODAY()-$K215)))</f>
        <v/>
      </c>
      <c r="O215" s="24">
        <f>IF(OR($A215="",$E215=""),"",IF($V215=1,S_INACT,IF(ISNA(MATCH($A215,TYP_TYPE,0)),S_TYPEKO,IF($U215=1,S_DONE,IF(AND($K215="",$R215=""),S_NOSCOPE,IF($K215="",S_NOTARGET,IF($N215&gt;0,S_LATE,IF($I215&lt;&gt;"",S_WIP,IF(-$N215&lt;=FEN_DOC,S_RISK,IF(-$N215&lt;=HORIZON,S_COMING,S_NOTYET))))))))))</f>
        <v/>
      </c>
      <c r="P215" s="24">
        <f>IF(OR($A215="",$E215=""),"",IF($V215=1,"",IF(ISNA(MATCH($A215,TYP_TYPE,0)),"Type not in the library",IF($B215="","Scope not set",IF(AND($B215="System",$C215=""),"System not set",IF(AND($B215="Equipment",$D215=""),"Equipment not set",IF($F215="","Responsible not set",IF($K215="","No target date",IF(AND($B215="Equipment",$C215&lt;&gt;"",IFERROR(INDEX(EQP_SYS,MATCH($D215,EQP_NOM,0)),"")&lt;&gt;$C215),"Equipment not in that system",IF(AND($U215=1,$M215=""),"Approved with no approval date",""))))))))))</f>
        <v/>
      </c>
      <c r="Q215" s="21" t="n"/>
      <c r="R215" s="23">
        <f>IF(OR($A215="",$B215=""),"",IF($B215="Equipment",IFERROR(INDEX(EQP_START,MATCH($D215,EQP_NOM,0)),""),IF($B215="System",IFERROR(INDEX(SYS_EARLIEST,MATCH($C215,SYS_ID,0)),""),IF($B215="All",CTR_EARLIEST,""))))</f>
        <v/>
      </c>
      <c r="S215" s="23">
        <f>IF(OR($A215="",$E215=""),"",IFERROR(IF(INDEX(TYP_ANCHOR,MATCH($A215,TYP_TYPE,0))="Commissioning Start",IF($R215="","",$R215-INDEX(TYP_LEAD,MATCH($A215,TYP_TYPE,0))),IF(INDEX(MS_PLAN,MATCH(INDEX(TYP_ANCHOR,MATCH($A215,TYP_TYPE,0)),MS_NOM,0))="","",INDEX(MS_PLAN,MATCH(INDEX(TYP_ANCHOR,MATCH($A215,TYP_TYPE,0)),MS_NOM,0))-INDEX(TYP_LEAD,MATCH($A215,TYP_TYPE,0)))),""))</f>
        <v/>
      </c>
      <c r="T215" s="26">
        <f>IF(OR($A215="",$E215=""),0,IF($V215=1,0,1))</f>
        <v/>
      </c>
      <c r="U215" s="26">
        <f>IF($T215=0,0,IF($M215&lt;&gt;"",1,IF(IFERROR(INDEX(WF_CLASS,MATCH($H215,WF_CODE,0)),"")="Done",1,0)))</f>
        <v/>
      </c>
      <c r="V215" s="26">
        <f>IF(OR($A215="",$E215=""),0,IF(IFERROR(INDEX(WF_CLASS,MATCH($H215,WF_CODE,0)),"")="Inactive",1,0))</f>
        <v/>
      </c>
      <c r="W215" s="24">
        <f>IF($A215="","",IFERROR(INDEX(TYP_PHASE,MATCH($A215,TYP_TYPE,0)),"-"))</f>
        <v/>
      </c>
      <c r="X215" s="24">
        <f>IF(AND($T215=1,$U215=0,N($N215)&gt;0),$N215+ROW()/1000000,"")</f>
        <v/>
      </c>
      <c r="Y215" s="24">
        <f>IF(AND($T215=1,$U215=0,OR($I215&lt;&gt;"",N($N215)&gt;0)),N($N215)+ROW()/1000000,"")</f>
        <v/>
      </c>
      <c r="Z215" s="24">
        <f>IF(AND($T215=1,$U215=0,$I215="",N($N215)&lt;=0,-N($N215)&lt;=HORIZON),N($N215)+ROW()/1000000,"")</f>
        <v/>
      </c>
    </row>
    <row r="216">
      <c r="A216" s="21" t="n"/>
      <c r="B216" s="21" t="n"/>
      <c r="C216" s="21" t="n"/>
      <c r="D216" s="21" t="n"/>
      <c r="E216" s="21" t="n"/>
      <c r="F216" s="21" t="n"/>
      <c r="G216" s="21" t="n"/>
      <c r="H216" s="21" t="n"/>
      <c r="I216" s="22" t="n"/>
      <c r="J216" s="22" t="n"/>
      <c r="K216" s="23">
        <f>IF($A216="","",IF($J216&lt;&gt;"",$J216,$S216))</f>
        <v/>
      </c>
      <c r="L216" s="24">
        <f>IF(OR($A216="",$E216=""),"",IF($J216&lt;&gt;"","Manual",IF($S216="","-","Auto")))</f>
        <v/>
      </c>
      <c r="M216" s="22" t="n"/>
      <c r="N216" s="25">
        <f>IF($T216=0,"",IF($U216=1,IF($M216="","",$M216-$K216),IF($K216="","",TODAY()-$K216)))</f>
        <v/>
      </c>
      <c r="O216" s="24">
        <f>IF(OR($A216="",$E216=""),"",IF($V216=1,S_INACT,IF(ISNA(MATCH($A216,TYP_TYPE,0)),S_TYPEKO,IF($U216=1,S_DONE,IF(AND($K216="",$R216=""),S_NOSCOPE,IF($K216="",S_NOTARGET,IF($N216&gt;0,S_LATE,IF($I216&lt;&gt;"",S_WIP,IF(-$N216&lt;=FEN_DOC,S_RISK,IF(-$N216&lt;=HORIZON,S_COMING,S_NOTYET))))))))))</f>
        <v/>
      </c>
      <c r="P216" s="24">
        <f>IF(OR($A216="",$E216=""),"",IF($V216=1,"",IF(ISNA(MATCH($A216,TYP_TYPE,0)),"Type not in the library",IF($B216="","Scope not set",IF(AND($B216="System",$C216=""),"System not set",IF(AND($B216="Equipment",$D216=""),"Equipment not set",IF($F216="","Responsible not set",IF($K216="","No target date",IF(AND($B216="Equipment",$C216&lt;&gt;"",IFERROR(INDEX(EQP_SYS,MATCH($D216,EQP_NOM,0)),"")&lt;&gt;$C216),"Equipment not in that system",IF(AND($U216=1,$M216=""),"Approved with no approval date",""))))))))))</f>
        <v/>
      </c>
      <c r="Q216" s="21" t="n"/>
      <c r="R216" s="23">
        <f>IF(OR($A216="",$B216=""),"",IF($B216="Equipment",IFERROR(INDEX(EQP_START,MATCH($D216,EQP_NOM,0)),""),IF($B216="System",IFERROR(INDEX(SYS_EARLIEST,MATCH($C216,SYS_ID,0)),""),IF($B216="All",CTR_EARLIEST,""))))</f>
        <v/>
      </c>
      <c r="S216" s="23">
        <f>IF(OR($A216="",$E216=""),"",IFERROR(IF(INDEX(TYP_ANCHOR,MATCH($A216,TYP_TYPE,0))="Commissioning Start",IF($R216="","",$R216-INDEX(TYP_LEAD,MATCH($A216,TYP_TYPE,0))),IF(INDEX(MS_PLAN,MATCH(INDEX(TYP_ANCHOR,MATCH($A216,TYP_TYPE,0)),MS_NOM,0))="","",INDEX(MS_PLAN,MATCH(INDEX(TYP_ANCHOR,MATCH($A216,TYP_TYPE,0)),MS_NOM,0))-INDEX(TYP_LEAD,MATCH($A216,TYP_TYPE,0)))),""))</f>
        <v/>
      </c>
      <c r="T216" s="26">
        <f>IF(OR($A216="",$E216=""),0,IF($V216=1,0,1))</f>
        <v/>
      </c>
      <c r="U216" s="26">
        <f>IF($T216=0,0,IF($M216&lt;&gt;"",1,IF(IFERROR(INDEX(WF_CLASS,MATCH($H216,WF_CODE,0)),"")="Done",1,0)))</f>
        <v/>
      </c>
      <c r="V216" s="26">
        <f>IF(OR($A216="",$E216=""),0,IF(IFERROR(INDEX(WF_CLASS,MATCH($H216,WF_CODE,0)),"")="Inactive",1,0))</f>
        <v/>
      </c>
      <c r="W216" s="24">
        <f>IF($A216="","",IFERROR(INDEX(TYP_PHASE,MATCH($A216,TYP_TYPE,0)),"-"))</f>
        <v/>
      </c>
      <c r="X216" s="24">
        <f>IF(AND($T216=1,$U216=0,N($N216)&gt;0),$N216+ROW()/1000000,"")</f>
        <v/>
      </c>
      <c r="Y216" s="24">
        <f>IF(AND($T216=1,$U216=0,OR($I216&lt;&gt;"",N($N216)&gt;0)),N($N216)+ROW()/1000000,"")</f>
        <v/>
      </c>
      <c r="Z216" s="24">
        <f>IF(AND($T216=1,$U216=0,$I216="",N($N216)&lt;=0,-N($N216)&lt;=HORIZON),N($N216)+ROW()/1000000,"")</f>
        <v/>
      </c>
    </row>
    <row r="217">
      <c r="A217" s="21" t="n"/>
      <c r="B217" s="21" t="n"/>
      <c r="C217" s="21" t="n"/>
      <c r="D217" s="21" t="n"/>
      <c r="E217" s="21" t="n"/>
      <c r="F217" s="21" t="n"/>
      <c r="G217" s="21" t="n"/>
      <c r="H217" s="21" t="n"/>
      <c r="I217" s="22" t="n"/>
      <c r="J217" s="22" t="n"/>
      <c r="K217" s="23">
        <f>IF($A217="","",IF($J217&lt;&gt;"",$J217,$S217))</f>
        <v/>
      </c>
      <c r="L217" s="24">
        <f>IF(OR($A217="",$E217=""),"",IF($J217&lt;&gt;"","Manual",IF($S217="","-","Auto")))</f>
        <v/>
      </c>
      <c r="M217" s="22" t="n"/>
      <c r="N217" s="25">
        <f>IF($T217=0,"",IF($U217=1,IF($M217="","",$M217-$K217),IF($K217="","",TODAY()-$K217)))</f>
        <v/>
      </c>
      <c r="O217" s="24">
        <f>IF(OR($A217="",$E217=""),"",IF($V217=1,S_INACT,IF(ISNA(MATCH($A217,TYP_TYPE,0)),S_TYPEKO,IF($U217=1,S_DONE,IF(AND($K217="",$R217=""),S_NOSCOPE,IF($K217="",S_NOTARGET,IF($N217&gt;0,S_LATE,IF($I217&lt;&gt;"",S_WIP,IF(-$N217&lt;=FEN_DOC,S_RISK,IF(-$N217&lt;=HORIZON,S_COMING,S_NOTYET))))))))))</f>
        <v/>
      </c>
      <c r="P217" s="24">
        <f>IF(OR($A217="",$E217=""),"",IF($V217=1,"",IF(ISNA(MATCH($A217,TYP_TYPE,0)),"Type not in the library",IF($B217="","Scope not set",IF(AND($B217="System",$C217=""),"System not set",IF(AND($B217="Equipment",$D217=""),"Equipment not set",IF($F217="","Responsible not set",IF($K217="","No target date",IF(AND($B217="Equipment",$C217&lt;&gt;"",IFERROR(INDEX(EQP_SYS,MATCH($D217,EQP_NOM,0)),"")&lt;&gt;$C217),"Equipment not in that system",IF(AND($U217=1,$M217=""),"Approved with no approval date",""))))))))))</f>
        <v/>
      </c>
      <c r="Q217" s="21" t="n"/>
      <c r="R217" s="23">
        <f>IF(OR($A217="",$B217=""),"",IF($B217="Equipment",IFERROR(INDEX(EQP_START,MATCH($D217,EQP_NOM,0)),""),IF($B217="System",IFERROR(INDEX(SYS_EARLIEST,MATCH($C217,SYS_ID,0)),""),IF($B217="All",CTR_EARLIEST,""))))</f>
        <v/>
      </c>
      <c r="S217" s="23">
        <f>IF(OR($A217="",$E217=""),"",IFERROR(IF(INDEX(TYP_ANCHOR,MATCH($A217,TYP_TYPE,0))="Commissioning Start",IF($R217="","",$R217-INDEX(TYP_LEAD,MATCH($A217,TYP_TYPE,0))),IF(INDEX(MS_PLAN,MATCH(INDEX(TYP_ANCHOR,MATCH($A217,TYP_TYPE,0)),MS_NOM,0))="","",INDEX(MS_PLAN,MATCH(INDEX(TYP_ANCHOR,MATCH($A217,TYP_TYPE,0)),MS_NOM,0))-INDEX(TYP_LEAD,MATCH($A217,TYP_TYPE,0)))),""))</f>
        <v/>
      </c>
      <c r="T217" s="26">
        <f>IF(OR($A217="",$E217=""),0,IF($V217=1,0,1))</f>
        <v/>
      </c>
      <c r="U217" s="26">
        <f>IF($T217=0,0,IF($M217&lt;&gt;"",1,IF(IFERROR(INDEX(WF_CLASS,MATCH($H217,WF_CODE,0)),"")="Done",1,0)))</f>
        <v/>
      </c>
      <c r="V217" s="26">
        <f>IF(OR($A217="",$E217=""),0,IF(IFERROR(INDEX(WF_CLASS,MATCH($H217,WF_CODE,0)),"")="Inactive",1,0))</f>
        <v/>
      </c>
      <c r="W217" s="24">
        <f>IF($A217="","",IFERROR(INDEX(TYP_PHASE,MATCH($A217,TYP_TYPE,0)),"-"))</f>
        <v/>
      </c>
      <c r="X217" s="24">
        <f>IF(AND($T217=1,$U217=0,N($N217)&gt;0),$N217+ROW()/1000000,"")</f>
        <v/>
      </c>
      <c r="Y217" s="24">
        <f>IF(AND($T217=1,$U217=0,OR($I217&lt;&gt;"",N($N217)&gt;0)),N($N217)+ROW()/1000000,"")</f>
        <v/>
      </c>
      <c r="Z217" s="24">
        <f>IF(AND($T217=1,$U217=0,$I217="",N($N217)&lt;=0,-N($N217)&lt;=HORIZON),N($N217)+ROW()/1000000,"")</f>
        <v/>
      </c>
    </row>
    <row r="218">
      <c r="A218" s="21" t="n"/>
      <c r="B218" s="21" t="n"/>
      <c r="C218" s="21" t="n"/>
      <c r="D218" s="21" t="n"/>
      <c r="E218" s="21" t="n"/>
      <c r="F218" s="21" t="n"/>
      <c r="G218" s="21" t="n"/>
      <c r="H218" s="21" t="n"/>
      <c r="I218" s="22" t="n"/>
      <c r="J218" s="22" t="n"/>
      <c r="K218" s="23">
        <f>IF($A218="","",IF($J218&lt;&gt;"",$J218,$S218))</f>
        <v/>
      </c>
      <c r="L218" s="24">
        <f>IF(OR($A218="",$E218=""),"",IF($J218&lt;&gt;"","Manual",IF($S218="","-","Auto")))</f>
        <v/>
      </c>
      <c r="M218" s="22" t="n"/>
      <c r="N218" s="25">
        <f>IF($T218=0,"",IF($U218=1,IF($M218="","",$M218-$K218),IF($K218="","",TODAY()-$K218)))</f>
        <v/>
      </c>
      <c r="O218" s="24">
        <f>IF(OR($A218="",$E218=""),"",IF($V218=1,S_INACT,IF(ISNA(MATCH($A218,TYP_TYPE,0)),S_TYPEKO,IF($U218=1,S_DONE,IF(AND($K218="",$R218=""),S_NOSCOPE,IF($K218="",S_NOTARGET,IF($N218&gt;0,S_LATE,IF($I218&lt;&gt;"",S_WIP,IF(-$N218&lt;=FEN_DOC,S_RISK,IF(-$N218&lt;=HORIZON,S_COMING,S_NOTYET))))))))))</f>
        <v/>
      </c>
      <c r="P218" s="24">
        <f>IF(OR($A218="",$E218=""),"",IF($V218=1,"",IF(ISNA(MATCH($A218,TYP_TYPE,0)),"Type not in the library",IF($B218="","Scope not set",IF(AND($B218="System",$C218=""),"System not set",IF(AND($B218="Equipment",$D218=""),"Equipment not set",IF($F218="","Responsible not set",IF($K218="","No target date",IF(AND($B218="Equipment",$C218&lt;&gt;"",IFERROR(INDEX(EQP_SYS,MATCH($D218,EQP_NOM,0)),"")&lt;&gt;$C218),"Equipment not in that system",IF(AND($U218=1,$M218=""),"Approved with no approval date",""))))))))))</f>
        <v/>
      </c>
      <c r="Q218" s="21" t="n"/>
      <c r="R218" s="23">
        <f>IF(OR($A218="",$B218=""),"",IF($B218="Equipment",IFERROR(INDEX(EQP_START,MATCH($D218,EQP_NOM,0)),""),IF($B218="System",IFERROR(INDEX(SYS_EARLIEST,MATCH($C218,SYS_ID,0)),""),IF($B218="All",CTR_EARLIEST,""))))</f>
        <v/>
      </c>
      <c r="S218" s="23">
        <f>IF(OR($A218="",$E218=""),"",IFERROR(IF(INDEX(TYP_ANCHOR,MATCH($A218,TYP_TYPE,0))="Commissioning Start",IF($R218="","",$R218-INDEX(TYP_LEAD,MATCH($A218,TYP_TYPE,0))),IF(INDEX(MS_PLAN,MATCH(INDEX(TYP_ANCHOR,MATCH($A218,TYP_TYPE,0)),MS_NOM,0))="","",INDEX(MS_PLAN,MATCH(INDEX(TYP_ANCHOR,MATCH($A218,TYP_TYPE,0)),MS_NOM,0))-INDEX(TYP_LEAD,MATCH($A218,TYP_TYPE,0)))),""))</f>
        <v/>
      </c>
      <c r="T218" s="26">
        <f>IF(OR($A218="",$E218=""),0,IF($V218=1,0,1))</f>
        <v/>
      </c>
      <c r="U218" s="26">
        <f>IF($T218=0,0,IF($M218&lt;&gt;"",1,IF(IFERROR(INDEX(WF_CLASS,MATCH($H218,WF_CODE,0)),"")="Done",1,0)))</f>
        <v/>
      </c>
      <c r="V218" s="26">
        <f>IF(OR($A218="",$E218=""),0,IF(IFERROR(INDEX(WF_CLASS,MATCH($H218,WF_CODE,0)),"")="Inactive",1,0))</f>
        <v/>
      </c>
      <c r="W218" s="24">
        <f>IF($A218="","",IFERROR(INDEX(TYP_PHASE,MATCH($A218,TYP_TYPE,0)),"-"))</f>
        <v/>
      </c>
      <c r="X218" s="24">
        <f>IF(AND($T218=1,$U218=0,N($N218)&gt;0),$N218+ROW()/1000000,"")</f>
        <v/>
      </c>
      <c r="Y218" s="24">
        <f>IF(AND($T218=1,$U218=0,OR($I218&lt;&gt;"",N($N218)&gt;0)),N($N218)+ROW()/1000000,"")</f>
        <v/>
      </c>
      <c r="Z218" s="24">
        <f>IF(AND($T218=1,$U218=0,$I218="",N($N218)&lt;=0,-N($N218)&lt;=HORIZON),N($N218)+ROW()/1000000,"")</f>
        <v/>
      </c>
    </row>
    <row r="219">
      <c r="A219" s="21" t="n"/>
      <c r="B219" s="21" t="n"/>
      <c r="C219" s="21" t="n"/>
      <c r="D219" s="21" t="n"/>
      <c r="E219" s="21" t="n"/>
      <c r="F219" s="21" t="n"/>
      <c r="G219" s="21" t="n"/>
      <c r="H219" s="21" t="n"/>
      <c r="I219" s="22" t="n"/>
      <c r="J219" s="22" t="n"/>
      <c r="K219" s="23">
        <f>IF($A219="","",IF($J219&lt;&gt;"",$J219,$S219))</f>
        <v/>
      </c>
      <c r="L219" s="24">
        <f>IF(OR($A219="",$E219=""),"",IF($J219&lt;&gt;"","Manual",IF($S219="","-","Auto")))</f>
        <v/>
      </c>
      <c r="M219" s="22" t="n"/>
      <c r="N219" s="25">
        <f>IF($T219=0,"",IF($U219=1,IF($M219="","",$M219-$K219),IF($K219="","",TODAY()-$K219)))</f>
        <v/>
      </c>
      <c r="O219" s="24">
        <f>IF(OR($A219="",$E219=""),"",IF($V219=1,S_INACT,IF(ISNA(MATCH($A219,TYP_TYPE,0)),S_TYPEKO,IF($U219=1,S_DONE,IF(AND($K219="",$R219=""),S_NOSCOPE,IF($K219="",S_NOTARGET,IF($N219&gt;0,S_LATE,IF($I219&lt;&gt;"",S_WIP,IF(-$N219&lt;=FEN_DOC,S_RISK,IF(-$N219&lt;=HORIZON,S_COMING,S_NOTYET))))))))))</f>
        <v/>
      </c>
      <c r="P219" s="24">
        <f>IF(OR($A219="",$E219=""),"",IF($V219=1,"",IF(ISNA(MATCH($A219,TYP_TYPE,0)),"Type not in the library",IF($B219="","Scope not set",IF(AND($B219="System",$C219=""),"System not set",IF(AND($B219="Equipment",$D219=""),"Equipment not set",IF($F219="","Responsible not set",IF($K219="","No target date",IF(AND($B219="Equipment",$C219&lt;&gt;"",IFERROR(INDEX(EQP_SYS,MATCH($D219,EQP_NOM,0)),"")&lt;&gt;$C219),"Equipment not in that system",IF(AND($U219=1,$M219=""),"Approved with no approval date",""))))))))))</f>
        <v/>
      </c>
      <c r="Q219" s="21" t="n"/>
      <c r="R219" s="23">
        <f>IF(OR($A219="",$B219=""),"",IF($B219="Equipment",IFERROR(INDEX(EQP_START,MATCH($D219,EQP_NOM,0)),""),IF($B219="System",IFERROR(INDEX(SYS_EARLIEST,MATCH($C219,SYS_ID,0)),""),IF($B219="All",CTR_EARLIEST,""))))</f>
        <v/>
      </c>
      <c r="S219" s="23">
        <f>IF(OR($A219="",$E219=""),"",IFERROR(IF(INDEX(TYP_ANCHOR,MATCH($A219,TYP_TYPE,0))="Commissioning Start",IF($R219="","",$R219-INDEX(TYP_LEAD,MATCH($A219,TYP_TYPE,0))),IF(INDEX(MS_PLAN,MATCH(INDEX(TYP_ANCHOR,MATCH($A219,TYP_TYPE,0)),MS_NOM,0))="","",INDEX(MS_PLAN,MATCH(INDEX(TYP_ANCHOR,MATCH($A219,TYP_TYPE,0)),MS_NOM,0))-INDEX(TYP_LEAD,MATCH($A219,TYP_TYPE,0)))),""))</f>
        <v/>
      </c>
      <c r="T219" s="26">
        <f>IF(OR($A219="",$E219=""),0,IF($V219=1,0,1))</f>
        <v/>
      </c>
      <c r="U219" s="26">
        <f>IF($T219=0,0,IF($M219&lt;&gt;"",1,IF(IFERROR(INDEX(WF_CLASS,MATCH($H219,WF_CODE,0)),"")="Done",1,0)))</f>
        <v/>
      </c>
      <c r="V219" s="26">
        <f>IF(OR($A219="",$E219=""),0,IF(IFERROR(INDEX(WF_CLASS,MATCH($H219,WF_CODE,0)),"")="Inactive",1,0))</f>
        <v/>
      </c>
      <c r="W219" s="24">
        <f>IF($A219="","",IFERROR(INDEX(TYP_PHASE,MATCH($A219,TYP_TYPE,0)),"-"))</f>
        <v/>
      </c>
      <c r="X219" s="24">
        <f>IF(AND($T219=1,$U219=0,N($N219)&gt;0),$N219+ROW()/1000000,"")</f>
        <v/>
      </c>
      <c r="Y219" s="24">
        <f>IF(AND($T219=1,$U219=0,OR($I219&lt;&gt;"",N($N219)&gt;0)),N($N219)+ROW()/1000000,"")</f>
        <v/>
      </c>
      <c r="Z219" s="24">
        <f>IF(AND($T219=1,$U219=0,$I219="",N($N219)&lt;=0,-N($N219)&lt;=HORIZON),N($N219)+ROW()/1000000,"")</f>
        <v/>
      </c>
    </row>
    <row r="220">
      <c r="A220" s="21" t="n"/>
      <c r="B220" s="21" t="n"/>
      <c r="C220" s="21" t="n"/>
      <c r="D220" s="21" t="n"/>
      <c r="E220" s="21" t="n"/>
      <c r="F220" s="21" t="n"/>
      <c r="G220" s="21" t="n"/>
      <c r="H220" s="21" t="n"/>
      <c r="I220" s="22" t="n"/>
      <c r="J220" s="22" t="n"/>
      <c r="K220" s="23">
        <f>IF($A220="","",IF($J220&lt;&gt;"",$J220,$S220))</f>
        <v/>
      </c>
      <c r="L220" s="24">
        <f>IF(OR($A220="",$E220=""),"",IF($J220&lt;&gt;"","Manual",IF($S220="","-","Auto")))</f>
        <v/>
      </c>
      <c r="M220" s="22" t="n"/>
      <c r="N220" s="25">
        <f>IF($T220=0,"",IF($U220=1,IF($M220="","",$M220-$K220),IF($K220="","",TODAY()-$K220)))</f>
        <v/>
      </c>
      <c r="O220" s="24">
        <f>IF(OR($A220="",$E220=""),"",IF($V220=1,S_INACT,IF(ISNA(MATCH($A220,TYP_TYPE,0)),S_TYPEKO,IF($U220=1,S_DONE,IF(AND($K220="",$R220=""),S_NOSCOPE,IF($K220="",S_NOTARGET,IF($N220&gt;0,S_LATE,IF($I220&lt;&gt;"",S_WIP,IF(-$N220&lt;=FEN_DOC,S_RISK,IF(-$N220&lt;=HORIZON,S_COMING,S_NOTYET))))))))))</f>
        <v/>
      </c>
      <c r="P220" s="24">
        <f>IF(OR($A220="",$E220=""),"",IF($V220=1,"",IF(ISNA(MATCH($A220,TYP_TYPE,0)),"Type not in the library",IF($B220="","Scope not set",IF(AND($B220="System",$C220=""),"System not set",IF(AND($B220="Equipment",$D220=""),"Equipment not set",IF($F220="","Responsible not set",IF($K220="","No target date",IF(AND($B220="Equipment",$C220&lt;&gt;"",IFERROR(INDEX(EQP_SYS,MATCH($D220,EQP_NOM,0)),"")&lt;&gt;$C220),"Equipment not in that system",IF(AND($U220=1,$M220=""),"Approved with no approval date",""))))))))))</f>
        <v/>
      </c>
      <c r="Q220" s="21" t="n"/>
      <c r="R220" s="23">
        <f>IF(OR($A220="",$B220=""),"",IF($B220="Equipment",IFERROR(INDEX(EQP_START,MATCH($D220,EQP_NOM,0)),""),IF($B220="System",IFERROR(INDEX(SYS_EARLIEST,MATCH($C220,SYS_ID,0)),""),IF($B220="All",CTR_EARLIEST,""))))</f>
        <v/>
      </c>
      <c r="S220" s="23">
        <f>IF(OR($A220="",$E220=""),"",IFERROR(IF(INDEX(TYP_ANCHOR,MATCH($A220,TYP_TYPE,0))="Commissioning Start",IF($R220="","",$R220-INDEX(TYP_LEAD,MATCH($A220,TYP_TYPE,0))),IF(INDEX(MS_PLAN,MATCH(INDEX(TYP_ANCHOR,MATCH($A220,TYP_TYPE,0)),MS_NOM,0))="","",INDEX(MS_PLAN,MATCH(INDEX(TYP_ANCHOR,MATCH($A220,TYP_TYPE,0)),MS_NOM,0))-INDEX(TYP_LEAD,MATCH($A220,TYP_TYPE,0)))),""))</f>
        <v/>
      </c>
      <c r="T220" s="26">
        <f>IF(OR($A220="",$E220=""),0,IF($V220=1,0,1))</f>
        <v/>
      </c>
      <c r="U220" s="26">
        <f>IF($T220=0,0,IF($M220&lt;&gt;"",1,IF(IFERROR(INDEX(WF_CLASS,MATCH($H220,WF_CODE,0)),"")="Done",1,0)))</f>
        <v/>
      </c>
      <c r="V220" s="26">
        <f>IF(OR($A220="",$E220=""),0,IF(IFERROR(INDEX(WF_CLASS,MATCH($H220,WF_CODE,0)),"")="Inactive",1,0))</f>
        <v/>
      </c>
      <c r="W220" s="24">
        <f>IF($A220="","",IFERROR(INDEX(TYP_PHASE,MATCH($A220,TYP_TYPE,0)),"-"))</f>
        <v/>
      </c>
      <c r="X220" s="24">
        <f>IF(AND($T220=1,$U220=0,N($N220)&gt;0),$N220+ROW()/1000000,"")</f>
        <v/>
      </c>
      <c r="Y220" s="24">
        <f>IF(AND($T220=1,$U220=0,OR($I220&lt;&gt;"",N($N220)&gt;0)),N($N220)+ROW()/1000000,"")</f>
        <v/>
      </c>
      <c r="Z220" s="24">
        <f>IF(AND($T220=1,$U220=0,$I220="",N($N220)&lt;=0,-N($N220)&lt;=HORIZON),N($N220)+ROW()/1000000,"")</f>
        <v/>
      </c>
    </row>
    <row r="221">
      <c r="A221" s="21" t="n"/>
      <c r="B221" s="21" t="n"/>
      <c r="C221" s="21" t="n"/>
      <c r="D221" s="21" t="n"/>
      <c r="E221" s="21" t="n"/>
      <c r="F221" s="21" t="n"/>
      <c r="G221" s="21" t="n"/>
      <c r="H221" s="21" t="n"/>
      <c r="I221" s="22" t="n"/>
      <c r="J221" s="22" t="n"/>
      <c r="K221" s="23">
        <f>IF($A221="","",IF($J221&lt;&gt;"",$J221,$S221))</f>
        <v/>
      </c>
      <c r="L221" s="24">
        <f>IF(OR($A221="",$E221=""),"",IF($J221&lt;&gt;"","Manual",IF($S221="","-","Auto")))</f>
        <v/>
      </c>
      <c r="M221" s="22" t="n"/>
      <c r="N221" s="25">
        <f>IF($T221=0,"",IF($U221=1,IF($M221="","",$M221-$K221),IF($K221="","",TODAY()-$K221)))</f>
        <v/>
      </c>
      <c r="O221" s="24">
        <f>IF(OR($A221="",$E221=""),"",IF($V221=1,S_INACT,IF(ISNA(MATCH($A221,TYP_TYPE,0)),S_TYPEKO,IF($U221=1,S_DONE,IF(AND($K221="",$R221=""),S_NOSCOPE,IF($K221="",S_NOTARGET,IF($N221&gt;0,S_LATE,IF($I221&lt;&gt;"",S_WIP,IF(-$N221&lt;=FEN_DOC,S_RISK,IF(-$N221&lt;=HORIZON,S_COMING,S_NOTYET))))))))))</f>
        <v/>
      </c>
      <c r="P221" s="24">
        <f>IF(OR($A221="",$E221=""),"",IF($V221=1,"",IF(ISNA(MATCH($A221,TYP_TYPE,0)),"Type not in the library",IF($B221="","Scope not set",IF(AND($B221="System",$C221=""),"System not set",IF(AND($B221="Equipment",$D221=""),"Equipment not set",IF($F221="","Responsible not set",IF($K221="","No target date",IF(AND($B221="Equipment",$C221&lt;&gt;"",IFERROR(INDEX(EQP_SYS,MATCH($D221,EQP_NOM,0)),"")&lt;&gt;$C221),"Equipment not in that system",IF(AND($U221=1,$M221=""),"Approved with no approval date",""))))))))))</f>
        <v/>
      </c>
      <c r="Q221" s="21" t="n"/>
      <c r="R221" s="23">
        <f>IF(OR($A221="",$B221=""),"",IF($B221="Equipment",IFERROR(INDEX(EQP_START,MATCH($D221,EQP_NOM,0)),""),IF($B221="System",IFERROR(INDEX(SYS_EARLIEST,MATCH($C221,SYS_ID,0)),""),IF($B221="All",CTR_EARLIEST,""))))</f>
        <v/>
      </c>
      <c r="S221" s="23">
        <f>IF(OR($A221="",$E221=""),"",IFERROR(IF(INDEX(TYP_ANCHOR,MATCH($A221,TYP_TYPE,0))="Commissioning Start",IF($R221="","",$R221-INDEX(TYP_LEAD,MATCH($A221,TYP_TYPE,0))),IF(INDEX(MS_PLAN,MATCH(INDEX(TYP_ANCHOR,MATCH($A221,TYP_TYPE,0)),MS_NOM,0))="","",INDEX(MS_PLAN,MATCH(INDEX(TYP_ANCHOR,MATCH($A221,TYP_TYPE,0)),MS_NOM,0))-INDEX(TYP_LEAD,MATCH($A221,TYP_TYPE,0)))),""))</f>
        <v/>
      </c>
      <c r="T221" s="26">
        <f>IF(OR($A221="",$E221=""),0,IF($V221=1,0,1))</f>
        <v/>
      </c>
      <c r="U221" s="26">
        <f>IF($T221=0,0,IF($M221&lt;&gt;"",1,IF(IFERROR(INDEX(WF_CLASS,MATCH($H221,WF_CODE,0)),"")="Done",1,0)))</f>
        <v/>
      </c>
      <c r="V221" s="26">
        <f>IF(OR($A221="",$E221=""),0,IF(IFERROR(INDEX(WF_CLASS,MATCH($H221,WF_CODE,0)),"")="Inactive",1,0))</f>
        <v/>
      </c>
      <c r="W221" s="24">
        <f>IF($A221="","",IFERROR(INDEX(TYP_PHASE,MATCH($A221,TYP_TYPE,0)),"-"))</f>
        <v/>
      </c>
      <c r="X221" s="24">
        <f>IF(AND($T221=1,$U221=0,N($N221)&gt;0),$N221+ROW()/1000000,"")</f>
        <v/>
      </c>
      <c r="Y221" s="24">
        <f>IF(AND($T221=1,$U221=0,OR($I221&lt;&gt;"",N($N221)&gt;0)),N($N221)+ROW()/1000000,"")</f>
        <v/>
      </c>
      <c r="Z221" s="24">
        <f>IF(AND($T221=1,$U221=0,$I221="",N($N221)&lt;=0,-N($N221)&lt;=HORIZON),N($N221)+ROW()/1000000,"")</f>
        <v/>
      </c>
    </row>
    <row r="222">
      <c r="A222" s="21" t="n"/>
      <c r="B222" s="21" t="n"/>
      <c r="C222" s="21" t="n"/>
      <c r="D222" s="21" t="n"/>
      <c r="E222" s="21" t="n"/>
      <c r="F222" s="21" t="n"/>
      <c r="G222" s="21" t="n"/>
      <c r="H222" s="21" t="n"/>
      <c r="I222" s="22" t="n"/>
      <c r="J222" s="22" t="n"/>
      <c r="K222" s="23">
        <f>IF($A222="","",IF($J222&lt;&gt;"",$J222,$S222))</f>
        <v/>
      </c>
      <c r="L222" s="24">
        <f>IF(OR($A222="",$E222=""),"",IF($J222&lt;&gt;"","Manual",IF($S222="","-","Auto")))</f>
        <v/>
      </c>
      <c r="M222" s="22" t="n"/>
      <c r="N222" s="25">
        <f>IF($T222=0,"",IF($U222=1,IF($M222="","",$M222-$K222),IF($K222="","",TODAY()-$K222)))</f>
        <v/>
      </c>
      <c r="O222" s="24">
        <f>IF(OR($A222="",$E222=""),"",IF($V222=1,S_INACT,IF(ISNA(MATCH($A222,TYP_TYPE,0)),S_TYPEKO,IF($U222=1,S_DONE,IF(AND($K222="",$R222=""),S_NOSCOPE,IF($K222="",S_NOTARGET,IF($N222&gt;0,S_LATE,IF($I222&lt;&gt;"",S_WIP,IF(-$N222&lt;=FEN_DOC,S_RISK,IF(-$N222&lt;=HORIZON,S_COMING,S_NOTYET))))))))))</f>
        <v/>
      </c>
      <c r="P222" s="24">
        <f>IF(OR($A222="",$E222=""),"",IF($V222=1,"",IF(ISNA(MATCH($A222,TYP_TYPE,0)),"Type not in the library",IF($B222="","Scope not set",IF(AND($B222="System",$C222=""),"System not set",IF(AND($B222="Equipment",$D222=""),"Equipment not set",IF($F222="","Responsible not set",IF($K222="","No target date",IF(AND($B222="Equipment",$C222&lt;&gt;"",IFERROR(INDEX(EQP_SYS,MATCH($D222,EQP_NOM,0)),"")&lt;&gt;$C222),"Equipment not in that system",IF(AND($U222=1,$M222=""),"Approved with no approval date",""))))))))))</f>
        <v/>
      </c>
      <c r="Q222" s="21" t="n"/>
      <c r="R222" s="23">
        <f>IF(OR($A222="",$B222=""),"",IF($B222="Equipment",IFERROR(INDEX(EQP_START,MATCH($D222,EQP_NOM,0)),""),IF($B222="System",IFERROR(INDEX(SYS_EARLIEST,MATCH($C222,SYS_ID,0)),""),IF($B222="All",CTR_EARLIEST,""))))</f>
        <v/>
      </c>
      <c r="S222" s="23">
        <f>IF(OR($A222="",$E222=""),"",IFERROR(IF(INDEX(TYP_ANCHOR,MATCH($A222,TYP_TYPE,0))="Commissioning Start",IF($R222="","",$R222-INDEX(TYP_LEAD,MATCH($A222,TYP_TYPE,0))),IF(INDEX(MS_PLAN,MATCH(INDEX(TYP_ANCHOR,MATCH($A222,TYP_TYPE,0)),MS_NOM,0))="","",INDEX(MS_PLAN,MATCH(INDEX(TYP_ANCHOR,MATCH($A222,TYP_TYPE,0)),MS_NOM,0))-INDEX(TYP_LEAD,MATCH($A222,TYP_TYPE,0)))),""))</f>
        <v/>
      </c>
      <c r="T222" s="26">
        <f>IF(OR($A222="",$E222=""),0,IF($V222=1,0,1))</f>
        <v/>
      </c>
      <c r="U222" s="26">
        <f>IF($T222=0,0,IF($M222&lt;&gt;"",1,IF(IFERROR(INDEX(WF_CLASS,MATCH($H222,WF_CODE,0)),"")="Done",1,0)))</f>
        <v/>
      </c>
      <c r="V222" s="26">
        <f>IF(OR($A222="",$E222=""),0,IF(IFERROR(INDEX(WF_CLASS,MATCH($H222,WF_CODE,0)),"")="Inactive",1,0))</f>
        <v/>
      </c>
      <c r="W222" s="24">
        <f>IF($A222="","",IFERROR(INDEX(TYP_PHASE,MATCH($A222,TYP_TYPE,0)),"-"))</f>
        <v/>
      </c>
      <c r="X222" s="24">
        <f>IF(AND($T222=1,$U222=0,N($N222)&gt;0),$N222+ROW()/1000000,"")</f>
        <v/>
      </c>
      <c r="Y222" s="24">
        <f>IF(AND($T222=1,$U222=0,OR($I222&lt;&gt;"",N($N222)&gt;0)),N($N222)+ROW()/1000000,"")</f>
        <v/>
      </c>
      <c r="Z222" s="24">
        <f>IF(AND($T222=1,$U222=0,$I222="",N($N222)&lt;=0,-N($N222)&lt;=HORIZON),N($N222)+ROW()/1000000,"")</f>
        <v/>
      </c>
    </row>
    <row r="223">
      <c r="A223" s="21" t="n"/>
      <c r="B223" s="21" t="n"/>
      <c r="C223" s="21" t="n"/>
      <c r="D223" s="21" t="n"/>
      <c r="E223" s="21" t="n"/>
      <c r="F223" s="21" t="n"/>
      <c r="G223" s="21" t="n"/>
      <c r="H223" s="21" t="n"/>
      <c r="I223" s="22" t="n"/>
      <c r="J223" s="22" t="n"/>
      <c r="K223" s="23">
        <f>IF($A223="","",IF($J223&lt;&gt;"",$J223,$S223))</f>
        <v/>
      </c>
      <c r="L223" s="24">
        <f>IF(OR($A223="",$E223=""),"",IF($J223&lt;&gt;"","Manual",IF($S223="","-","Auto")))</f>
        <v/>
      </c>
      <c r="M223" s="22" t="n"/>
      <c r="N223" s="25">
        <f>IF($T223=0,"",IF($U223=1,IF($M223="","",$M223-$K223),IF($K223="","",TODAY()-$K223)))</f>
        <v/>
      </c>
      <c r="O223" s="24">
        <f>IF(OR($A223="",$E223=""),"",IF($V223=1,S_INACT,IF(ISNA(MATCH($A223,TYP_TYPE,0)),S_TYPEKO,IF($U223=1,S_DONE,IF(AND($K223="",$R223=""),S_NOSCOPE,IF($K223="",S_NOTARGET,IF($N223&gt;0,S_LATE,IF($I223&lt;&gt;"",S_WIP,IF(-$N223&lt;=FEN_DOC,S_RISK,IF(-$N223&lt;=HORIZON,S_COMING,S_NOTYET))))))))))</f>
        <v/>
      </c>
      <c r="P223" s="24">
        <f>IF(OR($A223="",$E223=""),"",IF($V223=1,"",IF(ISNA(MATCH($A223,TYP_TYPE,0)),"Type not in the library",IF($B223="","Scope not set",IF(AND($B223="System",$C223=""),"System not set",IF(AND($B223="Equipment",$D223=""),"Equipment not set",IF($F223="","Responsible not set",IF($K223="","No target date",IF(AND($B223="Equipment",$C223&lt;&gt;"",IFERROR(INDEX(EQP_SYS,MATCH($D223,EQP_NOM,0)),"")&lt;&gt;$C223),"Equipment not in that system",IF(AND($U223=1,$M223=""),"Approved with no approval date",""))))))))))</f>
        <v/>
      </c>
      <c r="Q223" s="21" t="n"/>
      <c r="R223" s="23">
        <f>IF(OR($A223="",$B223=""),"",IF($B223="Equipment",IFERROR(INDEX(EQP_START,MATCH($D223,EQP_NOM,0)),""),IF($B223="System",IFERROR(INDEX(SYS_EARLIEST,MATCH($C223,SYS_ID,0)),""),IF($B223="All",CTR_EARLIEST,""))))</f>
        <v/>
      </c>
      <c r="S223" s="23">
        <f>IF(OR($A223="",$E223=""),"",IFERROR(IF(INDEX(TYP_ANCHOR,MATCH($A223,TYP_TYPE,0))="Commissioning Start",IF($R223="","",$R223-INDEX(TYP_LEAD,MATCH($A223,TYP_TYPE,0))),IF(INDEX(MS_PLAN,MATCH(INDEX(TYP_ANCHOR,MATCH($A223,TYP_TYPE,0)),MS_NOM,0))="","",INDEX(MS_PLAN,MATCH(INDEX(TYP_ANCHOR,MATCH($A223,TYP_TYPE,0)),MS_NOM,0))-INDEX(TYP_LEAD,MATCH($A223,TYP_TYPE,0)))),""))</f>
        <v/>
      </c>
      <c r="T223" s="26">
        <f>IF(OR($A223="",$E223=""),0,IF($V223=1,0,1))</f>
        <v/>
      </c>
      <c r="U223" s="26">
        <f>IF($T223=0,0,IF($M223&lt;&gt;"",1,IF(IFERROR(INDEX(WF_CLASS,MATCH($H223,WF_CODE,0)),"")="Done",1,0)))</f>
        <v/>
      </c>
      <c r="V223" s="26">
        <f>IF(OR($A223="",$E223=""),0,IF(IFERROR(INDEX(WF_CLASS,MATCH($H223,WF_CODE,0)),"")="Inactive",1,0))</f>
        <v/>
      </c>
      <c r="W223" s="24">
        <f>IF($A223="","",IFERROR(INDEX(TYP_PHASE,MATCH($A223,TYP_TYPE,0)),"-"))</f>
        <v/>
      </c>
      <c r="X223" s="24">
        <f>IF(AND($T223=1,$U223=0,N($N223)&gt;0),$N223+ROW()/1000000,"")</f>
        <v/>
      </c>
      <c r="Y223" s="24">
        <f>IF(AND($T223=1,$U223=0,OR($I223&lt;&gt;"",N($N223)&gt;0)),N($N223)+ROW()/1000000,"")</f>
        <v/>
      </c>
      <c r="Z223" s="24">
        <f>IF(AND($T223=1,$U223=0,$I223="",N($N223)&lt;=0,-N($N223)&lt;=HORIZON),N($N223)+ROW()/1000000,"")</f>
        <v/>
      </c>
    </row>
    <row r="224">
      <c r="A224" s="21" t="n"/>
      <c r="B224" s="21" t="n"/>
      <c r="C224" s="21" t="n"/>
      <c r="D224" s="21" t="n"/>
      <c r="E224" s="21" t="n"/>
      <c r="F224" s="21" t="n"/>
      <c r="G224" s="21" t="n"/>
      <c r="H224" s="21" t="n"/>
      <c r="I224" s="22" t="n"/>
      <c r="J224" s="22" t="n"/>
      <c r="K224" s="23">
        <f>IF($A224="","",IF($J224&lt;&gt;"",$J224,$S224))</f>
        <v/>
      </c>
      <c r="L224" s="24">
        <f>IF(OR($A224="",$E224=""),"",IF($J224&lt;&gt;"","Manual",IF($S224="","-","Auto")))</f>
        <v/>
      </c>
      <c r="M224" s="22" t="n"/>
      <c r="N224" s="25">
        <f>IF($T224=0,"",IF($U224=1,IF($M224="","",$M224-$K224),IF($K224="","",TODAY()-$K224)))</f>
        <v/>
      </c>
      <c r="O224" s="24">
        <f>IF(OR($A224="",$E224=""),"",IF($V224=1,S_INACT,IF(ISNA(MATCH($A224,TYP_TYPE,0)),S_TYPEKO,IF($U224=1,S_DONE,IF(AND($K224="",$R224=""),S_NOSCOPE,IF($K224="",S_NOTARGET,IF($N224&gt;0,S_LATE,IF($I224&lt;&gt;"",S_WIP,IF(-$N224&lt;=FEN_DOC,S_RISK,IF(-$N224&lt;=HORIZON,S_COMING,S_NOTYET))))))))))</f>
        <v/>
      </c>
      <c r="P224" s="24">
        <f>IF(OR($A224="",$E224=""),"",IF($V224=1,"",IF(ISNA(MATCH($A224,TYP_TYPE,0)),"Type not in the library",IF($B224="","Scope not set",IF(AND($B224="System",$C224=""),"System not set",IF(AND($B224="Equipment",$D224=""),"Equipment not set",IF($F224="","Responsible not set",IF($K224="","No target date",IF(AND($B224="Equipment",$C224&lt;&gt;"",IFERROR(INDEX(EQP_SYS,MATCH($D224,EQP_NOM,0)),"")&lt;&gt;$C224),"Equipment not in that system",IF(AND($U224=1,$M224=""),"Approved with no approval date",""))))))))))</f>
        <v/>
      </c>
      <c r="Q224" s="21" t="n"/>
      <c r="R224" s="23">
        <f>IF(OR($A224="",$B224=""),"",IF($B224="Equipment",IFERROR(INDEX(EQP_START,MATCH($D224,EQP_NOM,0)),""),IF($B224="System",IFERROR(INDEX(SYS_EARLIEST,MATCH($C224,SYS_ID,0)),""),IF($B224="All",CTR_EARLIEST,""))))</f>
        <v/>
      </c>
      <c r="S224" s="23">
        <f>IF(OR($A224="",$E224=""),"",IFERROR(IF(INDEX(TYP_ANCHOR,MATCH($A224,TYP_TYPE,0))="Commissioning Start",IF($R224="","",$R224-INDEX(TYP_LEAD,MATCH($A224,TYP_TYPE,0))),IF(INDEX(MS_PLAN,MATCH(INDEX(TYP_ANCHOR,MATCH($A224,TYP_TYPE,0)),MS_NOM,0))="","",INDEX(MS_PLAN,MATCH(INDEX(TYP_ANCHOR,MATCH($A224,TYP_TYPE,0)),MS_NOM,0))-INDEX(TYP_LEAD,MATCH($A224,TYP_TYPE,0)))),""))</f>
        <v/>
      </c>
      <c r="T224" s="26">
        <f>IF(OR($A224="",$E224=""),0,IF($V224=1,0,1))</f>
        <v/>
      </c>
      <c r="U224" s="26">
        <f>IF($T224=0,0,IF($M224&lt;&gt;"",1,IF(IFERROR(INDEX(WF_CLASS,MATCH($H224,WF_CODE,0)),"")="Done",1,0)))</f>
        <v/>
      </c>
      <c r="V224" s="26">
        <f>IF(OR($A224="",$E224=""),0,IF(IFERROR(INDEX(WF_CLASS,MATCH($H224,WF_CODE,0)),"")="Inactive",1,0))</f>
        <v/>
      </c>
      <c r="W224" s="24">
        <f>IF($A224="","",IFERROR(INDEX(TYP_PHASE,MATCH($A224,TYP_TYPE,0)),"-"))</f>
        <v/>
      </c>
      <c r="X224" s="24">
        <f>IF(AND($T224=1,$U224=0,N($N224)&gt;0),$N224+ROW()/1000000,"")</f>
        <v/>
      </c>
      <c r="Y224" s="24">
        <f>IF(AND($T224=1,$U224=0,OR($I224&lt;&gt;"",N($N224)&gt;0)),N($N224)+ROW()/1000000,"")</f>
        <v/>
      </c>
      <c r="Z224" s="24">
        <f>IF(AND($T224=1,$U224=0,$I224="",N($N224)&lt;=0,-N($N224)&lt;=HORIZON),N($N224)+ROW()/1000000,"")</f>
        <v/>
      </c>
    </row>
    <row r="225">
      <c r="A225" s="21" t="n"/>
      <c r="B225" s="21" t="n"/>
      <c r="C225" s="21" t="n"/>
      <c r="D225" s="21" t="n"/>
      <c r="E225" s="21" t="n"/>
      <c r="F225" s="21" t="n"/>
      <c r="G225" s="21" t="n"/>
      <c r="H225" s="21" t="n"/>
      <c r="I225" s="22" t="n"/>
      <c r="J225" s="22" t="n"/>
      <c r="K225" s="23">
        <f>IF($A225="","",IF($J225&lt;&gt;"",$J225,$S225))</f>
        <v/>
      </c>
      <c r="L225" s="24">
        <f>IF(OR($A225="",$E225=""),"",IF($J225&lt;&gt;"","Manual",IF($S225="","-","Auto")))</f>
        <v/>
      </c>
      <c r="M225" s="22" t="n"/>
      <c r="N225" s="25">
        <f>IF($T225=0,"",IF($U225=1,IF($M225="","",$M225-$K225),IF($K225="","",TODAY()-$K225)))</f>
        <v/>
      </c>
      <c r="O225" s="24">
        <f>IF(OR($A225="",$E225=""),"",IF($V225=1,S_INACT,IF(ISNA(MATCH($A225,TYP_TYPE,0)),S_TYPEKO,IF($U225=1,S_DONE,IF(AND($K225="",$R225=""),S_NOSCOPE,IF($K225="",S_NOTARGET,IF($N225&gt;0,S_LATE,IF($I225&lt;&gt;"",S_WIP,IF(-$N225&lt;=FEN_DOC,S_RISK,IF(-$N225&lt;=HORIZON,S_COMING,S_NOTYET))))))))))</f>
        <v/>
      </c>
      <c r="P225" s="24">
        <f>IF(OR($A225="",$E225=""),"",IF($V225=1,"",IF(ISNA(MATCH($A225,TYP_TYPE,0)),"Type not in the library",IF($B225="","Scope not set",IF(AND($B225="System",$C225=""),"System not set",IF(AND($B225="Equipment",$D225=""),"Equipment not set",IF($F225="","Responsible not set",IF($K225="","No target date",IF(AND($B225="Equipment",$C225&lt;&gt;"",IFERROR(INDEX(EQP_SYS,MATCH($D225,EQP_NOM,0)),"")&lt;&gt;$C225),"Equipment not in that system",IF(AND($U225=1,$M225=""),"Approved with no approval date",""))))))))))</f>
        <v/>
      </c>
      <c r="Q225" s="21" t="n"/>
      <c r="R225" s="23">
        <f>IF(OR($A225="",$B225=""),"",IF($B225="Equipment",IFERROR(INDEX(EQP_START,MATCH($D225,EQP_NOM,0)),""),IF($B225="System",IFERROR(INDEX(SYS_EARLIEST,MATCH($C225,SYS_ID,0)),""),IF($B225="All",CTR_EARLIEST,""))))</f>
        <v/>
      </c>
      <c r="S225" s="23">
        <f>IF(OR($A225="",$E225=""),"",IFERROR(IF(INDEX(TYP_ANCHOR,MATCH($A225,TYP_TYPE,0))="Commissioning Start",IF($R225="","",$R225-INDEX(TYP_LEAD,MATCH($A225,TYP_TYPE,0))),IF(INDEX(MS_PLAN,MATCH(INDEX(TYP_ANCHOR,MATCH($A225,TYP_TYPE,0)),MS_NOM,0))="","",INDEX(MS_PLAN,MATCH(INDEX(TYP_ANCHOR,MATCH($A225,TYP_TYPE,0)),MS_NOM,0))-INDEX(TYP_LEAD,MATCH($A225,TYP_TYPE,0)))),""))</f>
        <v/>
      </c>
      <c r="T225" s="26">
        <f>IF(OR($A225="",$E225=""),0,IF($V225=1,0,1))</f>
        <v/>
      </c>
      <c r="U225" s="26">
        <f>IF($T225=0,0,IF($M225&lt;&gt;"",1,IF(IFERROR(INDEX(WF_CLASS,MATCH($H225,WF_CODE,0)),"")="Done",1,0)))</f>
        <v/>
      </c>
      <c r="V225" s="26">
        <f>IF(OR($A225="",$E225=""),0,IF(IFERROR(INDEX(WF_CLASS,MATCH($H225,WF_CODE,0)),"")="Inactive",1,0))</f>
        <v/>
      </c>
      <c r="W225" s="24">
        <f>IF($A225="","",IFERROR(INDEX(TYP_PHASE,MATCH($A225,TYP_TYPE,0)),"-"))</f>
        <v/>
      </c>
      <c r="X225" s="24">
        <f>IF(AND($T225=1,$U225=0,N($N225)&gt;0),$N225+ROW()/1000000,"")</f>
        <v/>
      </c>
      <c r="Y225" s="24">
        <f>IF(AND($T225=1,$U225=0,OR($I225&lt;&gt;"",N($N225)&gt;0)),N($N225)+ROW()/1000000,"")</f>
        <v/>
      </c>
      <c r="Z225" s="24">
        <f>IF(AND($T225=1,$U225=0,$I225="",N($N225)&lt;=0,-N($N225)&lt;=HORIZON),N($N225)+ROW()/1000000,"")</f>
        <v/>
      </c>
    </row>
    <row r="226">
      <c r="A226" s="21" t="n"/>
      <c r="B226" s="21" t="n"/>
      <c r="C226" s="21" t="n"/>
      <c r="D226" s="21" t="n"/>
      <c r="E226" s="21" t="n"/>
      <c r="F226" s="21" t="n"/>
      <c r="G226" s="21" t="n"/>
      <c r="H226" s="21" t="n"/>
      <c r="I226" s="22" t="n"/>
      <c r="J226" s="22" t="n"/>
      <c r="K226" s="23">
        <f>IF($A226="","",IF($J226&lt;&gt;"",$J226,$S226))</f>
        <v/>
      </c>
      <c r="L226" s="24">
        <f>IF(OR($A226="",$E226=""),"",IF($J226&lt;&gt;"","Manual",IF($S226="","-","Auto")))</f>
        <v/>
      </c>
      <c r="M226" s="22" t="n"/>
      <c r="N226" s="25">
        <f>IF($T226=0,"",IF($U226=1,IF($M226="","",$M226-$K226),IF($K226="","",TODAY()-$K226)))</f>
        <v/>
      </c>
      <c r="O226" s="24">
        <f>IF(OR($A226="",$E226=""),"",IF($V226=1,S_INACT,IF(ISNA(MATCH($A226,TYP_TYPE,0)),S_TYPEKO,IF($U226=1,S_DONE,IF(AND($K226="",$R226=""),S_NOSCOPE,IF($K226="",S_NOTARGET,IF($N226&gt;0,S_LATE,IF($I226&lt;&gt;"",S_WIP,IF(-$N226&lt;=FEN_DOC,S_RISK,IF(-$N226&lt;=HORIZON,S_COMING,S_NOTYET))))))))))</f>
        <v/>
      </c>
      <c r="P226" s="24">
        <f>IF(OR($A226="",$E226=""),"",IF($V226=1,"",IF(ISNA(MATCH($A226,TYP_TYPE,0)),"Type not in the library",IF($B226="","Scope not set",IF(AND($B226="System",$C226=""),"System not set",IF(AND($B226="Equipment",$D226=""),"Equipment not set",IF($F226="","Responsible not set",IF($K226="","No target date",IF(AND($B226="Equipment",$C226&lt;&gt;"",IFERROR(INDEX(EQP_SYS,MATCH($D226,EQP_NOM,0)),"")&lt;&gt;$C226),"Equipment not in that system",IF(AND($U226=1,$M226=""),"Approved with no approval date",""))))))))))</f>
        <v/>
      </c>
      <c r="Q226" s="21" t="n"/>
      <c r="R226" s="23">
        <f>IF(OR($A226="",$B226=""),"",IF($B226="Equipment",IFERROR(INDEX(EQP_START,MATCH($D226,EQP_NOM,0)),""),IF($B226="System",IFERROR(INDEX(SYS_EARLIEST,MATCH($C226,SYS_ID,0)),""),IF($B226="All",CTR_EARLIEST,""))))</f>
        <v/>
      </c>
      <c r="S226" s="23">
        <f>IF(OR($A226="",$E226=""),"",IFERROR(IF(INDEX(TYP_ANCHOR,MATCH($A226,TYP_TYPE,0))="Commissioning Start",IF($R226="","",$R226-INDEX(TYP_LEAD,MATCH($A226,TYP_TYPE,0))),IF(INDEX(MS_PLAN,MATCH(INDEX(TYP_ANCHOR,MATCH($A226,TYP_TYPE,0)),MS_NOM,0))="","",INDEX(MS_PLAN,MATCH(INDEX(TYP_ANCHOR,MATCH($A226,TYP_TYPE,0)),MS_NOM,0))-INDEX(TYP_LEAD,MATCH($A226,TYP_TYPE,0)))),""))</f>
        <v/>
      </c>
      <c r="T226" s="26">
        <f>IF(OR($A226="",$E226=""),0,IF($V226=1,0,1))</f>
        <v/>
      </c>
      <c r="U226" s="26">
        <f>IF($T226=0,0,IF($M226&lt;&gt;"",1,IF(IFERROR(INDEX(WF_CLASS,MATCH($H226,WF_CODE,0)),"")="Done",1,0)))</f>
        <v/>
      </c>
      <c r="V226" s="26">
        <f>IF(OR($A226="",$E226=""),0,IF(IFERROR(INDEX(WF_CLASS,MATCH($H226,WF_CODE,0)),"")="Inactive",1,0))</f>
        <v/>
      </c>
      <c r="W226" s="24">
        <f>IF($A226="","",IFERROR(INDEX(TYP_PHASE,MATCH($A226,TYP_TYPE,0)),"-"))</f>
        <v/>
      </c>
      <c r="X226" s="24">
        <f>IF(AND($T226=1,$U226=0,N($N226)&gt;0),$N226+ROW()/1000000,"")</f>
        <v/>
      </c>
      <c r="Y226" s="24">
        <f>IF(AND($T226=1,$U226=0,OR($I226&lt;&gt;"",N($N226)&gt;0)),N($N226)+ROW()/1000000,"")</f>
        <v/>
      </c>
      <c r="Z226" s="24">
        <f>IF(AND($T226=1,$U226=0,$I226="",N($N226)&lt;=0,-N($N226)&lt;=HORIZON),N($N226)+ROW()/1000000,"")</f>
        <v/>
      </c>
    </row>
    <row r="227">
      <c r="A227" s="21" t="n"/>
      <c r="B227" s="21" t="n"/>
      <c r="C227" s="21" t="n"/>
      <c r="D227" s="21" t="n"/>
      <c r="E227" s="21" t="n"/>
      <c r="F227" s="21" t="n"/>
      <c r="G227" s="21" t="n"/>
      <c r="H227" s="21" t="n"/>
      <c r="I227" s="22" t="n"/>
      <c r="J227" s="22" t="n"/>
      <c r="K227" s="23">
        <f>IF($A227="","",IF($J227&lt;&gt;"",$J227,$S227))</f>
        <v/>
      </c>
      <c r="L227" s="24">
        <f>IF(OR($A227="",$E227=""),"",IF($J227&lt;&gt;"","Manual",IF($S227="","-","Auto")))</f>
        <v/>
      </c>
      <c r="M227" s="22" t="n"/>
      <c r="N227" s="25">
        <f>IF($T227=0,"",IF($U227=1,IF($M227="","",$M227-$K227),IF($K227="","",TODAY()-$K227)))</f>
        <v/>
      </c>
      <c r="O227" s="24">
        <f>IF(OR($A227="",$E227=""),"",IF($V227=1,S_INACT,IF(ISNA(MATCH($A227,TYP_TYPE,0)),S_TYPEKO,IF($U227=1,S_DONE,IF(AND($K227="",$R227=""),S_NOSCOPE,IF($K227="",S_NOTARGET,IF($N227&gt;0,S_LATE,IF($I227&lt;&gt;"",S_WIP,IF(-$N227&lt;=FEN_DOC,S_RISK,IF(-$N227&lt;=HORIZON,S_COMING,S_NOTYET))))))))))</f>
        <v/>
      </c>
      <c r="P227" s="24">
        <f>IF(OR($A227="",$E227=""),"",IF($V227=1,"",IF(ISNA(MATCH($A227,TYP_TYPE,0)),"Type not in the library",IF($B227="","Scope not set",IF(AND($B227="System",$C227=""),"System not set",IF(AND($B227="Equipment",$D227=""),"Equipment not set",IF($F227="","Responsible not set",IF($K227="","No target date",IF(AND($B227="Equipment",$C227&lt;&gt;"",IFERROR(INDEX(EQP_SYS,MATCH($D227,EQP_NOM,0)),"")&lt;&gt;$C227),"Equipment not in that system",IF(AND($U227=1,$M227=""),"Approved with no approval date",""))))))))))</f>
        <v/>
      </c>
      <c r="Q227" s="21" t="n"/>
      <c r="R227" s="23">
        <f>IF(OR($A227="",$B227=""),"",IF($B227="Equipment",IFERROR(INDEX(EQP_START,MATCH($D227,EQP_NOM,0)),""),IF($B227="System",IFERROR(INDEX(SYS_EARLIEST,MATCH($C227,SYS_ID,0)),""),IF($B227="All",CTR_EARLIEST,""))))</f>
        <v/>
      </c>
      <c r="S227" s="23">
        <f>IF(OR($A227="",$E227=""),"",IFERROR(IF(INDEX(TYP_ANCHOR,MATCH($A227,TYP_TYPE,0))="Commissioning Start",IF($R227="","",$R227-INDEX(TYP_LEAD,MATCH($A227,TYP_TYPE,0))),IF(INDEX(MS_PLAN,MATCH(INDEX(TYP_ANCHOR,MATCH($A227,TYP_TYPE,0)),MS_NOM,0))="","",INDEX(MS_PLAN,MATCH(INDEX(TYP_ANCHOR,MATCH($A227,TYP_TYPE,0)),MS_NOM,0))-INDEX(TYP_LEAD,MATCH($A227,TYP_TYPE,0)))),""))</f>
        <v/>
      </c>
      <c r="T227" s="26">
        <f>IF(OR($A227="",$E227=""),0,IF($V227=1,0,1))</f>
        <v/>
      </c>
      <c r="U227" s="26">
        <f>IF($T227=0,0,IF($M227&lt;&gt;"",1,IF(IFERROR(INDEX(WF_CLASS,MATCH($H227,WF_CODE,0)),"")="Done",1,0)))</f>
        <v/>
      </c>
      <c r="V227" s="26">
        <f>IF(OR($A227="",$E227=""),0,IF(IFERROR(INDEX(WF_CLASS,MATCH($H227,WF_CODE,0)),"")="Inactive",1,0))</f>
        <v/>
      </c>
      <c r="W227" s="24">
        <f>IF($A227="","",IFERROR(INDEX(TYP_PHASE,MATCH($A227,TYP_TYPE,0)),"-"))</f>
        <v/>
      </c>
      <c r="X227" s="24">
        <f>IF(AND($T227=1,$U227=0,N($N227)&gt;0),$N227+ROW()/1000000,"")</f>
        <v/>
      </c>
      <c r="Y227" s="24">
        <f>IF(AND($T227=1,$U227=0,OR($I227&lt;&gt;"",N($N227)&gt;0)),N($N227)+ROW()/1000000,"")</f>
        <v/>
      </c>
      <c r="Z227" s="24">
        <f>IF(AND($T227=1,$U227=0,$I227="",N($N227)&lt;=0,-N($N227)&lt;=HORIZON),N($N227)+ROW()/1000000,"")</f>
        <v/>
      </c>
    </row>
    <row r="228">
      <c r="A228" s="21" t="n"/>
      <c r="B228" s="21" t="n"/>
      <c r="C228" s="21" t="n"/>
      <c r="D228" s="21" t="n"/>
      <c r="E228" s="21" t="n"/>
      <c r="F228" s="21" t="n"/>
      <c r="G228" s="21" t="n"/>
      <c r="H228" s="21" t="n"/>
      <c r="I228" s="22" t="n"/>
      <c r="J228" s="22" t="n"/>
      <c r="K228" s="23">
        <f>IF($A228="","",IF($J228&lt;&gt;"",$J228,$S228))</f>
        <v/>
      </c>
      <c r="L228" s="24">
        <f>IF(OR($A228="",$E228=""),"",IF($J228&lt;&gt;"","Manual",IF($S228="","-","Auto")))</f>
        <v/>
      </c>
      <c r="M228" s="22" t="n"/>
      <c r="N228" s="25">
        <f>IF($T228=0,"",IF($U228=1,IF($M228="","",$M228-$K228),IF($K228="","",TODAY()-$K228)))</f>
        <v/>
      </c>
      <c r="O228" s="24">
        <f>IF(OR($A228="",$E228=""),"",IF($V228=1,S_INACT,IF(ISNA(MATCH($A228,TYP_TYPE,0)),S_TYPEKO,IF($U228=1,S_DONE,IF(AND($K228="",$R228=""),S_NOSCOPE,IF($K228="",S_NOTARGET,IF($N228&gt;0,S_LATE,IF($I228&lt;&gt;"",S_WIP,IF(-$N228&lt;=FEN_DOC,S_RISK,IF(-$N228&lt;=HORIZON,S_COMING,S_NOTYET))))))))))</f>
        <v/>
      </c>
      <c r="P228" s="24">
        <f>IF(OR($A228="",$E228=""),"",IF($V228=1,"",IF(ISNA(MATCH($A228,TYP_TYPE,0)),"Type not in the library",IF($B228="","Scope not set",IF(AND($B228="System",$C228=""),"System not set",IF(AND($B228="Equipment",$D228=""),"Equipment not set",IF($F228="","Responsible not set",IF($K228="","No target date",IF(AND($B228="Equipment",$C228&lt;&gt;"",IFERROR(INDEX(EQP_SYS,MATCH($D228,EQP_NOM,0)),"")&lt;&gt;$C228),"Equipment not in that system",IF(AND($U228=1,$M228=""),"Approved with no approval date",""))))))))))</f>
        <v/>
      </c>
      <c r="Q228" s="21" t="n"/>
      <c r="R228" s="23">
        <f>IF(OR($A228="",$B228=""),"",IF($B228="Equipment",IFERROR(INDEX(EQP_START,MATCH($D228,EQP_NOM,0)),""),IF($B228="System",IFERROR(INDEX(SYS_EARLIEST,MATCH($C228,SYS_ID,0)),""),IF($B228="All",CTR_EARLIEST,""))))</f>
        <v/>
      </c>
      <c r="S228" s="23">
        <f>IF(OR($A228="",$E228=""),"",IFERROR(IF(INDEX(TYP_ANCHOR,MATCH($A228,TYP_TYPE,0))="Commissioning Start",IF($R228="","",$R228-INDEX(TYP_LEAD,MATCH($A228,TYP_TYPE,0))),IF(INDEX(MS_PLAN,MATCH(INDEX(TYP_ANCHOR,MATCH($A228,TYP_TYPE,0)),MS_NOM,0))="","",INDEX(MS_PLAN,MATCH(INDEX(TYP_ANCHOR,MATCH($A228,TYP_TYPE,0)),MS_NOM,0))-INDEX(TYP_LEAD,MATCH($A228,TYP_TYPE,0)))),""))</f>
        <v/>
      </c>
      <c r="T228" s="26">
        <f>IF(OR($A228="",$E228=""),0,IF($V228=1,0,1))</f>
        <v/>
      </c>
      <c r="U228" s="26">
        <f>IF($T228=0,0,IF($M228&lt;&gt;"",1,IF(IFERROR(INDEX(WF_CLASS,MATCH($H228,WF_CODE,0)),"")="Done",1,0)))</f>
        <v/>
      </c>
      <c r="V228" s="26">
        <f>IF(OR($A228="",$E228=""),0,IF(IFERROR(INDEX(WF_CLASS,MATCH($H228,WF_CODE,0)),"")="Inactive",1,0))</f>
        <v/>
      </c>
      <c r="W228" s="24">
        <f>IF($A228="","",IFERROR(INDEX(TYP_PHASE,MATCH($A228,TYP_TYPE,0)),"-"))</f>
        <v/>
      </c>
      <c r="X228" s="24">
        <f>IF(AND($T228=1,$U228=0,N($N228)&gt;0),$N228+ROW()/1000000,"")</f>
        <v/>
      </c>
      <c r="Y228" s="24">
        <f>IF(AND($T228=1,$U228=0,OR($I228&lt;&gt;"",N($N228)&gt;0)),N($N228)+ROW()/1000000,"")</f>
        <v/>
      </c>
      <c r="Z228" s="24">
        <f>IF(AND($T228=1,$U228=0,$I228="",N($N228)&lt;=0,-N($N228)&lt;=HORIZON),N($N228)+ROW()/1000000,"")</f>
        <v/>
      </c>
    </row>
    <row r="229">
      <c r="A229" s="21" t="n"/>
      <c r="B229" s="21" t="n"/>
      <c r="C229" s="21" t="n"/>
      <c r="D229" s="21" t="n"/>
      <c r="E229" s="21" t="n"/>
      <c r="F229" s="21" t="n"/>
      <c r="G229" s="21" t="n"/>
      <c r="H229" s="21" t="n"/>
      <c r="I229" s="22" t="n"/>
      <c r="J229" s="22" t="n"/>
      <c r="K229" s="23">
        <f>IF($A229="","",IF($J229&lt;&gt;"",$J229,$S229))</f>
        <v/>
      </c>
      <c r="L229" s="24">
        <f>IF(OR($A229="",$E229=""),"",IF($J229&lt;&gt;"","Manual",IF($S229="","-","Auto")))</f>
        <v/>
      </c>
      <c r="M229" s="22" t="n"/>
      <c r="N229" s="25">
        <f>IF($T229=0,"",IF($U229=1,IF($M229="","",$M229-$K229),IF($K229="","",TODAY()-$K229)))</f>
        <v/>
      </c>
      <c r="O229" s="24">
        <f>IF(OR($A229="",$E229=""),"",IF($V229=1,S_INACT,IF(ISNA(MATCH($A229,TYP_TYPE,0)),S_TYPEKO,IF($U229=1,S_DONE,IF(AND($K229="",$R229=""),S_NOSCOPE,IF($K229="",S_NOTARGET,IF($N229&gt;0,S_LATE,IF($I229&lt;&gt;"",S_WIP,IF(-$N229&lt;=FEN_DOC,S_RISK,IF(-$N229&lt;=HORIZON,S_COMING,S_NOTYET))))))))))</f>
        <v/>
      </c>
      <c r="P229" s="24">
        <f>IF(OR($A229="",$E229=""),"",IF($V229=1,"",IF(ISNA(MATCH($A229,TYP_TYPE,0)),"Type not in the library",IF($B229="","Scope not set",IF(AND($B229="System",$C229=""),"System not set",IF(AND($B229="Equipment",$D229=""),"Equipment not set",IF($F229="","Responsible not set",IF($K229="","No target date",IF(AND($B229="Equipment",$C229&lt;&gt;"",IFERROR(INDEX(EQP_SYS,MATCH($D229,EQP_NOM,0)),"")&lt;&gt;$C229),"Equipment not in that system",IF(AND($U229=1,$M229=""),"Approved with no approval date",""))))))))))</f>
        <v/>
      </c>
      <c r="Q229" s="21" t="n"/>
      <c r="R229" s="23">
        <f>IF(OR($A229="",$B229=""),"",IF($B229="Equipment",IFERROR(INDEX(EQP_START,MATCH($D229,EQP_NOM,0)),""),IF($B229="System",IFERROR(INDEX(SYS_EARLIEST,MATCH($C229,SYS_ID,0)),""),IF($B229="All",CTR_EARLIEST,""))))</f>
        <v/>
      </c>
      <c r="S229" s="23">
        <f>IF(OR($A229="",$E229=""),"",IFERROR(IF(INDEX(TYP_ANCHOR,MATCH($A229,TYP_TYPE,0))="Commissioning Start",IF($R229="","",$R229-INDEX(TYP_LEAD,MATCH($A229,TYP_TYPE,0))),IF(INDEX(MS_PLAN,MATCH(INDEX(TYP_ANCHOR,MATCH($A229,TYP_TYPE,0)),MS_NOM,0))="","",INDEX(MS_PLAN,MATCH(INDEX(TYP_ANCHOR,MATCH($A229,TYP_TYPE,0)),MS_NOM,0))-INDEX(TYP_LEAD,MATCH($A229,TYP_TYPE,0)))),""))</f>
        <v/>
      </c>
      <c r="T229" s="26">
        <f>IF(OR($A229="",$E229=""),0,IF($V229=1,0,1))</f>
        <v/>
      </c>
      <c r="U229" s="26">
        <f>IF($T229=0,0,IF($M229&lt;&gt;"",1,IF(IFERROR(INDEX(WF_CLASS,MATCH($H229,WF_CODE,0)),"")="Done",1,0)))</f>
        <v/>
      </c>
      <c r="V229" s="26">
        <f>IF(OR($A229="",$E229=""),0,IF(IFERROR(INDEX(WF_CLASS,MATCH($H229,WF_CODE,0)),"")="Inactive",1,0))</f>
        <v/>
      </c>
      <c r="W229" s="24">
        <f>IF($A229="","",IFERROR(INDEX(TYP_PHASE,MATCH($A229,TYP_TYPE,0)),"-"))</f>
        <v/>
      </c>
      <c r="X229" s="24">
        <f>IF(AND($T229=1,$U229=0,N($N229)&gt;0),$N229+ROW()/1000000,"")</f>
        <v/>
      </c>
      <c r="Y229" s="24">
        <f>IF(AND($T229=1,$U229=0,OR($I229&lt;&gt;"",N($N229)&gt;0)),N($N229)+ROW()/1000000,"")</f>
        <v/>
      </c>
      <c r="Z229" s="24">
        <f>IF(AND($T229=1,$U229=0,$I229="",N($N229)&lt;=0,-N($N229)&lt;=HORIZON),N($N229)+ROW()/1000000,"")</f>
        <v/>
      </c>
    </row>
    <row r="230">
      <c r="A230" s="21" t="n"/>
      <c r="B230" s="21" t="n"/>
      <c r="C230" s="21" t="n"/>
      <c r="D230" s="21" t="n"/>
      <c r="E230" s="21" t="n"/>
      <c r="F230" s="21" t="n"/>
      <c r="G230" s="21" t="n"/>
      <c r="H230" s="21" t="n"/>
      <c r="I230" s="22" t="n"/>
      <c r="J230" s="22" t="n"/>
      <c r="K230" s="23">
        <f>IF($A230="","",IF($J230&lt;&gt;"",$J230,$S230))</f>
        <v/>
      </c>
      <c r="L230" s="24">
        <f>IF(OR($A230="",$E230=""),"",IF($J230&lt;&gt;"","Manual",IF($S230="","-","Auto")))</f>
        <v/>
      </c>
      <c r="M230" s="22" t="n"/>
      <c r="N230" s="25">
        <f>IF($T230=0,"",IF($U230=1,IF($M230="","",$M230-$K230),IF($K230="","",TODAY()-$K230)))</f>
        <v/>
      </c>
      <c r="O230" s="24">
        <f>IF(OR($A230="",$E230=""),"",IF($V230=1,S_INACT,IF(ISNA(MATCH($A230,TYP_TYPE,0)),S_TYPEKO,IF($U230=1,S_DONE,IF(AND($K230="",$R230=""),S_NOSCOPE,IF($K230="",S_NOTARGET,IF($N230&gt;0,S_LATE,IF($I230&lt;&gt;"",S_WIP,IF(-$N230&lt;=FEN_DOC,S_RISK,IF(-$N230&lt;=HORIZON,S_COMING,S_NOTYET))))))))))</f>
        <v/>
      </c>
      <c r="P230" s="24">
        <f>IF(OR($A230="",$E230=""),"",IF($V230=1,"",IF(ISNA(MATCH($A230,TYP_TYPE,0)),"Type not in the library",IF($B230="","Scope not set",IF(AND($B230="System",$C230=""),"System not set",IF(AND($B230="Equipment",$D230=""),"Equipment not set",IF($F230="","Responsible not set",IF($K230="","No target date",IF(AND($B230="Equipment",$C230&lt;&gt;"",IFERROR(INDEX(EQP_SYS,MATCH($D230,EQP_NOM,0)),"")&lt;&gt;$C230),"Equipment not in that system",IF(AND($U230=1,$M230=""),"Approved with no approval date",""))))))))))</f>
        <v/>
      </c>
      <c r="Q230" s="21" t="n"/>
      <c r="R230" s="23">
        <f>IF(OR($A230="",$B230=""),"",IF($B230="Equipment",IFERROR(INDEX(EQP_START,MATCH($D230,EQP_NOM,0)),""),IF($B230="System",IFERROR(INDEX(SYS_EARLIEST,MATCH($C230,SYS_ID,0)),""),IF($B230="All",CTR_EARLIEST,""))))</f>
        <v/>
      </c>
      <c r="S230" s="23">
        <f>IF(OR($A230="",$E230=""),"",IFERROR(IF(INDEX(TYP_ANCHOR,MATCH($A230,TYP_TYPE,0))="Commissioning Start",IF($R230="","",$R230-INDEX(TYP_LEAD,MATCH($A230,TYP_TYPE,0))),IF(INDEX(MS_PLAN,MATCH(INDEX(TYP_ANCHOR,MATCH($A230,TYP_TYPE,0)),MS_NOM,0))="","",INDEX(MS_PLAN,MATCH(INDEX(TYP_ANCHOR,MATCH($A230,TYP_TYPE,0)),MS_NOM,0))-INDEX(TYP_LEAD,MATCH($A230,TYP_TYPE,0)))),""))</f>
        <v/>
      </c>
      <c r="T230" s="26">
        <f>IF(OR($A230="",$E230=""),0,IF($V230=1,0,1))</f>
        <v/>
      </c>
      <c r="U230" s="26">
        <f>IF($T230=0,0,IF($M230&lt;&gt;"",1,IF(IFERROR(INDEX(WF_CLASS,MATCH($H230,WF_CODE,0)),"")="Done",1,0)))</f>
        <v/>
      </c>
      <c r="V230" s="26">
        <f>IF(OR($A230="",$E230=""),0,IF(IFERROR(INDEX(WF_CLASS,MATCH($H230,WF_CODE,0)),"")="Inactive",1,0))</f>
        <v/>
      </c>
      <c r="W230" s="24">
        <f>IF($A230="","",IFERROR(INDEX(TYP_PHASE,MATCH($A230,TYP_TYPE,0)),"-"))</f>
        <v/>
      </c>
      <c r="X230" s="24">
        <f>IF(AND($T230=1,$U230=0,N($N230)&gt;0),$N230+ROW()/1000000,"")</f>
        <v/>
      </c>
      <c r="Y230" s="24">
        <f>IF(AND($T230=1,$U230=0,OR($I230&lt;&gt;"",N($N230)&gt;0)),N($N230)+ROW()/1000000,"")</f>
        <v/>
      </c>
      <c r="Z230" s="24">
        <f>IF(AND($T230=1,$U230=0,$I230="",N($N230)&lt;=0,-N($N230)&lt;=HORIZON),N($N230)+ROW()/1000000,"")</f>
        <v/>
      </c>
    </row>
    <row r="231">
      <c r="A231" s="21" t="n"/>
      <c r="B231" s="21" t="n"/>
      <c r="C231" s="21" t="n"/>
      <c r="D231" s="21" t="n"/>
      <c r="E231" s="21" t="n"/>
      <c r="F231" s="21" t="n"/>
      <c r="G231" s="21" t="n"/>
      <c r="H231" s="21" t="n"/>
      <c r="I231" s="22" t="n"/>
      <c r="J231" s="22" t="n"/>
      <c r="K231" s="23">
        <f>IF($A231="","",IF($J231&lt;&gt;"",$J231,$S231))</f>
        <v/>
      </c>
      <c r="L231" s="24">
        <f>IF(OR($A231="",$E231=""),"",IF($J231&lt;&gt;"","Manual",IF($S231="","-","Auto")))</f>
        <v/>
      </c>
      <c r="M231" s="22" t="n"/>
      <c r="N231" s="25">
        <f>IF($T231=0,"",IF($U231=1,IF($M231="","",$M231-$K231),IF($K231="","",TODAY()-$K231)))</f>
        <v/>
      </c>
      <c r="O231" s="24">
        <f>IF(OR($A231="",$E231=""),"",IF($V231=1,S_INACT,IF(ISNA(MATCH($A231,TYP_TYPE,0)),S_TYPEKO,IF($U231=1,S_DONE,IF(AND($K231="",$R231=""),S_NOSCOPE,IF($K231="",S_NOTARGET,IF($N231&gt;0,S_LATE,IF($I231&lt;&gt;"",S_WIP,IF(-$N231&lt;=FEN_DOC,S_RISK,IF(-$N231&lt;=HORIZON,S_COMING,S_NOTYET))))))))))</f>
        <v/>
      </c>
      <c r="P231" s="24">
        <f>IF(OR($A231="",$E231=""),"",IF($V231=1,"",IF(ISNA(MATCH($A231,TYP_TYPE,0)),"Type not in the library",IF($B231="","Scope not set",IF(AND($B231="System",$C231=""),"System not set",IF(AND($B231="Equipment",$D231=""),"Equipment not set",IF($F231="","Responsible not set",IF($K231="","No target date",IF(AND($B231="Equipment",$C231&lt;&gt;"",IFERROR(INDEX(EQP_SYS,MATCH($D231,EQP_NOM,0)),"")&lt;&gt;$C231),"Equipment not in that system",IF(AND($U231=1,$M231=""),"Approved with no approval date",""))))))))))</f>
        <v/>
      </c>
      <c r="Q231" s="21" t="n"/>
      <c r="R231" s="23">
        <f>IF(OR($A231="",$B231=""),"",IF($B231="Equipment",IFERROR(INDEX(EQP_START,MATCH($D231,EQP_NOM,0)),""),IF($B231="System",IFERROR(INDEX(SYS_EARLIEST,MATCH($C231,SYS_ID,0)),""),IF($B231="All",CTR_EARLIEST,""))))</f>
        <v/>
      </c>
      <c r="S231" s="23">
        <f>IF(OR($A231="",$E231=""),"",IFERROR(IF(INDEX(TYP_ANCHOR,MATCH($A231,TYP_TYPE,0))="Commissioning Start",IF($R231="","",$R231-INDEX(TYP_LEAD,MATCH($A231,TYP_TYPE,0))),IF(INDEX(MS_PLAN,MATCH(INDEX(TYP_ANCHOR,MATCH($A231,TYP_TYPE,0)),MS_NOM,0))="","",INDEX(MS_PLAN,MATCH(INDEX(TYP_ANCHOR,MATCH($A231,TYP_TYPE,0)),MS_NOM,0))-INDEX(TYP_LEAD,MATCH($A231,TYP_TYPE,0)))),""))</f>
        <v/>
      </c>
      <c r="T231" s="26">
        <f>IF(OR($A231="",$E231=""),0,IF($V231=1,0,1))</f>
        <v/>
      </c>
      <c r="U231" s="26">
        <f>IF($T231=0,0,IF($M231&lt;&gt;"",1,IF(IFERROR(INDEX(WF_CLASS,MATCH($H231,WF_CODE,0)),"")="Done",1,0)))</f>
        <v/>
      </c>
      <c r="V231" s="26">
        <f>IF(OR($A231="",$E231=""),0,IF(IFERROR(INDEX(WF_CLASS,MATCH($H231,WF_CODE,0)),"")="Inactive",1,0))</f>
        <v/>
      </c>
      <c r="W231" s="24">
        <f>IF($A231="","",IFERROR(INDEX(TYP_PHASE,MATCH($A231,TYP_TYPE,0)),"-"))</f>
        <v/>
      </c>
      <c r="X231" s="24">
        <f>IF(AND($T231=1,$U231=0,N($N231)&gt;0),$N231+ROW()/1000000,"")</f>
        <v/>
      </c>
      <c r="Y231" s="24">
        <f>IF(AND($T231=1,$U231=0,OR($I231&lt;&gt;"",N($N231)&gt;0)),N($N231)+ROW()/1000000,"")</f>
        <v/>
      </c>
      <c r="Z231" s="24">
        <f>IF(AND($T231=1,$U231=0,$I231="",N($N231)&lt;=0,-N($N231)&lt;=HORIZON),N($N231)+ROW()/1000000,"")</f>
        <v/>
      </c>
    </row>
    <row r="232">
      <c r="A232" s="21" t="n"/>
      <c r="B232" s="21" t="n"/>
      <c r="C232" s="21" t="n"/>
      <c r="D232" s="21" t="n"/>
      <c r="E232" s="21" t="n"/>
      <c r="F232" s="21" t="n"/>
      <c r="G232" s="21" t="n"/>
      <c r="H232" s="21" t="n"/>
      <c r="I232" s="22" t="n"/>
      <c r="J232" s="22" t="n"/>
      <c r="K232" s="23">
        <f>IF($A232="","",IF($J232&lt;&gt;"",$J232,$S232))</f>
        <v/>
      </c>
      <c r="L232" s="24">
        <f>IF(OR($A232="",$E232=""),"",IF($J232&lt;&gt;"","Manual",IF($S232="","-","Auto")))</f>
        <v/>
      </c>
      <c r="M232" s="22" t="n"/>
      <c r="N232" s="25">
        <f>IF($T232=0,"",IF($U232=1,IF($M232="","",$M232-$K232),IF($K232="","",TODAY()-$K232)))</f>
        <v/>
      </c>
      <c r="O232" s="24">
        <f>IF(OR($A232="",$E232=""),"",IF($V232=1,S_INACT,IF(ISNA(MATCH($A232,TYP_TYPE,0)),S_TYPEKO,IF($U232=1,S_DONE,IF(AND($K232="",$R232=""),S_NOSCOPE,IF($K232="",S_NOTARGET,IF($N232&gt;0,S_LATE,IF($I232&lt;&gt;"",S_WIP,IF(-$N232&lt;=FEN_DOC,S_RISK,IF(-$N232&lt;=HORIZON,S_COMING,S_NOTYET))))))))))</f>
        <v/>
      </c>
      <c r="P232" s="24">
        <f>IF(OR($A232="",$E232=""),"",IF($V232=1,"",IF(ISNA(MATCH($A232,TYP_TYPE,0)),"Type not in the library",IF($B232="","Scope not set",IF(AND($B232="System",$C232=""),"System not set",IF(AND($B232="Equipment",$D232=""),"Equipment not set",IF($F232="","Responsible not set",IF($K232="","No target date",IF(AND($B232="Equipment",$C232&lt;&gt;"",IFERROR(INDEX(EQP_SYS,MATCH($D232,EQP_NOM,0)),"")&lt;&gt;$C232),"Equipment not in that system",IF(AND($U232=1,$M232=""),"Approved with no approval date",""))))))))))</f>
        <v/>
      </c>
      <c r="Q232" s="21" t="n"/>
      <c r="R232" s="23">
        <f>IF(OR($A232="",$B232=""),"",IF($B232="Equipment",IFERROR(INDEX(EQP_START,MATCH($D232,EQP_NOM,0)),""),IF($B232="System",IFERROR(INDEX(SYS_EARLIEST,MATCH($C232,SYS_ID,0)),""),IF($B232="All",CTR_EARLIEST,""))))</f>
        <v/>
      </c>
      <c r="S232" s="23">
        <f>IF(OR($A232="",$E232=""),"",IFERROR(IF(INDEX(TYP_ANCHOR,MATCH($A232,TYP_TYPE,0))="Commissioning Start",IF($R232="","",$R232-INDEX(TYP_LEAD,MATCH($A232,TYP_TYPE,0))),IF(INDEX(MS_PLAN,MATCH(INDEX(TYP_ANCHOR,MATCH($A232,TYP_TYPE,0)),MS_NOM,0))="","",INDEX(MS_PLAN,MATCH(INDEX(TYP_ANCHOR,MATCH($A232,TYP_TYPE,0)),MS_NOM,0))-INDEX(TYP_LEAD,MATCH($A232,TYP_TYPE,0)))),""))</f>
        <v/>
      </c>
      <c r="T232" s="26">
        <f>IF(OR($A232="",$E232=""),0,IF($V232=1,0,1))</f>
        <v/>
      </c>
      <c r="U232" s="26">
        <f>IF($T232=0,0,IF($M232&lt;&gt;"",1,IF(IFERROR(INDEX(WF_CLASS,MATCH($H232,WF_CODE,0)),"")="Done",1,0)))</f>
        <v/>
      </c>
      <c r="V232" s="26">
        <f>IF(OR($A232="",$E232=""),0,IF(IFERROR(INDEX(WF_CLASS,MATCH($H232,WF_CODE,0)),"")="Inactive",1,0))</f>
        <v/>
      </c>
      <c r="W232" s="24">
        <f>IF($A232="","",IFERROR(INDEX(TYP_PHASE,MATCH($A232,TYP_TYPE,0)),"-"))</f>
        <v/>
      </c>
      <c r="X232" s="24">
        <f>IF(AND($T232=1,$U232=0,N($N232)&gt;0),$N232+ROW()/1000000,"")</f>
        <v/>
      </c>
      <c r="Y232" s="24">
        <f>IF(AND($T232=1,$U232=0,OR($I232&lt;&gt;"",N($N232)&gt;0)),N($N232)+ROW()/1000000,"")</f>
        <v/>
      </c>
      <c r="Z232" s="24">
        <f>IF(AND($T232=1,$U232=0,$I232="",N($N232)&lt;=0,-N($N232)&lt;=HORIZON),N($N232)+ROW()/1000000,"")</f>
        <v/>
      </c>
    </row>
    <row r="233">
      <c r="A233" s="21" t="n"/>
      <c r="B233" s="21" t="n"/>
      <c r="C233" s="21" t="n"/>
      <c r="D233" s="21" t="n"/>
      <c r="E233" s="21" t="n"/>
      <c r="F233" s="21" t="n"/>
      <c r="G233" s="21" t="n"/>
      <c r="H233" s="21" t="n"/>
      <c r="I233" s="22" t="n"/>
      <c r="J233" s="22" t="n"/>
      <c r="K233" s="23">
        <f>IF($A233="","",IF($J233&lt;&gt;"",$J233,$S233))</f>
        <v/>
      </c>
      <c r="L233" s="24">
        <f>IF(OR($A233="",$E233=""),"",IF($J233&lt;&gt;"","Manual",IF($S233="","-","Auto")))</f>
        <v/>
      </c>
      <c r="M233" s="22" t="n"/>
      <c r="N233" s="25">
        <f>IF($T233=0,"",IF($U233=1,IF($M233="","",$M233-$K233),IF($K233="","",TODAY()-$K233)))</f>
        <v/>
      </c>
      <c r="O233" s="24">
        <f>IF(OR($A233="",$E233=""),"",IF($V233=1,S_INACT,IF(ISNA(MATCH($A233,TYP_TYPE,0)),S_TYPEKO,IF($U233=1,S_DONE,IF(AND($K233="",$R233=""),S_NOSCOPE,IF($K233="",S_NOTARGET,IF($N233&gt;0,S_LATE,IF($I233&lt;&gt;"",S_WIP,IF(-$N233&lt;=FEN_DOC,S_RISK,IF(-$N233&lt;=HORIZON,S_COMING,S_NOTYET))))))))))</f>
        <v/>
      </c>
      <c r="P233" s="24">
        <f>IF(OR($A233="",$E233=""),"",IF($V233=1,"",IF(ISNA(MATCH($A233,TYP_TYPE,0)),"Type not in the library",IF($B233="","Scope not set",IF(AND($B233="System",$C233=""),"System not set",IF(AND($B233="Equipment",$D233=""),"Equipment not set",IF($F233="","Responsible not set",IF($K233="","No target date",IF(AND($B233="Equipment",$C233&lt;&gt;"",IFERROR(INDEX(EQP_SYS,MATCH($D233,EQP_NOM,0)),"")&lt;&gt;$C233),"Equipment not in that system",IF(AND($U233=1,$M233=""),"Approved with no approval date",""))))))))))</f>
        <v/>
      </c>
      <c r="Q233" s="21" t="n"/>
      <c r="R233" s="23">
        <f>IF(OR($A233="",$B233=""),"",IF($B233="Equipment",IFERROR(INDEX(EQP_START,MATCH($D233,EQP_NOM,0)),""),IF($B233="System",IFERROR(INDEX(SYS_EARLIEST,MATCH($C233,SYS_ID,0)),""),IF($B233="All",CTR_EARLIEST,""))))</f>
        <v/>
      </c>
      <c r="S233" s="23">
        <f>IF(OR($A233="",$E233=""),"",IFERROR(IF(INDEX(TYP_ANCHOR,MATCH($A233,TYP_TYPE,0))="Commissioning Start",IF($R233="","",$R233-INDEX(TYP_LEAD,MATCH($A233,TYP_TYPE,0))),IF(INDEX(MS_PLAN,MATCH(INDEX(TYP_ANCHOR,MATCH($A233,TYP_TYPE,0)),MS_NOM,0))="","",INDEX(MS_PLAN,MATCH(INDEX(TYP_ANCHOR,MATCH($A233,TYP_TYPE,0)),MS_NOM,0))-INDEX(TYP_LEAD,MATCH($A233,TYP_TYPE,0)))),""))</f>
        <v/>
      </c>
      <c r="T233" s="26">
        <f>IF(OR($A233="",$E233=""),0,IF($V233=1,0,1))</f>
        <v/>
      </c>
      <c r="U233" s="26">
        <f>IF($T233=0,0,IF($M233&lt;&gt;"",1,IF(IFERROR(INDEX(WF_CLASS,MATCH($H233,WF_CODE,0)),"")="Done",1,0)))</f>
        <v/>
      </c>
      <c r="V233" s="26">
        <f>IF(OR($A233="",$E233=""),0,IF(IFERROR(INDEX(WF_CLASS,MATCH($H233,WF_CODE,0)),"")="Inactive",1,0))</f>
        <v/>
      </c>
      <c r="W233" s="24">
        <f>IF($A233="","",IFERROR(INDEX(TYP_PHASE,MATCH($A233,TYP_TYPE,0)),"-"))</f>
        <v/>
      </c>
      <c r="X233" s="24">
        <f>IF(AND($T233=1,$U233=0,N($N233)&gt;0),$N233+ROW()/1000000,"")</f>
        <v/>
      </c>
      <c r="Y233" s="24">
        <f>IF(AND($T233=1,$U233=0,OR($I233&lt;&gt;"",N($N233)&gt;0)),N($N233)+ROW()/1000000,"")</f>
        <v/>
      </c>
      <c r="Z233" s="24">
        <f>IF(AND($T233=1,$U233=0,$I233="",N($N233)&lt;=0,-N($N233)&lt;=HORIZON),N($N233)+ROW()/1000000,"")</f>
        <v/>
      </c>
    </row>
    <row r="234">
      <c r="A234" s="21" t="n"/>
      <c r="B234" s="21" t="n"/>
      <c r="C234" s="21" t="n"/>
      <c r="D234" s="21" t="n"/>
      <c r="E234" s="21" t="n"/>
      <c r="F234" s="21" t="n"/>
      <c r="G234" s="21" t="n"/>
      <c r="H234" s="21" t="n"/>
      <c r="I234" s="22" t="n"/>
      <c r="J234" s="22" t="n"/>
      <c r="K234" s="23">
        <f>IF($A234="","",IF($J234&lt;&gt;"",$J234,$S234))</f>
        <v/>
      </c>
      <c r="L234" s="24">
        <f>IF(OR($A234="",$E234=""),"",IF($J234&lt;&gt;"","Manual",IF($S234="","-","Auto")))</f>
        <v/>
      </c>
      <c r="M234" s="22" t="n"/>
      <c r="N234" s="25">
        <f>IF($T234=0,"",IF($U234=1,IF($M234="","",$M234-$K234),IF($K234="","",TODAY()-$K234)))</f>
        <v/>
      </c>
      <c r="O234" s="24">
        <f>IF(OR($A234="",$E234=""),"",IF($V234=1,S_INACT,IF(ISNA(MATCH($A234,TYP_TYPE,0)),S_TYPEKO,IF($U234=1,S_DONE,IF(AND($K234="",$R234=""),S_NOSCOPE,IF($K234="",S_NOTARGET,IF($N234&gt;0,S_LATE,IF($I234&lt;&gt;"",S_WIP,IF(-$N234&lt;=FEN_DOC,S_RISK,IF(-$N234&lt;=HORIZON,S_COMING,S_NOTYET))))))))))</f>
        <v/>
      </c>
      <c r="P234" s="24">
        <f>IF(OR($A234="",$E234=""),"",IF($V234=1,"",IF(ISNA(MATCH($A234,TYP_TYPE,0)),"Type not in the library",IF($B234="","Scope not set",IF(AND($B234="System",$C234=""),"System not set",IF(AND($B234="Equipment",$D234=""),"Equipment not set",IF($F234="","Responsible not set",IF($K234="","No target date",IF(AND($B234="Equipment",$C234&lt;&gt;"",IFERROR(INDEX(EQP_SYS,MATCH($D234,EQP_NOM,0)),"")&lt;&gt;$C234),"Equipment not in that system",IF(AND($U234=1,$M234=""),"Approved with no approval date",""))))))))))</f>
        <v/>
      </c>
      <c r="Q234" s="21" t="n"/>
      <c r="R234" s="23">
        <f>IF(OR($A234="",$B234=""),"",IF($B234="Equipment",IFERROR(INDEX(EQP_START,MATCH($D234,EQP_NOM,0)),""),IF($B234="System",IFERROR(INDEX(SYS_EARLIEST,MATCH($C234,SYS_ID,0)),""),IF($B234="All",CTR_EARLIEST,""))))</f>
        <v/>
      </c>
      <c r="S234" s="23">
        <f>IF(OR($A234="",$E234=""),"",IFERROR(IF(INDEX(TYP_ANCHOR,MATCH($A234,TYP_TYPE,0))="Commissioning Start",IF($R234="","",$R234-INDEX(TYP_LEAD,MATCH($A234,TYP_TYPE,0))),IF(INDEX(MS_PLAN,MATCH(INDEX(TYP_ANCHOR,MATCH($A234,TYP_TYPE,0)),MS_NOM,0))="","",INDEX(MS_PLAN,MATCH(INDEX(TYP_ANCHOR,MATCH($A234,TYP_TYPE,0)),MS_NOM,0))-INDEX(TYP_LEAD,MATCH($A234,TYP_TYPE,0)))),""))</f>
        <v/>
      </c>
      <c r="T234" s="26">
        <f>IF(OR($A234="",$E234=""),0,IF($V234=1,0,1))</f>
        <v/>
      </c>
      <c r="U234" s="26">
        <f>IF($T234=0,0,IF($M234&lt;&gt;"",1,IF(IFERROR(INDEX(WF_CLASS,MATCH($H234,WF_CODE,0)),"")="Done",1,0)))</f>
        <v/>
      </c>
      <c r="V234" s="26">
        <f>IF(OR($A234="",$E234=""),0,IF(IFERROR(INDEX(WF_CLASS,MATCH($H234,WF_CODE,0)),"")="Inactive",1,0))</f>
        <v/>
      </c>
      <c r="W234" s="24">
        <f>IF($A234="","",IFERROR(INDEX(TYP_PHASE,MATCH($A234,TYP_TYPE,0)),"-"))</f>
        <v/>
      </c>
      <c r="X234" s="24">
        <f>IF(AND($T234=1,$U234=0,N($N234)&gt;0),$N234+ROW()/1000000,"")</f>
        <v/>
      </c>
      <c r="Y234" s="24">
        <f>IF(AND($T234=1,$U234=0,OR($I234&lt;&gt;"",N($N234)&gt;0)),N($N234)+ROW()/1000000,"")</f>
        <v/>
      </c>
      <c r="Z234" s="24">
        <f>IF(AND($T234=1,$U234=0,$I234="",N($N234)&lt;=0,-N($N234)&lt;=HORIZON),N($N234)+ROW()/1000000,"")</f>
        <v/>
      </c>
    </row>
    <row r="235">
      <c r="A235" s="21" t="n"/>
      <c r="B235" s="21" t="n"/>
      <c r="C235" s="21" t="n"/>
      <c r="D235" s="21" t="n"/>
      <c r="E235" s="21" t="n"/>
      <c r="F235" s="21" t="n"/>
      <c r="G235" s="21" t="n"/>
      <c r="H235" s="21" t="n"/>
      <c r="I235" s="22" t="n"/>
      <c r="J235" s="22" t="n"/>
      <c r="K235" s="23">
        <f>IF($A235="","",IF($J235&lt;&gt;"",$J235,$S235))</f>
        <v/>
      </c>
      <c r="L235" s="24">
        <f>IF(OR($A235="",$E235=""),"",IF($J235&lt;&gt;"","Manual",IF($S235="","-","Auto")))</f>
        <v/>
      </c>
      <c r="M235" s="22" t="n"/>
      <c r="N235" s="25">
        <f>IF($T235=0,"",IF($U235=1,IF($M235="","",$M235-$K235),IF($K235="","",TODAY()-$K235)))</f>
        <v/>
      </c>
      <c r="O235" s="24">
        <f>IF(OR($A235="",$E235=""),"",IF($V235=1,S_INACT,IF(ISNA(MATCH($A235,TYP_TYPE,0)),S_TYPEKO,IF($U235=1,S_DONE,IF(AND($K235="",$R235=""),S_NOSCOPE,IF($K235="",S_NOTARGET,IF($N235&gt;0,S_LATE,IF($I235&lt;&gt;"",S_WIP,IF(-$N235&lt;=FEN_DOC,S_RISK,IF(-$N235&lt;=HORIZON,S_COMING,S_NOTYET))))))))))</f>
        <v/>
      </c>
      <c r="P235" s="24">
        <f>IF(OR($A235="",$E235=""),"",IF($V235=1,"",IF(ISNA(MATCH($A235,TYP_TYPE,0)),"Type not in the library",IF($B235="","Scope not set",IF(AND($B235="System",$C235=""),"System not set",IF(AND($B235="Equipment",$D235=""),"Equipment not set",IF($F235="","Responsible not set",IF($K235="","No target date",IF(AND($B235="Equipment",$C235&lt;&gt;"",IFERROR(INDEX(EQP_SYS,MATCH($D235,EQP_NOM,0)),"")&lt;&gt;$C235),"Equipment not in that system",IF(AND($U235=1,$M235=""),"Approved with no approval date",""))))))))))</f>
        <v/>
      </c>
      <c r="Q235" s="21" t="n"/>
      <c r="R235" s="23">
        <f>IF(OR($A235="",$B235=""),"",IF($B235="Equipment",IFERROR(INDEX(EQP_START,MATCH($D235,EQP_NOM,0)),""),IF($B235="System",IFERROR(INDEX(SYS_EARLIEST,MATCH($C235,SYS_ID,0)),""),IF($B235="All",CTR_EARLIEST,""))))</f>
        <v/>
      </c>
      <c r="S235" s="23">
        <f>IF(OR($A235="",$E235=""),"",IFERROR(IF(INDEX(TYP_ANCHOR,MATCH($A235,TYP_TYPE,0))="Commissioning Start",IF($R235="","",$R235-INDEX(TYP_LEAD,MATCH($A235,TYP_TYPE,0))),IF(INDEX(MS_PLAN,MATCH(INDEX(TYP_ANCHOR,MATCH($A235,TYP_TYPE,0)),MS_NOM,0))="","",INDEX(MS_PLAN,MATCH(INDEX(TYP_ANCHOR,MATCH($A235,TYP_TYPE,0)),MS_NOM,0))-INDEX(TYP_LEAD,MATCH($A235,TYP_TYPE,0)))),""))</f>
        <v/>
      </c>
      <c r="T235" s="26">
        <f>IF(OR($A235="",$E235=""),0,IF($V235=1,0,1))</f>
        <v/>
      </c>
      <c r="U235" s="26">
        <f>IF($T235=0,0,IF($M235&lt;&gt;"",1,IF(IFERROR(INDEX(WF_CLASS,MATCH($H235,WF_CODE,0)),"")="Done",1,0)))</f>
        <v/>
      </c>
      <c r="V235" s="26">
        <f>IF(OR($A235="",$E235=""),0,IF(IFERROR(INDEX(WF_CLASS,MATCH($H235,WF_CODE,0)),"")="Inactive",1,0))</f>
        <v/>
      </c>
      <c r="W235" s="24">
        <f>IF($A235="","",IFERROR(INDEX(TYP_PHASE,MATCH($A235,TYP_TYPE,0)),"-"))</f>
        <v/>
      </c>
      <c r="X235" s="24">
        <f>IF(AND($T235=1,$U235=0,N($N235)&gt;0),$N235+ROW()/1000000,"")</f>
        <v/>
      </c>
      <c r="Y235" s="24">
        <f>IF(AND($T235=1,$U235=0,OR($I235&lt;&gt;"",N($N235)&gt;0)),N($N235)+ROW()/1000000,"")</f>
        <v/>
      </c>
      <c r="Z235" s="24">
        <f>IF(AND($T235=1,$U235=0,$I235="",N($N235)&lt;=0,-N($N235)&lt;=HORIZON),N($N235)+ROW()/1000000,"")</f>
        <v/>
      </c>
    </row>
    <row r="236">
      <c r="A236" s="21" t="n"/>
      <c r="B236" s="21" t="n"/>
      <c r="C236" s="21" t="n"/>
      <c r="D236" s="21" t="n"/>
      <c r="E236" s="21" t="n"/>
      <c r="F236" s="21" t="n"/>
      <c r="G236" s="21" t="n"/>
      <c r="H236" s="21" t="n"/>
      <c r="I236" s="22" t="n"/>
      <c r="J236" s="22" t="n"/>
      <c r="K236" s="23">
        <f>IF($A236="","",IF($J236&lt;&gt;"",$J236,$S236))</f>
        <v/>
      </c>
      <c r="L236" s="24">
        <f>IF(OR($A236="",$E236=""),"",IF($J236&lt;&gt;"","Manual",IF($S236="","-","Auto")))</f>
        <v/>
      </c>
      <c r="M236" s="22" t="n"/>
      <c r="N236" s="25">
        <f>IF($T236=0,"",IF($U236=1,IF($M236="","",$M236-$K236),IF($K236="","",TODAY()-$K236)))</f>
        <v/>
      </c>
      <c r="O236" s="24">
        <f>IF(OR($A236="",$E236=""),"",IF($V236=1,S_INACT,IF(ISNA(MATCH($A236,TYP_TYPE,0)),S_TYPEKO,IF($U236=1,S_DONE,IF(AND($K236="",$R236=""),S_NOSCOPE,IF($K236="",S_NOTARGET,IF($N236&gt;0,S_LATE,IF($I236&lt;&gt;"",S_WIP,IF(-$N236&lt;=FEN_DOC,S_RISK,IF(-$N236&lt;=HORIZON,S_COMING,S_NOTYET))))))))))</f>
        <v/>
      </c>
      <c r="P236" s="24">
        <f>IF(OR($A236="",$E236=""),"",IF($V236=1,"",IF(ISNA(MATCH($A236,TYP_TYPE,0)),"Type not in the library",IF($B236="","Scope not set",IF(AND($B236="System",$C236=""),"System not set",IF(AND($B236="Equipment",$D236=""),"Equipment not set",IF($F236="","Responsible not set",IF($K236="","No target date",IF(AND($B236="Equipment",$C236&lt;&gt;"",IFERROR(INDEX(EQP_SYS,MATCH($D236,EQP_NOM,0)),"")&lt;&gt;$C236),"Equipment not in that system",IF(AND($U236=1,$M236=""),"Approved with no approval date",""))))))))))</f>
        <v/>
      </c>
      <c r="Q236" s="21" t="n"/>
      <c r="R236" s="23">
        <f>IF(OR($A236="",$B236=""),"",IF($B236="Equipment",IFERROR(INDEX(EQP_START,MATCH($D236,EQP_NOM,0)),""),IF($B236="System",IFERROR(INDEX(SYS_EARLIEST,MATCH($C236,SYS_ID,0)),""),IF($B236="All",CTR_EARLIEST,""))))</f>
        <v/>
      </c>
      <c r="S236" s="23">
        <f>IF(OR($A236="",$E236=""),"",IFERROR(IF(INDEX(TYP_ANCHOR,MATCH($A236,TYP_TYPE,0))="Commissioning Start",IF($R236="","",$R236-INDEX(TYP_LEAD,MATCH($A236,TYP_TYPE,0))),IF(INDEX(MS_PLAN,MATCH(INDEX(TYP_ANCHOR,MATCH($A236,TYP_TYPE,0)),MS_NOM,0))="","",INDEX(MS_PLAN,MATCH(INDEX(TYP_ANCHOR,MATCH($A236,TYP_TYPE,0)),MS_NOM,0))-INDEX(TYP_LEAD,MATCH($A236,TYP_TYPE,0)))),""))</f>
        <v/>
      </c>
      <c r="T236" s="26">
        <f>IF(OR($A236="",$E236=""),0,IF($V236=1,0,1))</f>
        <v/>
      </c>
      <c r="U236" s="26">
        <f>IF($T236=0,0,IF($M236&lt;&gt;"",1,IF(IFERROR(INDEX(WF_CLASS,MATCH($H236,WF_CODE,0)),"")="Done",1,0)))</f>
        <v/>
      </c>
      <c r="V236" s="26">
        <f>IF(OR($A236="",$E236=""),0,IF(IFERROR(INDEX(WF_CLASS,MATCH($H236,WF_CODE,0)),"")="Inactive",1,0))</f>
        <v/>
      </c>
      <c r="W236" s="24">
        <f>IF($A236="","",IFERROR(INDEX(TYP_PHASE,MATCH($A236,TYP_TYPE,0)),"-"))</f>
        <v/>
      </c>
      <c r="X236" s="24">
        <f>IF(AND($T236=1,$U236=0,N($N236)&gt;0),$N236+ROW()/1000000,"")</f>
        <v/>
      </c>
      <c r="Y236" s="24">
        <f>IF(AND($T236=1,$U236=0,OR($I236&lt;&gt;"",N($N236)&gt;0)),N($N236)+ROW()/1000000,"")</f>
        <v/>
      </c>
      <c r="Z236" s="24">
        <f>IF(AND($T236=1,$U236=0,$I236="",N($N236)&lt;=0,-N($N236)&lt;=HORIZON),N($N236)+ROW()/1000000,"")</f>
        <v/>
      </c>
    </row>
    <row r="237">
      <c r="A237" s="21" t="n"/>
      <c r="B237" s="21" t="n"/>
      <c r="C237" s="21" t="n"/>
      <c r="D237" s="21" t="n"/>
      <c r="E237" s="21" t="n"/>
      <c r="F237" s="21" t="n"/>
      <c r="G237" s="21" t="n"/>
      <c r="H237" s="21" t="n"/>
      <c r="I237" s="22" t="n"/>
      <c r="J237" s="22" t="n"/>
      <c r="K237" s="23">
        <f>IF($A237="","",IF($J237&lt;&gt;"",$J237,$S237))</f>
        <v/>
      </c>
      <c r="L237" s="24">
        <f>IF(OR($A237="",$E237=""),"",IF($J237&lt;&gt;"","Manual",IF($S237="","-","Auto")))</f>
        <v/>
      </c>
      <c r="M237" s="22" t="n"/>
      <c r="N237" s="25">
        <f>IF($T237=0,"",IF($U237=1,IF($M237="","",$M237-$K237),IF($K237="","",TODAY()-$K237)))</f>
        <v/>
      </c>
      <c r="O237" s="24">
        <f>IF(OR($A237="",$E237=""),"",IF($V237=1,S_INACT,IF(ISNA(MATCH($A237,TYP_TYPE,0)),S_TYPEKO,IF($U237=1,S_DONE,IF(AND($K237="",$R237=""),S_NOSCOPE,IF($K237="",S_NOTARGET,IF($N237&gt;0,S_LATE,IF($I237&lt;&gt;"",S_WIP,IF(-$N237&lt;=FEN_DOC,S_RISK,IF(-$N237&lt;=HORIZON,S_COMING,S_NOTYET))))))))))</f>
        <v/>
      </c>
      <c r="P237" s="24">
        <f>IF(OR($A237="",$E237=""),"",IF($V237=1,"",IF(ISNA(MATCH($A237,TYP_TYPE,0)),"Type not in the library",IF($B237="","Scope not set",IF(AND($B237="System",$C237=""),"System not set",IF(AND($B237="Equipment",$D237=""),"Equipment not set",IF($F237="","Responsible not set",IF($K237="","No target date",IF(AND($B237="Equipment",$C237&lt;&gt;"",IFERROR(INDEX(EQP_SYS,MATCH($D237,EQP_NOM,0)),"")&lt;&gt;$C237),"Equipment not in that system",IF(AND($U237=1,$M237=""),"Approved with no approval date",""))))))))))</f>
        <v/>
      </c>
      <c r="Q237" s="21" t="n"/>
      <c r="R237" s="23">
        <f>IF(OR($A237="",$B237=""),"",IF($B237="Equipment",IFERROR(INDEX(EQP_START,MATCH($D237,EQP_NOM,0)),""),IF($B237="System",IFERROR(INDEX(SYS_EARLIEST,MATCH($C237,SYS_ID,0)),""),IF($B237="All",CTR_EARLIEST,""))))</f>
        <v/>
      </c>
      <c r="S237" s="23">
        <f>IF(OR($A237="",$E237=""),"",IFERROR(IF(INDEX(TYP_ANCHOR,MATCH($A237,TYP_TYPE,0))="Commissioning Start",IF($R237="","",$R237-INDEX(TYP_LEAD,MATCH($A237,TYP_TYPE,0))),IF(INDEX(MS_PLAN,MATCH(INDEX(TYP_ANCHOR,MATCH($A237,TYP_TYPE,0)),MS_NOM,0))="","",INDEX(MS_PLAN,MATCH(INDEX(TYP_ANCHOR,MATCH($A237,TYP_TYPE,0)),MS_NOM,0))-INDEX(TYP_LEAD,MATCH($A237,TYP_TYPE,0)))),""))</f>
        <v/>
      </c>
      <c r="T237" s="26">
        <f>IF(OR($A237="",$E237=""),0,IF($V237=1,0,1))</f>
        <v/>
      </c>
      <c r="U237" s="26">
        <f>IF($T237=0,0,IF($M237&lt;&gt;"",1,IF(IFERROR(INDEX(WF_CLASS,MATCH($H237,WF_CODE,0)),"")="Done",1,0)))</f>
        <v/>
      </c>
      <c r="V237" s="26">
        <f>IF(OR($A237="",$E237=""),0,IF(IFERROR(INDEX(WF_CLASS,MATCH($H237,WF_CODE,0)),"")="Inactive",1,0))</f>
        <v/>
      </c>
      <c r="W237" s="24">
        <f>IF($A237="","",IFERROR(INDEX(TYP_PHASE,MATCH($A237,TYP_TYPE,0)),"-"))</f>
        <v/>
      </c>
      <c r="X237" s="24">
        <f>IF(AND($T237=1,$U237=0,N($N237)&gt;0),$N237+ROW()/1000000,"")</f>
        <v/>
      </c>
      <c r="Y237" s="24">
        <f>IF(AND($T237=1,$U237=0,OR($I237&lt;&gt;"",N($N237)&gt;0)),N($N237)+ROW()/1000000,"")</f>
        <v/>
      </c>
      <c r="Z237" s="24">
        <f>IF(AND($T237=1,$U237=0,$I237="",N($N237)&lt;=0,-N($N237)&lt;=HORIZON),N($N237)+ROW()/1000000,"")</f>
        <v/>
      </c>
    </row>
    <row r="238">
      <c r="A238" s="21" t="n"/>
      <c r="B238" s="21" t="n"/>
      <c r="C238" s="21" t="n"/>
      <c r="D238" s="21" t="n"/>
      <c r="E238" s="21" t="n"/>
      <c r="F238" s="21" t="n"/>
      <c r="G238" s="21" t="n"/>
      <c r="H238" s="21" t="n"/>
      <c r="I238" s="22" t="n"/>
      <c r="J238" s="22" t="n"/>
      <c r="K238" s="23">
        <f>IF($A238="","",IF($J238&lt;&gt;"",$J238,$S238))</f>
        <v/>
      </c>
      <c r="L238" s="24">
        <f>IF(OR($A238="",$E238=""),"",IF($J238&lt;&gt;"","Manual",IF($S238="","-","Auto")))</f>
        <v/>
      </c>
      <c r="M238" s="22" t="n"/>
      <c r="N238" s="25">
        <f>IF($T238=0,"",IF($U238=1,IF($M238="","",$M238-$K238),IF($K238="","",TODAY()-$K238)))</f>
        <v/>
      </c>
      <c r="O238" s="24">
        <f>IF(OR($A238="",$E238=""),"",IF($V238=1,S_INACT,IF(ISNA(MATCH($A238,TYP_TYPE,0)),S_TYPEKO,IF($U238=1,S_DONE,IF(AND($K238="",$R238=""),S_NOSCOPE,IF($K238="",S_NOTARGET,IF($N238&gt;0,S_LATE,IF($I238&lt;&gt;"",S_WIP,IF(-$N238&lt;=FEN_DOC,S_RISK,IF(-$N238&lt;=HORIZON,S_COMING,S_NOTYET))))))))))</f>
        <v/>
      </c>
      <c r="P238" s="24">
        <f>IF(OR($A238="",$E238=""),"",IF($V238=1,"",IF(ISNA(MATCH($A238,TYP_TYPE,0)),"Type not in the library",IF($B238="","Scope not set",IF(AND($B238="System",$C238=""),"System not set",IF(AND($B238="Equipment",$D238=""),"Equipment not set",IF($F238="","Responsible not set",IF($K238="","No target date",IF(AND($B238="Equipment",$C238&lt;&gt;"",IFERROR(INDEX(EQP_SYS,MATCH($D238,EQP_NOM,0)),"")&lt;&gt;$C238),"Equipment not in that system",IF(AND($U238=1,$M238=""),"Approved with no approval date",""))))))))))</f>
        <v/>
      </c>
      <c r="Q238" s="21" t="n"/>
      <c r="R238" s="23">
        <f>IF(OR($A238="",$B238=""),"",IF($B238="Equipment",IFERROR(INDEX(EQP_START,MATCH($D238,EQP_NOM,0)),""),IF($B238="System",IFERROR(INDEX(SYS_EARLIEST,MATCH($C238,SYS_ID,0)),""),IF($B238="All",CTR_EARLIEST,""))))</f>
        <v/>
      </c>
      <c r="S238" s="23">
        <f>IF(OR($A238="",$E238=""),"",IFERROR(IF(INDEX(TYP_ANCHOR,MATCH($A238,TYP_TYPE,0))="Commissioning Start",IF($R238="","",$R238-INDEX(TYP_LEAD,MATCH($A238,TYP_TYPE,0))),IF(INDEX(MS_PLAN,MATCH(INDEX(TYP_ANCHOR,MATCH($A238,TYP_TYPE,0)),MS_NOM,0))="","",INDEX(MS_PLAN,MATCH(INDEX(TYP_ANCHOR,MATCH($A238,TYP_TYPE,0)),MS_NOM,0))-INDEX(TYP_LEAD,MATCH($A238,TYP_TYPE,0)))),""))</f>
        <v/>
      </c>
      <c r="T238" s="26">
        <f>IF(OR($A238="",$E238=""),0,IF($V238=1,0,1))</f>
        <v/>
      </c>
      <c r="U238" s="26">
        <f>IF($T238=0,0,IF($M238&lt;&gt;"",1,IF(IFERROR(INDEX(WF_CLASS,MATCH($H238,WF_CODE,0)),"")="Done",1,0)))</f>
        <v/>
      </c>
      <c r="V238" s="26">
        <f>IF(OR($A238="",$E238=""),0,IF(IFERROR(INDEX(WF_CLASS,MATCH($H238,WF_CODE,0)),"")="Inactive",1,0))</f>
        <v/>
      </c>
      <c r="W238" s="24">
        <f>IF($A238="","",IFERROR(INDEX(TYP_PHASE,MATCH($A238,TYP_TYPE,0)),"-"))</f>
        <v/>
      </c>
      <c r="X238" s="24">
        <f>IF(AND($T238=1,$U238=0,N($N238)&gt;0),$N238+ROW()/1000000,"")</f>
        <v/>
      </c>
      <c r="Y238" s="24">
        <f>IF(AND($T238=1,$U238=0,OR($I238&lt;&gt;"",N($N238)&gt;0)),N($N238)+ROW()/1000000,"")</f>
        <v/>
      </c>
      <c r="Z238" s="24">
        <f>IF(AND($T238=1,$U238=0,$I238="",N($N238)&lt;=0,-N($N238)&lt;=HORIZON),N($N238)+ROW()/1000000,"")</f>
        <v/>
      </c>
    </row>
    <row r="239">
      <c r="A239" s="21" t="n"/>
      <c r="B239" s="21" t="n"/>
      <c r="C239" s="21" t="n"/>
      <c r="D239" s="21" t="n"/>
      <c r="E239" s="21" t="n"/>
      <c r="F239" s="21" t="n"/>
      <c r="G239" s="21" t="n"/>
      <c r="H239" s="21" t="n"/>
      <c r="I239" s="22" t="n"/>
      <c r="J239" s="22" t="n"/>
      <c r="K239" s="23">
        <f>IF($A239="","",IF($J239&lt;&gt;"",$J239,$S239))</f>
        <v/>
      </c>
      <c r="L239" s="24">
        <f>IF(OR($A239="",$E239=""),"",IF($J239&lt;&gt;"","Manual",IF($S239="","-","Auto")))</f>
        <v/>
      </c>
      <c r="M239" s="22" t="n"/>
      <c r="N239" s="25">
        <f>IF($T239=0,"",IF($U239=1,IF($M239="","",$M239-$K239),IF($K239="","",TODAY()-$K239)))</f>
        <v/>
      </c>
      <c r="O239" s="24">
        <f>IF(OR($A239="",$E239=""),"",IF($V239=1,S_INACT,IF(ISNA(MATCH($A239,TYP_TYPE,0)),S_TYPEKO,IF($U239=1,S_DONE,IF(AND($K239="",$R239=""),S_NOSCOPE,IF($K239="",S_NOTARGET,IF($N239&gt;0,S_LATE,IF($I239&lt;&gt;"",S_WIP,IF(-$N239&lt;=FEN_DOC,S_RISK,IF(-$N239&lt;=HORIZON,S_COMING,S_NOTYET))))))))))</f>
        <v/>
      </c>
      <c r="P239" s="24">
        <f>IF(OR($A239="",$E239=""),"",IF($V239=1,"",IF(ISNA(MATCH($A239,TYP_TYPE,0)),"Type not in the library",IF($B239="","Scope not set",IF(AND($B239="System",$C239=""),"System not set",IF(AND($B239="Equipment",$D239=""),"Equipment not set",IF($F239="","Responsible not set",IF($K239="","No target date",IF(AND($B239="Equipment",$C239&lt;&gt;"",IFERROR(INDEX(EQP_SYS,MATCH($D239,EQP_NOM,0)),"")&lt;&gt;$C239),"Equipment not in that system",IF(AND($U239=1,$M239=""),"Approved with no approval date",""))))))))))</f>
        <v/>
      </c>
      <c r="Q239" s="21" t="n"/>
      <c r="R239" s="23">
        <f>IF(OR($A239="",$B239=""),"",IF($B239="Equipment",IFERROR(INDEX(EQP_START,MATCH($D239,EQP_NOM,0)),""),IF($B239="System",IFERROR(INDEX(SYS_EARLIEST,MATCH($C239,SYS_ID,0)),""),IF($B239="All",CTR_EARLIEST,""))))</f>
        <v/>
      </c>
      <c r="S239" s="23">
        <f>IF(OR($A239="",$E239=""),"",IFERROR(IF(INDEX(TYP_ANCHOR,MATCH($A239,TYP_TYPE,0))="Commissioning Start",IF($R239="","",$R239-INDEX(TYP_LEAD,MATCH($A239,TYP_TYPE,0))),IF(INDEX(MS_PLAN,MATCH(INDEX(TYP_ANCHOR,MATCH($A239,TYP_TYPE,0)),MS_NOM,0))="","",INDEX(MS_PLAN,MATCH(INDEX(TYP_ANCHOR,MATCH($A239,TYP_TYPE,0)),MS_NOM,0))-INDEX(TYP_LEAD,MATCH($A239,TYP_TYPE,0)))),""))</f>
        <v/>
      </c>
      <c r="T239" s="26">
        <f>IF(OR($A239="",$E239=""),0,IF($V239=1,0,1))</f>
        <v/>
      </c>
      <c r="U239" s="26">
        <f>IF($T239=0,0,IF($M239&lt;&gt;"",1,IF(IFERROR(INDEX(WF_CLASS,MATCH($H239,WF_CODE,0)),"")="Done",1,0)))</f>
        <v/>
      </c>
      <c r="V239" s="26">
        <f>IF(OR($A239="",$E239=""),0,IF(IFERROR(INDEX(WF_CLASS,MATCH($H239,WF_CODE,0)),"")="Inactive",1,0))</f>
        <v/>
      </c>
      <c r="W239" s="24">
        <f>IF($A239="","",IFERROR(INDEX(TYP_PHASE,MATCH($A239,TYP_TYPE,0)),"-"))</f>
        <v/>
      </c>
      <c r="X239" s="24">
        <f>IF(AND($T239=1,$U239=0,N($N239)&gt;0),$N239+ROW()/1000000,"")</f>
        <v/>
      </c>
      <c r="Y239" s="24">
        <f>IF(AND($T239=1,$U239=0,OR($I239&lt;&gt;"",N($N239)&gt;0)),N($N239)+ROW()/1000000,"")</f>
        <v/>
      </c>
      <c r="Z239" s="24">
        <f>IF(AND($T239=1,$U239=0,$I239="",N($N239)&lt;=0,-N($N239)&lt;=HORIZON),N($N239)+ROW()/1000000,"")</f>
        <v/>
      </c>
    </row>
    <row r="240">
      <c r="A240" s="21" t="n"/>
      <c r="B240" s="21" t="n"/>
      <c r="C240" s="21" t="n"/>
      <c r="D240" s="21" t="n"/>
      <c r="E240" s="21" t="n"/>
      <c r="F240" s="21" t="n"/>
      <c r="G240" s="21" t="n"/>
      <c r="H240" s="21" t="n"/>
      <c r="I240" s="22" t="n"/>
      <c r="J240" s="22" t="n"/>
      <c r="K240" s="23">
        <f>IF($A240="","",IF($J240&lt;&gt;"",$J240,$S240))</f>
        <v/>
      </c>
      <c r="L240" s="24">
        <f>IF(OR($A240="",$E240=""),"",IF($J240&lt;&gt;"","Manual",IF($S240="","-","Auto")))</f>
        <v/>
      </c>
      <c r="M240" s="22" t="n"/>
      <c r="N240" s="25">
        <f>IF($T240=0,"",IF($U240=1,IF($M240="","",$M240-$K240),IF($K240="","",TODAY()-$K240)))</f>
        <v/>
      </c>
      <c r="O240" s="24">
        <f>IF(OR($A240="",$E240=""),"",IF($V240=1,S_INACT,IF(ISNA(MATCH($A240,TYP_TYPE,0)),S_TYPEKO,IF($U240=1,S_DONE,IF(AND($K240="",$R240=""),S_NOSCOPE,IF($K240="",S_NOTARGET,IF($N240&gt;0,S_LATE,IF($I240&lt;&gt;"",S_WIP,IF(-$N240&lt;=FEN_DOC,S_RISK,IF(-$N240&lt;=HORIZON,S_COMING,S_NOTYET))))))))))</f>
        <v/>
      </c>
      <c r="P240" s="24">
        <f>IF(OR($A240="",$E240=""),"",IF($V240=1,"",IF(ISNA(MATCH($A240,TYP_TYPE,0)),"Type not in the library",IF($B240="","Scope not set",IF(AND($B240="System",$C240=""),"System not set",IF(AND($B240="Equipment",$D240=""),"Equipment not set",IF($F240="","Responsible not set",IF($K240="","No target date",IF(AND($B240="Equipment",$C240&lt;&gt;"",IFERROR(INDEX(EQP_SYS,MATCH($D240,EQP_NOM,0)),"")&lt;&gt;$C240),"Equipment not in that system",IF(AND($U240=1,$M240=""),"Approved with no approval date",""))))))))))</f>
        <v/>
      </c>
      <c r="Q240" s="21" t="n"/>
      <c r="R240" s="23">
        <f>IF(OR($A240="",$B240=""),"",IF($B240="Equipment",IFERROR(INDEX(EQP_START,MATCH($D240,EQP_NOM,0)),""),IF($B240="System",IFERROR(INDEX(SYS_EARLIEST,MATCH($C240,SYS_ID,0)),""),IF($B240="All",CTR_EARLIEST,""))))</f>
        <v/>
      </c>
      <c r="S240" s="23">
        <f>IF(OR($A240="",$E240=""),"",IFERROR(IF(INDEX(TYP_ANCHOR,MATCH($A240,TYP_TYPE,0))="Commissioning Start",IF($R240="","",$R240-INDEX(TYP_LEAD,MATCH($A240,TYP_TYPE,0))),IF(INDEX(MS_PLAN,MATCH(INDEX(TYP_ANCHOR,MATCH($A240,TYP_TYPE,0)),MS_NOM,0))="","",INDEX(MS_PLAN,MATCH(INDEX(TYP_ANCHOR,MATCH($A240,TYP_TYPE,0)),MS_NOM,0))-INDEX(TYP_LEAD,MATCH($A240,TYP_TYPE,0)))),""))</f>
        <v/>
      </c>
      <c r="T240" s="26">
        <f>IF(OR($A240="",$E240=""),0,IF($V240=1,0,1))</f>
        <v/>
      </c>
      <c r="U240" s="26">
        <f>IF($T240=0,0,IF($M240&lt;&gt;"",1,IF(IFERROR(INDEX(WF_CLASS,MATCH($H240,WF_CODE,0)),"")="Done",1,0)))</f>
        <v/>
      </c>
      <c r="V240" s="26">
        <f>IF(OR($A240="",$E240=""),0,IF(IFERROR(INDEX(WF_CLASS,MATCH($H240,WF_CODE,0)),"")="Inactive",1,0))</f>
        <v/>
      </c>
      <c r="W240" s="24">
        <f>IF($A240="","",IFERROR(INDEX(TYP_PHASE,MATCH($A240,TYP_TYPE,0)),"-"))</f>
        <v/>
      </c>
      <c r="X240" s="24">
        <f>IF(AND($T240=1,$U240=0,N($N240)&gt;0),$N240+ROW()/1000000,"")</f>
        <v/>
      </c>
      <c r="Y240" s="24">
        <f>IF(AND($T240=1,$U240=0,OR($I240&lt;&gt;"",N($N240)&gt;0)),N($N240)+ROW()/1000000,"")</f>
        <v/>
      </c>
      <c r="Z240" s="24">
        <f>IF(AND($T240=1,$U240=0,$I240="",N($N240)&lt;=0,-N($N240)&lt;=HORIZON),N($N240)+ROW()/1000000,"")</f>
        <v/>
      </c>
    </row>
    <row r="241">
      <c r="A241" s="21" t="n"/>
      <c r="B241" s="21" t="n"/>
      <c r="C241" s="21" t="n"/>
      <c r="D241" s="21" t="n"/>
      <c r="E241" s="21" t="n"/>
      <c r="F241" s="21" t="n"/>
      <c r="G241" s="21" t="n"/>
      <c r="H241" s="21" t="n"/>
      <c r="I241" s="22" t="n"/>
      <c r="J241" s="22" t="n"/>
      <c r="K241" s="23">
        <f>IF($A241="","",IF($J241&lt;&gt;"",$J241,$S241))</f>
        <v/>
      </c>
      <c r="L241" s="24">
        <f>IF(OR($A241="",$E241=""),"",IF($J241&lt;&gt;"","Manual",IF($S241="","-","Auto")))</f>
        <v/>
      </c>
      <c r="M241" s="22" t="n"/>
      <c r="N241" s="25">
        <f>IF($T241=0,"",IF($U241=1,IF($M241="","",$M241-$K241),IF($K241="","",TODAY()-$K241)))</f>
        <v/>
      </c>
      <c r="O241" s="24">
        <f>IF(OR($A241="",$E241=""),"",IF($V241=1,S_INACT,IF(ISNA(MATCH($A241,TYP_TYPE,0)),S_TYPEKO,IF($U241=1,S_DONE,IF(AND($K241="",$R241=""),S_NOSCOPE,IF($K241="",S_NOTARGET,IF($N241&gt;0,S_LATE,IF($I241&lt;&gt;"",S_WIP,IF(-$N241&lt;=FEN_DOC,S_RISK,IF(-$N241&lt;=HORIZON,S_COMING,S_NOTYET))))))))))</f>
        <v/>
      </c>
      <c r="P241" s="24">
        <f>IF(OR($A241="",$E241=""),"",IF($V241=1,"",IF(ISNA(MATCH($A241,TYP_TYPE,0)),"Type not in the library",IF($B241="","Scope not set",IF(AND($B241="System",$C241=""),"System not set",IF(AND($B241="Equipment",$D241=""),"Equipment not set",IF($F241="","Responsible not set",IF($K241="","No target date",IF(AND($B241="Equipment",$C241&lt;&gt;"",IFERROR(INDEX(EQP_SYS,MATCH($D241,EQP_NOM,0)),"")&lt;&gt;$C241),"Equipment not in that system",IF(AND($U241=1,$M241=""),"Approved with no approval date",""))))))))))</f>
        <v/>
      </c>
      <c r="Q241" s="21" t="n"/>
      <c r="R241" s="23">
        <f>IF(OR($A241="",$B241=""),"",IF($B241="Equipment",IFERROR(INDEX(EQP_START,MATCH($D241,EQP_NOM,0)),""),IF($B241="System",IFERROR(INDEX(SYS_EARLIEST,MATCH($C241,SYS_ID,0)),""),IF($B241="All",CTR_EARLIEST,""))))</f>
        <v/>
      </c>
      <c r="S241" s="23">
        <f>IF(OR($A241="",$E241=""),"",IFERROR(IF(INDEX(TYP_ANCHOR,MATCH($A241,TYP_TYPE,0))="Commissioning Start",IF($R241="","",$R241-INDEX(TYP_LEAD,MATCH($A241,TYP_TYPE,0))),IF(INDEX(MS_PLAN,MATCH(INDEX(TYP_ANCHOR,MATCH($A241,TYP_TYPE,0)),MS_NOM,0))="","",INDEX(MS_PLAN,MATCH(INDEX(TYP_ANCHOR,MATCH($A241,TYP_TYPE,0)),MS_NOM,0))-INDEX(TYP_LEAD,MATCH($A241,TYP_TYPE,0)))),""))</f>
        <v/>
      </c>
      <c r="T241" s="26">
        <f>IF(OR($A241="",$E241=""),0,IF($V241=1,0,1))</f>
        <v/>
      </c>
      <c r="U241" s="26">
        <f>IF($T241=0,0,IF($M241&lt;&gt;"",1,IF(IFERROR(INDEX(WF_CLASS,MATCH($H241,WF_CODE,0)),"")="Done",1,0)))</f>
        <v/>
      </c>
      <c r="V241" s="26">
        <f>IF(OR($A241="",$E241=""),0,IF(IFERROR(INDEX(WF_CLASS,MATCH($H241,WF_CODE,0)),"")="Inactive",1,0))</f>
        <v/>
      </c>
      <c r="W241" s="24">
        <f>IF($A241="","",IFERROR(INDEX(TYP_PHASE,MATCH($A241,TYP_TYPE,0)),"-"))</f>
        <v/>
      </c>
      <c r="X241" s="24">
        <f>IF(AND($T241=1,$U241=0,N($N241)&gt;0),$N241+ROW()/1000000,"")</f>
        <v/>
      </c>
      <c r="Y241" s="24">
        <f>IF(AND($T241=1,$U241=0,OR($I241&lt;&gt;"",N($N241)&gt;0)),N($N241)+ROW()/1000000,"")</f>
        <v/>
      </c>
      <c r="Z241" s="24">
        <f>IF(AND($T241=1,$U241=0,$I241="",N($N241)&lt;=0,-N($N241)&lt;=HORIZON),N($N241)+ROW()/1000000,"")</f>
        <v/>
      </c>
    </row>
    <row r="242">
      <c r="A242" s="21" t="n"/>
      <c r="B242" s="21" t="n"/>
      <c r="C242" s="21" t="n"/>
      <c r="D242" s="21" t="n"/>
      <c r="E242" s="21" t="n"/>
      <c r="F242" s="21" t="n"/>
      <c r="G242" s="21" t="n"/>
      <c r="H242" s="21" t="n"/>
      <c r="I242" s="22" t="n"/>
      <c r="J242" s="22" t="n"/>
      <c r="K242" s="23">
        <f>IF($A242="","",IF($J242&lt;&gt;"",$J242,$S242))</f>
        <v/>
      </c>
      <c r="L242" s="24">
        <f>IF(OR($A242="",$E242=""),"",IF($J242&lt;&gt;"","Manual",IF($S242="","-","Auto")))</f>
        <v/>
      </c>
      <c r="M242" s="22" t="n"/>
      <c r="N242" s="25">
        <f>IF($T242=0,"",IF($U242=1,IF($M242="","",$M242-$K242),IF($K242="","",TODAY()-$K242)))</f>
        <v/>
      </c>
      <c r="O242" s="24">
        <f>IF(OR($A242="",$E242=""),"",IF($V242=1,S_INACT,IF(ISNA(MATCH($A242,TYP_TYPE,0)),S_TYPEKO,IF($U242=1,S_DONE,IF(AND($K242="",$R242=""),S_NOSCOPE,IF($K242="",S_NOTARGET,IF($N242&gt;0,S_LATE,IF($I242&lt;&gt;"",S_WIP,IF(-$N242&lt;=FEN_DOC,S_RISK,IF(-$N242&lt;=HORIZON,S_COMING,S_NOTYET))))))))))</f>
        <v/>
      </c>
      <c r="P242" s="24">
        <f>IF(OR($A242="",$E242=""),"",IF($V242=1,"",IF(ISNA(MATCH($A242,TYP_TYPE,0)),"Type not in the library",IF($B242="","Scope not set",IF(AND($B242="System",$C242=""),"System not set",IF(AND($B242="Equipment",$D242=""),"Equipment not set",IF($F242="","Responsible not set",IF($K242="","No target date",IF(AND($B242="Equipment",$C242&lt;&gt;"",IFERROR(INDEX(EQP_SYS,MATCH($D242,EQP_NOM,0)),"")&lt;&gt;$C242),"Equipment not in that system",IF(AND($U242=1,$M242=""),"Approved with no approval date",""))))))))))</f>
        <v/>
      </c>
      <c r="Q242" s="21" t="n"/>
      <c r="R242" s="23">
        <f>IF(OR($A242="",$B242=""),"",IF($B242="Equipment",IFERROR(INDEX(EQP_START,MATCH($D242,EQP_NOM,0)),""),IF($B242="System",IFERROR(INDEX(SYS_EARLIEST,MATCH($C242,SYS_ID,0)),""),IF($B242="All",CTR_EARLIEST,""))))</f>
        <v/>
      </c>
      <c r="S242" s="23">
        <f>IF(OR($A242="",$E242=""),"",IFERROR(IF(INDEX(TYP_ANCHOR,MATCH($A242,TYP_TYPE,0))="Commissioning Start",IF($R242="","",$R242-INDEX(TYP_LEAD,MATCH($A242,TYP_TYPE,0))),IF(INDEX(MS_PLAN,MATCH(INDEX(TYP_ANCHOR,MATCH($A242,TYP_TYPE,0)),MS_NOM,0))="","",INDEX(MS_PLAN,MATCH(INDEX(TYP_ANCHOR,MATCH($A242,TYP_TYPE,0)),MS_NOM,0))-INDEX(TYP_LEAD,MATCH($A242,TYP_TYPE,0)))),""))</f>
        <v/>
      </c>
      <c r="T242" s="26">
        <f>IF(OR($A242="",$E242=""),0,IF($V242=1,0,1))</f>
        <v/>
      </c>
      <c r="U242" s="26">
        <f>IF($T242=0,0,IF($M242&lt;&gt;"",1,IF(IFERROR(INDEX(WF_CLASS,MATCH($H242,WF_CODE,0)),"")="Done",1,0)))</f>
        <v/>
      </c>
      <c r="V242" s="26">
        <f>IF(OR($A242="",$E242=""),0,IF(IFERROR(INDEX(WF_CLASS,MATCH($H242,WF_CODE,0)),"")="Inactive",1,0))</f>
        <v/>
      </c>
      <c r="W242" s="24">
        <f>IF($A242="","",IFERROR(INDEX(TYP_PHASE,MATCH($A242,TYP_TYPE,0)),"-"))</f>
        <v/>
      </c>
      <c r="X242" s="24">
        <f>IF(AND($T242=1,$U242=0,N($N242)&gt;0),$N242+ROW()/1000000,"")</f>
        <v/>
      </c>
      <c r="Y242" s="24">
        <f>IF(AND($T242=1,$U242=0,OR($I242&lt;&gt;"",N($N242)&gt;0)),N($N242)+ROW()/1000000,"")</f>
        <v/>
      </c>
      <c r="Z242" s="24">
        <f>IF(AND($T242=1,$U242=0,$I242="",N($N242)&lt;=0,-N($N242)&lt;=HORIZON),N($N242)+ROW()/1000000,"")</f>
        <v/>
      </c>
    </row>
    <row r="243">
      <c r="A243" s="21" t="n"/>
      <c r="B243" s="21" t="n"/>
      <c r="C243" s="21" t="n"/>
      <c r="D243" s="21" t="n"/>
      <c r="E243" s="21" t="n"/>
      <c r="F243" s="21" t="n"/>
      <c r="G243" s="21" t="n"/>
      <c r="H243" s="21" t="n"/>
      <c r="I243" s="22" t="n"/>
      <c r="J243" s="22" t="n"/>
      <c r="K243" s="23">
        <f>IF($A243="","",IF($J243&lt;&gt;"",$J243,$S243))</f>
        <v/>
      </c>
      <c r="L243" s="24">
        <f>IF(OR($A243="",$E243=""),"",IF($J243&lt;&gt;"","Manual",IF($S243="","-","Auto")))</f>
        <v/>
      </c>
      <c r="M243" s="22" t="n"/>
      <c r="N243" s="25">
        <f>IF($T243=0,"",IF($U243=1,IF($M243="","",$M243-$K243),IF($K243="","",TODAY()-$K243)))</f>
        <v/>
      </c>
      <c r="O243" s="24">
        <f>IF(OR($A243="",$E243=""),"",IF($V243=1,S_INACT,IF(ISNA(MATCH($A243,TYP_TYPE,0)),S_TYPEKO,IF($U243=1,S_DONE,IF(AND($K243="",$R243=""),S_NOSCOPE,IF($K243="",S_NOTARGET,IF($N243&gt;0,S_LATE,IF($I243&lt;&gt;"",S_WIP,IF(-$N243&lt;=FEN_DOC,S_RISK,IF(-$N243&lt;=HORIZON,S_COMING,S_NOTYET))))))))))</f>
        <v/>
      </c>
      <c r="P243" s="24">
        <f>IF(OR($A243="",$E243=""),"",IF($V243=1,"",IF(ISNA(MATCH($A243,TYP_TYPE,0)),"Type not in the library",IF($B243="","Scope not set",IF(AND($B243="System",$C243=""),"System not set",IF(AND($B243="Equipment",$D243=""),"Equipment not set",IF($F243="","Responsible not set",IF($K243="","No target date",IF(AND($B243="Equipment",$C243&lt;&gt;"",IFERROR(INDEX(EQP_SYS,MATCH($D243,EQP_NOM,0)),"")&lt;&gt;$C243),"Equipment not in that system",IF(AND($U243=1,$M243=""),"Approved with no approval date",""))))))))))</f>
        <v/>
      </c>
      <c r="Q243" s="21" t="n"/>
      <c r="R243" s="23">
        <f>IF(OR($A243="",$B243=""),"",IF($B243="Equipment",IFERROR(INDEX(EQP_START,MATCH($D243,EQP_NOM,0)),""),IF($B243="System",IFERROR(INDEX(SYS_EARLIEST,MATCH($C243,SYS_ID,0)),""),IF($B243="All",CTR_EARLIEST,""))))</f>
        <v/>
      </c>
      <c r="S243" s="23">
        <f>IF(OR($A243="",$E243=""),"",IFERROR(IF(INDEX(TYP_ANCHOR,MATCH($A243,TYP_TYPE,0))="Commissioning Start",IF($R243="","",$R243-INDEX(TYP_LEAD,MATCH($A243,TYP_TYPE,0))),IF(INDEX(MS_PLAN,MATCH(INDEX(TYP_ANCHOR,MATCH($A243,TYP_TYPE,0)),MS_NOM,0))="","",INDEX(MS_PLAN,MATCH(INDEX(TYP_ANCHOR,MATCH($A243,TYP_TYPE,0)),MS_NOM,0))-INDEX(TYP_LEAD,MATCH($A243,TYP_TYPE,0)))),""))</f>
        <v/>
      </c>
      <c r="T243" s="26">
        <f>IF(OR($A243="",$E243=""),0,IF($V243=1,0,1))</f>
        <v/>
      </c>
      <c r="U243" s="26">
        <f>IF($T243=0,0,IF($M243&lt;&gt;"",1,IF(IFERROR(INDEX(WF_CLASS,MATCH($H243,WF_CODE,0)),"")="Done",1,0)))</f>
        <v/>
      </c>
      <c r="V243" s="26">
        <f>IF(OR($A243="",$E243=""),0,IF(IFERROR(INDEX(WF_CLASS,MATCH($H243,WF_CODE,0)),"")="Inactive",1,0))</f>
        <v/>
      </c>
      <c r="W243" s="24">
        <f>IF($A243="","",IFERROR(INDEX(TYP_PHASE,MATCH($A243,TYP_TYPE,0)),"-"))</f>
        <v/>
      </c>
      <c r="X243" s="24">
        <f>IF(AND($T243=1,$U243=0,N($N243)&gt;0),$N243+ROW()/1000000,"")</f>
        <v/>
      </c>
      <c r="Y243" s="24">
        <f>IF(AND($T243=1,$U243=0,OR($I243&lt;&gt;"",N($N243)&gt;0)),N($N243)+ROW()/1000000,"")</f>
        <v/>
      </c>
      <c r="Z243" s="24">
        <f>IF(AND($T243=1,$U243=0,$I243="",N($N243)&lt;=0,-N($N243)&lt;=HORIZON),N($N243)+ROW()/1000000,"")</f>
        <v/>
      </c>
    </row>
    <row r="244">
      <c r="A244" s="21" t="n"/>
      <c r="B244" s="21" t="n"/>
      <c r="C244" s="21" t="n"/>
      <c r="D244" s="21" t="n"/>
      <c r="E244" s="21" t="n"/>
      <c r="F244" s="21" t="n"/>
      <c r="G244" s="21" t="n"/>
      <c r="H244" s="21" t="n"/>
      <c r="I244" s="22" t="n"/>
      <c r="J244" s="22" t="n"/>
      <c r="K244" s="23">
        <f>IF($A244="","",IF($J244&lt;&gt;"",$J244,$S244))</f>
        <v/>
      </c>
      <c r="L244" s="24">
        <f>IF(OR($A244="",$E244=""),"",IF($J244&lt;&gt;"","Manual",IF($S244="","-","Auto")))</f>
        <v/>
      </c>
      <c r="M244" s="22" t="n"/>
      <c r="N244" s="25">
        <f>IF($T244=0,"",IF($U244=1,IF($M244="","",$M244-$K244),IF($K244="","",TODAY()-$K244)))</f>
        <v/>
      </c>
      <c r="O244" s="24">
        <f>IF(OR($A244="",$E244=""),"",IF($V244=1,S_INACT,IF(ISNA(MATCH($A244,TYP_TYPE,0)),S_TYPEKO,IF($U244=1,S_DONE,IF(AND($K244="",$R244=""),S_NOSCOPE,IF($K244="",S_NOTARGET,IF($N244&gt;0,S_LATE,IF($I244&lt;&gt;"",S_WIP,IF(-$N244&lt;=FEN_DOC,S_RISK,IF(-$N244&lt;=HORIZON,S_COMING,S_NOTYET))))))))))</f>
        <v/>
      </c>
      <c r="P244" s="24">
        <f>IF(OR($A244="",$E244=""),"",IF($V244=1,"",IF(ISNA(MATCH($A244,TYP_TYPE,0)),"Type not in the library",IF($B244="","Scope not set",IF(AND($B244="System",$C244=""),"System not set",IF(AND($B244="Equipment",$D244=""),"Equipment not set",IF($F244="","Responsible not set",IF($K244="","No target date",IF(AND($B244="Equipment",$C244&lt;&gt;"",IFERROR(INDEX(EQP_SYS,MATCH($D244,EQP_NOM,0)),"")&lt;&gt;$C244),"Equipment not in that system",IF(AND($U244=1,$M244=""),"Approved with no approval date",""))))))))))</f>
        <v/>
      </c>
      <c r="Q244" s="21" t="n"/>
      <c r="R244" s="23">
        <f>IF(OR($A244="",$B244=""),"",IF($B244="Equipment",IFERROR(INDEX(EQP_START,MATCH($D244,EQP_NOM,0)),""),IF($B244="System",IFERROR(INDEX(SYS_EARLIEST,MATCH($C244,SYS_ID,0)),""),IF($B244="All",CTR_EARLIEST,""))))</f>
        <v/>
      </c>
      <c r="S244" s="23">
        <f>IF(OR($A244="",$E244=""),"",IFERROR(IF(INDEX(TYP_ANCHOR,MATCH($A244,TYP_TYPE,0))="Commissioning Start",IF($R244="","",$R244-INDEX(TYP_LEAD,MATCH($A244,TYP_TYPE,0))),IF(INDEX(MS_PLAN,MATCH(INDEX(TYP_ANCHOR,MATCH($A244,TYP_TYPE,0)),MS_NOM,0))="","",INDEX(MS_PLAN,MATCH(INDEX(TYP_ANCHOR,MATCH($A244,TYP_TYPE,0)),MS_NOM,0))-INDEX(TYP_LEAD,MATCH($A244,TYP_TYPE,0)))),""))</f>
        <v/>
      </c>
      <c r="T244" s="26">
        <f>IF(OR($A244="",$E244=""),0,IF($V244=1,0,1))</f>
        <v/>
      </c>
      <c r="U244" s="26">
        <f>IF($T244=0,0,IF($M244&lt;&gt;"",1,IF(IFERROR(INDEX(WF_CLASS,MATCH($H244,WF_CODE,0)),"")="Done",1,0)))</f>
        <v/>
      </c>
      <c r="V244" s="26">
        <f>IF(OR($A244="",$E244=""),0,IF(IFERROR(INDEX(WF_CLASS,MATCH($H244,WF_CODE,0)),"")="Inactive",1,0))</f>
        <v/>
      </c>
      <c r="W244" s="24">
        <f>IF($A244="","",IFERROR(INDEX(TYP_PHASE,MATCH($A244,TYP_TYPE,0)),"-"))</f>
        <v/>
      </c>
      <c r="X244" s="24">
        <f>IF(AND($T244=1,$U244=0,N($N244)&gt;0),$N244+ROW()/1000000,"")</f>
        <v/>
      </c>
      <c r="Y244" s="24">
        <f>IF(AND($T244=1,$U244=0,OR($I244&lt;&gt;"",N($N244)&gt;0)),N($N244)+ROW()/1000000,"")</f>
        <v/>
      </c>
      <c r="Z244" s="24">
        <f>IF(AND($T244=1,$U244=0,$I244="",N($N244)&lt;=0,-N($N244)&lt;=HORIZON),N($N244)+ROW()/1000000,"")</f>
        <v/>
      </c>
    </row>
    <row r="245">
      <c r="A245" s="21" t="n"/>
      <c r="B245" s="21" t="n"/>
      <c r="C245" s="21" t="n"/>
      <c r="D245" s="21" t="n"/>
      <c r="E245" s="21" t="n"/>
      <c r="F245" s="21" t="n"/>
      <c r="G245" s="21" t="n"/>
      <c r="H245" s="21" t="n"/>
      <c r="I245" s="22" t="n"/>
      <c r="J245" s="22" t="n"/>
      <c r="K245" s="23">
        <f>IF($A245="","",IF($J245&lt;&gt;"",$J245,$S245))</f>
        <v/>
      </c>
      <c r="L245" s="24">
        <f>IF(OR($A245="",$E245=""),"",IF($J245&lt;&gt;"","Manual",IF($S245="","-","Auto")))</f>
        <v/>
      </c>
      <c r="M245" s="22" t="n"/>
      <c r="N245" s="25">
        <f>IF($T245=0,"",IF($U245=1,IF($M245="","",$M245-$K245),IF($K245="","",TODAY()-$K245)))</f>
        <v/>
      </c>
      <c r="O245" s="24">
        <f>IF(OR($A245="",$E245=""),"",IF($V245=1,S_INACT,IF(ISNA(MATCH($A245,TYP_TYPE,0)),S_TYPEKO,IF($U245=1,S_DONE,IF(AND($K245="",$R245=""),S_NOSCOPE,IF($K245="",S_NOTARGET,IF($N245&gt;0,S_LATE,IF($I245&lt;&gt;"",S_WIP,IF(-$N245&lt;=FEN_DOC,S_RISK,IF(-$N245&lt;=HORIZON,S_COMING,S_NOTYET))))))))))</f>
        <v/>
      </c>
      <c r="P245" s="24">
        <f>IF(OR($A245="",$E245=""),"",IF($V245=1,"",IF(ISNA(MATCH($A245,TYP_TYPE,0)),"Type not in the library",IF($B245="","Scope not set",IF(AND($B245="System",$C245=""),"System not set",IF(AND($B245="Equipment",$D245=""),"Equipment not set",IF($F245="","Responsible not set",IF($K245="","No target date",IF(AND($B245="Equipment",$C245&lt;&gt;"",IFERROR(INDEX(EQP_SYS,MATCH($D245,EQP_NOM,0)),"")&lt;&gt;$C245),"Equipment not in that system",IF(AND($U245=1,$M245=""),"Approved with no approval date",""))))))))))</f>
        <v/>
      </c>
      <c r="Q245" s="21" t="n"/>
      <c r="R245" s="23">
        <f>IF(OR($A245="",$B245=""),"",IF($B245="Equipment",IFERROR(INDEX(EQP_START,MATCH($D245,EQP_NOM,0)),""),IF($B245="System",IFERROR(INDEX(SYS_EARLIEST,MATCH($C245,SYS_ID,0)),""),IF($B245="All",CTR_EARLIEST,""))))</f>
        <v/>
      </c>
      <c r="S245" s="23">
        <f>IF(OR($A245="",$E245=""),"",IFERROR(IF(INDEX(TYP_ANCHOR,MATCH($A245,TYP_TYPE,0))="Commissioning Start",IF($R245="","",$R245-INDEX(TYP_LEAD,MATCH($A245,TYP_TYPE,0))),IF(INDEX(MS_PLAN,MATCH(INDEX(TYP_ANCHOR,MATCH($A245,TYP_TYPE,0)),MS_NOM,0))="","",INDEX(MS_PLAN,MATCH(INDEX(TYP_ANCHOR,MATCH($A245,TYP_TYPE,0)),MS_NOM,0))-INDEX(TYP_LEAD,MATCH($A245,TYP_TYPE,0)))),""))</f>
        <v/>
      </c>
      <c r="T245" s="26">
        <f>IF(OR($A245="",$E245=""),0,IF($V245=1,0,1))</f>
        <v/>
      </c>
      <c r="U245" s="26">
        <f>IF($T245=0,0,IF($M245&lt;&gt;"",1,IF(IFERROR(INDEX(WF_CLASS,MATCH($H245,WF_CODE,0)),"")="Done",1,0)))</f>
        <v/>
      </c>
      <c r="V245" s="26">
        <f>IF(OR($A245="",$E245=""),0,IF(IFERROR(INDEX(WF_CLASS,MATCH($H245,WF_CODE,0)),"")="Inactive",1,0))</f>
        <v/>
      </c>
      <c r="W245" s="24">
        <f>IF($A245="","",IFERROR(INDEX(TYP_PHASE,MATCH($A245,TYP_TYPE,0)),"-"))</f>
        <v/>
      </c>
      <c r="X245" s="24">
        <f>IF(AND($T245=1,$U245=0,N($N245)&gt;0),$N245+ROW()/1000000,"")</f>
        <v/>
      </c>
      <c r="Y245" s="24">
        <f>IF(AND($T245=1,$U245=0,OR($I245&lt;&gt;"",N($N245)&gt;0)),N($N245)+ROW()/1000000,"")</f>
        <v/>
      </c>
      <c r="Z245" s="24">
        <f>IF(AND($T245=1,$U245=0,$I245="",N($N245)&lt;=0,-N($N245)&lt;=HORIZON),N($N245)+ROW()/1000000,"")</f>
        <v/>
      </c>
    </row>
    <row r="246">
      <c r="A246" s="21" t="n"/>
      <c r="B246" s="21" t="n"/>
      <c r="C246" s="21" t="n"/>
      <c r="D246" s="21" t="n"/>
      <c r="E246" s="21" t="n"/>
      <c r="F246" s="21" t="n"/>
      <c r="G246" s="21" t="n"/>
      <c r="H246" s="21" t="n"/>
      <c r="I246" s="22" t="n"/>
      <c r="J246" s="22" t="n"/>
      <c r="K246" s="23">
        <f>IF($A246="","",IF($J246&lt;&gt;"",$J246,$S246))</f>
        <v/>
      </c>
      <c r="L246" s="24">
        <f>IF(OR($A246="",$E246=""),"",IF($J246&lt;&gt;"","Manual",IF($S246="","-","Auto")))</f>
        <v/>
      </c>
      <c r="M246" s="22" t="n"/>
      <c r="N246" s="25">
        <f>IF($T246=0,"",IF($U246=1,IF($M246="","",$M246-$K246),IF($K246="","",TODAY()-$K246)))</f>
        <v/>
      </c>
      <c r="O246" s="24">
        <f>IF(OR($A246="",$E246=""),"",IF($V246=1,S_INACT,IF(ISNA(MATCH($A246,TYP_TYPE,0)),S_TYPEKO,IF($U246=1,S_DONE,IF(AND($K246="",$R246=""),S_NOSCOPE,IF($K246="",S_NOTARGET,IF($N246&gt;0,S_LATE,IF($I246&lt;&gt;"",S_WIP,IF(-$N246&lt;=FEN_DOC,S_RISK,IF(-$N246&lt;=HORIZON,S_COMING,S_NOTYET))))))))))</f>
        <v/>
      </c>
      <c r="P246" s="24">
        <f>IF(OR($A246="",$E246=""),"",IF($V246=1,"",IF(ISNA(MATCH($A246,TYP_TYPE,0)),"Type not in the library",IF($B246="","Scope not set",IF(AND($B246="System",$C246=""),"System not set",IF(AND($B246="Equipment",$D246=""),"Equipment not set",IF($F246="","Responsible not set",IF($K246="","No target date",IF(AND($B246="Equipment",$C246&lt;&gt;"",IFERROR(INDEX(EQP_SYS,MATCH($D246,EQP_NOM,0)),"")&lt;&gt;$C246),"Equipment not in that system",IF(AND($U246=1,$M246=""),"Approved with no approval date",""))))))))))</f>
        <v/>
      </c>
      <c r="Q246" s="21" t="n"/>
      <c r="R246" s="23">
        <f>IF(OR($A246="",$B246=""),"",IF($B246="Equipment",IFERROR(INDEX(EQP_START,MATCH($D246,EQP_NOM,0)),""),IF($B246="System",IFERROR(INDEX(SYS_EARLIEST,MATCH($C246,SYS_ID,0)),""),IF($B246="All",CTR_EARLIEST,""))))</f>
        <v/>
      </c>
      <c r="S246" s="23">
        <f>IF(OR($A246="",$E246=""),"",IFERROR(IF(INDEX(TYP_ANCHOR,MATCH($A246,TYP_TYPE,0))="Commissioning Start",IF($R246="","",$R246-INDEX(TYP_LEAD,MATCH($A246,TYP_TYPE,0))),IF(INDEX(MS_PLAN,MATCH(INDEX(TYP_ANCHOR,MATCH($A246,TYP_TYPE,0)),MS_NOM,0))="","",INDEX(MS_PLAN,MATCH(INDEX(TYP_ANCHOR,MATCH($A246,TYP_TYPE,0)),MS_NOM,0))-INDEX(TYP_LEAD,MATCH($A246,TYP_TYPE,0)))),""))</f>
        <v/>
      </c>
      <c r="T246" s="26">
        <f>IF(OR($A246="",$E246=""),0,IF($V246=1,0,1))</f>
        <v/>
      </c>
      <c r="U246" s="26">
        <f>IF($T246=0,0,IF($M246&lt;&gt;"",1,IF(IFERROR(INDEX(WF_CLASS,MATCH($H246,WF_CODE,0)),"")="Done",1,0)))</f>
        <v/>
      </c>
      <c r="V246" s="26">
        <f>IF(OR($A246="",$E246=""),0,IF(IFERROR(INDEX(WF_CLASS,MATCH($H246,WF_CODE,0)),"")="Inactive",1,0))</f>
        <v/>
      </c>
      <c r="W246" s="24">
        <f>IF($A246="","",IFERROR(INDEX(TYP_PHASE,MATCH($A246,TYP_TYPE,0)),"-"))</f>
        <v/>
      </c>
      <c r="X246" s="24">
        <f>IF(AND($T246=1,$U246=0,N($N246)&gt;0),$N246+ROW()/1000000,"")</f>
        <v/>
      </c>
      <c r="Y246" s="24">
        <f>IF(AND($T246=1,$U246=0,OR($I246&lt;&gt;"",N($N246)&gt;0)),N($N246)+ROW()/1000000,"")</f>
        <v/>
      </c>
      <c r="Z246" s="24">
        <f>IF(AND($T246=1,$U246=0,$I246="",N($N246)&lt;=0,-N($N246)&lt;=HORIZON),N($N246)+ROW()/1000000,"")</f>
        <v/>
      </c>
    </row>
    <row r="247">
      <c r="A247" s="21" t="n"/>
      <c r="B247" s="21" t="n"/>
      <c r="C247" s="21" t="n"/>
      <c r="D247" s="21" t="n"/>
      <c r="E247" s="21" t="n"/>
      <c r="F247" s="21" t="n"/>
      <c r="G247" s="21" t="n"/>
      <c r="H247" s="21" t="n"/>
      <c r="I247" s="22" t="n"/>
      <c r="J247" s="22" t="n"/>
      <c r="K247" s="23">
        <f>IF($A247="","",IF($J247&lt;&gt;"",$J247,$S247))</f>
        <v/>
      </c>
      <c r="L247" s="24">
        <f>IF(OR($A247="",$E247=""),"",IF($J247&lt;&gt;"","Manual",IF($S247="","-","Auto")))</f>
        <v/>
      </c>
      <c r="M247" s="22" t="n"/>
      <c r="N247" s="25">
        <f>IF($T247=0,"",IF($U247=1,IF($M247="","",$M247-$K247),IF($K247="","",TODAY()-$K247)))</f>
        <v/>
      </c>
      <c r="O247" s="24">
        <f>IF(OR($A247="",$E247=""),"",IF($V247=1,S_INACT,IF(ISNA(MATCH($A247,TYP_TYPE,0)),S_TYPEKO,IF($U247=1,S_DONE,IF(AND($K247="",$R247=""),S_NOSCOPE,IF($K247="",S_NOTARGET,IF($N247&gt;0,S_LATE,IF($I247&lt;&gt;"",S_WIP,IF(-$N247&lt;=FEN_DOC,S_RISK,IF(-$N247&lt;=HORIZON,S_COMING,S_NOTYET))))))))))</f>
        <v/>
      </c>
      <c r="P247" s="24">
        <f>IF(OR($A247="",$E247=""),"",IF($V247=1,"",IF(ISNA(MATCH($A247,TYP_TYPE,0)),"Type not in the library",IF($B247="","Scope not set",IF(AND($B247="System",$C247=""),"System not set",IF(AND($B247="Equipment",$D247=""),"Equipment not set",IF($F247="","Responsible not set",IF($K247="","No target date",IF(AND($B247="Equipment",$C247&lt;&gt;"",IFERROR(INDEX(EQP_SYS,MATCH($D247,EQP_NOM,0)),"")&lt;&gt;$C247),"Equipment not in that system",IF(AND($U247=1,$M247=""),"Approved with no approval date",""))))))))))</f>
        <v/>
      </c>
      <c r="Q247" s="21" t="n"/>
      <c r="R247" s="23">
        <f>IF(OR($A247="",$B247=""),"",IF($B247="Equipment",IFERROR(INDEX(EQP_START,MATCH($D247,EQP_NOM,0)),""),IF($B247="System",IFERROR(INDEX(SYS_EARLIEST,MATCH($C247,SYS_ID,0)),""),IF($B247="All",CTR_EARLIEST,""))))</f>
        <v/>
      </c>
      <c r="S247" s="23">
        <f>IF(OR($A247="",$E247=""),"",IFERROR(IF(INDEX(TYP_ANCHOR,MATCH($A247,TYP_TYPE,0))="Commissioning Start",IF($R247="","",$R247-INDEX(TYP_LEAD,MATCH($A247,TYP_TYPE,0))),IF(INDEX(MS_PLAN,MATCH(INDEX(TYP_ANCHOR,MATCH($A247,TYP_TYPE,0)),MS_NOM,0))="","",INDEX(MS_PLAN,MATCH(INDEX(TYP_ANCHOR,MATCH($A247,TYP_TYPE,0)),MS_NOM,0))-INDEX(TYP_LEAD,MATCH($A247,TYP_TYPE,0)))),""))</f>
        <v/>
      </c>
      <c r="T247" s="26">
        <f>IF(OR($A247="",$E247=""),0,IF($V247=1,0,1))</f>
        <v/>
      </c>
      <c r="U247" s="26">
        <f>IF($T247=0,0,IF($M247&lt;&gt;"",1,IF(IFERROR(INDEX(WF_CLASS,MATCH($H247,WF_CODE,0)),"")="Done",1,0)))</f>
        <v/>
      </c>
      <c r="V247" s="26">
        <f>IF(OR($A247="",$E247=""),0,IF(IFERROR(INDEX(WF_CLASS,MATCH($H247,WF_CODE,0)),"")="Inactive",1,0))</f>
        <v/>
      </c>
      <c r="W247" s="24">
        <f>IF($A247="","",IFERROR(INDEX(TYP_PHASE,MATCH($A247,TYP_TYPE,0)),"-"))</f>
        <v/>
      </c>
      <c r="X247" s="24">
        <f>IF(AND($T247=1,$U247=0,N($N247)&gt;0),$N247+ROW()/1000000,"")</f>
        <v/>
      </c>
      <c r="Y247" s="24">
        <f>IF(AND($T247=1,$U247=0,OR($I247&lt;&gt;"",N($N247)&gt;0)),N($N247)+ROW()/1000000,"")</f>
        <v/>
      </c>
      <c r="Z247" s="24">
        <f>IF(AND($T247=1,$U247=0,$I247="",N($N247)&lt;=0,-N($N247)&lt;=HORIZON),N($N247)+ROW()/1000000,"")</f>
        <v/>
      </c>
    </row>
    <row r="248">
      <c r="A248" s="21" t="n"/>
      <c r="B248" s="21" t="n"/>
      <c r="C248" s="21" t="n"/>
      <c r="D248" s="21" t="n"/>
      <c r="E248" s="21" t="n"/>
      <c r="F248" s="21" t="n"/>
      <c r="G248" s="21" t="n"/>
      <c r="H248" s="21" t="n"/>
      <c r="I248" s="22" t="n"/>
      <c r="J248" s="22" t="n"/>
      <c r="K248" s="23">
        <f>IF($A248="","",IF($J248&lt;&gt;"",$J248,$S248))</f>
        <v/>
      </c>
      <c r="L248" s="24">
        <f>IF(OR($A248="",$E248=""),"",IF($J248&lt;&gt;"","Manual",IF($S248="","-","Auto")))</f>
        <v/>
      </c>
      <c r="M248" s="22" t="n"/>
      <c r="N248" s="25">
        <f>IF($T248=0,"",IF($U248=1,IF($M248="","",$M248-$K248),IF($K248="","",TODAY()-$K248)))</f>
        <v/>
      </c>
      <c r="O248" s="24">
        <f>IF(OR($A248="",$E248=""),"",IF($V248=1,S_INACT,IF(ISNA(MATCH($A248,TYP_TYPE,0)),S_TYPEKO,IF($U248=1,S_DONE,IF(AND($K248="",$R248=""),S_NOSCOPE,IF($K248="",S_NOTARGET,IF($N248&gt;0,S_LATE,IF($I248&lt;&gt;"",S_WIP,IF(-$N248&lt;=FEN_DOC,S_RISK,IF(-$N248&lt;=HORIZON,S_COMING,S_NOTYET))))))))))</f>
        <v/>
      </c>
      <c r="P248" s="24">
        <f>IF(OR($A248="",$E248=""),"",IF($V248=1,"",IF(ISNA(MATCH($A248,TYP_TYPE,0)),"Type not in the library",IF($B248="","Scope not set",IF(AND($B248="System",$C248=""),"System not set",IF(AND($B248="Equipment",$D248=""),"Equipment not set",IF($F248="","Responsible not set",IF($K248="","No target date",IF(AND($B248="Equipment",$C248&lt;&gt;"",IFERROR(INDEX(EQP_SYS,MATCH($D248,EQP_NOM,0)),"")&lt;&gt;$C248),"Equipment not in that system",IF(AND($U248=1,$M248=""),"Approved with no approval date",""))))))))))</f>
        <v/>
      </c>
      <c r="Q248" s="21" t="n"/>
      <c r="R248" s="23">
        <f>IF(OR($A248="",$B248=""),"",IF($B248="Equipment",IFERROR(INDEX(EQP_START,MATCH($D248,EQP_NOM,0)),""),IF($B248="System",IFERROR(INDEX(SYS_EARLIEST,MATCH($C248,SYS_ID,0)),""),IF($B248="All",CTR_EARLIEST,""))))</f>
        <v/>
      </c>
      <c r="S248" s="23">
        <f>IF(OR($A248="",$E248=""),"",IFERROR(IF(INDEX(TYP_ANCHOR,MATCH($A248,TYP_TYPE,0))="Commissioning Start",IF($R248="","",$R248-INDEX(TYP_LEAD,MATCH($A248,TYP_TYPE,0))),IF(INDEX(MS_PLAN,MATCH(INDEX(TYP_ANCHOR,MATCH($A248,TYP_TYPE,0)),MS_NOM,0))="","",INDEX(MS_PLAN,MATCH(INDEX(TYP_ANCHOR,MATCH($A248,TYP_TYPE,0)),MS_NOM,0))-INDEX(TYP_LEAD,MATCH($A248,TYP_TYPE,0)))),""))</f>
        <v/>
      </c>
      <c r="T248" s="26">
        <f>IF(OR($A248="",$E248=""),0,IF($V248=1,0,1))</f>
        <v/>
      </c>
      <c r="U248" s="26">
        <f>IF($T248=0,0,IF($M248&lt;&gt;"",1,IF(IFERROR(INDEX(WF_CLASS,MATCH($H248,WF_CODE,0)),"")="Done",1,0)))</f>
        <v/>
      </c>
      <c r="V248" s="26">
        <f>IF(OR($A248="",$E248=""),0,IF(IFERROR(INDEX(WF_CLASS,MATCH($H248,WF_CODE,0)),"")="Inactive",1,0))</f>
        <v/>
      </c>
      <c r="W248" s="24">
        <f>IF($A248="","",IFERROR(INDEX(TYP_PHASE,MATCH($A248,TYP_TYPE,0)),"-"))</f>
        <v/>
      </c>
      <c r="X248" s="24">
        <f>IF(AND($T248=1,$U248=0,N($N248)&gt;0),$N248+ROW()/1000000,"")</f>
        <v/>
      </c>
      <c r="Y248" s="24">
        <f>IF(AND($T248=1,$U248=0,OR($I248&lt;&gt;"",N($N248)&gt;0)),N($N248)+ROW()/1000000,"")</f>
        <v/>
      </c>
      <c r="Z248" s="24">
        <f>IF(AND($T248=1,$U248=0,$I248="",N($N248)&lt;=0,-N($N248)&lt;=HORIZON),N($N248)+ROW()/1000000,"")</f>
        <v/>
      </c>
    </row>
    <row r="249">
      <c r="A249" s="21" t="n"/>
      <c r="B249" s="21" t="n"/>
      <c r="C249" s="21" t="n"/>
      <c r="D249" s="21" t="n"/>
      <c r="E249" s="21" t="n"/>
      <c r="F249" s="21" t="n"/>
      <c r="G249" s="21" t="n"/>
      <c r="H249" s="21" t="n"/>
      <c r="I249" s="22" t="n"/>
      <c r="J249" s="22" t="n"/>
      <c r="K249" s="23">
        <f>IF($A249="","",IF($J249&lt;&gt;"",$J249,$S249))</f>
        <v/>
      </c>
      <c r="L249" s="24">
        <f>IF(OR($A249="",$E249=""),"",IF($J249&lt;&gt;"","Manual",IF($S249="","-","Auto")))</f>
        <v/>
      </c>
      <c r="M249" s="22" t="n"/>
      <c r="N249" s="25">
        <f>IF($T249=0,"",IF($U249=1,IF($M249="","",$M249-$K249),IF($K249="","",TODAY()-$K249)))</f>
        <v/>
      </c>
      <c r="O249" s="24">
        <f>IF(OR($A249="",$E249=""),"",IF($V249=1,S_INACT,IF(ISNA(MATCH($A249,TYP_TYPE,0)),S_TYPEKO,IF($U249=1,S_DONE,IF(AND($K249="",$R249=""),S_NOSCOPE,IF($K249="",S_NOTARGET,IF($N249&gt;0,S_LATE,IF($I249&lt;&gt;"",S_WIP,IF(-$N249&lt;=FEN_DOC,S_RISK,IF(-$N249&lt;=HORIZON,S_COMING,S_NOTYET))))))))))</f>
        <v/>
      </c>
      <c r="P249" s="24">
        <f>IF(OR($A249="",$E249=""),"",IF($V249=1,"",IF(ISNA(MATCH($A249,TYP_TYPE,0)),"Type not in the library",IF($B249="","Scope not set",IF(AND($B249="System",$C249=""),"System not set",IF(AND($B249="Equipment",$D249=""),"Equipment not set",IF($F249="","Responsible not set",IF($K249="","No target date",IF(AND($B249="Equipment",$C249&lt;&gt;"",IFERROR(INDEX(EQP_SYS,MATCH($D249,EQP_NOM,0)),"")&lt;&gt;$C249),"Equipment not in that system",IF(AND($U249=1,$M249=""),"Approved with no approval date",""))))))))))</f>
        <v/>
      </c>
      <c r="Q249" s="21" t="n"/>
      <c r="R249" s="23">
        <f>IF(OR($A249="",$B249=""),"",IF($B249="Equipment",IFERROR(INDEX(EQP_START,MATCH($D249,EQP_NOM,0)),""),IF($B249="System",IFERROR(INDEX(SYS_EARLIEST,MATCH($C249,SYS_ID,0)),""),IF($B249="All",CTR_EARLIEST,""))))</f>
        <v/>
      </c>
      <c r="S249" s="23">
        <f>IF(OR($A249="",$E249=""),"",IFERROR(IF(INDEX(TYP_ANCHOR,MATCH($A249,TYP_TYPE,0))="Commissioning Start",IF($R249="","",$R249-INDEX(TYP_LEAD,MATCH($A249,TYP_TYPE,0))),IF(INDEX(MS_PLAN,MATCH(INDEX(TYP_ANCHOR,MATCH($A249,TYP_TYPE,0)),MS_NOM,0))="","",INDEX(MS_PLAN,MATCH(INDEX(TYP_ANCHOR,MATCH($A249,TYP_TYPE,0)),MS_NOM,0))-INDEX(TYP_LEAD,MATCH($A249,TYP_TYPE,0)))),""))</f>
        <v/>
      </c>
      <c r="T249" s="26">
        <f>IF(OR($A249="",$E249=""),0,IF($V249=1,0,1))</f>
        <v/>
      </c>
      <c r="U249" s="26">
        <f>IF($T249=0,0,IF($M249&lt;&gt;"",1,IF(IFERROR(INDEX(WF_CLASS,MATCH($H249,WF_CODE,0)),"")="Done",1,0)))</f>
        <v/>
      </c>
      <c r="V249" s="26">
        <f>IF(OR($A249="",$E249=""),0,IF(IFERROR(INDEX(WF_CLASS,MATCH($H249,WF_CODE,0)),"")="Inactive",1,0))</f>
        <v/>
      </c>
      <c r="W249" s="24">
        <f>IF($A249="","",IFERROR(INDEX(TYP_PHASE,MATCH($A249,TYP_TYPE,0)),"-"))</f>
        <v/>
      </c>
      <c r="X249" s="24">
        <f>IF(AND($T249=1,$U249=0,N($N249)&gt;0),$N249+ROW()/1000000,"")</f>
        <v/>
      </c>
      <c r="Y249" s="24">
        <f>IF(AND($T249=1,$U249=0,OR($I249&lt;&gt;"",N($N249)&gt;0)),N($N249)+ROW()/1000000,"")</f>
        <v/>
      </c>
      <c r="Z249" s="24">
        <f>IF(AND($T249=1,$U249=0,$I249="",N($N249)&lt;=0,-N($N249)&lt;=HORIZON),N($N249)+ROW()/1000000,"")</f>
        <v/>
      </c>
    </row>
    <row r="250">
      <c r="A250" s="21" t="n"/>
      <c r="B250" s="21" t="n"/>
      <c r="C250" s="21" t="n"/>
      <c r="D250" s="21" t="n"/>
      <c r="E250" s="21" t="n"/>
      <c r="F250" s="21" t="n"/>
      <c r="G250" s="21" t="n"/>
      <c r="H250" s="21" t="n"/>
      <c r="I250" s="22" t="n"/>
      <c r="J250" s="22" t="n"/>
      <c r="K250" s="23">
        <f>IF($A250="","",IF($J250&lt;&gt;"",$J250,$S250))</f>
        <v/>
      </c>
      <c r="L250" s="24">
        <f>IF(OR($A250="",$E250=""),"",IF($J250&lt;&gt;"","Manual",IF($S250="","-","Auto")))</f>
        <v/>
      </c>
      <c r="M250" s="22" t="n"/>
      <c r="N250" s="25">
        <f>IF($T250=0,"",IF($U250=1,IF($M250="","",$M250-$K250),IF($K250="","",TODAY()-$K250)))</f>
        <v/>
      </c>
      <c r="O250" s="24">
        <f>IF(OR($A250="",$E250=""),"",IF($V250=1,S_INACT,IF(ISNA(MATCH($A250,TYP_TYPE,0)),S_TYPEKO,IF($U250=1,S_DONE,IF(AND($K250="",$R250=""),S_NOSCOPE,IF($K250="",S_NOTARGET,IF($N250&gt;0,S_LATE,IF($I250&lt;&gt;"",S_WIP,IF(-$N250&lt;=FEN_DOC,S_RISK,IF(-$N250&lt;=HORIZON,S_COMING,S_NOTYET))))))))))</f>
        <v/>
      </c>
      <c r="P250" s="24">
        <f>IF(OR($A250="",$E250=""),"",IF($V250=1,"",IF(ISNA(MATCH($A250,TYP_TYPE,0)),"Type not in the library",IF($B250="","Scope not set",IF(AND($B250="System",$C250=""),"System not set",IF(AND($B250="Equipment",$D250=""),"Equipment not set",IF($F250="","Responsible not set",IF($K250="","No target date",IF(AND($B250="Equipment",$C250&lt;&gt;"",IFERROR(INDEX(EQP_SYS,MATCH($D250,EQP_NOM,0)),"")&lt;&gt;$C250),"Equipment not in that system",IF(AND($U250=1,$M250=""),"Approved with no approval date",""))))))))))</f>
        <v/>
      </c>
      <c r="Q250" s="21" t="n"/>
      <c r="R250" s="23">
        <f>IF(OR($A250="",$B250=""),"",IF($B250="Equipment",IFERROR(INDEX(EQP_START,MATCH($D250,EQP_NOM,0)),""),IF($B250="System",IFERROR(INDEX(SYS_EARLIEST,MATCH($C250,SYS_ID,0)),""),IF($B250="All",CTR_EARLIEST,""))))</f>
        <v/>
      </c>
      <c r="S250" s="23">
        <f>IF(OR($A250="",$E250=""),"",IFERROR(IF(INDEX(TYP_ANCHOR,MATCH($A250,TYP_TYPE,0))="Commissioning Start",IF($R250="","",$R250-INDEX(TYP_LEAD,MATCH($A250,TYP_TYPE,0))),IF(INDEX(MS_PLAN,MATCH(INDEX(TYP_ANCHOR,MATCH($A250,TYP_TYPE,0)),MS_NOM,0))="","",INDEX(MS_PLAN,MATCH(INDEX(TYP_ANCHOR,MATCH($A250,TYP_TYPE,0)),MS_NOM,0))-INDEX(TYP_LEAD,MATCH($A250,TYP_TYPE,0)))),""))</f>
        <v/>
      </c>
      <c r="T250" s="26">
        <f>IF(OR($A250="",$E250=""),0,IF($V250=1,0,1))</f>
        <v/>
      </c>
      <c r="U250" s="26">
        <f>IF($T250=0,0,IF($M250&lt;&gt;"",1,IF(IFERROR(INDEX(WF_CLASS,MATCH($H250,WF_CODE,0)),"")="Done",1,0)))</f>
        <v/>
      </c>
      <c r="V250" s="26">
        <f>IF(OR($A250="",$E250=""),0,IF(IFERROR(INDEX(WF_CLASS,MATCH($H250,WF_CODE,0)),"")="Inactive",1,0))</f>
        <v/>
      </c>
      <c r="W250" s="24">
        <f>IF($A250="","",IFERROR(INDEX(TYP_PHASE,MATCH($A250,TYP_TYPE,0)),"-"))</f>
        <v/>
      </c>
      <c r="X250" s="24">
        <f>IF(AND($T250=1,$U250=0,N($N250)&gt;0),$N250+ROW()/1000000,"")</f>
        <v/>
      </c>
      <c r="Y250" s="24">
        <f>IF(AND($T250=1,$U250=0,OR($I250&lt;&gt;"",N($N250)&gt;0)),N($N250)+ROW()/1000000,"")</f>
        <v/>
      </c>
      <c r="Z250" s="24">
        <f>IF(AND($T250=1,$U250=0,$I250="",N($N250)&lt;=0,-N($N250)&lt;=HORIZON),N($N250)+ROW()/1000000,"")</f>
        <v/>
      </c>
    </row>
    <row r="251">
      <c r="A251" s="21" t="n"/>
      <c r="B251" s="21" t="n"/>
      <c r="C251" s="21" t="n"/>
      <c r="D251" s="21" t="n"/>
      <c r="E251" s="21" t="n"/>
      <c r="F251" s="21" t="n"/>
      <c r="G251" s="21" t="n"/>
      <c r="H251" s="21" t="n"/>
      <c r="I251" s="22" t="n"/>
      <c r="J251" s="22" t="n"/>
      <c r="K251" s="23">
        <f>IF($A251="","",IF($J251&lt;&gt;"",$J251,$S251))</f>
        <v/>
      </c>
      <c r="L251" s="24">
        <f>IF(OR($A251="",$E251=""),"",IF($J251&lt;&gt;"","Manual",IF($S251="","-","Auto")))</f>
        <v/>
      </c>
      <c r="M251" s="22" t="n"/>
      <c r="N251" s="25">
        <f>IF($T251=0,"",IF($U251=1,IF($M251="","",$M251-$K251),IF($K251="","",TODAY()-$K251)))</f>
        <v/>
      </c>
      <c r="O251" s="24">
        <f>IF(OR($A251="",$E251=""),"",IF($V251=1,S_INACT,IF(ISNA(MATCH($A251,TYP_TYPE,0)),S_TYPEKO,IF($U251=1,S_DONE,IF(AND($K251="",$R251=""),S_NOSCOPE,IF($K251="",S_NOTARGET,IF($N251&gt;0,S_LATE,IF($I251&lt;&gt;"",S_WIP,IF(-$N251&lt;=FEN_DOC,S_RISK,IF(-$N251&lt;=HORIZON,S_COMING,S_NOTYET))))))))))</f>
        <v/>
      </c>
      <c r="P251" s="24">
        <f>IF(OR($A251="",$E251=""),"",IF($V251=1,"",IF(ISNA(MATCH($A251,TYP_TYPE,0)),"Type not in the library",IF($B251="","Scope not set",IF(AND($B251="System",$C251=""),"System not set",IF(AND($B251="Equipment",$D251=""),"Equipment not set",IF($F251="","Responsible not set",IF($K251="","No target date",IF(AND($B251="Equipment",$C251&lt;&gt;"",IFERROR(INDEX(EQP_SYS,MATCH($D251,EQP_NOM,0)),"")&lt;&gt;$C251),"Equipment not in that system",IF(AND($U251=1,$M251=""),"Approved with no approval date",""))))))))))</f>
        <v/>
      </c>
      <c r="Q251" s="21" t="n"/>
      <c r="R251" s="23">
        <f>IF(OR($A251="",$B251=""),"",IF($B251="Equipment",IFERROR(INDEX(EQP_START,MATCH($D251,EQP_NOM,0)),""),IF($B251="System",IFERROR(INDEX(SYS_EARLIEST,MATCH($C251,SYS_ID,0)),""),IF($B251="All",CTR_EARLIEST,""))))</f>
        <v/>
      </c>
      <c r="S251" s="23">
        <f>IF(OR($A251="",$E251=""),"",IFERROR(IF(INDEX(TYP_ANCHOR,MATCH($A251,TYP_TYPE,0))="Commissioning Start",IF($R251="","",$R251-INDEX(TYP_LEAD,MATCH($A251,TYP_TYPE,0))),IF(INDEX(MS_PLAN,MATCH(INDEX(TYP_ANCHOR,MATCH($A251,TYP_TYPE,0)),MS_NOM,0))="","",INDEX(MS_PLAN,MATCH(INDEX(TYP_ANCHOR,MATCH($A251,TYP_TYPE,0)),MS_NOM,0))-INDEX(TYP_LEAD,MATCH($A251,TYP_TYPE,0)))),""))</f>
        <v/>
      </c>
      <c r="T251" s="26">
        <f>IF(OR($A251="",$E251=""),0,IF($V251=1,0,1))</f>
        <v/>
      </c>
      <c r="U251" s="26">
        <f>IF($T251=0,0,IF($M251&lt;&gt;"",1,IF(IFERROR(INDEX(WF_CLASS,MATCH($H251,WF_CODE,0)),"")="Done",1,0)))</f>
        <v/>
      </c>
      <c r="V251" s="26">
        <f>IF(OR($A251="",$E251=""),0,IF(IFERROR(INDEX(WF_CLASS,MATCH($H251,WF_CODE,0)),"")="Inactive",1,0))</f>
        <v/>
      </c>
      <c r="W251" s="24">
        <f>IF($A251="","",IFERROR(INDEX(TYP_PHASE,MATCH($A251,TYP_TYPE,0)),"-"))</f>
        <v/>
      </c>
      <c r="X251" s="24">
        <f>IF(AND($T251=1,$U251=0,N($N251)&gt;0),$N251+ROW()/1000000,"")</f>
        <v/>
      </c>
      <c r="Y251" s="24">
        <f>IF(AND($T251=1,$U251=0,OR($I251&lt;&gt;"",N($N251)&gt;0)),N($N251)+ROW()/1000000,"")</f>
        <v/>
      </c>
      <c r="Z251" s="24">
        <f>IF(AND($T251=1,$U251=0,$I251="",N($N251)&lt;=0,-N($N251)&lt;=HORIZON),N($N251)+ROW()/1000000,"")</f>
        <v/>
      </c>
    </row>
    <row r="252">
      <c r="A252" s="21" t="n"/>
      <c r="B252" s="21" t="n"/>
      <c r="C252" s="21" t="n"/>
      <c r="D252" s="21" t="n"/>
      <c r="E252" s="21" t="n"/>
      <c r="F252" s="21" t="n"/>
      <c r="G252" s="21" t="n"/>
      <c r="H252" s="21" t="n"/>
      <c r="I252" s="22" t="n"/>
      <c r="J252" s="22" t="n"/>
      <c r="K252" s="23">
        <f>IF($A252="","",IF($J252&lt;&gt;"",$J252,$S252))</f>
        <v/>
      </c>
      <c r="L252" s="24">
        <f>IF(OR($A252="",$E252=""),"",IF($J252&lt;&gt;"","Manual",IF($S252="","-","Auto")))</f>
        <v/>
      </c>
      <c r="M252" s="22" t="n"/>
      <c r="N252" s="25">
        <f>IF($T252=0,"",IF($U252=1,IF($M252="","",$M252-$K252),IF($K252="","",TODAY()-$K252)))</f>
        <v/>
      </c>
      <c r="O252" s="24">
        <f>IF(OR($A252="",$E252=""),"",IF($V252=1,S_INACT,IF(ISNA(MATCH($A252,TYP_TYPE,0)),S_TYPEKO,IF($U252=1,S_DONE,IF(AND($K252="",$R252=""),S_NOSCOPE,IF($K252="",S_NOTARGET,IF($N252&gt;0,S_LATE,IF($I252&lt;&gt;"",S_WIP,IF(-$N252&lt;=FEN_DOC,S_RISK,IF(-$N252&lt;=HORIZON,S_COMING,S_NOTYET))))))))))</f>
        <v/>
      </c>
      <c r="P252" s="24">
        <f>IF(OR($A252="",$E252=""),"",IF($V252=1,"",IF(ISNA(MATCH($A252,TYP_TYPE,0)),"Type not in the library",IF($B252="","Scope not set",IF(AND($B252="System",$C252=""),"System not set",IF(AND($B252="Equipment",$D252=""),"Equipment not set",IF($F252="","Responsible not set",IF($K252="","No target date",IF(AND($B252="Equipment",$C252&lt;&gt;"",IFERROR(INDEX(EQP_SYS,MATCH($D252,EQP_NOM,0)),"")&lt;&gt;$C252),"Equipment not in that system",IF(AND($U252=1,$M252=""),"Approved with no approval date",""))))))))))</f>
        <v/>
      </c>
      <c r="Q252" s="21" t="n"/>
      <c r="R252" s="23">
        <f>IF(OR($A252="",$B252=""),"",IF($B252="Equipment",IFERROR(INDEX(EQP_START,MATCH($D252,EQP_NOM,0)),""),IF($B252="System",IFERROR(INDEX(SYS_EARLIEST,MATCH($C252,SYS_ID,0)),""),IF($B252="All",CTR_EARLIEST,""))))</f>
        <v/>
      </c>
      <c r="S252" s="23">
        <f>IF(OR($A252="",$E252=""),"",IFERROR(IF(INDEX(TYP_ANCHOR,MATCH($A252,TYP_TYPE,0))="Commissioning Start",IF($R252="","",$R252-INDEX(TYP_LEAD,MATCH($A252,TYP_TYPE,0))),IF(INDEX(MS_PLAN,MATCH(INDEX(TYP_ANCHOR,MATCH($A252,TYP_TYPE,0)),MS_NOM,0))="","",INDEX(MS_PLAN,MATCH(INDEX(TYP_ANCHOR,MATCH($A252,TYP_TYPE,0)),MS_NOM,0))-INDEX(TYP_LEAD,MATCH($A252,TYP_TYPE,0)))),""))</f>
        <v/>
      </c>
      <c r="T252" s="26">
        <f>IF(OR($A252="",$E252=""),0,IF($V252=1,0,1))</f>
        <v/>
      </c>
      <c r="U252" s="26">
        <f>IF($T252=0,0,IF($M252&lt;&gt;"",1,IF(IFERROR(INDEX(WF_CLASS,MATCH($H252,WF_CODE,0)),"")="Done",1,0)))</f>
        <v/>
      </c>
      <c r="V252" s="26">
        <f>IF(OR($A252="",$E252=""),0,IF(IFERROR(INDEX(WF_CLASS,MATCH($H252,WF_CODE,0)),"")="Inactive",1,0))</f>
        <v/>
      </c>
      <c r="W252" s="24">
        <f>IF($A252="","",IFERROR(INDEX(TYP_PHASE,MATCH($A252,TYP_TYPE,0)),"-"))</f>
        <v/>
      </c>
      <c r="X252" s="24">
        <f>IF(AND($T252=1,$U252=0,N($N252)&gt;0),$N252+ROW()/1000000,"")</f>
        <v/>
      </c>
      <c r="Y252" s="24">
        <f>IF(AND($T252=1,$U252=0,OR($I252&lt;&gt;"",N($N252)&gt;0)),N($N252)+ROW()/1000000,"")</f>
        <v/>
      </c>
      <c r="Z252" s="24">
        <f>IF(AND($T252=1,$U252=0,$I252="",N($N252)&lt;=0,-N($N252)&lt;=HORIZON),N($N252)+ROW()/1000000,"")</f>
        <v/>
      </c>
    </row>
    <row r="253">
      <c r="A253" s="21" t="n"/>
      <c r="B253" s="21" t="n"/>
      <c r="C253" s="21" t="n"/>
      <c r="D253" s="21" t="n"/>
      <c r="E253" s="21" t="n"/>
      <c r="F253" s="21" t="n"/>
      <c r="G253" s="21" t="n"/>
      <c r="H253" s="21" t="n"/>
      <c r="I253" s="22" t="n"/>
      <c r="J253" s="22" t="n"/>
      <c r="K253" s="23">
        <f>IF($A253="","",IF($J253&lt;&gt;"",$J253,$S253))</f>
        <v/>
      </c>
      <c r="L253" s="24">
        <f>IF(OR($A253="",$E253=""),"",IF($J253&lt;&gt;"","Manual",IF($S253="","-","Auto")))</f>
        <v/>
      </c>
      <c r="M253" s="22" t="n"/>
      <c r="N253" s="25">
        <f>IF($T253=0,"",IF($U253=1,IF($M253="","",$M253-$K253),IF($K253="","",TODAY()-$K253)))</f>
        <v/>
      </c>
      <c r="O253" s="24">
        <f>IF(OR($A253="",$E253=""),"",IF($V253=1,S_INACT,IF(ISNA(MATCH($A253,TYP_TYPE,0)),S_TYPEKO,IF($U253=1,S_DONE,IF(AND($K253="",$R253=""),S_NOSCOPE,IF($K253="",S_NOTARGET,IF($N253&gt;0,S_LATE,IF($I253&lt;&gt;"",S_WIP,IF(-$N253&lt;=FEN_DOC,S_RISK,IF(-$N253&lt;=HORIZON,S_COMING,S_NOTYET))))))))))</f>
        <v/>
      </c>
      <c r="P253" s="24">
        <f>IF(OR($A253="",$E253=""),"",IF($V253=1,"",IF(ISNA(MATCH($A253,TYP_TYPE,0)),"Type not in the library",IF($B253="","Scope not set",IF(AND($B253="System",$C253=""),"System not set",IF(AND($B253="Equipment",$D253=""),"Equipment not set",IF($F253="","Responsible not set",IF($K253="","No target date",IF(AND($B253="Equipment",$C253&lt;&gt;"",IFERROR(INDEX(EQP_SYS,MATCH($D253,EQP_NOM,0)),"")&lt;&gt;$C253),"Equipment not in that system",IF(AND($U253=1,$M253=""),"Approved with no approval date",""))))))))))</f>
        <v/>
      </c>
      <c r="Q253" s="21" t="n"/>
      <c r="R253" s="23">
        <f>IF(OR($A253="",$B253=""),"",IF($B253="Equipment",IFERROR(INDEX(EQP_START,MATCH($D253,EQP_NOM,0)),""),IF($B253="System",IFERROR(INDEX(SYS_EARLIEST,MATCH($C253,SYS_ID,0)),""),IF($B253="All",CTR_EARLIEST,""))))</f>
        <v/>
      </c>
      <c r="S253" s="23">
        <f>IF(OR($A253="",$E253=""),"",IFERROR(IF(INDEX(TYP_ANCHOR,MATCH($A253,TYP_TYPE,0))="Commissioning Start",IF($R253="","",$R253-INDEX(TYP_LEAD,MATCH($A253,TYP_TYPE,0))),IF(INDEX(MS_PLAN,MATCH(INDEX(TYP_ANCHOR,MATCH($A253,TYP_TYPE,0)),MS_NOM,0))="","",INDEX(MS_PLAN,MATCH(INDEX(TYP_ANCHOR,MATCH($A253,TYP_TYPE,0)),MS_NOM,0))-INDEX(TYP_LEAD,MATCH($A253,TYP_TYPE,0)))),""))</f>
        <v/>
      </c>
      <c r="T253" s="26">
        <f>IF(OR($A253="",$E253=""),0,IF($V253=1,0,1))</f>
        <v/>
      </c>
      <c r="U253" s="26">
        <f>IF($T253=0,0,IF($M253&lt;&gt;"",1,IF(IFERROR(INDEX(WF_CLASS,MATCH($H253,WF_CODE,0)),"")="Done",1,0)))</f>
        <v/>
      </c>
      <c r="V253" s="26">
        <f>IF(OR($A253="",$E253=""),0,IF(IFERROR(INDEX(WF_CLASS,MATCH($H253,WF_CODE,0)),"")="Inactive",1,0))</f>
        <v/>
      </c>
      <c r="W253" s="24">
        <f>IF($A253="","",IFERROR(INDEX(TYP_PHASE,MATCH($A253,TYP_TYPE,0)),"-"))</f>
        <v/>
      </c>
      <c r="X253" s="24">
        <f>IF(AND($T253=1,$U253=0,N($N253)&gt;0),$N253+ROW()/1000000,"")</f>
        <v/>
      </c>
      <c r="Y253" s="24">
        <f>IF(AND($T253=1,$U253=0,OR($I253&lt;&gt;"",N($N253)&gt;0)),N($N253)+ROW()/1000000,"")</f>
        <v/>
      </c>
      <c r="Z253" s="24">
        <f>IF(AND($T253=1,$U253=0,$I253="",N($N253)&lt;=0,-N($N253)&lt;=HORIZON),N($N253)+ROW()/1000000,"")</f>
        <v/>
      </c>
    </row>
    <row r="254">
      <c r="A254" s="21" t="n"/>
      <c r="B254" s="21" t="n"/>
      <c r="C254" s="21" t="n"/>
      <c r="D254" s="21" t="n"/>
      <c r="E254" s="21" t="n"/>
      <c r="F254" s="21" t="n"/>
      <c r="G254" s="21" t="n"/>
      <c r="H254" s="21" t="n"/>
      <c r="I254" s="22" t="n"/>
      <c r="J254" s="22" t="n"/>
      <c r="K254" s="23">
        <f>IF($A254="","",IF($J254&lt;&gt;"",$J254,$S254))</f>
        <v/>
      </c>
      <c r="L254" s="24">
        <f>IF(OR($A254="",$E254=""),"",IF($J254&lt;&gt;"","Manual",IF($S254="","-","Auto")))</f>
        <v/>
      </c>
      <c r="M254" s="22" t="n"/>
      <c r="N254" s="25">
        <f>IF($T254=0,"",IF($U254=1,IF($M254="","",$M254-$K254),IF($K254="","",TODAY()-$K254)))</f>
        <v/>
      </c>
      <c r="O254" s="24">
        <f>IF(OR($A254="",$E254=""),"",IF($V254=1,S_INACT,IF(ISNA(MATCH($A254,TYP_TYPE,0)),S_TYPEKO,IF($U254=1,S_DONE,IF(AND($K254="",$R254=""),S_NOSCOPE,IF($K254="",S_NOTARGET,IF($N254&gt;0,S_LATE,IF($I254&lt;&gt;"",S_WIP,IF(-$N254&lt;=FEN_DOC,S_RISK,IF(-$N254&lt;=HORIZON,S_COMING,S_NOTYET))))))))))</f>
        <v/>
      </c>
      <c r="P254" s="24">
        <f>IF(OR($A254="",$E254=""),"",IF($V254=1,"",IF(ISNA(MATCH($A254,TYP_TYPE,0)),"Type not in the library",IF($B254="","Scope not set",IF(AND($B254="System",$C254=""),"System not set",IF(AND($B254="Equipment",$D254=""),"Equipment not set",IF($F254="","Responsible not set",IF($K254="","No target date",IF(AND($B254="Equipment",$C254&lt;&gt;"",IFERROR(INDEX(EQP_SYS,MATCH($D254,EQP_NOM,0)),"")&lt;&gt;$C254),"Equipment not in that system",IF(AND($U254=1,$M254=""),"Approved with no approval date",""))))))))))</f>
        <v/>
      </c>
      <c r="Q254" s="21" t="n"/>
      <c r="R254" s="23">
        <f>IF(OR($A254="",$B254=""),"",IF($B254="Equipment",IFERROR(INDEX(EQP_START,MATCH($D254,EQP_NOM,0)),""),IF($B254="System",IFERROR(INDEX(SYS_EARLIEST,MATCH($C254,SYS_ID,0)),""),IF($B254="All",CTR_EARLIEST,""))))</f>
        <v/>
      </c>
      <c r="S254" s="23">
        <f>IF(OR($A254="",$E254=""),"",IFERROR(IF(INDEX(TYP_ANCHOR,MATCH($A254,TYP_TYPE,0))="Commissioning Start",IF($R254="","",$R254-INDEX(TYP_LEAD,MATCH($A254,TYP_TYPE,0))),IF(INDEX(MS_PLAN,MATCH(INDEX(TYP_ANCHOR,MATCH($A254,TYP_TYPE,0)),MS_NOM,0))="","",INDEX(MS_PLAN,MATCH(INDEX(TYP_ANCHOR,MATCH($A254,TYP_TYPE,0)),MS_NOM,0))-INDEX(TYP_LEAD,MATCH($A254,TYP_TYPE,0)))),""))</f>
        <v/>
      </c>
      <c r="T254" s="26">
        <f>IF(OR($A254="",$E254=""),0,IF($V254=1,0,1))</f>
        <v/>
      </c>
      <c r="U254" s="26">
        <f>IF($T254=0,0,IF($M254&lt;&gt;"",1,IF(IFERROR(INDEX(WF_CLASS,MATCH($H254,WF_CODE,0)),"")="Done",1,0)))</f>
        <v/>
      </c>
      <c r="V254" s="26">
        <f>IF(OR($A254="",$E254=""),0,IF(IFERROR(INDEX(WF_CLASS,MATCH($H254,WF_CODE,0)),"")="Inactive",1,0))</f>
        <v/>
      </c>
      <c r="W254" s="24">
        <f>IF($A254="","",IFERROR(INDEX(TYP_PHASE,MATCH($A254,TYP_TYPE,0)),"-"))</f>
        <v/>
      </c>
      <c r="X254" s="24">
        <f>IF(AND($T254=1,$U254=0,N($N254)&gt;0),$N254+ROW()/1000000,"")</f>
        <v/>
      </c>
      <c r="Y254" s="24">
        <f>IF(AND($T254=1,$U254=0,OR($I254&lt;&gt;"",N($N254)&gt;0)),N($N254)+ROW()/1000000,"")</f>
        <v/>
      </c>
      <c r="Z254" s="24">
        <f>IF(AND($T254=1,$U254=0,$I254="",N($N254)&lt;=0,-N($N254)&lt;=HORIZON),N($N254)+ROW()/1000000,"")</f>
        <v/>
      </c>
    </row>
    <row r="255">
      <c r="A255" s="21" t="n"/>
      <c r="B255" s="21" t="n"/>
      <c r="C255" s="21" t="n"/>
      <c r="D255" s="21" t="n"/>
      <c r="E255" s="21" t="n"/>
      <c r="F255" s="21" t="n"/>
      <c r="G255" s="21" t="n"/>
      <c r="H255" s="21" t="n"/>
      <c r="I255" s="22" t="n"/>
      <c r="J255" s="22" t="n"/>
      <c r="K255" s="23">
        <f>IF($A255="","",IF($J255&lt;&gt;"",$J255,$S255))</f>
        <v/>
      </c>
      <c r="L255" s="24">
        <f>IF(OR($A255="",$E255=""),"",IF($J255&lt;&gt;"","Manual",IF($S255="","-","Auto")))</f>
        <v/>
      </c>
      <c r="M255" s="22" t="n"/>
      <c r="N255" s="25">
        <f>IF($T255=0,"",IF($U255=1,IF($M255="","",$M255-$K255),IF($K255="","",TODAY()-$K255)))</f>
        <v/>
      </c>
      <c r="O255" s="24">
        <f>IF(OR($A255="",$E255=""),"",IF($V255=1,S_INACT,IF(ISNA(MATCH($A255,TYP_TYPE,0)),S_TYPEKO,IF($U255=1,S_DONE,IF(AND($K255="",$R255=""),S_NOSCOPE,IF($K255="",S_NOTARGET,IF($N255&gt;0,S_LATE,IF($I255&lt;&gt;"",S_WIP,IF(-$N255&lt;=FEN_DOC,S_RISK,IF(-$N255&lt;=HORIZON,S_COMING,S_NOTYET))))))))))</f>
        <v/>
      </c>
      <c r="P255" s="24">
        <f>IF(OR($A255="",$E255=""),"",IF($V255=1,"",IF(ISNA(MATCH($A255,TYP_TYPE,0)),"Type not in the library",IF($B255="","Scope not set",IF(AND($B255="System",$C255=""),"System not set",IF(AND($B255="Equipment",$D255=""),"Equipment not set",IF($F255="","Responsible not set",IF($K255="","No target date",IF(AND($B255="Equipment",$C255&lt;&gt;"",IFERROR(INDEX(EQP_SYS,MATCH($D255,EQP_NOM,0)),"")&lt;&gt;$C255),"Equipment not in that system",IF(AND($U255=1,$M255=""),"Approved with no approval date",""))))))))))</f>
        <v/>
      </c>
      <c r="Q255" s="21" t="n"/>
      <c r="R255" s="23">
        <f>IF(OR($A255="",$B255=""),"",IF($B255="Equipment",IFERROR(INDEX(EQP_START,MATCH($D255,EQP_NOM,0)),""),IF($B255="System",IFERROR(INDEX(SYS_EARLIEST,MATCH($C255,SYS_ID,0)),""),IF($B255="All",CTR_EARLIEST,""))))</f>
        <v/>
      </c>
      <c r="S255" s="23">
        <f>IF(OR($A255="",$E255=""),"",IFERROR(IF(INDEX(TYP_ANCHOR,MATCH($A255,TYP_TYPE,0))="Commissioning Start",IF($R255="","",$R255-INDEX(TYP_LEAD,MATCH($A255,TYP_TYPE,0))),IF(INDEX(MS_PLAN,MATCH(INDEX(TYP_ANCHOR,MATCH($A255,TYP_TYPE,0)),MS_NOM,0))="","",INDEX(MS_PLAN,MATCH(INDEX(TYP_ANCHOR,MATCH($A255,TYP_TYPE,0)),MS_NOM,0))-INDEX(TYP_LEAD,MATCH($A255,TYP_TYPE,0)))),""))</f>
        <v/>
      </c>
      <c r="T255" s="26">
        <f>IF(OR($A255="",$E255=""),0,IF($V255=1,0,1))</f>
        <v/>
      </c>
      <c r="U255" s="26">
        <f>IF($T255=0,0,IF($M255&lt;&gt;"",1,IF(IFERROR(INDEX(WF_CLASS,MATCH($H255,WF_CODE,0)),"")="Done",1,0)))</f>
        <v/>
      </c>
      <c r="V255" s="26">
        <f>IF(OR($A255="",$E255=""),0,IF(IFERROR(INDEX(WF_CLASS,MATCH($H255,WF_CODE,0)),"")="Inactive",1,0))</f>
        <v/>
      </c>
      <c r="W255" s="24">
        <f>IF($A255="","",IFERROR(INDEX(TYP_PHASE,MATCH($A255,TYP_TYPE,0)),"-"))</f>
        <v/>
      </c>
      <c r="X255" s="24">
        <f>IF(AND($T255=1,$U255=0,N($N255)&gt;0),$N255+ROW()/1000000,"")</f>
        <v/>
      </c>
      <c r="Y255" s="24">
        <f>IF(AND($T255=1,$U255=0,OR($I255&lt;&gt;"",N($N255)&gt;0)),N($N255)+ROW()/1000000,"")</f>
        <v/>
      </c>
      <c r="Z255" s="24">
        <f>IF(AND($T255=1,$U255=0,$I255="",N($N255)&lt;=0,-N($N255)&lt;=HORIZON),N($N255)+ROW()/1000000,"")</f>
        <v/>
      </c>
    </row>
    <row r="256">
      <c r="A256" s="21" t="n"/>
      <c r="B256" s="21" t="n"/>
      <c r="C256" s="21" t="n"/>
      <c r="D256" s="21" t="n"/>
      <c r="E256" s="21" t="n"/>
      <c r="F256" s="21" t="n"/>
      <c r="G256" s="21" t="n"/>
      <c r="H256" s="21" t="n"/>
      <c r="I256" s="22" t="n"/>
      <c r="J256" s="22" t="n"/>
      <c r="K256" s="23">
        <f>IF($A256="","",IF($J256&lt;&gt;"",$J256,$S256))</f>
        <v/>
      </c>
      <c r="L256" s="24">
        <f>IF(OR($A256="",$E256=""),"",IF($J256&lt;&gt;"","Manual",IF($S256="","-","Auto")))</f>
        <v/>
      </c>
      <c r="M256" s="22" t="n"/>
      <c r="N256" s="25">
        <f>IF($T256=0,"",IF($U256=1,IF($M256="","",$M256-$K256),IF($K256="","",TODAY()-$K256)))</f>
        <v/>
      </c>
      <c r="O256" s="24">
        <f>IF(OR($A256="",$E256=""),"",IF($V256=1,S_INACT,IF(ISNA(MATCH($A256,TYP_TYPE,0)),S_TYPEKO,IF($U256=1,S_DONE,IF(AND($K256="",$R256=""),S_NOSCOPE,IF($K256="",S_NOTARGET,IF($N256&gt;0,S_LATE,IF($I256&lt;&gt;"",S_WIP,IF(-$N256&lt;=FEN_DOC,S_RISK,IF(-$N256&lt;=HORIZON,S_COMING,S_NOTYET))))))))))</f>
        <v/>
      </c>
      <c r="P256" s="24">
        <f>IF(OR($A256="",$E256=""),"",IF($V256=1,"",IF(ISNA(MATCH($A256,TYP_TYPE,0)),"Type not in the library",IF($B256="","Scope not set",IF(AND($B256="System",$C256=""),"System not set",IF(AND($B256="Equipment",$D256=""),"Equipment not set",IF($F256="","Responsible not set",IF($K256="","No target date",IF(AND($B256="Equipment",$C256&lt;&gt;"",IFERROR(INDEX(EQP_SYS,MATCH($D256,EQP_NOM,0)),"")&lt;&gt;$C256),"Equipment not in that system",IF(AND($U256=1,$M256=""),"Approved with no approval date",""))))))))))</f>
        <v/>
      </c>
      <c r="Q256" s="21" t="n"/>
      <c r="R256" s="23">
        <f>IF(OR($A256="",$B256=""),"",IF($B256="Equipment",IFERROR(INDEX(EQP_START,MATCH($D256,EQP_NOM,0)),""),IF($B256="System",IFERROR(INDEX(SYS_EARLIEST,MATCH($C256,SYS_ID,0)),""),IF($B256="All",CTR_EARLIEST,""))))</f>
        <v/>
      </c>
      <c r="S256" s="23">
        <f>IF(OR($A256="",$E256=""),"",IFERROR(IF(INDEX(TYP_ANCHOR,MATCH($A256,TYP_TYPE,0))="Commissioning Start",IF($R256="","",$R256-INDEX(TYP_LEAD,MATCH($A256,TYP_TYPE,0))),IF(INDEX(MS_PLAN,MATCH(INDEX(TYP_ANCHOR,MATCH($A256,TYP_TYPE,0)),MS_NOM,0))="","",INDEX(MS_PLAN,MATCH(INDEX(TYP_ANCHOR,MATCH($A256,TYP_TYPE,0)),MS_NOM,0))-INDEX(TYP_LEAD,MATCH($A256,TYP_TYPE,0)))),""))</f>
        <v/>
      </c>
      <c r="T256" s="26">
        <f>IF(OR($A256="",$E256=""),0,IF($V256=1,0,1))</f>
        <v/>
      </c>
      <c r="U256" s="26">
        <f>IF($T256=0,0,IF($M256&lt;&gt;"",1,IF(IFERROR(INDEX(WF_CLASS,MATCH($H256,WF_CODE,0)),"")="Done",1,0)))</f>
        <v/>
      </c>
      <c r="V256" s="26">
        <f>IF(OR($A256="",$E256=""),0,IF(IFERROR(INDEX(WF_CLASS,MATCH($H256,WF_CODE,0)),"")="Inactive",1,0))</f>
        <v/>
      </c>
      <c r="W256" s="24">
        <f>IF($A256="","",IFERROR(INDEX(TYP_PHASE,MATCH($A256,TYP_TYPE,0)),"-"))</f>
        <v/>
      </c>
      <c r="X256" s="24">
        <f>IF(AND($T256=1,$U256=0,N($N256)&gt;0),$N256+ROW()/1000000,"")</f>
        <v/>
      </c>
      <c r="Y256" s="24">
        <f>IF(AND($T256=1,$U256=0,OR($I256&lt;&gt;"",N($N256)&gt;0)),N($N256)+ROW()/1000000,"")</f>
        <v/>
      </c>
      <c r="Z256" s="24">
        <f>IF(AND($T256=1,$U256=0,$I256="",N($N256)&lt;=0,-N($N256)&lt;=HORIZON),N($N256)+ROW()/1000000,"")</f>
        <v/>
      </c>
    </row>
    <row r="257">
      <c r="A257" s="21" t="n"/>
      <c r="B257" s="21" t="n"/>
      <c r="C257" s="21" t="n"/>
      <c r="D257" s="21" t="n"/>
      <c r="E257" s="21" t="n"/>
      <c r="F257" s="21" t="n"/>
      <c r="G257" s="21" t="n"/>
      <c r="H257" s="21" t="n"/>
      <c r="I257" s="22" t="n"/>
      <c r="J257" s="22" t="n"/>
      <c r="K257" s="23">
        <f>IF($A257="","",IF($J257&lt;&gt;"",$J257,$S257))</f>
        <v/>
      </c>
      <c r="L257" s="24">
        <f>IF(OR($A257="",$E257=""),"",IF($J257&lt;&gt;"","Manual",IF($S257="","-","Auto")))</f>
        <v/>
      </c>
      <c r="M257" s="22" t="n"/>
      <c r="N257" s="25">
        <f>IF($T257=0,"",IF($U257=1,IF($M257="","",$M257-$K257),IF($K257="","",TODAY()-$K257)))</f>
        <v/>
      </c>
      <c r="O257" s="24">
        <f>IF(OR($A257="",$E257=""),"",IF($V257=1,S_INACT,IF(ISNA(MATCH($A257,TYP_TYPE,0)),S_TYPEKO,IF($U257=1,S_DONE,IF(AND($K257="",$R257=""),S_NOSCOPE,IF($K257="",S_NOTARGET,IF($N257&gt;0,S_LATE,IF($I257&lt;&gt;"",S_WIP,IF(-$N257&lt;=FEN_DOC,S_RISK,IF(-$N257&lt;=HORIZON,S_COMING,S_NOTYET))))))))))</f>
        <v/>
      </c>
      <c r="P257" s="24">
        <f>IF(OR($A257="",$E257=""),"",IF($V257=1,"",IF(ISNA(MATCH($A257,TYP_TYPE,0)),"Type not in the library",IF($B257="","Scope not set",IF(AND($B257="System",$C257=""),"System not set",IF(AND($B257="Equipment",$D257=""),"Equipment not set",IF($F257="","Responsible not set",IF($K257="","No target date",IF(AND($B257="Equipment",$C257&lt;&gt;"",IFERROR(INDEX(EQP_SYS,MATCH($D257,EQP_NOM,0)),"")&lt;&gt;$C257),"Equipment not in that system",IF(AND($U257=1,$M257=""),"Approved with no approval date",""))))))))))</f>
        <v/>
      </c>
      <c r="Q257" s="21" t="n"/>
      <c r="R257" s="23">
        <f>IF(OR($A257="",$B257=""),"",IF($B257="Equipment",IFERROR(INDEX(EQP_START,MATCH($D257,EQP_NOM,0)),""),IF($B257="System",IFERROR(INDEX(SYS_EARLIEST,MATCH($C257,SYS_ID,0)),""),IF($B257="All",CTR_EARLIEST,""))))</f>
        <v/>
      </c>
      <c r="S257" s="23">
        <f>IF(OR($A257="",$E257=""),"",IFERROR(IF(INDEX(TYP_ANCHOR,MATCH($A257,TYP_TYPE,0))="Commissioning Start",IF($R257="","",$R257-INDEX(TYP_LEAD,MATCH($A257,TYP_TYPE,0))),IF(INDEX(MS_PLAN,MATCH(INDEX(TYP_ANCHOR,MATCH($A257,TYP_TYPE,0)),MS_NOM,0))="","",INDEX(MS_PLAN,MATCH(INDEX(TYP_ANCHOR,MATCH($A257,TYP_TYPE,0)),MS_NOM,0))-INDEX(TYP_LEAD,MATCH($A257,TYP_TYPE,0)))),""))</f>
        <v/>
      </c>
      <c r="T257" s="26">
        <f>IF(OR($A257="",$E257=""),0,IF($V257=1,0,1))</f>
        <v/>
      </c>
      <c r="U257" s="26">
        <f>IF($T257=0,0,IF($M257&lt;&gt;"",1,IF(IFERROR(INDEX(WF_CLASS,MATCH($H257,WF_CODE,0)),"")="Done",1,0)))</f>
        <v/>
      </c>
      <c r="V257" s="26">
        <f>IF(OR($A257="",$E257=""),0,IF(IFERROR(INDEX(WF_CLASS,MATCH($H257,WF_CODE,0)),"")="Inactive",1,0))</f>
        <v/>
      </c>
      <c r="W257" s="24">
        <f>IF($A257="","",IFERROR(INDEX(TYP_PHASE,MATCH($A257,TYP_TYPE,0)),"-"))</f>
        <v/>
      </c>
      <c r="X257" s="24">
        <f>IF(AND($T257=1,$U257=0,N($N257)&gt;0),$N257+ROW()/1000000,"")</f>
        <v/>
      </c>
      <c r="Y257" s="24">
        <f>IF(AND($T257=1,$U257=0,OR($I257&lt;&gt;"",N($N257)&gt;0)),N($N257)+ROW()/1000000,"")</f>
        <v/>
      </c>
      <c r="Z257" s="24">
        <f>IF(AND($T257=1,$U257=0,$I257="",N($N257)&lt;=0,-N($N257)&lt;=HORIZON),N($N257)+ROW()/1000000,"")</f>
        <v/>
      </c>
    </row>
    <row r="258">
      <c r="A258" s="21" t="n"/>
      <c r="B258" s="21" t="n"/>
      <c r="C258" s="21" t="n"/>
      <c r="D258" s="21" t="n"/>
      <c r="E258" s="21" t="n"/>
      <c r="F258" s="21" t="n"/>
      <c r="G258" s="21" t="n"/>
      <c r="H258" s="21" t="n"/>
      <c r="I258" s="22" t="n"/>
      <c r="J258" s="22" t="n"/>
      <c r="K258" s="23">
        <f>IF($A258="","",IF($J258&lt;&gt;"",$J258,$S258))</f>
        <v/>
      </c>
      <c r="L258" s="24">
        <f>IF(OR($A258="",$E258=""),"",IF($J258&lt;&gt;"","Manual",IF($S258="","-","Auto")))</f>
        <v/>
      </c>
      <c r="M258" s="22" t="n"/>
      <c r="N258" s="25">
        <f>IF($T258=0,"",IF($U258=1,IF($M258="","",$M258-$K258),IF($K258="","",TODAY()-$K258)))</f>
        <v/>
      </c>
      <c r="O258" s="24">
        <f>IF(OR($A258="",$E258=""),"",IF($V258=1,S_INACT,IF(ISNA(MATCH($A258,TYP_TYPE,0)),S_TYPEKO,IF($U258=1,S_DONE,IF(AND($K258="",$R258=""),S_NOSCOPE,IF($K258="",S_NOTARGET,IF($N258&gt;0,S_LATE,IF($I258&lt;&gt;"",S_WIP,IF(-$N258&lt;=FEN_DOC,S_RISK,IF(-$N258&lt;=HORIZON,S_COMING,S_NOTYET))))))))))</f>
        <v/>
      </c>
      <c r="P258" s="24">
        <f>IF(OR($A258="",$E258=""),"",IF($V258=1,"",IF(ISNA(MATCH($A258,TYP_TYPE,0)),"Type not in the library",IF($B258="","Scope not set",IF(AND($B258="System",$C258=""),"System not set",IF(AND($B258="Equipment",$D258=""),"Equipment not set",IF($F258="","Responsible not set",IF($K258="","No target date",IF(AND($B258="Equipment",$C258&lt;&gt;"",IFERROR(INDEX(EQP_SYS,MATCH($D258,EQP_NOM,0)),"")&lt;&gt;$C258),"Equipment not in that system",IF(AND($U258=1,$M258=""),"Approved with no approval date",""))))))))))</f>
        <v/>
      </c>
      <c r="Q258" s="21" t="n"/>
      <c r="R258" s="23">
        <f>IF(OR($A258="",$B258=""),"",IF($B258="Equipment",IFERROR(INDEX(EQP_START,MATCH($D258,EQP_NOM,0)),""),IF($B258="System",IFERROR(INDEX(SYS_EARLIEST,MATCH($C258,SYS_ID,0)),""),IF($B258="All",CTR_EARLIEST,""))))</f>
        <v/>
      </c>
      <c r="S258" s="23">
        <f>IF(OR($A258="",$E258=""),"",IFERROR(IF(INDEX(TYP_ANCHOR,MATCH($A258,TYP_TYPE,0))="Commissioning Start",IF($R258="","",$R258-INDEX(TYP_LEAD,MATCH($A258,TYP_TYPE,0))),IF(INDEX(MS_PLAN,MATCH(INDEX(TYP_ANCHOR,MATCH($A258,TYP_TYPE,0)),MS_NOM,0))="","",INDEX(MS_PLAN,MATCH(INDEX(TYP_ANCHOR,MATCH($A258,TYP_TYPE,0)),MS_NOM,0))-INDEX(TYP_LEAD,MATCH($A258,TYP_TYPE,0)))),""))</f>
        <v/>
      </c>
      <c r="T258" s="26">
        <f>IF(OR($A258="",$E258=""),0,IF($V258=1,0,1))</f>
        <v/>
      </c>
      <c r="U258" s="26">
        <f>IF($T258=0,0,IF($M258&lt;&gt;"",1,IF(IFERROR(INDEX(WF_CLASS,MATCH($H258,WF_CODE,0)),"")="Done",1,0)))</f>
        <v/>
      </c>
      <c r="V258" s="26">
        <f>IF(OR($A258="",$E258=""),0,IF(IFERROR(INDEX(WF_CLASS,MATCH($H258,WF_CODE,0)),"")="Inactive",1,0))</f>
        <v/>
      </c>
      <c r="W258" s="24">
        <f>IF($A258="","",IFERROR(INDEX(TYP_PHASE,MATCH($A258,TYP_TYPE,0)),"-"))</f>
        <v/>
      </c>
      <c r="X258" s="24">
        <f>IF(AND($T258=1,$U258=0,N($N258)&gt;0),$N258+ROW()/1000000,"")</f>
        <v/>
      </c>
      <c r="Y258" s="24">
        <f>IF(AND($T258=1,$U258=0,OR($I258&lt;&gt;"",N($N258)&gt;0)),N($N258)+ROW()/1000000,"")</f>
        <v/>
      </c>
      <c r="Z258" s="24">
        <f>IF(AND($T258=1,$U258=0,$I258="",N($N258)&lt;=0,-N($N258)&lt;=HORIZON),N($N258)+ROW()/1000000,"")</f>
        <v/>
      </c>
    </row>
    <row r="259">
      <c r="A259" s="21" t="n"/>
      <c r="B259" s="21" t="n"/>
      <c r="C259" s="21" t="n"/>
      <c r="D259" s="21" t="n"/>
      <c r="E259" s="21" t="n"/>
      <c r="F259" s="21" t="n"/>
      <c r="G259" s="21" t="n"/>
      <c r="H259" s="21" t="n"/>
      <c r="I259" s="22" t="n"/>
      <c r="J259" s="22" t="n"/>
      <c r="K259" s="23">
        <f>IF($A259="","",IF($J259&lt;&gt;"",$J259,$S259))</f>
        <v/>
      </c>
      <c r="L259" s="24">
        <f>IF(OR($A259="",$E259=""),"",IF($J259&lt;&gt;"","Manual",IF($S259="","-","Auto")))</f>
        <v/>
      </c>
      <c r="M259" s="22" t="n"/>
      <c r="N259" s="25">
        <f>IF($T259=0,"",IF($U259=1,IF($M259="","",$M259-$K259),IF($K259="","",TODAY()-$K259)))</f>
        <v/>
      </c>
      <c r="O259" s="24">
        <f>IF(OR($A259="",$E259=""),"",IF($V259=1,S_INACT,IF(ISNA(MATCH($A259,TYP_TYPE,0)),S_TYPEKO,IF($U259=1,S_DONE,IF(AND($K259="",$R259=""),S_NOSCOPE,IF($K259="",S_NOTARGET,IF($N259&gt;0,S_LATE,IF($I259&lt;&gt;"",S_WIP,IF(-$N259&lt;=FEN_DOC,S_RISK,IF(-$N259&lt;=HORIZON,S_COMING,S_NOTYET))))))))))</f>
        <v/>
      </c>
      <c r="P259" s="24">
        <f>IF(OR($A259="",$E259=""),"",IF($V259=1,"",IF(ISNA(MATCH($A259,TYP_TYPE,0)),"Type not in the library",IF($B259="","Scope not set",IF(AND($B259="System",$C259=""),"System not set",IF(AND($B259="Equipment",$D259=""),"Equipment not set",IF($F259="","Responsible not set",IF($K259="","No target date",IF(AND($B259="Equipment",$C259&lt;&gt;"",IFERROR(INDEX(EQP_SYS,MATCH($D259,EQP_NOM,0)),"")&lt;&gt;$C259),"Equipment not in that system",IF(AND($U259=1,$M259=""),"Approved with no approval date",""))))))))))</f>
        <v/>
      </c>
      <c r="Q259" s="21" t="n"/>
      <c r="R259" s="23">
        <f>IF(OR($A259="",$B259=""),"",IF($B259="Equipment",IFERROR(INDEX(EQP_START,MATCH($D259,EQP_NOM,0)),""),IF($B259="System",IFERROR(INDEX(SYS_EARLIEST,MATCH($C259,SYS_ID,0)),""),IF($B259="All",CTR_EARLIEST,""))))</f>
        <v/>
      </c>
      <c r="S259" s="23">
        <f>IF(OR($A259="",$E259=""),"",IFERROR(IF(INDEX(TYP_ANCHOR,MATCH($A259,TYP_TYPE,0))="Commissioning Start",IF($R259="","",$R259-INDEX(TYP_LEAD,MATCH($A259,TYP_TYPE,0))),IF(INDEX(MS_PLAN,MATCH(INDEX(TYP_ANCHOR,MATCH($A259,TYP_TYPE,0)),MS_NOM,0))="","",INDEX(MS_PLAN,MATCH(INDEX(TYP_ANCHOR,MATCH($A259,TYP_TYPE,0)),MS_NOM,0))-INDEX(TYP_LEAD,MATCH($A259,TYP_TYPE,0)))),""))</f>
        <v/>
      </c>
      <c r="T259" s="26">
        <f>IF(OR($A259="",$E259=""),0,IF($V259=1,0,1))</f>
        <v/>
      </c>
      <c r="U259" s="26">
        <f>IF($T259=0,0,IF($M259&lt;&gt;"",1,IF(IFERROR(INDEX(WF_CLASS,MATCH($H259,WF_CODE,0)),"")="Done",1,0)))</f>
        <v/>
      </c>
      <c r="V259" s="26">
        <f>IF(OR($A259="",$E259=""),0,IF(IFERROR(INDEX(WF_CLASS,MATCH($H259,WF_CODE,0)),"")="Inactive",1,0))</f>
        <v/>
      </c>
      <c r="W259" s="24">
        <f>IF($A259="","",IFERROR(INDEX(TYP_PHASE,MATCH($A259,TYP_TYPE,0)),"-"))</f>
        <v/>
      </c>
      <c r="X259" s="24">
        <f>IF(AND($T259=1,$U259=0,N($N259)&gt;0),$N259+ROW()/1000000,"")</f>
        <v/>
      </c>
      <c r="Y259" s="24">
        <f>IF(AND($T259=1,$U259=0,OR($I259&lt;&gt;"",N($N259)&gt;0)),N($N259)+ROW()/1000000,"")</f>
        <v/>
      </c>
      <c r="Z259" s="24">
        <f>IF(AND($T259=1,$U259=0,$I259="",N($N259)&lt;=0,-N($N259)&lt;=HORIZON),N($N259)+ROW()/1000000,"")</f>
        <v/>
      </c>
    </row>
    <row r="260">
      <c r="A260" s="21" t="n"/>
      <c r="B260" s="21" t="n"/>
      <c r="C260" s="21" t="n"/>
      <c r="D260" s="21" t="n"/>
      <c r="E260" s="21" t="n"/>
      <c r="F260" s="21" t="n"/>
      <c r="G260" s="21" t="n"/>
      <c r="H260" s="21" t="n"/>
      <c r="I260" s="22" t="n"/>
      <c r="J260" s="22" t="n"/>
      <c r="K260" s="23">
        <f>IF($A260="","",IF($J260&lt;&gt;"",$J260,$S260))</f>
        <v/>
      </c>
      <c r="L260" s="24">
        <f>IF(OR($A260="",$E260=""),"",IF($J260&lt;&gt;"","Manual",IF($S260="","-","Auto")))</f>
        <v/>
      </c>
      <c r="M260" s="22" t="n"/>
      <c r="N260" s="25">
        <f>IF($T260=0,"",IF($U260=1,IF($M260="","",$M260-$K260),IF($K260="","",TODAY()-$K260)))</f>
        <v/>
      </c>
      <c r="O260" s="24">
        <f>IF(OR($A260="",$E260=""),"",IF($V260=1,S_INACT,IF(ISNA(MATCH($A260,TYP_TYPE,0)),S_TYPEKO,IF($U260=1,S_DONE,IF(AND($K260="",$R260=""),S_NOSCOPE,IF($K260="",S_NOTARGET,IF($N260&gt;0,S_LATE,IF($I260&lt;&gt;"",S_WIP,IF(-$N260&lt;=FEN_DOC,S_RISK,IF(-$N260&lt;=HORIZON,S_COMING,S_NOTYET))))))))))</f>
        <v/>
      </c>
      <c r="P260" s="24">
        <f>IF(OR($A260="",$E260=""),"",IF($V260=1,"",IF(ISNA(MATCH($A260,TYP_TYPE,0)),"Type not in the library",IF($B260="","Scope not set",IF(AND($B260="System",$C260=""),"System not set",IF(AND($B260="Equipment",$D260=""),"Equipment not set",IF($F260="","Responsible not set",IF($K260="","No target date",IF(AND($B260="Equipment",$C260&lt;&gt;"",IFERROR(INDEX(EQP_SYS,MATCH($D260,EQP_NOM,0)),"")&lt;&gt;$C260),"Equipment not in that system",IF(AND($U260=1,$M260=""),"Approved with no approval date",""))))))))))</f>
        <v/>
      </c>
      <c r="Q260" s="21" t="n"/>
      <c r="R260" s="23">
        <f>IF(OR($A260="",$B260=""),"",IF($B260="Equipment",IFERROR(INDEX(EQP_START,MATCH($D260,EQP_NOM,0)),""),IF($B260="System",IFERROR(INDEX(SYS_EARLIEST,MATCH($C260,SYS_ID,0)),""),IF($B260="All",CTR_EARLIEST,""))))</f>
        <v/>
      </c>
      <c r="S260" s="23">
        <f>IF(OR($A260="",$E260=""),"",IFERROR(IF(INDEX(TYP_ANCHOR,MATCH($A260,TYP_TYPE,0))="Commissioning Start",IF($R260="","",$R260-INDEX(TYP_LEAD,MATCH($A260,TYP_TYPE,0))),IF(INDEX(MS_PLAN,MATCH(INDEX(TYP_ANCHOR,MATCH($A260,TYP_TYPE,0)),MS_NOM,0))="","",INDEX(MS_PLAN,MATCH(INDEX(TYP_ANCHOR,MATCH($A260,TYP_TYPE,0)),MS_NOM,0))-INDEX(TYP_LEAD,MATCH($A260,TYP_TYPE,0)))),""))</f>
        <v/>
      </c>
      <c r="T260" s="26">
        <f>IF(OR($A260="",$E260=""),0,IF($V260=1,0,1))</f>
        <v/>
      </c>
      <c r="U260" s="26">
        <f>IF($T260=0,0,IF($M260&lt;&gt;"",1,IF(IFERROR(INDEX(WF_CLASS,MATCH($H260,WF_CODE,0)),"")="Done",1,0)))</f>
        <v/>
      </c>
      <c r="V260" s="26">
        <f>IF(OR($A260="",$E260=""),0,IF(IFERROR(INDEX(WF_CLASS,MATCH($H260,WF_CODE,0)),"")="Inactive",1,0))</f>
        <v/>
      </c>
      <c r="W260" s="24">
        <f>IF($A260="","",IFERROR(INDEX(TYP_PHASE,MATCH($A260,TYP_TYPE,0)),"-"))</f>
        <v/>
      </c>
      <c r="X260" s="24">
        <f>IF(AND($T260=1,$U260=0,N($N260)&gt;0),$N260+ROW()/1000000,"")</f>
        <v/>
      </c>
      <c r="Y260" s="24">
        <f>IF(AND($T260=1,$U260=0,OR($I260&lt;&gt;"",N($N260)&gt;0)),N($N260)+ROW()/1000000,"")</f>
        <v/>
      </c>
      <c r="Z260" s="24">
        <f>IF(AND($T260=1,$U260=0,$I260="",N($N260)&lt;=0,-N($N260)&lt;=HORIZON),N($N260)+ROW()/1000000,"")</f>
        <v/>
      </c>
    </row>
    <row r="261">
      <c r="A261" s="21" t="n"/>
      <c r="B261" s="21" t="n"/>
      <c r="C261" s="21" t="n"/>
      <c r="D261" s="21" t="n"/>
      <c r="E261" s="21" t="n"/>
      <c r="F261" s="21" t="n"/>
      <c r="G261" s="21" t="n"/>
      <c r="H261" s="21" t="n"/>
      <c r="I261" s="22" t="n"/>
      <c r="J261" s="22" t="n"/>
      <c r="K261" s="23">
        <f>IF($A261="","",IF($J261&lt;&gt;"",$J261,$S261))</f>
        <v/>
      </c>
      <c r="L261" s="24">
        <f>IF(OR($A261="",$E261=""),"",IF($J261&lt;&gt;"","Manual",IF($S261="","-","Auto")))</f>
        <v/>
      </c>
      <c r="M261" s="22" t="n"/>
      <c r="N261" s="25">
        <f>IF($T261=0,"",IF($U261=1,IF($M261="","",$M261-$K261),IF($K261="","",TODAY()-$K261)))</f>
        <v/>
      </c>
      <c r="O261" s="24">
        <f>IF(OR($A261="",$E261=""),"",IF($V261=1,S_INACT,IF(ISNA(MATCH($A261,TYP_TYPE,0)),S_TYPEKO,IF($U261=1,S_DONE,IF(AND($K261="",$R261=""),S_NOSCOPE,IF($K261="",S_NOTARGET,IF($N261&gt;0,S_LATE,IF($I261&lt;&gt;"",S_WIP,IF(-$N261&lt;=FEN_DOC,S_RISK,IF(-$N261&lt;=HORIZON,S_COMING,S_NOTYET))))))))))</f>
        <v/>
      </c>
      <c r="P261" s="24">
        <f>IF(OR($A261="",$E261=""),"",IF($V261=1,"",IF(ISNA(MATCH($A261,TYP_TYPE,0)),"Type not in the library",IF($B261="","Scope not set",IF(AND($B261="System",$C261=""),"System not set",IF(AND($B261="Equipment",$D261=""),"Equipment not set",IF($F261="","Responsible not set",IF($K261="","No target date",IF(AND($B261="Equipment",$C261&lt;&gt;"",IFERROR(INDEX(EQP_SYS,MATCH($D261,EQP_NOM,0)),"")&lt;&gt;$C261),"Equipment not in that system",IF(AND($U261=1,$M261=""),"Approved with no approval date",""))))))))))</f>
        <v/>
      </c>
      <c r="Q261" s="21" t="n"/>
      <c r="R261" s="23">
        <f>IF(OR($A261="",$B261=""),"",IF($B261="Equipment",IFERROR(INDEX(EQP_START,MATCH($D261,EQP_NOM,0)),""),IF($B261="System",IFERROR(INDEX(SYS_EARLIEST,MATCH($C261,SYS_ID,0)),""),IF($B261="All",CTR_EARLIEST,""))))</f>
        <v/>
      </c>
      <c r="S261" s="23">
        <f>IF(OR($A261="",$E261=""),"",IFERROR(IF(INDEX(TYP_ANCHOR,MATCH($A261,TYP_TYPE,0))="Commissioning Start",IF($R261="","",$R261-INDEX(TYP_LEAD,MATCH($A261,TYP_TYPE,0))),IF(INDEX(MS_PLAN,MATCH(INDEX(TYP_ANCHOR,MATCH($A261,TYP_TYPE,0)),MS_NOM,0))="","",INDEX(MS_PLAN,MATCH(INDEX(TYP_ANCHOR,MATCH($A261,TYP_TYPE,0)),MS_NOM,0))-INDEX(TYP_LEAD,MATCH($A261,TYP_TYPE,0)))),""))</f>
        <v/>
      </c>
      <c r="T261" s="26">
        <f>IF(OR($A261="",$E261=""),0,IF($V261=1,0,1))</f>
        <v/>
      </c>
      <c r="U261" s="26">
        <f>IF($T261=0,0,IF($M261&lt;&gt;"",1,IF(IFERROR(INDEX(WF_CLASS,MATCH($H261,WF_CODE,0)),"")="Done",1,0)))</f>
        <v/>
      </c>
      <c r="V261" s="26">
        <f>IF(OR($A261="",$E261=""),0,IF(IFERROR(INDEX(WF_CLASS,MATCH($H261,WF_CODE,0)),"")="Inactive",1,0))</f>
        <v/>
      </c>
      <c r="W261" s="24">
        <f>IF($A261="","",IFERROR(INDEX(TYP_PHASE,MATCH($A261,TYP_TYPE,0)),"-"))</f>
        <v/>
      </c>
      <c r="X261" s="24">
        <f>IF(AND($T261=1,$U261=0,N($N261)&gt;0),$N261+ROW()/1000000,"")</f>
        <v/>
      </c>
      <c r="Y261" s="24">
        <f>IF(AND($T261=1,$U261=0,OR($I261&lt;&gt;"",N($N261)&gt;0)),N($N261)+ROW()/1000000,"")</f>
        <v/>
      </c>
      <c r="Z261" s="24">
        <f>IF(AND($T261=1,$U261=0,$I261="",N($N261)&lt;=0,-N($N261)&lt;=HORIZON),N($N261)+ROW()/1000000,"")</f>
        <v/>
      </c>
    </row>
    <row r="262">
      <c r="A262" s="21" t="n"/>
      <c r="B262" s="21" t="n"/>
      <c r="C262" s="21" t="n"/>
      <c r="D262" s="21" t="n"/>
      <c r="E262" s="21" t="n"/>
      <c r="F262" s="21" t="n"/>
      <c r="G262" s="21" t="n"/>
      <c r="H262" s="21" t="n"/>
      <c r="I262" s="22" t="n"/>
      <c r="J262" s="22" t="n"/>
      <c r="K262" s="23">
        <f>IF($A262="","",IF($J262&lt;&gt;"",$J262,$S262))</f>
        <v/>
      </c>
      <c r="L262" s="24">
        <f>IF(OR($A262="",$E262=""),"",IF($J262&lt;&gt;"","Manual",IF($S262="","-","Auto")))</f>
        <v/>
      </c>
      <c r="M262" s="22" t="n"/>
      <c r="N262" s="25">
        <f>IF($T262=0,"",IF($U262=1,IF($M262="","",$M262-$K262),IF($K262="","",TODAY()-$K262)))</f>
        <v/>
      </c>
      <c r="O262" s="24">
        <f>IF(OR($A262="",$E262=""),"",IF($V262=1,S_INACT,IF(ISNA(MATCH($A262,TYP_TYPE,0)),S_TYPEKO,IF($U262=1,S_DONE,IF(AND($K262="",$R262=""),S_NOSCOPE,IF($K262="",S_NOTARGET,IF($N262&gt;0,S_LATE,IF($I262&lt;&gt;"",S_WIP,IF(-$N262&lt;=FEN_DOC,S_RISK,IF(-$N262&lt;=HORIZON,S_COMING,S_NOTYET))))))))))</f>
        <v/>
      </c>
      <c r="P262" s="24">
        <f>IF(OR($A262="",$E262=""),"",IF($V262=1,"",IF(ISNA(MATCH($A262,TYP_TYPE,0)),"Type not in the library",IF($B262="","Scope not set",IF(AND($B262="System",$C262=""),"System not set",IF(AND($B262="Equipment",$D262=""),"Equipment not set",IF($F262="","Responsible not set",IF($K262="","No target date",IF(AND($B262="Equipment",$C262&lt;&gt;"",IFERROR(INDEX(EQP_SYS,MATCH($D262,EQP_NOM,0)),"")&lt;&gt;$C262),"Equipment not in that system",IF(AND($U262=1,$M262=""),"Approved with no approval date",""))))))))))</f>
        <v/>
      </c>
      <c r="Q262" s="21" t="n"/>
      <c r="R262" s="23">
        <f>IF(OR($A262="",$B262=""),"",IF($B262="Equipment",IFERROR(INDEX(EQP_START,MATCH($D262,EQP_NOM,0)),""),IF($B262="System",IFERROR(INDEX(SYS_EARLIEST,MATCH($C262,SYS_ID,0)),""),IF($B262="All",CTR_EARLIEST,""))))</f>
        <v/>
      </c>
      <c r="S262" s="23">
        <f>IF(OR($A262="",$E262=""),"",IFERROR(IF(INDEX(TYP_ANCHOR,MATCH($A262,TYP_TYPE,0))="Commissioning Start",IF($R262="","",$R262-INDEX(TYP_LEAD,MATCH($A262,TYP_TYPE,0))),IF(INDEX(MS_PLAN,MATCH(INDEX(TYP_ANCHOR,MATCH($A262,TYP_TYPE,0)),MS_NOM,0))="","",INDEX(MS_PLAN,MATCH(INDEX(TYP_ANCHOR,MATCH($A262,TYP_TYPE,0)),MS_NOM,0))-INDEX(TYP_LEAD,MATCH($A262,TYP_TYPE,0)))),""))</f>
        <v/>
      </c>
      <c r="T262" s="26">
        <f>IF(OR($A262="",$E262=""),0,IF($V262=1,0,1))</f>
        <v/>
      </c>
      <c r="U262" s="26">
        <f>IF($T262=0,0,IF($M262&lt;&gt;"",1,IF(IFERROR(INDEX(WF_CLASS,MATCH($H262,WF_CODE,0)),"")="Done",1,0)))</f>
        <v/>
      </c>
      <c r="V262" s="26">
        <f>IF(OR($A262="",$E262=""),0,IF(IFERROR(INDEX(WF_CLASS,MATCH($H262,WF_CODE,0)),"")="Inactive",1,0))</f>
        <v/>
      </c>
      <c r="W262" s="24">
        <f>IF($A262="","",IFERROR(INDEX(TYP_PHASE,MATCH($A262,TYP_TYPE,0)),"-"))</f>
        <v/>
      </c>
      <c r="X262" s="24">
        <f>IF(AND($T262=1,$U262=0,N($N262)&gt;0),$N262+ROW()/1000000,"")</f>
        <v/>
      </c>
      <c r="Y262" s="24">
        <f>IF(AND($T262=1,$U262=0,OR($I262&lt;&gt;"",N($N262)&gt;0)),N($N262)+ROW()/1000000,"")</f>
        <v/>
      </c>
      <c r="Z262" s="24">
        <f>IF(AND($T262=1,$U262=0,$I262="",N($N262)&lt;=0,-N($N262)&lt;=HORIZON),N($N262)+ROW()/1000000,"")</f>
        <v/>
      </c>
    </row>
    <row r="263">
      <c r="A263" s="21" t="n"/>
      <c r="B263" s="21" t="n"/>
      <c r="C263" s="21" t="n"/>
      <c r="D263" s="21" t="n"/>
      <c r="E263" s="21" t="n"/>
      <c r="F263" s="21" t="n"/>
      <c r="G263" s="21" t="n"/>
      <c r="H263" s="21" t="n"/>
      <c r="I263" s="22" t="n"/>
      <c r="J263" s="22" t="n"/>
      <c r="K263" s="23">
        <f>IF($A263="","",IF($J263&lt;&gt;"",$J263,$S263))</f>
        <v/>
      </c>
      <c r="L263" s="24">
        <f>IF(OR($A263="",$E263=""),"",IF($J263&lt;&gt;"","Manual",IF($S263="","-","Auto")))</f>
        <v/>
      </c>
      <c r="M263" s="22" t="n"/>
      <c r="N263" s="25">
        <f>IF($T263=0,"",IF($U263=1,IF($M263="","",$M263-$K263),IF($K263="","",TODAY()-$K263)))</f>
        <v/>
      </c>
      <c r="O263" s="24">
        <f>IF(OR($A263="",$E263=""),"",IF($V263=1,S_INACT,IF(ISNA(MATCH($A263,TYP_TYPE,0)),S_TYPEKO,IF($U263=1,S_DONE,IF(AND($K263="",$R263=""),S_NOSCOPE,IF($K263="",S_NOTARGET,IF($N263&gt;0,S_LATE,IF($I263&lt;&gt;"",S_WIP,IF(-$N263&lt;=FEN_DOC,S_RISK,IF(-$N263&lt;=HORIZON,S_COMING,S_NOTYET))))))))))</f>
        <v/>
      </c>
      <c r="P263" s="24">
        <f>IF(OR($A263="",$E263=""),"",IF($V263=1,"",IF(ISNA(MATCH($A263,TYP_TYPE,0)),"Type not in the library",IF($B263="","Scope not set",IF(AND($B263="System",$C263=""),"System not set",IF(AND($B263="Equipment",$D263=""),"Equipment not set",IF($F263="","Responsible not set",IF($K263="","No target date",IF(AND($B263="Equipment",$C263&lt;&gt;"",IFERROR(INDEX(EQP_SYS,MATCH($D263,EQP_NOM,0)),"")&lt;&gt;$C263),"Equipment not in that system",IF(AND($U263=1,$M263=""),"Approved with no approval date",""))))))))))</f>
        <v/>
      </c>
      <c r="Q263" s="21" t="n"/>
      <c r="R263" s="23">
        <f>IF(OR($A263="",$B263=""),"",IF($B263="Equipment",IFERROR(INDEX(EQP_START,MATCH($D263,EQP_NOM,0)),""),IF($B263="System",IFERROR(INDEX(SYS_EARLIEST,MATCH($C263,SYS_ID,0)),""),IF($B263="All",CTR_EARLIEST,""))))</f>
        <v/>
      </c>
      <c r="S263" s="23">
        <f>IF(OR($A263="",$E263=""),"",IFERROR(IF(INDEX(TYP_ANCHOR,MATCH($A263,TYP_TYPE,0))="Commissioning Start",IF($R263="","",$R263-INDEX(TYP_LEAD,MATCH($A263,TYP_TYPE,0))),IF(INDEX(MS_PLAN,MATCH(INDEX(TYP_ANCHOR,MATCH($A263,TYP_TYPE,0)),MS_NOM,0))="","",INDEX(MS_PLAN,MATCH(INDEX(TYP_ANCHOR,MATCH($A263,TYP_TYPE,0)),MS_NOM,0))-INDEX(TYP_LEAD,MATCH($A263,TYP_TYPE,0)))),""))</f>
        <v/>
      </c>
      <c r="T263" s="26">
        <f>IF(OR($A263="",$E263=""),0,IF($V263=1,0,1))</f>
        <v/>
      </c>
      <c r="U263" s="26">
        <f>IF($T263=0,0,IF($M263&lt;&gt;"",1,IF(IFERROR(INDEX(WF_CLASS,MATCH($H263,WF_CODE,0)),"")="Done",1,0)))</f>
        <v/>
      </c>
      <c r="V263" s="26">
        <f>IF(OR($A263="",$E263=""),0,IF(IFERROR(INDEX(WF_CLASS,MATCH($H263,WF_CODE,0)),"")="Inactive",1,0))</f>
        <v/>
      </c>
      <c r="W263" s="24">
        <f>IF($A263="","",IFERROR(INDEX(TYP_PHASE,MATCH($A263,TYP_TYPE,0)),"-"))</f>
        <v/>
      </c>
      <c r="X263" s="24">
        <f>IF(AND($T263=1,$U263=0,N($N263)&gt;0),$N263+ROW()/1000000,"")</f>
        <v/>
      </c>
      <c r="Y263" s="24">
        <f>IF(AND($T263=1,$U263=0,OR($I263&lt;&gt;"",N($N263)&gt;0)),N($N263)+ROW()/1000000,"")</f>
        <v/>
      </c>
      <c r="Z263" s="24">
        <f>IF(AND($T263=1,$U263=0,$I263="",N($N263)&lt;=0,-N($N263)&lt;=HORIZON),N($N263)+ROW()/1000000,"")</f>
        <v/>
      </c>
    </row>
    <row r="264">
      <c r="A264" s="21" t="n"/>
      <c r="B264" s="21" t="n"/>
      <c r="C264" s="21" t="n"/>
      <c r="D264" s="21" t="n"/>
      <c r="E264" s="21" t="n"/>
      <c r="F264" s="21" t="n"/>
      <c r="G264" s="21" t="n"/>
      <c r="H264" s="21" t="n"/>
      <c r="I264" s="22" t="n"/>
      <c r="J264" s="22" t="n"/>
      <c r="K264" s="23">
        <f>IF($A264="","",IF($J264&lt;&gt;"",$J264,$S264))</f>
        <v/>
      </c>
      <c r="L264" s="24">
        <f>IF(OR($A264="",$E264=""),"",IF($J264&lt;&gt;"","Manual",IF($S264="","-","Auto")))</f>
        <v/>
      </c>
      <c r="M264" s="22" t="n"/>
      <c r="N264" s="25">
        <f>IF($T264=0,"",IF($U264=1,IF($M264="","",$M264-$K264),IF($K264="","",TODAY()-$K264)))</f>
        <v/>
      </c>
      <c r="O264" s="24">
        <f>IF(OR($A264="",$E264=""),"",IF($V264=1,S_INACT,IF(ISNA(MATCH($A264,TYP_TYPE,0)),S_TYPEKO,IF($U264=1,S_DONE,IF(AND($K264="",$R264=""),S_NOSCOPE,IF($K264="",S_NOTARGET,IF($N264&gt;0,S_LATE,IF($I264&lt;&gt;"",S_WIP,IF(-$N264&lt;=FEN_DOC,S_RISK,IF(-$N264&lt;=HORIZON,S_COMING,S_NOTYET))))))))))</f>
        <v/>
      </c>
      <c r="P264" s="24">
        <f>IF(OR($A264="",$E264=""),"",IF($V264=1,"",IF(ISNA(MATCH($A264,TYP_TYPE,0)),"Type not in the library",IF($B264="","Scope not set",IF(AND($B264="System",$C264=""),"System not set",IF(AND($B264="Equipment",$D264=""),"Equipment not set",IF($F264="","Responsible not set",IF($K264="","No target date",IF(AND($B264="Equipment",$C264&lt;&gt;"",IFERROR(INDEX(EQP_SYS,MATCH($D264,EQP_NOM,0)),"")&lt;&gt;$C264),"Equipment not in that system",IF(AND($U264=1,$M264=""),"Approved with no approval date",""))))))))))</f>
        <v/>
      </c>
      <c r="Q264" s="21" t="n"/>
      <c r="R264" s="23">
        <f>IF(OR($A264="",$B264=""),"",IF($B264="Equipment",IFERROR(INDEX(EQP_START,MATCH($D264,EQP_NOM,0)),""),IF($B264="System",IFERROR(INDEX(SYS_EARLIEST,MATCH($C264,SYS_ID,0)),""),IF($B264="All",CTR_EARLIEST,""))))</f>
        <v/>
      </c>
      <c r="S264" s="23">
        <f>IF(OR($A264="",$E264=""),"",IFERROR(IF(INDEX(TYP_ANCHOR,MATCH($A264,TYP_TYPE,0))="Commissioning Start",IF($R264="","",$R264-INDEX(TYP_LEAD,MATCH($A264,TYP_TYPE,0))),IF(INDEX(MS_PLAN,MATCH(INDEX(TYP_ANCHOR,MATCH($A264,TYP_TYPE,0)),MS_NOM,0))="","",INDEX(MS_PLAN,MATCH(INDEX(TYP_ANCHOR,MATCH($A264,TYP_TYPE,0)),MS_NOM,0))-INDEX(TYP_LEAD,MATCH($A264,TYP_TYPE,0)))),""))</f>
        <v/>
      </c>
      <c r="T264" s="26">
        <f>IF(OR($A264="",$E264=""),0,IF($V264=1,0,1))</f>
        <v/>
      </c>
      <c r="U264" s="26">
        <f>IF($T264=0,0,IF($M264&lt;&gt;"",1,IF(IFERROR(INDEX(WF_CLASS,MATCH($H264,WF_CODE,0)),"")="Done",1,0)))</f>
        <v/>
      </c>
      <c r="V264" s="26">
        <f>IF(OR($A264="",$E264=""),0,IF(IFERROR(INDEX(WF_CLASS,MATCH($H264,WF_CODE,0)),"")="Inactive",1,0))</f>
        <v/>
      </c>
      <c r="W264" s="24">
        <f>IF($A264="","",IFERROR(INDEX(TYP_PHASE,MATCH($A264,TYP_TYPE,0)),"-"))</f>
        <v/>
      </c>
      <c r="X264" s="24">
        <f>IF(AND($T264=1,$U264=0,N($N264)&gt;0),$N264+ROW()/1000000,"")</f>
        <v/>
      </c>
      <c r="Y264" s="24">
        <f>IF(AND($T264=1,$U264=0,OR($I264&lt;&gt;"",N($N264)&gt;0)),N($N264)+ROW()/1000000,"")</f>
        <v/>
      </c>
      <c r="Z264" s="24">
        <f>IF(AND($T264=1,$U264=0,$I264="",N($N264)&lt;=0,-N($N264)&lt;=HORIZON),N($N264)+ROW()/1000000,"")</f>
        <v/>
      </c>
    </row>
    <row r="265">
      <c r="A265" s="21" t="n"/>
      <c r="B265" s="21" t="n"/>
      <c r="C265" s="21" t="n"/>
      <c r="D265" s="21" t="n"/>
      <c r="E265" s="21" t="n"/>
      <c r="F265" s="21" t="n"/>
      <c r="G265" s="21" t="n"/>
      <c r="H265" s="21" t="n"/>
      <c r="I265" s="22" t="n"/>
      <c r="J265" s="22" t="n"/>
      <c r="K265" s="23">
        <f>IF($A265="","",IF($J265&lt;&gt;"",$J265,$S265))</f>
        <v/>
      </c>
      <c r="L265" s="24">
        <f>IF(OR($A265="",$E265=""),"",IF($J265&lt;&gt;"","Manual",IF($S265="","-","Auto")))</f>
        <v/>
      </c>
      <c r="M265" s="22" t="n"/>
      <c r="N265" s="25">
        <f>IF($T265=0,"",IF($U265=1,IF($M265="","",$M265-$K265),IF($K265="","",TODAY()-$K265)))</f>
        <v/>
      </c>
      <c r="O265" s="24">
        <f>IF(OR($A265="",$E265=""),"",IF($V265=1,S_INACT,IF(ISNA(MATCH($A265,TYP_TYPE,0)),S_TYPEKO,IF($U265=1,S_DONE,IF(AND($K265="",$R265=""),S_NOSCOPE,IF($K265="",S_NOTARGET,IF($N265&gt;0,S_LATE,IF($I265&lt;&gt;"",S_WIP,IF(-$N265&lt;=FEN_DOC,S_RISK,IF(-$N265&lt;=HORIZON,S_COMING,S_NOTYET))))))))))</f>
        <v/>
      </c>
      <c r="P265" s="24">
        <f>IF(OR($A265="",$E265=""),"",IF($V265=1,"",IF(ISNA(MATCH($A265,TYP_TYPE,0)),"Type not in the library",IF($B265="","Scope not set",IF(AND($B265="System",$C265=""),"System not set",IF(AND($B265="Equipment",$D265=""),"Equipment not set",IF($F265="","Responsible not set",IF($K265="","No target date",IF(AND($B265="Equipment",$C265&lt;&gt;"",IFERROR(INDEX(EQP_SYS,MATCH($D265,EQP_NOM,0)),"")&lt;&gt;$C265),"Equipment not in that system",IF(AND($U265=1,$M265=""),"Approved with no approval date",""))))))))))</f>
        <v/>
      </c>
      <c r="Q265" s="21" t="n"/>
      <c r="R265" s="23">
        <f>IF(OR($A265="",$B265=""),"",IF($B265="Equipment",IFERROR(INDEX(EQP_START,MATCH($D265,EQP_NOM,0)),""),IF($B265="System",IFERROR(INDEX(SYS_EARLIEST,MATCH($C265,SYS_ID,0)),""),IF($B265="All",CTR_EARLIEST,""))))</f>
        <v/>
      </c>
      <c r="S265" s="23">
        <f>IF(OR($A265="",$E265=""),"",IFERROR(IF(INDEX(TYP_ANCHOR,MATCH($A265,TYP_TYPE,0))="Commissioning Start",IF($R265="","",$R265-INDEX(TYP_LEAD,MATCH($A265,TYP_TYPE,0))),IF(INDEX(MS_PLAN,MATCH(INDEX(TYP_ANCHOR,MATCH($A265,TYP_TYPE,0)),MS_NOM,0))="","",INDEX(MS_PLAN,MATCH(INDEX(TYP_ANCHOR,MATCH($A265,TYP_TYPE,0)),MS_NOM,0))-INDEX(TYP_LEAD,MATCH($A265,TYP_TYPE,0)))),""))</f>
        <v/>
      </c>
      <c r="T265" s="26">
        <f>IF(OR($A265="",$E265=""),0,IF($V265=1,0,1))</f>
        <v/>
      </c>
      <c r="U265" s="26">
        <f>IF($T265=0,0,IF($M265&lt;&gt;"",1,IF(IFERROR(INDEX(WF_CLASS,MATCH($H265,WF_CODE,0)),"")="Done",1,0)))</f>
        <v/>
      </c>
      <c r="V265" s="26">
        <f>IF(OR($A265="",$E265=""),0,IF(IFERROR(INDEX(WF_CLASS,MATCH($H265,WF_CODE,0)),"")="Inactive",1,0))</f>
        <v/>
      </c>
      <c r="W265" s="24">
        <f>IF($A265="","",IFERROR(INDEX(TYP_PHASE,MATCH($A265,TYP_TYPE,0)),"-"))</f>
        <v/>
      </c>
      <c r="X265" s="24">
        <f>IF(AND($T265=1,$U265=0,N($N265)&gt;0),$N265+ROW()/1000000,"")</f>
        <v/>
      </c>
      <c r="Y265" s="24">
        <f>IF(AND($T265=1,$U265=0,OR($I265&lt;&gt;"",N($N265)&gt;0)),N($N265)+ROW()/1000000,"")</f>
        <v/>
      </c>
      <c r="Z265" s="24">
        <f>IF(AND($T265=1,$U265=0,$I265="",N($N265)&lt;=0,-N($N265)&lt;=HORIZON),N($N265)+ROW()/1000000,"")</f>
        <v/>
      </c>
    </row>
    <row r="266">
      <c r="A266" s="21" t="n"/>
      <c r="B266" s="21" t="n"/>
      <c r="C266" s="21" t="n"/>
      <c r="D266" s="21" t="n"/>
      <c r="E266" s="21" t="n"/>
      <c r="F266" s="21" t="n"/>
      <c r="G266" s="21" t="n"/>
      <c r="H266" s="21" t="n"/>
      <c r="I266" s="22" t="n"/>
      <c r="J266" s="22" t="n"/>
      <c r="K266" s="23">
        <f>IF($A266="","",IF($J266&lt;&gt;"",$J266,$S266))</f>
        <v/>
      </c>
      <c r="L266" s="24">
        <f>IF(OR($A266="",$E266=""),"",IF($J266&lt;&gt;"","Manual",IF($S266="","-","Auto")))</f>
        <v/>
      </c>
      <c r="M266" s="22" t="n"/>
      <c r="N266" s="25">
        <f>IF($T266=0,"",IF($U266=1,IF($M266="","",$M266-$K266),IF($K266="","",TODAY()-$K266)))</f>
        <v/>
      </c>
      <c r="O266" s="24">
        <f>IF(OR($A266="",$E266=""),"",IF($V266=1,S_INACT,IF(ISNA(MATCH($A266,TYP_TYPE,0)),S_TYPEKO,IF($U266=1,S_DONE,IF(AND($K266="",$R266=""),S_NOSCOPE,IF($K266="",S_NOTARGET,IF($N266&gt;0,S_LATE,IF($I266&lt;&gt;"",S_WIP,IF(-$N266&lt;=FEN_DOC,S_RISK,IF(-$N266&lt;=HORIZON,S_COMING,S_NOTYET))))))))))</f>
        <v/>
      </c>
      <c r="P266" s="24">
        <f>IF(OR($A266="",$E266=""),"",IF($V266=1,"",IF(ISNA(MATCH($A266,TYP_TYPE,0)),"Type not in the library",IF($B266="","Scope not set",IF(AND($B266="System",$C266=""),"System not set",IF(AND($B266="Equipment",$D266=""),"Equipment not set",IF($F266="","Responsible not set",IF($K266="","No target date",IF(AND($B266="Equipment",$C266&lt;&gt;"",IFERROR(INDEX(EQP_SYS,MATCH($D266,EQP_NOM,0)),"")&lt;&gt;$C266),"Equipment not in that system",IF(AND($U266=1,$M266=""),"Approved with no approval date",""))))))))))</f>
        <v/>
      </c>
      <c r="Q266" s="21" t="n"/>
      <c r="R266" s="23">
        <f>IF(OR($A266="",$B266=""),"",IF($B266="Equipment",IFERROR(INDEX(EQP_START,MATCH($D266,EQP_NOM,0)),""),IF($B266="System",IFERROR(INDEX(SYS_EARLIEST,MATCH($C266,SYS_ID,0)),""),IF($B266="All",CTR_EARLIEST,""))))</f>
        <v/>
      </c>
      <c r="S266" s="23">
        <f>IF(OR($A266="",$E266=""),"",IFERROR(IF(INDEX(TYP_ANCHOR,MATCH($A266,TYP_TYPE,0))="Commissioning Start",IF($R266="","",$R266-INDEX(TYP_LEAD,MATCH($A266,TYP_TYPE,0))),IF(INDEX(MS_PLAN,MATCH(INDEX(TYP_ANCHOR,MATCH($A266,TYP_TYPE,0)),MS_NOM,0))="","",INDEX(MS_PLAN,MATCH(INDEX(TYP_ANCHOR,MATCH($A266,TYP_TYPE,0)),MS_NOM,0))-INDEX(TYP_LEAD,MATCH($A266,TYP_TYPE,0)))),""))</f>
        <v/>
      </c>
      <c r="T266" s="26">
        <f>IF(OR($A266="",$E266=""),0,IF($V266=1,0,1))</f>
        <v/>
      </c>
      <c r="U266" s="26">
        <f>IF($T266=0,0,IF($M266&lt;&gt;"",1,IF(IFERROR(INDEX(WF_CLASS,MATCH($H266,WF_CODE,0)),"")="Done",1,0)))</f>
        <v/>
      </c>
      <c r="V266" s="26">
        <f>IF(OR($A266="",$E266=""),0,IF(IFERROR(INDEX(WF_CLASS,MATCH($H266,WF_CODE,0)),"")="Inactive",1,0))</f>
        <v/>
      </c>
      <c r="W266" s="24">
        <f>IF($A266="","",IFERROR(INDEX(TYP_PHASE,MATCH($A266,TYP_TYPE,0)),"-"))</f>
        <v/>
      </c>
      <c r="X266" s="24">
        <f>IF(AND($T266=1,$U266=0,N($N266)&gt;0),$N266+ROW()/1000000,"")</f>
        <v/>
      </c>
      <c r="Y266" s="24">
        <f>IF(AND($T266=1,$U266=0,OR($I266&lt;&gt;"",N($N266)&gt;0)),N($N266)+ROW()/1000000,"")</f>
        <v/>
      </c>
      <c r="Z266" s="24">
        <f>IF(AND($T266=1,$U266=0,$I266="",N($N266)&lt;=0,-N($N266)&lt;=HORIZON),N($N266)+ROW()/1000000,"")</f>
        <v/>
      </c>
    </row>
    <row r="267">
      <c r="A267" s="21" t="n"/>
      <c r="B267" s="21" t="n"/>
      <c r="C267" s="21" t="n"/>
      <c r="D267" s="21" t="n"/>
      <c r="E267" s="21" t="n"/>
      <c r="F267" s="21" t="n"/>
      <c r="G267" s="21" t="n"/>
      <c r="H267" s="21" t="n"/>
      <c r="I267" s="22" t="n"/>
      <c r="J267" s="22" t="n"/>
      <c r="K267" s="23">
        <f>IF($A267="","",IF($J267&lt;&gt;"",$J267,$S267))</f>
        <v/>
      </c>
      <c r="L267" s="24">
        <f>IF(OR($A267="",$E267=""),"",IF($J267&lt;&gt;"","Manual",IF($S267="","-","Auto")))</f>
        <v/>
      </c>
      <c r="M267" s="22" t="n"/>
      <c r="N267" s="25">
        <f>IF($T267=0,"",IF($U267=1,IF($M267="","",$M267-$K267),IF($K267="","",TODAY()-$K267)))</f>
        <v/>
      </c>
      <c r="O267" s="24">
        <f>IF(OR($A267="",$E267=""),"",IF($V267=1,S_INACT,IF(ISNA(MATCH($A267,TYP_TYPE,0)),S_TYPEKO,IF($U267=1,S_DONE,IF(AND($K267="",$R267=""),S_NOSCOPE,IF($K267="",S_NOTARGET,IF($N267&gt;0,S_LATE,IF($I267&lt;&gt;"",S_WIP,IF(-$N267&lt;=FEN_DOC,S_RISK,IF(-$N267&lt;=HORIZON,S_COMING,S_NOTYET))))))))))</f>
        <v/>
      </c>
      <c r="P267" s="24">
        <f>IF(OR($A267="",$E267=""),"",IF($V267=1,"",IF(ISNA(MATCH($A267,TYP_TYPE,0)),"Type not in the library",IF($B267="","Scope not set",IF(AND($B267="System",$C267=""),"System not set",IF(AND($B267="Equipment",$D267=""),"Equipment not set",IF($F267="","Responsible not set",IF($K267="","No target date",IF(AND($B267="Equipment",$C267&lt;&gt;"",IFERROR(INDEX(EQP_SYS,MATCH($D267,EQP_NOM,0)),"")&lt;&gt;$C267),"Equipment not in that system",IF(AND($U267=1,$M267=""),"Approved with no approval date",""))))))))))</f>
        <v/>
      </c>
      <c r="Q267" s="21" t="n"/>
      <c r="R267" s="23">
        <f>IF(OR($A267="",$B267=""),"",IF($B267="Equipment",IFERROR(INDEX(EQP_START,MATCH($D267,EQP_NOM,0)),""),IF($B267="System",IFERROR(INDEX(SYS_EARLIEST,MATCH($C267,SYS_ID,0)),""),IF($B267="All",CTR_EARLIEST,""))))</f>
        <v/>
      </c>
      <c r="S267" s="23">
        <f>IF(OR($A267="",$E267=""),"",IFERROR(IF(INDEX(TYP_ANCHOR,MATCH($A267,TYP_TYPE,0))="Commissioning Start",IF($R267="","",$R267-INDEX(TYP_LEAD,MATCH($A267,TYP_TYPE,0))),IF(INDEX(MS_PLAN,MATCH(INDEX(TYP_ANCHOR,MATCH($A267,TYP_TYPE,0)),MS_NOM,0))="","",INDEX(MS_PLAN,MATCH(INDEX(TYP_ANCHOR,MATCH($A267,TYP_TYPE,0)),MS_NOM,0))-INDEX(TYP_LEAD,MATCH($A267,TYP_TYPE,0)))),""))</f>
        <v/>
      </c>
      <c r="T267" s="26">
        <f>IF(OR($A267="",$E267=""),0,IF($V267=1,0,1))</f>
        <v/>
      </c>
      <c r="U267" s="26">
        <f>IF($T267=0,0,IF($M267&lt;&gt;"",1,IF(IFERROR(INDEX(WF_CLASS,MATCH($H267,WF_CODE,0)),"")="Done",1,0)))</f>
        <v/>
      </c>
      <c r="V267" s="26">
        <f>IF(OR($A267="",$E267=""),0,IF(IFERROR(INDEX(WF_CLASS,MATCH($H267,WF_CODE,0)),"")="Inactive",1,0))</f>
        <v/>
      </c>
      <c r="W267" s="24">
        <f>IF($A267="","",IFERROR(INDEX(TYP_PHASE,MATCH($A267,TYP_TYPE,0)),"-"))</f>
        <v/>
      </c>
      <c r="X267" s="24">
        <f>IF(AND($T267=1,$U267=0,N($N267)&gt;0),$N267+ROW()/1000000,"")</f>
        <v/>
      </c>
      <c r="Y267" s="24">
        <f>IF(AND($T267=1,$U267=0,OR($I267&lt;&gt;"",N($N267)&gt;0)),N($N267)+ROW()/1000000,"")</f>
        <v/>
      </c>
      <c r="Z267" s="24">
        <f>IF(AND($T267=1,$U267=0,$I267="",N($N267)&lt;=0,-N($N267)&lt;=HORIZON),N($N267)+ROW()/1000000,"")</f>
        <v/>
      </c>
    </row>
    <row r="268">
      <c r="A268" s="21" t="n"/>
      <c r="B268" s="21" t="n"/>
      <c r="C268" s="21" t="n"/>
      <c r="D268" s="21" t="n"/>
      <c r="E268" s="21" t="n"/>
      <c r="F268" s="21" t="n"/>
      <c r="G268" s="21" t="n"/>
      <c r="H268" s="21" t="n"/>
      <c r="I268" s="22" t="n"/>
      <c r="J268" s="22" t="n"/>
      <c r="K268" s="23">
        <f>IF($A268="","",IF($J268&lt;&gt;"",$J268,$S268))</f>
        <v/>
      </c>
      <c r="L268" s="24">
        <f>IF(OR($A268="",$E268=""),"",IF($J268&lt;&gt;"","Manual",IF($S268="","-","Auto")))</f>
        <v/>
      </c>
      <c r="M268" s="22" t="n"/>
      <c r="N268" s="25">
        <f>IF($T268=0,"",IF($U268=1,IF($M268="","",$M268-$K268),IF($K268="","",TODAY()-$K268)))</f>
        <v/>
      </c>
      <c r="O268" s="24">
        <f>IF(OR($A268="",$E268=""),"",IF($V268=1,S_INACT,IF(ISNA(MATCH($A268,TYP_TYPE,0)),S_TYPEKO,IF($U268=1,S_DONE,IF(AND($K268="",$R268=""),S_NOSCOPE,IF($K268="",S_NOTARGET,IF($N268&gt;0,S_LATE,IF($I268&lt;&gt;"",S_WIP,IF(-$N268&lt;=FEN_DOC,S_RISK,IF(-$N268&lt;=HORIZON,S_COMING,S_NOTYET))))))))))</f>
        <v/>
      </c>
      <c r="P268" s="24">
        <f>IF(OR($A268="",$E268=""),"",IF($V268=1,"",IF(ISNA(MATCH($A268,TYP_TYPE,0)),"Type not in the library",IF($B268="","Scope not set",IF(AND($B268="System",$C268=""),"System not set",IF(AND($B268="Equipment",$D268=""),"Equipment not set",IF($F268="","Responsible not set",IF($K268="","No target date",IF(AND($B268="Equipment",$C268&lt;&gt;"",IFERROR(INDEX(EQP_SYS,MATCH($D268,EQP_NOM,0)),"")&lt;&gt;$C268),"Equipment not in that system",IF(AND($U268=1,$M268=""),"Approved with no approval date",""))))))))))</f>
        <v/>
      </c>
      <c r="Q268" s="21" t="n"/>
      <c r="R268" s="23">
        <f>IF(OR($A268="",$B268=""),"",IF($B268="Equipment",IFERROR(INDEX(EQP_START,MATCH($D268,EQP_NOM,0)),""),IF($B268="System",IFERROR(INDEX(SYS_EARLIEST,MATCH($C268,SYS_ID,0)),""),IF($B268="All",CTR_EARLIEST,""))))</f>
        <v/>
      </c>
      <c r="S268" s="23">
        <f>IF(OR($A268="",$E268=""),"",IFERROR(IF(INDEX(TYP_ANCHOR,MATCH($A268,TYP_TYPE,0))="Commissioning Start",IF($R268="","",$R268-INDEX(TYP_LEAD,MATCH($A268,TYP_TYPE,0))),IF(INDEX(MS_PLAN,MATCH(INDEX(TYP_ANCHOR,MATCH($A268,TYP_TYPE,0)),MS_NOM,0))="","",INDEX(MS_PLAN,MATCH(INDEX(TYP_ANCHOR,MATCH($A268,TYP_TYPE,0)),MS_NOM,0))-INDEX(TYP_LEAD,MATCH($A268,TYP_TYPE,0)))),""))</f>
        <v/>
      </c>
      <c r="T268" s="26">
        <f>IF(OR($A268="",$E268=""),0,IF($V268=1,0,1))</f>
        <v/>
      </c>
      <c r="U268" s="26">
        <f>IF($T268=0,0,IF($M268&lt;&gt;"",1,IF(IFERROR(INDEX(WF_CLASS,MATCH($H268,WF_CODE,0)),"")="Done",1,0)))</f>
        <v/>
      </c>
      <c r="V268" s="26">
        <f>IF(OR($A268="",$E268=""),0,IF(IFERROR(INDEX(WF_CLASS,MATCH($H268,WF_CODE,0)),"")="Inactive",1,0))</f>
        <v/>
      </c>
      <c r="W268" s="24">
        <f>IF($A268="","",IFERROR(INDEX(TYP_PHASE,MATCH($A268,TYP_TYPE,0)),"-"))</f>
        <v/>
      </c>
      <c r="X268" s="24">
        <f>IF(AND($T268=1,$U268=0,N($N268)&gt;0),$N268+ROW()/1000000,"")</f>
        <v/>
      </c>
      <c r="Y268" s="24">
        <f>IF(AND($T268=1,$U268=0,OR($I268&lt;&gt;"",N($N268)&gt;0)),N($N268)+ROW()/1000000,"")</f>
        <v/>
      </c>
      <c r="Z268" s="24">
        <f>IF(AND($T268=1,$U268=0,$I268="",N($N268)&lt;=0,-N($N268)&lt;=HORIZON),N($N268)+ROW()/1000000,"")</f>
        <v/>
      </c>
    </row>
    <row r="269">
      <c r="A269" s="21" t="n"/>
      <c r="B269" s="21" t="n"/>
      <c r="C269" s="21" t="n"/>
      <c r="D269" s="21" t="n"/>
      <c r="E269" s="21" t="n"/>
      <c r="F269" s="21" t="n"/>
      <c r="G269" s="21" t="n"/>
      <c r="H269" s="21" t="n"/>
      <c r="I269" s="22" t="n"/>
      <c r="J269" s="22" t="n"/>
      <c r="K269" s="23">
        <f>IF($A269="","",IF($J269&lt;&gt;"",$J269,$S269))</f>
        <v/>
      </c>
      <c r="L269" s="24">
        <f>IF(OR($A269="",$E269=""),"",IF($J269&lt;&gt;"","Manual",IF($S269="","-","Auto")))</f>
        <v/>
      </c>
      <c r="M269" s="22" t="n"/>
      <c r="N269" s="25">
        <f>IF($T269=0,"",IF($U269=1,IF($M269="","",$M269-$K269),IF($K269="","",TODAY()-$K269)))</f>
        <v/>
      </c>
      <c r="O269" s="24">
        <f>IF(OR($A269="",$E269=""),"",IF($V269=1,S_INACT,IF(ISNA(MATCH($A269,TYP_TYPE,0)),S_TYPEKO,IF($U269=1,S_DONE,IF(AND($K269="",$R269=""),S_NOSCOPE,IF($K269="",S_NOTARGET,IF($N269&gt;0,S_LATE,IF($I269&lt;&gt;"",S_WIP,IF(-$N269&lt;=FEN_DOC,S_RISK,IF(-$N269&lt;=HORIZON,S_COMING,S_NOTYET))))))))))</f>
        <v/>
      </c>
      <c r="P269" s="24">
        <f>IF(OR($A269="",$E269=""),"",IF($V269=1,"",IF(ISNA(MATCH($A269,TYP_TYPE,0)),"Type not in the library",IF($B269="","Scope not set",IF(AND($B269="System",$C269=""),"System not set",IF(AND($B269="Equipment",$D269=""),"Equipment not set",IF($F269="","Responsible not set",IF($K269="","No target date",IF(AND($B269="Equipment",$C269&lt;&gt;"",IFERROR(INDEX(EQP_SYS,MATCH($D269,EQP_NOM,0)),"")&lt;&gt;$C269),"Equipment not in that system",IF(AND($U269=1,$M269=""),"Approved with no approval date",""))))))))))</f>
        <v/>
      </c>
      <c r="Q269" s="21" t="n"/>
      <c r="R269" s="23">
        <f>IF(OR($A269="",$B269=""),"",IF($B269="Equipment",IFERROR(INDEX(EQP_START,MATCH($D269,EQP_NOM,0)),""),IF($B269="System",IFERROR(INDEX(SYS_EARLIEST,MATCH($C269,SYS_ID,0)),""),IF($B269="All",CTR_EARLIEST,""))))</f>
        <v/>
      </c>
      <c r="S269" s="23">
        <f>IF(OR($A269="",$E269=""),"",IFERROR(IF(INDEX(TYP_ANCHOR,MATCH($A269,TYP_TYPE,0))="Commissioning Start",IF($R269="","",$R269-INDEX(TYP_LEAD,MATCH($A269,TYP_TYPE,0))),IF(INDEX(MS_PLAN,MATCH(INDEX(TYP_ANCHOR,MATCH($A269,TYP_TYPE,0)),MS_NOM,0))="","",INDEX(MS_PLAN,MATCH(INDEX(TYP_ANCHOR,MATCH($A269,TYP_TYPE,0)),MS_NOM,0))-INDEX(TYP_LEAD,MATCH($A269,TYP_TYPE,0)))),""))</f>
        <v/>
      </c>
      <c r="T269" s="26">
        <f>IF(OR($A269="",$E269=""),0,IF($V269=1,0,1))</f>
        <v/>
      </c>
      <c r="U269" s="26">
        <f>IF($T269=0,0,IF($M269&lt;&gt;"",1,IF(IFERROR(INDEX(WF_CLASS,MATCH($H269,WF_CODE,0)),"")="Done",1,0)))</f>
        <v/>
      </c>
      <c r="V269" s="26">
        <f>IF(OR($A269="",$E269=""),0,IF(IFERROR(INDEX(WF_CLASS,MATCH($H269,WF_CODE,0)),"")="Inactive",1,0))</f>
        <v/>
      </c>
      <c r="W269" s="24">
        <f>IF($A269="","",IFERROR(INDEX(TYP_PHASE,MATCH($A269,TYP_TYPE,0)),"-"))</f>
        <v/>
      </c>
      <c r="X269" s="24">
        <f>IF(AND($T269=1,$U269=0,N($N269)&gt;0),$N269+ROW()/1000000,"")</f>
        <v/>
      </c>
      <c r="Y269" s="24">
        <f>IF(AND($T269=1,$U269=0,OR($I269&lt;&gt;"",N($N269)&gt;0)),N($N269)+ROW()/1000000,"")</f>
        <v/>
      </c>
      <c r="Z269" s="24">
        <f>IF(AND($T269=1,$U269=0,$I269="",N($N269)&lt;=0,-N($N269)&lt;=HORIZON),N($N269)+ROW()/1000000,"")</f>
        <v/>
      </c>
    </row>
    <row r="270">
      <c r="A270" s="21" t="n"/>
      <c r="B270" s="21" t="n"/>
      <c r="C270" s="21" t="n"/>
      <c r="D270" s="21" t="n"/>
      <c r="E270" s="21" t="n"/>
      <c r="F270" s="21" t="n"/>
      <c r="G270" s="21" t="n"/>
      <c r="H270" s="21" t="n"/>
      <c r="I270" s="22" t="n"/>
      <c r="J270" s="22" t="n"/>
      <c r="K270" s="23">
        <f>IF($A270="","",IF($J270&lt;&gt;"",$J270,$S270))</f>
        <v/>
      </c>
      <c r="L270" s="24">
        <f>IF(OR($A270="",$E270=""),"",IF($J270&lt;&gt;"","Manual",IF($S270="","-","Auto")))</f>
        <v/>
      </c>
      <c r="M270" s="22" t="n"/>
      <c r="N270" s="25">
        <f>IF($T270=0,"",IF($U270=1,IF($M270="","",$M270-$K270),IF($K270="","",TODAY()-$K270)))</f>
        <v/>
      </c>
      <c r="O270" s="24">
        <f>IF(OR($A270="",$E270=""),"",IF($V270=1,S_INACT,IF(ISNA(MATCH($A270,TYP_TYPE,0)),S_TYPEKO,IF($U270=1,S_DONE,IF(AND($K270="",$R270=""),S_NOSCOPE,IF($K270="",S_NOTARGET,IF($N270&gt;0,S_LATE,IF($I270&lt;&gt;"",S_WIP,IF(-$N270&lt;=FEN_DOC,S_RISK,IF(-$N270&lt;=HORIZON,S_COMING,S_NOTYET))))))))))</f>
        <v/>
      </c>
      <c r="P270" s="24">
        <f>IF(OR($A270="",$E270=""),"",IF($V270=1,"",IF(ISNA(MATCH($A270,TYP_TYPE,0)),"Type not in the library",IF($B270="","Scope not set",IF(AND($B270="System",$C270=""),"System not set",IF(AND($B270="Equipment",$D270=""),"Equipment not set",IF($F270="","Responsible not set",IF($K270="","No target date",IF(AND($B270="Equipment",$C270&lt;&gt;"",IFERROR(INDEX(EQP_SYS,MATCH($D270,EQP_NOM,0)),"")&lt;&gt;$C270),"Equipment not in that system",IF(AND($U270=1,$M270=""),"Approved with no approval date",""))))))))))</f>
        <v/>
      </c>
      <c r="Q270" s="21" t="n"/>
      <c r="R270" s="23">
        <f>IF(OR($A270="",$B270=""),"",IF($B270="Equipment",IFERROR(INDEX(EQP_START,MATCH($D270,EQP_NOM,0)),""),IF($B270="System",IFERROR(INDEX(SYS_EARLIEST,MATCH($C270,SYS_ID,0)),""),IF($B270="All",CTR_EARLIEST,""))))</f>
        <v/>
      </c>
      <c r="S270" s="23">
        <f>IF(OR($A270="",$E270=""),"",IFERROR(IF(INDEX(TYP_ANCHOR,MATCH($A270,TYP_TYPE,0))="Commissioning Start",IF($R270="","",$R270-INDEX(TYP_LEAD,MATCH($A270,TYP_TYPE,0))),IF(INDEX(MS_PLAN,MATCH(INDEX(TYP_ANCHOR,MATCH($A270,TYP_TYPE,0)),MS_NOM,0))="","",INDEX(MS_PLAN,MATCH(INDEX(TYP_ANCHOR,MATCH($A270,TYP_TYPE,0)),MS_NOM,0))-INDEX(TYP_LEAD,MATCH($A270,TYP_TYPE,0)))),""))</f>
        <v/>
      </c>
      <c r="T270" s="26">
        <f>IF(OR($A270="",$E270=""),0,IF($V270=1,0,1))</f>
        <v/>
      </c>
      <c r="U270" s="26">
        <f>IF($T270=0,0,IF($M270&lt;&gt;"",1,IF(IFERROR(INDEX(WF_CLASS,MATCH($H270,WF_CODE,0)),"")="Done",1,0)))</f>
        <v/>
      </c>
      <c r="V270" s="26">
        <f>IF(OR($A270="",$E270=""),0,IF(IFERROR(INDEX(WF_CLASS,MATCH($H270,WF_CODE,0)),"")="Inactive",1,0))</f>
        <v/>
      </c>
      <c r="W270" s="24">
        <f>IF($A270="","",IFERROR(INDEX(TYP_PHASE,MATCH($A270,TYP_TYPE,0)),"-"))</f>
        <v/>
      </c>
      <c r="X270" s="24">
        <f>IF(AND($T270=1,$U270=0,N($N270)&gt;0),$N270+ROW()/1000000,"")</f>
        <v/>
      </c>
      <c r="Y270" s="24">
        <f>IF(AND($T270=1,$U270=0,OR($I270&lt;&gt;"",N($N270)&gt;0)),N($N270)+ROW()/1000000,"")</f>
        <v/>
      </c>
      <c r="Z270" s="24">
        <f>IF(AND($T270=1,$U270=0,$I270="",N($N270)&lt;=0,-N($N270)&lt;=HORIZON),N($N270)+ROW()/1000000,"")</f>
        <v/>
      </c>
    </row>
    <row r="271">
      <c r="A271" s="21" t="n"/>
      <c r="B271" s="21" t="n"/>
      <c r="C271" s="21" t="n"/>
      <c r="D271" s="21" t="n"/>
      <c r="E271" s="21" t="n"/>
      <c r="F271" s="21" t="n"/>
      <c r="G271" s="21" t="n"/>
      <c r="H271" s="21" t="n"/>
      <c r="I271" s="22" t="n"/>
      <c r="J271" s="22" t="n"/>
      <c r="K271" s="23">
        <f>IF($A271="","",IF($J271&lt;&gt;"",$J271,$S271))</f>
        <v/>
      </c>
      <c r="L271" s="24">
        <f>IF(OR($A271="",$E271=""),"",IF($J271&lt;&gt;"","Manual",IF($S271="","-","Auto")))</f>
        <v/>
      </c>
      <c r="M271" s="22" t="n"/>
      <c r="N271" s="25">
        <f>IF($T271=0,"",IF($U271=1,IF($M271="","",$M271-$K271),IF($K271="","",TODAY()-$K271)))</f>
        <v/>
      </c>
      <c r="O271" s="24">
        <f>IF(OR($A271="",$E271=""),"",IF($V271=1,S_INACT,IF(ISNA(MATCH($A271,TYP_TYPE,0)),S_TYPEKO,IF($U271=1,S_DONE,IF(AND($K271="",$R271=""),S_NOSCOPE,IF($K271="",S_NOTARGET,IF($N271&gt;0,S_LATE,IF($I271&lt;&gt;"",S_WIP,IF(-$N271&lt;=FEN_DOC,S_RISK,IF(-$N271&lt;=HORIZON,S_COMING,S_NOTYET))))))))))</f>
        <v/>
      </c>
      <c r="P271" s="24">
        <f>IF(OR($A271="",$E271=""),"",IF($V271=1,"",IF(ISNA(MATCH($A271,TYP_TYPE,0)),"Type not in the library",IF($B271="","Scope not set",IF(AND($B271="System",$C271=""),"System not set",IF(AND($B271="Equipment",$D271=""),"Equipment not set",IF($F271="","Responsible not set",IF($K271="","No target date",IF(AND($B271="Equipment",$C271&lt;&gt;"",IFERROR(INDEX(EQP_SYS,MATCH($D271,EQP_NOM,0)),"")&lt;&gt;$C271),"Equipment not in that system",IF(AND($U271=1,$M271=""),"Approved with no approval date",""))))))))))</f>
        <v/>
      </c>
      <c r="Q271" s="21" t="n"/>
      <c r="R271" s="23">
        <f>IF(OR($A271="",$B271=""),"",IF($B271="Equipment",IFERROR(INDEX(EQP_START,MATCH($D271,EQP_NOM,0)),""),IF($B271="System",IFERROR(INDEX(SYS_EARLIEST,MATCH($C271,SYS_ID,0)),""),IF($B271="All",CTR_EARLIEST,""))))</f>
        <v/>
      </c>
      <c r="S271" s="23">
        <f>IF(OR($A271="",$E271=""),"",IFERROR(IF(INDEX(TYP_ANCHOR,MATCH($A271,TYP_TYPE,0))="Commissioning Start",IF($R271="","",$R271-INDEX(TYP_LEAD,MATCH($A271,TYP_TYPE,0))),IF(INDEX(MS_PLAN,MATCH(INDEX(TYP_ANCHOR,MATCH($A271,TYP_TYPE,0)),MS_NOM,0))="","",INDEX(MS_PLAN,MATCH(INDEX(TYP_ANCHOR,MATCH($A271,TYP_TYPE,0)),MS_NOM,0))-INDEX(TYP_LEAD,MATCH($A271,TYP_TYPE,0)))),""))</f>
        <v/>
      </c>
      <c r="T271" s="26">
        <f>IF(OR($A271="",$E271=""),0,IF($V271=1,0,1))</f>
        <v/>
      </c>
      <c r="U271" s="26">
        <f>IF($T271=0,0,IF($M271&lt;&gt;"",1,IF(IFERROR(INDEX(WF_CLASS,MATCH($H271,WF_CODE,0)),"")="Done",1,0)))</f>
        <v/>
      </c>
      <c r="V271" s="26">
        <f>IF(OR($A271="",$E271=""),0,IF(IFERROR(INDEX(WF_CLASS,MATCH($H271,WF_CODE,0)),"")="Inactive",1,0))</f>
        <v/>
      </c>
      <c r="W271" s="24">
        <f>IF($A271="","",IFERROR(INDEX(TYP_PHASE,MATCH($A271,TYP_TYPE,0)),"-"))</f>
        <v/>
      </c>
      <c r="X271" s="24">
        <f>IF(AND($T271=1,$U271=0,N($N271)&gt;0),$N271+ROW()/1000000,"")</f>
        <v/>
      </c>
      <c r="Y271" s="24">
        <f>IF(AND($T271=1,$U271=0,OR($I271&lt;&gt;"",N($N271)&gt;0)),N($N271)+ROW()/1000000,"")</f>
        <v/>
      </c>
      <c r="Z271" s="24">
        <f>IF(AND($T271=1,$U271=0,$I271="",N($N271)&lt;=0,-N($N271)&lt;=HORIZON),N($N271)+ROW()/1000000,"")</f>
        <v/>
      </c>
    </row>
    <row r="272">
      <c r="A272" s="21" t="n"/>
      <c r="B272" s="21" t="n"/>
      <c r="C272" s="21" t="n"/>
      <c r="D272" s="21" t="n"/>
      <c r="E272" s="21" t="n"/>
      <c r="F272" s="21" t="n"/>
      <c r="G272" s="21" t="n"/>
      <c r="H272" s="21" t="n"/>
      <c r="I272" s="22" t="n"/>
      <c r="J272" s="22" t="n"/>
      <c r="K272" s="23">
        <f>IF($A272="","",IF($J272&lt;&gt;"",$J272,$S272))</f>
        <v/>
      </c>
      <c r="L272" s="24">
        <f>IF(OR($A272="",$E272=""),"",IF($J272&lt;&gt;"","Manual",IF($S272="","-","Auto")))</f>
        <v/>
      </c>
      <c r="M272" s="22" t="n"/>
      <c r="N272" s="25">
        <f>IF($T272=0,"",IF($U272=1,IF($M272="","",$M272-$K272),IF($K272="","",TODAY()-$K272)))</f>
        <v/>
      </c>
      <c r="O272" s="24">
        <f>IF(OR($A272="",$E272=""),"",IF($V272=1,S_INACT,IF(ISNA(MATCH($A272,TYP_TYPE,0)),S_TYPEKO,IF($U272=1,S_DONE,IF(AND($K272="",$R272=""),S_NOSCOPE,IF($K272="",S_NOTARGET,IF($N272&gt;0,S_LATE,IF($I272&lt;&gt;"",S_WIP,IF(-$N272&lt;=FEN_DOC,S_RISK,IF(-$N272&lt;=HORIZON,S_COMING,S_NOTYET))))))))))</f>
        <v/>
      </c>
      <c r="P272" s="24">
        <f>IF(OR($A272="",$E272=""),"",IF($V272=1,"",IF(ISNA(MATCH($A272,TYP_TYPE,0)),"Type not in the library",IF($B272="","Scope not set",IF(AND($B272="System",$C272=""),"System not set",IF(AND($B272="Equipment",$D272=""),"Equipment not set",IF($F272="","Responsible not set",IF($K272="","No target date",IF(AND($B272="Equipment",$C272&lt;&gt;"",IFERROR(INDEX(EQP_SYS,MATCH($D272,EQP_NOM,0)),"")&lt;&gt;$C272),"Equipment not in that system",IF(AND($U272=1,$M272=""),"Approved with no approval date",""))))))))))</f>
        <v/>
      </c>
      <c r="Q272" s="21" t="n"/>
      <c r="R272" s="23">
        <f>IF(OR($A272="",$B272=""),"",IF($B272="Equipment",IFERROR(INDEX(EQP_START,MATCH($D272,EQP_NOM,0)),""),IF($B272="System",IFERROR(INDEX(SYS_EARLIEST,MATCH($C272,SYS_ID,0)),""),IF($B272="All",CTR_EARLIEST,""))))</f>
        <v/>
      </c>
      <c r="S272" s="23">
        <f>IF(OR($A272="",$E272=""),"",IFERROR(IF(INDEX(TYP_ANCHOR,MATCH($A272,TYP_TYPE,0))="Commissioning Start",IF($R272="","",$R272-INDEX(TYP_LEAD,MATCH($A272,TYP_TYPE,0))),IF(INDEX(MS_PLAN,MATCH(INDEX(TYP_ANCHOR,MATCH($A272,TYP_TYPE,0)),MS_NOM,0))="","",INDEX(MS_PLAN,MATCH(INDEX(TYP_ANCHOR,MATCH($A272,TYP_TYPE,0)),MS_NOM,0))-INDEX(TYP_LEAD,MATCH($A272,TYP_TYPE,0)))),""))</f>
        <v/>
      </c>
      <c r="T272" s="26">
        <f>IF(OR($A272="",$E272=""),0,IF($V272=1,0,1))</f>
        <v/>
      </c>
      <c r="U272" s="26">
        <f>IF($T272=0,0,IF($M272&lt;&gt;"",1,IF(IFERROR(INDEX(WF_CLASS,MATCH($H272,WF_CODE,0)),"")="Done",1,0)))</f>
        <v/>
      </c>
      <c r="V272" s="26">
        <f>IF(OR($A272="",$E272=""),0,IF(IFERROR(INDEX(WF_CLASS,MATCH($H272,WF_CODE,0)),"")="Inactive",1,0))</f>
        <v/>
      </c>
      <c r="W272" s="24">
        <f>IF($A272="","",IFERROR(INDEX(TYP_PHASE,MATCH($A272,TYP_TYPE,0)),"-"))</f>
        <v/>
      </c>
      <c r="X272" s="24">
        <f>IF(AND($T272=1,$U272=0,N($N272)&gt;0),$N272+ROW()/1000000,"")</f>
        <v/>
      </c>
      <c r="Y272" s="24">
        <f>IF(AND($T272=1,$U272=0,OR($I272&lt;&gt;"",N($N272)&gt;0)),N($N272)+ROW()/1000000,"")</f>
        <v/>
      </c>
      <c r="Z272" s="24">
        <f>IF(AND($T272=1,$U272=0,$I272="",N($N272)&lt;=0,-N($N272)&lt;=HORIZON),N($N272)+ROW()/1000000,"")</f>
        <v/>
      </c>
    </row>
    <row r="273">
      <c r="A273" s="21" t="n"/>
      <c r="B273" s="21" t="n"/>
      <c r="C273" s="21" t="n"/>
      <c r="D273" s="21" t="n"/>
      <c r="E273" s="21" t="n"/>
      <c r="F273" s="21" t="n"/>
      <c r="G273" s="21" t="n"/>
      <c r="H273" s="21" t="n"/>
      <c r="I273" s="22" t="n"/>
      <c r="J273" s="22" t="n"/>
      <c r="K273" s="23">
        <f>IF($A273="","",IF($J273&lt;&gt;"",$J273,$S273))</f>
        <v/>
      </c>
      <c r="L273" s="24">
        <f>IF(OR($A273="",$E273=""),"",IF($J273&lt;&gt;"","Manual",IF($S273="","-","Auto")))</f>
        <v/>
      </c>
      <c r="M273" s="22" t="n"/>
      <c r="N273" s="25">
        <f>IF($T273=0,"",IF($U273=1,IF($M273="","",$M273-$K273),IF($K273="","",TODAY()-$K273)))</f>
        <v/>
      </c>
      <c r="O273" s="24">
        <f>IF(OR($A273="",$E273=""),"",IF($V273=1,S_INACT,IF(ISNA(MATCH($A273,TYP_TYPE,0)),S_TYPEKO,IF($U273=1,S_DONE,IF(AND($K273="",$R273=""),S_NOSCOPE,IF($K273="",S_NOTARGET,IF($N273&gt;0,S_LATE,IF($I273&lt;&gt;"",S_WIP,IF(-$N273&lt;=FEN_DOC,S_RISK,IF(-$N273&lt;=HORIZON,S_COMING,S_NOTYET))))))))))</f>
        <v/>
      </c>
      <c r="P273" s="24">
        <f>IF(OR($A273="",$E273=""),"",IF($V273=1,"",IF(ISNA(MATCH($A273,TYP_TYPE,0)),"Type not in the library",IF($B273="","Scope not set",IF(AND($B273="System",$C273=""),"System not set",IF(AND($B273="Equipment",$D273=""),"Equipment not set",IF($F273="","Responsible not set",IF($K273="","No target date",IF(AND($B273="Equipment",$C273&lt;&gt;"",IFERROR(INDEX(EQP_SYS,MATCH($D273,EQP_NOM,0)),"")&lt;&gt;$C273),"Equipment not in that system",IF(AND($U273=1,$M273=""),"Approved with no approval date",""))))))))))</f>
        <v/>
      </c>
      <c r="Q273" s="21" t="n"/>
      <c r="R273" s="23">
        <f>IF(OR($A273="",$B273=""),"",IF($B273="Equipment",IFERROR(INDEX(EQP_START,MATCH($D273,EQP_NOM,0)),""),IF($B273="System",IFERROR(INDEX(SYS_EARLIEST,MATCH($C273,SYS_ID,0)),""),IF($B273="All",CTR_EARLIEST,""))))</f>
        <v/>
      </c>
      <c r="S273" s="23">
        <f>IF(OR($A273="",$E273=""),"",IFERROR(IF(INDEX(TYP_ANCHOR,MATCH($A273,TYP_TYPE,0))="Commissioning Start",IF($R273="","",$R273-INDEX(TYP_LEAD,MATCH($A273,TYP_TYPE,0))),IF(INDEX(MS_PLAN,MATCH(INDEX(TYP_ANCHOR,MATCH($A273,TYP_TYPE,0)),MS_NOM,0))="","",INDEX(MS_PLAN,MATCH(INDEX(TYP_ANCHOR,MATCH($A273,TYP_TYPE,0)),MS_NOM,0))-INDEX(TYP_LEAD,MATCH($A273,TYP_TYPE,0)))),""))</f>
        <v/>
      </c>
      <c r="T273" s="26">
        <f>IF(OR($A273="",$E273=""),0,IF($V273=1,0,1))</f>
        <v/>
      </c>
      <c r="U273" s="26">
        <f>IF($T273=0,0,IF($M273&lt;&gt;"",1,IF(IFERROR(INDEX(WF_CLASS,MATCH($H273,WF_CODE,0)),"")="Done",1,0)))</f>
        <v/>
      </c>
      <c r="V273" s="26">
        <f>IF(OR($A273="",$E273=""),0,IF(IFERROR(INDEX(WF_CLASS,MATCH($H273,WF_CODE,0)),"")="Inactive",1,0))</f>
        <v/>
      </c>
      <c r="W273" s="24">
        <f>IF($A273="","",IFERROR(INDEX(TYP_PHASE,MATCH($A273,TYP_TYPE,0)),"-"))</f>
        <v/>
      </c>
      <c r="X273" s="24">
        <f>IF(AND($T273=1,$U273=0,N($N273)&gt;0),$N273+ROW()/1000000,"")</f>
        <v/>
      </c>
      <c r="Y273" s="24">
        <f>IF(AND($T273=1,$U273=0,OR($I273&lt;&gt;"",N($N273)&gt;0)),N($N273)+ROW()/1000000,"")</f>
        <v/>
      </c>
      <c r="Z273" s="24">
        <f>IF(AND($T273=1,$U273=0,$I273="",N($N273)&lt;=0,-N($N273)&lt;=HORIZON),N($N273)+ROW()/1000000,"")</f>
        <v/>
      </c>
    </row>
    <row r="274">
      <c r="A274" s="21" t="n"/>
      <c r="B274" s="21" t="n"/>
      <c r="C274" s="21" t="n"/>
      <c r="D274" s="21" t="n"/>
      <c r="E274" s="21" t="n"/>
      <c r="F274" s="21" t="n"/>
      <c r="G274" s="21" t="n"/>
      <c r="H274" s="21" t="n"/>
      <c r="I274" s="22" t="n"/>
      <c r="J274" s="22" t="n"/>
      <c r="K274" s="23">
        <f>IF($A274="","",IF($J274&lt;&gt;"",$J274,$S274))</f>
        <v/>
      </c>
      <c r="L274" s="24">
        <f>IF(OR($A274="",$E274=""),"",IF($J274&lt;&gt;"","Manual",IF($S274="","-","Auto")))</f>
        <v/>
      </c>
      <c r="M274" s="22" t="n"/>
      <c r="N274" s="25">
        <f>IF($T274=0,"",IF($U274=1,IF($M274="","",$M274-$K274),IF($K274="","",TODAY()-$K274)))</f>
        <v/>
      </c>
      <c r="O274" s="24">
        <f>IF(OR($A274="",$E274=""),"",IF($V274=1,S_INACT,IF(ISNA(MATCH($A274,TYP_TYPE,0)),S_TYPEKO,IF($U274=1,S_DONE,IF(AND($K274="",$R274=""),S_NOSCOPE,IF($K274="",S_NOTARGET,IF($N274&gt;0,S_LATE,IF($I274&lt;&gt;"",S_WIP,IF(-$N274&lt;=FEN_DOC,S_RISK,IF(-$N274&lt;=HORIZON,S_COMING,S_NOTYET))))))))))</f>
        <v/>
      </c>
      <c r="P274" s="24">
        <f>IF(OR($A274="",$E274=""),"",IF($V274=1,"",IF(ISNA(MATCH($A274,TYP_TYPE,0)),"Type not in the library",IF($B274="","Scope not set",IF(AND($B274="System",$C274=""),"System not set",IF(AND($B274="Equipment",$D274=""),"Equipment not set",IF($F274="","Responsible not set",IF($K274="","No target date",IF(AND($B274="Equipment",$C274&lt;&gt;"",IFERROR(INDEX(EQP_SYS,MATCH($D274,EQP_NOM,0)),"")&lt;&gt;$C274),"Equipment not in that system",IF(AND($U274=1,$M274=""),"Approved with no approval date",""))))))))))</f>
        <v/>
      </c>
      <c r="Q274" s="21" t="n"/>
      <c r="R274" s="23">
        <f>IF(OR($A274="",$B274=""),"",IF($B274="Equipment",IFERROR(INDEX(EQP_START,MATCH($D274,EQP_NOM,0)),""),IF($B274="System",IFERROR(INDEX(SYS_EARLIEST,MATCH($C274,SYS_ID,0)),""),IF($B274="All",CTR_EARLIEST,""))))</f>
        <v/>
      </c>
      <c r="S274" s="23">
        <f>IF(OR($A274="",$E274=""),"",IFERROR(IF(INDEX(TYP_ANCHOR,MATCH($A274,TYP_TYPE,0))="Commissioning Start",IF($R274="","",$R274-INDEX(TYP_LEAD,MATCH($A274,TYP_TYPE,0))),IF(INDEX(MS_PLAN,MATCH(INDEX(TYP_ANCHOR,MATCH($A274,TYP_TYPE,0)),MS_NOM,0))="","",INDEX(MS_PLAN,MATCH(INDEX(TYP_ANCHOR,MATCH($A274,TYP_TYPE,0)),MS_NOM,0))-INDEX(TYP_LEAD,MATCH($A274,TYP_TYPE,0)))),""))</f>
        <v/>
      </c>
      <c r="T274" s="26">
        <f>IF(OR($A274="",$E274=""),0,IF($V274=1,0,1))</f>
        <v/>
      </c>
      <c r="U274" s="26">
        <f>IF($T274=0,0,IF($M274&lt;&gt;"",1,IF(IFERROR(INDEX(WF_CLASS,MATCH($H274,WF_CODE,0)),"")="Done",1,0)))</f>
        <v/>
      </c>
      <c r="V274" s="26">
        <f>IF(OR($A274="",$E274=""),0,IF(IFERROR(INDEX(WF_CLASS,MATCH($H274,WF_CODE,0)),"")="Inactive",1,0))</f>
        <v/>
      </c>
      <c r="W274" s="24">
        <f>IF($A274="","",IFERROR(INDEX(TYP_PHASE,MATCH($A274,TYP_TYPE,0)),"-"))</f>
        <v/>
      </c>
      <c r="X274" s="24">
        <f>IF(AND($T274=1,$U274=0,N($N274)&gt;0),$N274+ROW()/1000000,"")</f>
        <v/>
      </c>
      <c r="Y274" s="24">
        <f>IF(AND($T274=1,$U274=0,OR($I274&lt;&gt;"",N($N274)&gt;0)),N($N274)+ROW()/1000000,"")</f>
        <v/>
      </c>
      <c r="Z274" s="24">
        <f>IF(AND($T274=1,$U274=0,$I274="",N($N274)&lt;=0,-N($N274)&lt;=HORIZON),N($N274)+ROW()/1000000,"")</f>
        <v/>
      </c>
    </row>
    <row r="275">
      <c r="A275" s="21" t="n"/>
      <c r="B275" s="21" t="n"/>
      <c r="C275" s="21" t="n"/>
      <c r="D275" s="21" t="n"/>
      <c r="E275" s="21" t="n"/>
      <c r="F275" s="21" t="n"/>
      <c r="G275" s="21" t="n"/>
      <c r="H275" s="21" t="n"/>
      <c r="I275" s="22" t="n"/>
      <c r="J275" s="22" t="n"/>
      <c r="K275" s="23">
        <f>IF($A275="","",IF($J275&lt;&gt;"",$J275,$S275))</f>
        <v/>
      </c>
      <c r="L275" s="24">
        <f>IF(OR($A275="",$E275=""),"",IF($J275&lt;&gt;"","Manual",IF($S275="","-","Auto")))</f>
        <v/>
      </c>
      <c r="M275" s="22" t="n"/>
      <c r="N275" s="25">
        <f>IF($T275=0,"",IF($U275=1,IF($M275="","",$M275-$K275),IF($K275="","",TODAY()-$K275)))</f>
        <v/>
      </c>
      <c r="O275" s="24">
        <f>IF(OR($A275="",$E275=""),"",IF($V275=1,S_INACT,IF(ISNA(MATCH($A275,TYP_TYPE,0)),S_TYPEKO,IF($U275=1,S_DONE,IF(AND($K275="",$R275=""),S_NOSCOPE,IF($K275="",S_NOTARGET,IF($N275&gt;0,S_LATE,IF($I275&lt;&gt;"",S_WIP,IF(-$N275&lt;=FEN_DOC,S_RISK,IF(-$N275&lt;=HORIZON,S_COMING,S_NOTYET))))))))))</f>
        <v/>
      </c>
      <c r="P275" s="24">
        <f>IF(OR($A275="",$E275=""),"",IF($V275=1,"",IF(ISNA(MATCH($A275,TYP_TYPE,0)),"Type not in the library",IF($B275="","Scope not set",IF(AND($B275="System",$C275=""),"System not set",IF(AND($B275="Equipment",$D275=""),"Equipment not set",IF($F275="","Responsible not set",IF($K275="","No target date",IF(AND($B275="Equipment",$C275&lt;&gt;"",IFERROR(INDEX(EQP_SYS,MATCH($D275,EQP_NOM,0)),"")&lt;&gt;$C275),"Equipment not in that system",IF(AND($U275=1,$M275=""),"Approved with no approval date",""))))))))))</f>
        <v/>
      </c>
      <c r="Q275" s="21" t="n"/>
      <c r="R275" s="23">
        <f>IF(OR($A275="",$B275=""),"",IF($B275="Equipment",IFERROR(INDEX(EQP_START,MATCH($D275,EQP_NOM,0)),""),IF($B275="System",IFERROR(INDEX(SYS_EARLIEST,MATCH($C275,SYS_ID,0)),""),IF($B275="All",CTR_EARLIEST,""))))</f>
        <v/>
      </c>
      <c r="S275" s="23">
        <f>IF(OR($A275="",$E275=""),"",IFERROR(IF(INDEX(TYP_ANCHOR,MATCH($A275,TYP_TYPE,0))="Commissioning Start",IF($R275="","",$R275-INDEX(TYP_LEAD,MATCH($A275,TYP_TYPE,0))),IF(INDEX(MS_PLAN,MATCH(INDEX(TYP_ANCHOR,MATCH($A275,TYP_TYPE,0)),MS_NOM,0))="","",INDEX(MS_PLAN,MATCH(INDEX(TYP_ANCHOR,MATCH($A275,TYP_TYPE,0)),MS_NOM,0))-INDEX(TYP_LEAD,MATCH($A275,TYP_TYPE,0)))),""))</f>
        <v/>
      </c>
      <c r="T275" s="26">
        <f>IF(OR($A275="",$E275=""),0,IF($V275=1,0,1))</f>
        <v/>
      </c>
      <c r="U275" s="26">
        <f>IF($T275=0,0,IF($M275&lt;&gt;"",1,IF(IFERROR(INDEX(WF_CLASS,MATCH($H275,WF_CODE,0)),"")="Done",1,0)))</f>
        <v/>
      </c>
      <c r="V275" s="26">
        <f>IF(OR($A275="",$E275=""),0,IF(IFERROR(INDEX(WF_CLASS,MATCH($H275,WF_CODE,0)),"")="Inactive",1,0))</f>
        <v/>
      </c>
      <c r="W275" s="24">
        <f>IF($A275="","",IFERROR(INDEX(TYP_PHASE,MATCH($A275,TYP_TYPE,0)),"-"))</f>
        <v/>
      </c>
      <c r="X275" s="24">
        <f>IF(AND($T275=1,$U275=0,N($N275)&gt;0),$N275+ROW()/1000000,"")</f>
        <v/>
      </c>
      <c r="Y275" s="24">
        <f>IF(AND($T275=1,$U275=0,OR($I275&lt;&gt;"",N($N275)&gt;0)),N($N275)+ROW()/1000000,"")</f>
        <v/>
      </c>
      <c r="Z275" s="24">
        <f>IF(AND($T275=1,$U275=0,$I275="",N($N275)&lt;=0,-N($N275)&lt;=HORIZON),N($N275)+ROW()/1000000,"")</f>
        <v/>
      </c>
    </row>
    <row r="276">
      <c r="A276" s="21" t="n"/>
      <c r="B276" s="21" t="n"/>
      <c r="C276" s="21" t="n"/>
      <c r="D276" s="21" t="n"/>
      <c r="E276" s="21" t="n"/>
      <c r="F276" s="21" t="n"/>
      <c r="G276" s="21" t="n"/>
      <c r="H276" s="21" t="n"/>
      <c r="I276" s="22" t="n"/>
      <c r="J276" s="22" t="n"/>
      <c r="K276" s="23">
        <f>IF($A276="","",IF($J276&lt;&gt;"",$J276,$S276))</f>
        <v/>
      </c>
      <c r="L276" s="24">
        <f>IF(OR($A276="",$E276=""),"",IF($J276&lt;&gt;"","Manual",IF($S276="","-","Auto")))</f>
        <v/>
      </c>
      <c r="M276" s="22" t="n"/>
      <c r="N276" s="25">
        <f>IF($T276=0,"",IF($U276=1,IF($M276="","",$M276-$K276),IF($K276="","",TODAY()-$K276)))</f>
        <v/>
      </c>
      <c r="O276" s="24">
        <f>IF(OR($A276="",$E276=""),"",IF($V276=1,S_INACT,IF(ISNA(MATCH($A276,TYP_TYPE,0)),S_TYPEKO,IF($U276=1,S_DONE,IF(AND($K276="",$R276=""),S_NOSCOPE,IF($K276="",S_NOTARGET,IF($N276&gt;0,S_LATE,IF($I276&lt;&gt;"",S_WIP,IF(-$N276&lt;=FEN_DOC,S_RISK,IF(-$N276&lt;=HORIZON,S_COMING,S_NOTYET))))))))))</f>
        <v/>
      </c>
      <c r="P276" s="24">
        <f>IF(OR($A276="",$E276=""),"",IF($V276=1,"",IF(ISNA(MATCH($A276,TYP_TYPE,0)),"Type not in the library",IF($B276="","Scope not set",IF(AND($B276="System",$C276=""),"System not set",IF(AND($B276="Equipment",$D276=""),"Equipment not set",IF($F276="","Responsible not set",IF($K276="","No target date",IF(AND($B276="Equipment",$C276&lt;&gt;"",IFERROR(INDEX(EQP_SYS,MATCH($D276,EQP_NOM,0)),"")&lt;&gt;$C276),"Equipment not in that system",IF(AND($U276=1,$M276=""),"Approved with no approval date",""))))))))))</f>
        <v/>
      </c>
      <c r="Q276" s="21" t="n"/>
      <c r="R276" s="23">
        <f>IF(OR($A276="",$B276=""),"",IF($B276="Equipment",IFERROR(INDEX(EQP_START,MATCH($D276,EQP_NOM,0)),""),IF($B276="System",IFERROR(INDEX(SYS_EARLIEST,MATCH($C276,SYS_ID,0)),""),IF($B276="All",CTR_EARLIEST,""))))</f>
        <v/>
      </c>
      <c r="S276" s="23">
        <f>IF(OR($A276="",$E276=""),"",IFERROR(IF(INDEX(TYP_ANCHOR,MATCH($A276,TYP_TYPE,0))="Commissioning Start",IF($R276="","",$R276-INDEX(TYP_LEAD,MATCH($A276,TYP_TYPE,0))),IF(INDEX(MS_PLAN,MATCH(INDEX(TYP_ANCHOR,MATCH($A276,TYP_TYPE,0)),MS_NOM,0))="","",INDEX(MS_PLAN,MATCH(INDEX(TYP_ANCHOR,MATCH($A276,TYP_TYPE,0)),MS_NOM,0))-INDEX(TYP_LEAD,MATCH($A276,TYP_TYPE,0)))),""))</f>
        <v/>
      </c>
      <c r="T276" s="26">
        <f>IF(OR($A276="",$E276=""),0,IF($V276=1,0,1))</f>
        <v/>
      </c>
      <c r="U276" s="26">
        <f>IF($T276=0,0,IF($M276&lt;&gt;"",1,IF(IFERROR(INDEX(WF_CLASS,MATCH($H276,WF_CODE,0)),"")="Done",1,0)))</f>
        <v/>
      </c>
      <c r="V276" s="26">
        <f>IF(OR($A276="",$E276=""),0,IF(IFERROR(INDEX(WF_CLASS,MATCH($H276,WF_CODE,0)),"")="Inactive",1,0))</f>
        <v/>
      </c>
      <c r="W276" s="24">
        <f>IF($A276="","",IFERROR(INDEX(TYP_PHASE,MATCH($A276,TYP_TYPE,0)),"-"))</f>
        <v/>
      </c>
      <c r="X276" s="24">
        <f>IF(AND($T276=1,$U276=0,N($N276)&gt;0),$N276+ROW()/1000000,"")</f>
        <v/>
      </c>
      <c r="Y276" s="24">
        <f>IF(AND($T276=1,$U276=0,OR($I276&lt;&gt;"",N($N276)&gt;0)),N($N276)+ROW()/1000000,"")</f>
        <v/>
      </c>
      <c r="Z276" s="24">
        <f>IF(AND($T276=1,$U276=0,$I276="",N($N276)&lt;=0,-N($N276)&lt;=HORIZON),N($N276)+ROW()/1000000,"")</f>
        <v/>
      </c>
    </row>
    <row r="277">
      <c r="A277" s="21" t="n"/>
      <c r="B277" s="21" t="n"/>
      <c r="C277" s="21" t="n"/>
      <c r="D277" s="21" t="n"/>
      <c r="E277" s="21" t="n"/>
      <c r="F277" s="21" t="n"/>
      <c r="G277" s="21" t="n"/>
      <c r="H277" s="21" t="n"/>
      <c r="I277" s="22" t="n"/>
      <c r="J277" s="22" t="n"/>
      <c r="K277" s="23">
        <f>IF($A277="","",IF($J277&lt;&gt;"",$J277,$S277))</f>
        <v/>
      </c>
      <c r="L277" s="24">
        <f>IF(OR($A277="",$E277=""),"",IF($J277&lt;&gt;"","Manual",IF($S277="","-","Auto")))</f>
        <v/>
      </c>
      <c r="M277" s="22" t="n"/>
      <c r="N277" s="25">
        <f>IF($T277=0,"",IF($U277=1,IF($M277="","",$M277-$K277),IF($K277="","",TODAY()-$K277)))</f>
        <v/>
      </c>
      <c r="O277" s="24">
        <f>IF(OR($A277="",$E277=""),"",IF($V277=1,S_INACT,IF(ISNA(MATCH($A277,TYP_TYPE,0)),S_TYPEKO,IF($U277=1,S_DONE,IF(AND($K277="",$R277=""),S_NOSCOPE,IF($K277="",S_NOTARGET,IF($N277&gt;0,S_LATE,IF($I277&lt;&gt;"",S_WIP,IF(-$N277&lt;=FEN_DOC,S_RISK,IF(-$N277&lt;=HORIZON,S_COMING,S_NOTYET))))))))))</f>
        <v/>
      </c>
      <c r="P277" s="24">
        <f>IF(OR($A277="",$E277=""),"",IF($V277=1,"",IF(ISNA(MATCH($A277,TYP_TYPE,0)),"Type not in the library",IF($B277="","Scope not set",IF(AND($B277="System",$C277=""),"System not set",IF(AND($B277="Equipment",$D277=""),"Equipment not set",IF($F277="","Responsible not set",IF($K277="","No target date",IF(AND($B277="Equipment",$C277&lt;&gt;"",IFERROR(INDEX(EQP_SYS,MATCH($D277,EQP_NOM,0)),"")&lt;&gt;$C277),"Equipment not in that system",IF(AND($U277=1,$M277=""),"Approved with no approval date",""))))))))))</f>
        <v/>
      </c>
      <c r="Q277" s="21" t="n"/>
      <c r="R277" s="23">
        <f>IF(OR($A277="",$B277=""),"",IF($B277="Equipment",IFERROR(INDEX(EQP_START,MATCH($D277,EQP_NOM,0)),""),IF($B277="System",IFERROR(INDEX(SYS_EARLIEST,MATCH($C277,SYS_ID,0)),""),IF($B277="All",CTR_EARLIEST,""))))</f>
        <v/>
      </c>
      <c r="S277" s="23">
        <f>IF(OR($A277="",$E277=""),"",IFERROR(IF(INDEX(TYP_ANCHOR,MATCH($A277,TYP_TYPE,0))="Commissioning Start",IF($R277="","",$R277-INDEX(TYP_LEAD,MATCH($A277,TYP_TYPE,0))),IF(INDEX(MS_PLAN,MATCH(INDEX(TYP_ANCHOR,MATCH($A277,TYP_TYPE,0)),MS_NOM,0))="","",INDEX(MS_PLAN,MATCH(INDEX(TYP_ANCHOR,MATCH($A277,TYP_TYPE,0)),MS_NOM,0))-INDEX(TYP_LEAD,MATCH($A277,TYP_TYPE,0)))),""))</f>
        <v/>
      </c>
      <c r="T277" s="26">
        <f>IF(OR($A277="",$E277=""),0,IF($V277=1,0,1))</f>
        <v/>
      </c>
      <c r="U277" s="26">
        <f>IF($T277=0,0,IF($M277&lt;&gt;"",1,IF(IFERROR(INDEX(WF_CLASS,MATCH($H277,WF_CODE,0)),"")="Done",1,0)))</f>
        <v/>
      </c>
      <c r="V277" s="26">
        <f>IF(OR($A277="",$E277=""),0,IF(IFERROR(INDEX(WF_CLASS,MATCH($H277,WF_CODE,0)),"")="Inactive",1,0))</f>
        <v/>
      </c>
      <c r="W277" s="24">
        <f>IF($A277="","",IFERROR(INDEX(TYP_PHASE,MATCH($A277,TYP_TYPE,0)),"-"))</f>
        <v/>
      </c>
      <c r="X277" s="24">
        <f>IF(AND($T277=1,$U277=0,N($N277)&gt;0),$N277+ROW()/1000000,"")</f>
        <v/>
      </c>
      <c r="Y277" s="24">
        <f>IF(AND($T277=1,$U277=0,OR($I277&lt;&gt;"",N($N277)&gt;0)),N($N277)+ROW()/1000000,"")</f>
        <v/>
      </c>
      <c r="Z277" s="24">
        <f>IF(AND($T277=1,$U277=0,$I277="",N($N277)&lt;=0,-N($N277)&lt;=HORIZON),N($N277)+ROW()/1000000,"")</f>
        <v/>
      </c>
    </row>
    <row r="278">
      <c r="A278" s="21" t="n"/>
      <c r="B278" s="21" t="n"/>
      <c r="C278" s="21" t="n"/>
      <c r="D278" s="21" t="n"/>
      <c r="E278" s="21" t="n"/>
      <c r="F278" s="21" t="n"/>
      <c r="G278" s="21" t="n"/>
      <c r="H278" s="21" t="n"/>
      <c r="I278" s="22" t="n"/>
      <c r="J278" s="22" t="n"/>
      <c r="K278" s="23">
        <f>IF($A278="","",IF($J278&lt;&gt;"",$J278,$S278))</f>
        <v/>
      </c>
      <c r="L278" s="24">
        <f>IF(OR($A278="",$E278=""),"",IF($J278&lt;&gt;"","Manual",IF($S278="","-","Auto")))</f>
        <v/>
      </c>
      <c r="M278" s="22" t="n"/>
      <c r="N278" s="25">
        <f>IF($T278=0,"",IF($U278=1,IF($M278="","",$M278-$K278),IF($K278="","",TODAY()-$K278)))</f>
        <v/>
      </c>
      <c r="O278" s="24">
        <f>IF(OR($A278="",$E278=""),"",IF($V278=1,S_INACT,IF(ISNA(MATCH($A278,TYP_TYPE,0)),S_TYPEKO,IF($U278=1,S_DONE,IF(AND($K278="",$R278=""),S_NOSCOPE,IF($K278="",S_NOTARGET,IF($N278&gt;0,S_LATE,IF($I278&lt;&gt;"",S_WIP,IF(-$N278&lt;=FEN_DOC,S_RISK,IF(-$N278&lt;=HORIZON,S_COMING,S_NOTYET))))))))))</f>
        <v/>
      </c>
      <c r="P278" s="24">
        <f>IF(OR($A278="",$E278=""),"",IF($V278=1,"",IF(ISNA(MATCH($A278,TYP_TYPE,0)),"Type not in the library",IF($B278="","Scope not set",IF(AND($B278="System",$C278=""),"System not set",IF(AND($B278="Equipment",$D278=""),"Equipment not set",IF($F278="","Responsible not set",IF($K278="","No target date",IF(AND($B278="Equipment",$C278&lt;&gt;"",IFERROR(INDEX(EQP_SYS,MATCH($D278,EQP_NOM,0)),"")&lt;&gt;$C278),"Equipment not in that system",IF(AND($U278=1,$M278=""),"Approved with no approval date",""))))))))))</f>
        <v/>
      </c>
      <c r="Q278" s="21" t="n"/>
      <c r="R278" s="23">
        <f>IF(OR($A278="",$B278=""),"",IF($B278="Equipment",IFERROR(INDEX(EQP_START,MATCH($D278,EQP_NOM,0)),""),IF($B278="System",IFERROR(INDEX(SYS_EARLIEST,MATCH($C278,SYS_ID,0)),""),IF($B278="All",CTR_EARLIEST,""))))</f>
        <v/>
      </c>
      <c r="S278" s="23">
        <f>IF(OR($A278="",$E278=""),"",IFERROR(IF(INDEX(TYP_ANCHOR,MATCH($A278,TYP_TYPE,0))="Commissioning Start",IF($R278="","",$R278-INDEX(TYP_LEAD,MATCH($A278,TYP_TYPE,0))),IF(INDEX(MS_PLAN,MATCH(INDEX(TYP_ANCHOR,MATCH($A278,TYP_TYPE,0)),MS_NOM,0))="","",INDEX(MS_PLAN,MATCH(INDEX(TYP_ANCHOR,MATCH($A278,TYP_TYPE,0)),MS_NOM,0))-INDEX(TYP_LEAD,MATCH($A278,TYP_TYPE,0)))),""))</f>
        <v/>
      </c>
      <c r="T278" s="26">
        <f>IF(OR($A278="",$E278=""),0,IF($V278=1,0,1))</f>
        <v/>
      </c>
      <c r="U278" s="26">
        <f>IF($T278=0,0,IF($M278&lt;&gt;"",1,IF(IFERROR(INDEX(WF_CLASS,MATCH($H278,WF_CODE,0)),"")="Done",1,0)))</f>
        <v/>
      </c>
      <c r="V278" s="26">
        <f>IF(OR($A278="",$E278=""),0,IF(IFERROR(INDEX(WF_CLASS,MATCH($H278,WF_CODE,0)),"")="Inactive",1,0))</f>
        <v/>
      </c>
      <c r="W278" s="24">
        <f>IF($A278="","",IFERROR(INDEX(TYP_PHASE,MATCH($A278,TYP_TYPE,0)),"-"))</f>
        <v/>
      </c>
      <c r="X278" s="24">
        <f>IF(AND($T278=1,$U278=0,N($N278)&gt;0),$N278+ROW()/1000000,"")</f>
        <v/>
      </c>
      <c r="Y278" s="24">
        <f>IF(AND($T278=1,$U278=0,OR($I278&lt;&gt;"",N($N278)&gt;0)),N($N278)+ROW()/1000000,"")</f>
        <v/>
      </c>
      <c r="Z278" s="24">
        <f>IF(AND($T278=1,$U278=0,$I278="",N($N278)&lt;=0,-N($N278)&lt;=HORIZON),N($N278)+ROW()/1000000,"")</f>
        <v/>
      </c>
    </row>
    <row r="279">
      <c r="A279" s="21" t="n"/>
      <c r="B279" s="21" t="n"/>
      <c r="C279" s="21" t="n"/>
      <c r="D279" s="21" t="n"/>
      <c r="E279" s="21" t="n"/>
      <c r="F279" s="21" t="n"/>
      <c r="G279" s="21" t="n"/>
      <c r="H279" s="21" t="n"/>
      <c r="I279" s="22" t="n"/>
      <c r="J279" s="22" t="n"/>
      <c r="K279" s="23">
        <f>IF($A279="","",IF($J279&lt;&gt;"",$J279,$S279))</f>
        <v/>
      </c>
      <c r="L279" s="24">
        <f>IF(OR($A279="",$E279=""),"",IF($J279&lt;&gt;"","Manual",IF($S279="","-","Auto")))</f>
        <v/>
      </c>
      <c r="M279" s="22" t="n"/>
      <c r="N279" s="25">
        <f>IF($T279=0,"",IF($U279=1,IF($M279="","",$M279-$K279),IF($K279="","",TODAY()-$K279)))</f>
        <v/>
      </c>
      <c r="O279" s="24">
        <f>IF(OR($A279="",$E279=""),"",IF($V279=1,S_INACT,IF(ISNA(MATCH($A279,TYP_TYPE,0)),S_TYPEKO,IF($U279=1,S_DONE,IF(AND($K279="",$R279=""),S_NOSCOPE,IF($K279="",S_NOTARGET,IF($N279&gt;0,S_LATE,IF($I279&lt;&gt;"",S_WIP,IF(-$N279&lt;=FEN_DOC,S_RISK,IF(-$N279&lt;=HORIZON,S_COMING,S_NOTYET))))))))))</f>
        <v/>
      </c>
      <c r="P279" s="24">
        <f>IF(OR($A279="",$E279=""),"",IF($V279=1,"",IF(ISNA(MATCH($A279,TYP_TYPE,0)),"Type not in the library",IF($B279="","Scope not set",IF(AND($B279="System",$C279=""),"System not set",IF(AND($B279="Equipment",$D279=""),"Equipment not set",IF($F279="","Responsible not set",IF($K279="","No target date",IF(AND($B279="Equipment",$C279&lt;&gt;"",IFERROR(INDEX(EQP_SYS,MATCH($D279,EQP_NOM,0)),"")&lt;&gt;$C279),"Equipment not in that system",IF(AND($U279=1,$M279=""),"Approved with no approval date",""))))))))))</f>
        <v/>
      </c>
      <c r="Q279" s="21" t="n"/>
      <c r="R279" s="23">
        <f>IF(OR($A279="",$B279=""),"",IF($B279="Equipment",IFERROR(INDEX(EQP_START,MATCH($D279,EQP_NOM,0)),""),IF($B279="System",IFERROR(INDEX(SYS_EARLIEST,MATCH($C279,SYS_ID,0)),""),IF($B279="All",CTR_EARLIEST,""))))</f>
        <v/>
      </c>
      <c r="S279" s="23">
        <f>IF(OR($A279="",$E279=""),"",IFERROR(IF(INDEX(TYP_ANCHOR,MATCH($A279,TYP_TYPE,0))="Commissioning Start",IF($R279="","",$R279-INDEX(TYP_LEAD,MATCH($A279,TYP_TYPE,0))),IF(INDEX(MS_PLAN,MATCH(INDEX(TYP_ANCHOR,MATCH($A279,TYP_TYPE,0)),MS_NOM,0))="","",INDEX(MS_PLAN,MATCH(INDEX(TYP_ANCHOR,MATCH($A279,TYP_TYPE,0)),MS_NOM,0))-INDEX(TYP_LEAD,MATCH($A279,TYP_TYPE,0)))),""))</f>
        <v/>
      </c>
      <c r="T279" s="26">
        <f>IF(OR($A279="",$E279=""),0,IF($V279=1,0,1))</f>
        <v/>
      </c>
      <c r="U279" s="26">
        <f>IF($T279=0,0,IF($M279&lt;&gt;"",1,IF(IFERROR(INDEX(WF_CLASS,MATCH($H279,WF_CODE,0)),"")="Done",1,0)))</f>
        <v/>
      </c>
      <c r="V279" s="26">
        <f>IF(OR($A279="",$E279=""),0,IF(IFERROR(INDEX(WF_CLASS,MATCH($H279,WF_CODE,0)),"")="Inactive",1,0))</f>
        <v/>
      </c>
      <c r="W279" s="24">
        <f>IF($A279="","",IFERROR(INDEX(TYP_PHASE,MATCH($A279,TYP_TYPE,0)),"-"))</f>
        <v/>
      </c>
      <c r="X279" s="24">
        <f>IF(AND($T279=1,$U279=0,N($N279)&gt;0),$N279+ROW()/1000000,"")</f>
        <v/>
      </c>
      <c r="Y279" s="24">
        <f>IF(AND($T279=1,$U279=0,OR($I279&lt;&gt;"",N($N279)&gt;0)),N($N279)+ROW()/1000000,"")</f>
        <v/>
      </c>
      <c r="Z279" s="24">
        <f>IF(AND($T279=1,$U279=0,$I279="",N($N279)&lt;=0,-N($N279)&lt;=HORIZON),N($N279)+ROW()/1000000,"")</f>
        <v/>
      </c>
    </row>
    <row r="280">
      <c r="A280" s="21" t="n"/>
      <c r="B280" s="21" t="n"/>
      <c r="C280" s="21" t="n"/>
      <c r="D280" s="21" t="n"/>
      <c r="E280" s="21" t="n"/>
      <c r="F280" s="21" t="n"/>
      <c r="G280" s="21" t="n"/>
      <c r="H280" s="21" t="n"/>
      <c r="I280" s="22" t="n"/>
      <c r="J280" s="22" t="n"/>
      <c r="K280" s="23">
        <f>IF($A280="","",IF($J280&lt;&gt;"",$J280,$S280))</f>
        <v/>
      </c>
      <c r="L280" s="24">
        <f>IF(OR($A280="",$E280=""),"",IF($J280&lt;&gt;"","Manual",IF($S280="","-","Auto")))</f>
        <v/>
      </c>
      <c r="M280" s="22" t="n"/>
      <c r="N280" s="25">
        <f>IF($T280=0,"",IF($U280=1,IF($M280="","",$M280-$K280),IF($K280="","",TODAY()-$K280)))</f>
        <v/>
      </c>
      <c r="O280" s="24">
        <f>IF(OR($A280="",$E280=""),"",IF($V280=1,S_INACT,IF(ISNA(MATCH($A280,TYP_TYPE,0)),S_TYPEKO,IF($U280=1,S_DONE,IF(AND($K280="",$R280=""),S_NOSCOPE,IF($K280="",S_NOTARGET,IF($N280&gt;0,S_LATE,IF($I280&lt;&gt;"",S_WIP,IF(-$N280&lt;=FEN_DOC,S_RISK,IF(-$N280&lt;=HORIZON,S_COMING,S_NOTYET))))))))))</f>
        <v/>
      </c>
      <c r="P280" s="24">
        <f>IF(OR($A280="",$E280=""),"",IF($V280=1,"",IF(ISNA(MATCH($A280,TYP_TYPE,0)),"Type not in the library",IF($B280="","Scope not set",IF(AND($B280="System",$C280=""),"System not set",IF(AND($B280="Equipment",$D280=""),"Equipment not set",IF($F280="","Responsible not set",IF($K280="","No target date",IF(AND($B280="Equipment",$C280&lt;&gt;"",IFERROR(INDEX(EQP_SYS,MATCH($D280,EQP_NOM,0)),"")&lt;&gt;$C280),"Equipment not in that system",IF(AND($U280=1,$M280=""),"Approved with no approval date",""))))))))))</f>
        <v/>
      </c>
      <c r="Q280" s="21" t="n"/>
      <c r="R280" s="23">
        <f>IF(OR($A280="",$B280=""),"",IF($B280="Equipment",IFERROR(INDEX(EQP_START,MATCH($D280,EQP_NOM,0)),""),IF($B280="System",IFERROR(INDEX(SYS_EARLIEST,MATCH($C280,SYS_ID,0)),""),IF($B280="All",CTR_EARLIEST,""))))</f>
        <v/>
      </c>
      <c r="S280" s="23">
        <f>IF(OR($A280="",$E280=""),"",IFERROR(IF(INDEX(TYP_ANCHOR,MATCH($A280,TYP_TYPE,0))="Commissioning Start",IF($R280="","",$R280-INDEX(TYP_LEAD,MATCH($A280,TYP_TYPE,0))),IF(INDEX(MS_PLAN,MATCH(INDEX(TYP_ANCHOR,MATCH($A280,TYP_TYPE,0)),MS_NOM,0))="","",INDEX(MS_PLAN,MATCH(INDEX(TYP_ANCHOR,MATCH($A280,TYP_TYPE,0)),MS_NOM,0))-INDEX(TYP_LEAD,MATCH($A280,TYP_TYPE,0)))),""))</f>
        <v/>
      </c>
      <c r="T280" s="26">
        <f>IF(OR($A280="",$E280=""),0,IF($V280=1,0,1))</f>
        <v/>
      </c>
      <c r="U280" s="26">
        <f>IF($T280=0,0,IF($M280&lt;&gt;"",1,IF(IFERROR(INDEX(WF_CLASS,MATCH($H280,WF_CODE,0)),"")="Done",1,0)))</f>
        <v/>
      </c>
      <c r="V280" s="26">
        <f>IF(OR($A280="",$E280=""),0,IF(IFERROR(INDEX(WF_CLASS,MATCH($H280,WF_CODE,0)),"")="Inactive",1,0))</f>
        <v/>
      </c>
      <c r="W280" s="24">
        <f>IF($A280="","",IFERROR(INDEX(TYP_PHASE,MATCH($A280,TYP_TYPE,0)),"-"))</f>
        <v/>
      </c>
      <c r="X280" s="24">
        <f>IF(AND($T280=1,$U280=0,N($N280)&gt;0),$N280+ROW()/1000000,"")</f>
        <v/>
      </c>
      <c r="Y280" s="24">
        <f>IF(AND($T280=1,$U280=0,OR($I280&lt;&gt;"",N($N280)&gt;0)),N($N280)+ROW()/1000000,"")</f>
        <v/>
      </c>
      <c r="Z280" s="24">
        <f>IF(AND($T280=1,$U280=0,$I280="",N($N280)&lt;=0,-N($N280)&lt;=HORIZON),N($N280)+ROW()/1000000,"")</f>
        <v/>
      </c>
    </row>
    <row r="281">
      <c r="A281" s="21" t="n"/>
      <c r="B281" s="21" t="n"/>
      <c r="C281" s="21" t="n"/>
      <c r="D281" s="21" t="n"/>
      <c r="E281" s="21" t="n"/>
      <c r="F281" s="21" t="n"/>
      <c r="G281" s="21" t="n"/>
      <c r="H281" s="21" t="n"/>
      <c r="I281" s="22" t="n"/>
      <c r="J281" s="22" t="n"/>
      <c r="K281" s="23">
        <f>IF($A281="","",IF($J281&lt;&gt;"",$J281,$S281))</f>
        <v/>
      </c>
      <c r="L281" s="24">
        <f>IF(OR($A281="",$E281=""),"",IF($J281&lt;&gt;"","Manual",IF($S281="","-","Auto")))</f>
        <v/>
      </c>
      <c r="M281" s="22" t="n"/>
      <c r="N281" s="25">
        <f>IF($T281=0,"",IF($U281=1,IF($M281="","",$M281-$K281),IF($K281="","",TODAY()-$K281)))</f>
        <v/>
      </c>
      <c r="O281" s="24">
        <f>IF(OR($A281="",$E281=""),"",IF($V281=1,S_INACT,IF(ISNA(MATCH($A281,TYP_TYPE,0)),S_TYPEKO,IF($U281=1,S_DONE,IF(AND($K281="",$R281=""),S_NOSCOPE,IF($K281="",S_NOTARGET,IF($N281&gt;0,S_LATE,IF($I281&lt;&gt;"",S_WIP,IF(-$N281&lt;=FEN_DOC,S_RISK,IF(-$N281&lt;=HORIZON,S_COMING,S_NOTYET))))))))))</f>
        <v/>
      </c>
      <c r="P281" s="24">
        <f>IF(OR($A281="",$E281=""),"",IF($V281=1,"",IF(ISNA(MATCH($A281,TYP_TYPE,0)),"Type not in the library",IF($B281="","Scope not set",IF(AND($B281="System",$C281=""),"System not set",IF(AND($B281="Equipment",$D281=""),"Equipment not set",IF($F281="","Responsible not set",IF($K281="","No target date",IF(AND($B281="Equipment",$C281&lt;&gt;"",IFERROR(INDEX(EQP_SYS,MATCH($D281,EQP_NOM,0)),"")&lt;&gt;$C281),"Equipment not in that system",IF(AND($U281=1,$M281=""),"Approved with no approval date",""))))))))))</f>
        <v/>
      </c>
      <c r="Q281" s="21" t="n"/>
      <c r="R281" s="23">
        <f>IF(OR($A281="",$B281=""),"",IF($B281="Equipment",IFERROR(INDEX(EQP_START,MATCH($D281,EQP_NOM,0)),""),IF($B281="System",IFERROR(INDEX(SYS_EARLIEST,MATCH($C281,SYS_ID,0)),""),IF($B281="All",CTR_EARLIEST,""))))</f>
        <v/>
      </c>
      <c r="S281" s="23">
        <f>IF(OR($A281="",$E281=""),"",IFERROR(IF(INDEX(TYP_ANCHOR,MATCH($A281,TYP_TYPE,0))="Commissioning Start",IF($R281="","",$R281-INDEX(TYP_LEAD,MATCH($A281,TYP_TYPE,0))),IF(INDEX(MS_PLAN,MATCH(INDEX(TYP_ANCHOR,MATCH($A281,TYP_TYPE,0)),MS_NOM,0))="","",INDEX(MS_PLAN,MATCH(INDEX(TYP_ANCHOR,MATCH($A281,TYP_TYPE,0)),MS_NOM,0))-INDEX(TYP_LEAD,MATCH($A281,TYP_TYPE,0)))),""))</f>
        <v/>
      </c>
      <c r="T281" s="26">
        <f>IF(OR($A281="",$E281=""),0,IF($V281=1,0,1))</f>
        <v/>
      </c>
      <c r="U281" s="26">
        <f>IF($T281=0,0,IF($M281&lt;&gt;"",1,IF(IFERROR(INDEX(WF_CLASS,MATCH($H281,WF_CODE,0)),"")="Done",1,0)))</f>
        <v/>
      </c>
      <c r="V281" s="26">
        <f>IF(OR($A281="",$E281=""),0,IF(IFERROR(INDEX(WF_CLASS,MATCH($H281,WF_CODE,0)),"")="Inactive",1,0))</f>
        <v/>
      </c>
      <c r="W281" s="24">
        <f>IF($A281="","",IFERROR(INDEX(TYP_PHASE,MATCH($A281,TYP_TYPE,0)),"-"))</f>
        <v/>
      </c>
      <c r="X281" s="24">
        <f>IF(AND($T281=1,$U281=0,N($N281)&gt;0),$N281+ROW()/1000000,"")</f>
        <v/>
      </c>
      <c r="Y281" s="24">
        <f>IF(AND($T281=1,$U281=0,OR($I281&lt;&gt;"",N($N281)&gt;0)),N($N281)+ROW()/1000000,"")</f>
        <v/>
      </c>
      <c r="Z281" s="24">
        <f>IF(AND($T281=1,$U281=0,$I281="",N($N281)&lt;=0,-N($N281)&lt;=HORIZON),N($N281)+ROW()/1000000,"")</f>
        <v/>
      </c>
    </row>
    <row r="282">
      <c r="A282" s="21" t="n"/>
      <c r="B282" s="21" t="n"/>
      <c r="C282" s="21" t="n"/>
      <c r="D282" s="21" t="n"/>
      <c r="E282" s="21" t="n"/>
      <c r="F282" s="21" t="n"/>
      <c r="G282" s="21" t="n"/>
      <c r="H282" s="21" t="n"/>
      <c r="I282" s="22" t="n"/>
      <c r="J282" s="22" t="n"/>
      <c r="K282" s="23">
        <f>IF($A282="","",IF($J282&lt;&gt;"",$J282,$S282))</f>
        <v/>
      </c>
      <c r="L282" s="24">
        <f>IF(OR($A282="",$E282=""),"",IF($J282&lt;&gt;"","Manual",IF($S282="","-","Auto")))</f>
        <v/>
      </c>
      <c r="M282" s="22" t="n"/>
      <c r="N282" s="25">
        <f>IF($T282=0,"",IF($U282=1,IF($M282="","",$M282-$K282),IF($K282="","",TODAY()-$K282)))</f>
        <v/>
      </c>
      <c r="O282" s="24">
        <f>IF(OR($A282="",$E282=""),"",IF($V282=1,S_INACT,IF(ISNA(MATCH($A282,TYP_TYPE,0)),S_TYPEKO,IF($U282=1,S_DONE,IF(AND($K282="",$R282=""),S_NOSCOPE,IF($K282="",S_NOTARGET,IF($N282&gt;0,S_LATE,IF($I282&lt;&gt;"",S_WIP,IF(-$N282&lt;=FEN_DOC,S_RISK,IF(-$N282&lt;=HORIZON,S_COMING,S_NOTYET))))))))))</f>
        <v/>
      </c>
      <c r="P282" s="24">
        <f>IF(OR($A282="",$E282=""),"",IF($V282=1,"",IF(ISNA(MATCH($A282,TYP_TYPE,0)),"Type not in the library",IF($B282="","Scope not set",IF(AND($B282="System",$C282=""),"System not set",IF(AND($B282="Equipment",$D282=""),"Equipment not set",IF($F282="","Responsible not set",IF($K282="","No target date",IF(AND($B282="Equipment",$C282&lt;&gt;"",IFERROR(INDEX(EQP_SYS,MATCH($D282,EQP_NOM,0)),"")&lt;&gt;$C282),"Equipment not in that system",IF(AND($U282=1,$M282=""),"Approved with no approval date",""))))))))))</f>
        <v/>
      </c>
      <c r="Q282" s="21" t="n"/>
      <c r="R282" s="23">
        <f>IF(OR($A282="",$B282=""),"",IF($B282="Equipment",IFERROR(INDEX(EQP_START,MATCH($D282,EQP_NOM,0)),""),IF($B282="System",IFERROR(INDEX(SYS_EARLIEST,MATCH($C282,SYS_ID,0)),""),IF($B282="All",CTR_EARLIEST,""))))</f>
        <v/>
      </c>
      <c r="S282" s="23">
        <f>IF(OR($A282="",$E282=""),"",IFERROR(IF(INDEX(TYP_ANCHOR,MATCH($A282,TYP_TYPE,0))="Commissioning Start",IF($R282="","",$R282-INDEX(TYP_LEAD,MATCH($A282,TYP_TYPE,0))),IF(INDEX(MS_PLAN,MATCH(INDEX(TYP_ANCHOR,MATCH($A282,TYP_TYPE,0)),MS_NOM,0))="","",INDEX(MS_PLAN,MATCH(INDEX(TYP_ANCHOR,MATCH($A282,TYP_TYPE,0)),MS_NOM,0))-INDEX(TYP_LEAD,MATCH($A282,TYP_TYPE,0)))),""))</f>
        <v/>
      </c>
      <c r="T282" s="26">
        <f>IF(OR($A282="",$E282=""),0,IF($V282=1,0,1))</f>
        <v/>
      </c>
      <c r="U282" s="26">
        <f>IF($T282=0,0,IF($M282&lt;&gt;"",1,IF(IFERROR(INDEX(WF_CLASS,MATCH($H282,WF_CODE,0)),"")="Done",1,0)))</f>
        <v/>
      </c>
      <c r="V282" s="26">
        <f>IF(OR($A282="",$E282=""),0,IF(IFERROR(INDEX(WF_CLASS,MATCH($H282,WF_CODE,0)),"")="Inactive",1,0))</f>
        <v/>
      </c>
      <c r="W282" s="24">
        <f>IF($A282="","",IFERROR(INDEX(TYP_PHASE,MATCH($A282,TYP_TYPE,0)),"-"))</f>
        <v/>
      </c>
      <c r="X282" s="24">
        <f>IF(AND($T282=1,$U282=0,N($N282)&gt;0),$N282+ROW()/1000000,"")</f>
        <v/>
      </c>
      <c r="Y282" s="24">
        <f>IF(AND($T282=1,$U282=0,OR($I282&lt;&gt;"",N($N282)&gt;0)),N($N282)+ROW()/1000000,"")</f>
        <v/>
      </c>
      <c r="Z282" s="24">
        <f>IF(AND($T282=1,$U282=0,$I282="",N($N282)&lt;=0,-N($N282)&lt;=HORIZON),N($N282)+ROW()/1000000,"")</f>
        <v/>
      </c>
    </row>
    <row r="283">
      <c r="A283" s="21" t="n"/>
      <c r="B283" s="21" t="n"/>
      <c r="C283" s="21" t="n"/>
      <c r="D283" s="21" t="n"/>
      <c r="E283" s="21" t="n"/>
      <c r="F283" s="21" t="n"/>
      <c r="G283" s="21" t="n"/>
      <c r="H283" s="21" t="n"/>
      <c r="I283" s="22" t="n"/>
      <c r="J283" s="22" t="n"/>
      <c r="K283" s="23">
        <f>IF($A283="","",IF($J283&lt;&gt;"",$J283,$S283))</f>
        <v/>
      </c>
      <c r="L283" s="24">
        <f>IF(OR($A283="",$E283=""),"",IF($J283&lt;&gt;"","Manual",IF($S283="","-","Auto")))</f>
        <v/>
      </c>
      <c r="M283" s="22" t="n"/>
      <c r="N283" s="25">
        <f>IF($T283=0,"",IF($U283=1,IF($M283="","",$M283-$K283),IF($K283="","",TODAY()-$K283)))</f>
        <v/>
      </c>
      <c r="O283" s="24">
        <f>IF(OR($A283="",$E283=""),"",IF($V283=1,S_INACT,IF(ISNA(MATCH($A283,TYP_TYPE,0)),S_TYPEKO,IF($U283=1,S_DONE,IF(AND($K283="",$R283=""),S_NOSCOPE,IF($K283="",S_NOTARGET,IF($N283&gt;0,S_LATE,IF($I283&lt;&gt;"",S_WIP,IF(-$N283&lt;=FEN_DOC,S_RISK,IF(-$N283&lt;=HORIZON,S_COMING,S_NOTYET))))))))))</f>
        <v/>
      </c>
      <c r="P283" s="24">
        <f>IF(OR($A283="",$E283=""),"",IF($V283=1,"",IF(ISNA(MATCH($A283,TYP_TYPE,0)),"Type not in the library",IF($B283="","Scope not set",IF(AND($B283="System",$C283=""),"System not set",IF(AND($B283="Equipment",$D283=""),"Equipment not set",IF($F283="","Responsible not set",IF($K283="","No target date",IF(AND($B283="Equipment",$C283&lt;&gt;"",IFERROR(INDEX(EQP_SYS,MATCH($D283,EQP_NOM,0)),"")&lt;&gt;$C283),"Equipment not in that system",IF(AND($U283=1,$M283=""),"Approved with no approval date",""))))))))))</f>
        <v/>
      </c>
      <c r="Q283" s="21" t="n"/>
      <c r="R283" s="23">
        <f>IF(OR($A283="",$B283=""),"",IF($B283="Equipment",IFERROR(INDEX(EQP_START,MATCH($D283,EQP_NOM,0)),""),IF($B283="System",IFERROR(INDEX(SYS_EARLIEST,MATCH($C283,SYS_ID,0)),""),IF($B283="All",CTR_EARLIEST,""))))</f>
        <v/>
      </c>
      <c r="S283" s="23">
        <f>IF(OR($A283="",$E283=""),"",IFERROR(IF(INDEX(TYP_ANCHOR,MATCH($A283,TYP_TYPE,0))="Commissioning Start",IF($R283="","",$R283-INDEX(TYP_LEAD,MATCH($A283,TYP_TYPE,0))),IF(INDEX(MS_PLAN,MATCH(INDEX(TYP_ANCHOR,MATCH($A283,TYP_TYPE,0)),MS_NOM,0))="","",INDEX(MS_PLAN,MATCH(INDEX(TYP_ANCHOR,MATCH($A283,TYP_TYPE,0)),MS_NOM,0))-INDEX(TYP_LEAD,MATCH($A283,TYP_TYPE,0)))),""))</f>
        <v/>
      </c>
      <c r="T283" s="26">
        <f>IF(OR($A283="",$E283=""),0,IF($V283=1,0,1))</f>
        <v/>
      </c>
      <c r="U283" s="26">
        <f>IF($T283=0,0,IF($M283&lt;&gt;"",1,IF(IFERROR(INDEX(WF_CLASS,MATCH($H283,WF_CODE,0)),"")="Done",1,0)))</f>
        <v/>
      </c>
      <c r="V283" s="26">
        <f>IF(OR($A283="",$E283=""),0,IF(IFERROR(INDEX(WF_CLASS,MATCH($H283,WF_CODE,0)),"")="Inactive",1,0))</f>
        <v/>
      </c>
      <c r="W283" s="24">
        <f>IF($A283="","",IFERROR(INDEX(TYP_PHASE,MATCH($A283,TYP_TYPE,0)),"-"))</f>
        <v/>
      </c>
      <c r="X283" s="24">
        <f>IF(AND($T283=1,$U283=0,N($N283)&gt;0),$N283+ROW()/1000000,"")</f>
        <v/>
      </c>
      <c r="Y283" s="24">
        <f>IF(AND($T283=1,$U283=0,OR($I283&lt;&gt;"",N($N283)&gt;0)),N($N283)+ROW()/1000000,"")</f>
        <v/>
      </c>
      <c r="Z283" s="24">
        <f>IF(AND($T283=1,$U283=0,$I283="",N($N283)&lt;=0,-N($N283)&lt;=HORIZON),N($N283)+ROW()/1000000,"")</f>
        <v/>
      </c>
    </row>
    <row r="284">
      <c r="A284" s="21" t="n"/>
      <c r="B284" s="21" t="n"/>
      <c r="C284" s="21" t="n"/>
      <c r="D284" s="21" t="n"/>
      <c r="E284" s="21" t="n"/>
      <c r="F284" s="21" t="n"/>
      <c r="G284" s="21" t="n"/>
      <c r="H284" s="21" t="n"/>
      <c r="I284" s="22" t="n"/>
      <c r="J284" s="22" t="n"/>
      <c r="K284" s="23">
        <f>IF($A284="","",IF($J284&lt;&gt;"",$J284,$S284))</f>
        <v/>
      </c>
      <c r="L284" s="24">
        <f>IF(OR($A284="",$E284=""),"",IF($J284&lt;&gt;"","Manual",IF($S284="","-","Auto")))</f>
        <v/>
      </c>
      <c r="M284" s="22" t="n"/>
      <c r="N284" s="25">
        <f>IF($T284=0,"",IF($U284=1,IF($M284="","",$M284-$K284),IF($K284="","",TODAY()-$K284)))</f>
        <v/>
      </c>
      <c r="O284" s="24">
        <f>IF(OR($A284="",$E284=""),"",IF($V284=1,S_INACT,IF(ISNA(MATCH($A284,TYP_TYPE,0)),S_TYPEKO,IF($U284=1,S_DONE,IF(AND($K284="",$R284=""),S_NOSCOPE,IF($K284="",S_NOTARGET,IF($N284&gt;0,S_LATE,IF($I284&lt;&gt;"",S_WIP,IF(-$N284&lt;=FEN_DOC,S_RISK,IF(-$N284&lt;=HORIZON,S_COMING,S_NOTYET))))))))))</f>
        <v/>
      </c>
      <c r="P284" s="24">
        <f>IF(OR($A284="",$E284=""),"",IF($V284=1,"",IF(ISNA(MATCH($A284,TYP_TYPE,0)),"Type not in the library",IF($B284="","Scope not set",IF(AND($B284="System",$C284=""),"System not set",IF(AND($B284="Equipment",$D284=""),"Equipment not set",IF($F284="","Responsible not set",IF($K284="","No target date",IF(AND($B284="Equipment",$C284&lt;&gt;"",IFERROR(INDEX(EQP_SYS,MATCH($D284,EQP_NOM,0)),"")&lt;&gt;$C284),"Equipment not in that system",IF(AND($U284=1,$M284=""),"Approved with no approval date",""))))))))))</f>
        <v/>
      </c>
      <c r="Q284" s="21" t="n"/>
      <c r="R284" s="23">
        <f>IF(OR($A284="",$B284=""),"",IF($B284="Equipment",IFERROR(INDEX(EQP_START,MATCH($D284,EQP_NOM,0)),""),IF($B284="System",IFERROR(INDEX(SYS_EARLIEST,MATCH($C284,SYS_ID,0)),""),IF($B284="All",CTR_EARLIEST,""))))</f>
        <v/>
      </c>
      <c r="S284" s="23">
        <f>IF(OR($A284="",$E284=""),"",IFERROR(IF(INDEX(TYP_ANCHOR,MATCH($A284,TYP_TYPE,0))="Commissioning Start",IF($R284="","",$R284-INDEX(TYP_LEAD,MATCH($A284,TYP_TYPE,0))),IF(INDEX(MS_PLAN,MATCH(INDEX(TYP_ANCHOR,MATCH($A284,TYP_TYPE,0)),MS_NOM,0))="","",INDEX(MS_PLAN,MATCH(INDEX(TYP_ANCHOR,MATCH($A284,TYP_TYPE,0)),MS_NOM,0))-INDEX(TYP_LEAD,MATCH($A284,TYP_TYPE,0)))),""))</f>
        <v/>
      </c>
      <c r="T284" s="26">
        <f>IF(OR($A284="",$E284=""),0,IF($V284=1,0,1))</f>
        <v/>
      </c>
      <c r="U284" s="26">
        <f>IF($T284=0,0,IF($M284&lt;&gt;"",1,IF(IFERROR(INDEX(WF_CLASS,MATCH($H284,WF_CODE,0)),"")="Done",1,0)))</f>
        <v/>
      </c>
      <c r="V284" s="26">
        <f>IF(OR($A284="",$E284=""),0,IF(IFERROR(INDEX(WF_CLASS,MATCH($H284,WF_CODE,0)),"")="Inactive",1,0))</f>
        <v/>
      </c>
      <c r="W284" s="24">
        <f>IF($A284="","",IFERROR(INDEX(TYP_PHASE,MATCH($A284,TYP_TYPE,0)),"-"))</f>
        <v/>
      </c>
      <c r="X284" s="24">
        <f>IF(AND($T284=1,$U284=0,N($N284)&gt;0),$N284+ROW()/1000000,"")</f>
        <v/>
      </c>
      <c r="Y284" s="24">
        <f>IF(AND($T284=1,$U284=0,OR($I284&lt;&gt;"",N($N284)&gt;0)),N($N284)+ROW()/1000000,"")</f>
        <v/>
      </c>
      <c r="Z284" s="24">
        <f>IF(AND($T284=1,$U284=0,$I284="",N($N284)&lt;=0,-N($N284)&lt;=HORIZON),N($N284)+ROW()/1000000,"")</f>
        <v/>
      </c>
    </row>
    <row r="285">
      <c r="A285" s="21" t="n"/>
      <c r="B285" s="21" t="n"/>
      <c r="C285" s="21" t="n"/>
      <c r="D285" s="21" t="n"/>
      <c r="E285" s="21" t="n"/>
      <c r="F285" s="21" t="n"/>
      <c r="G285" s="21" t="n"/>
      <c r="H285" s="21" t="n"/>
      <c r="I285" s="22" t="n"/>
      <c r="J285" s="22" t="n"/>
      <c r="K285" s="23">
        <f>IF($A285="","",IF($J285&lt;&gt;"",$J285,$S285))</f>
        <v/>
      </c>
      <c r="L285" s="24">
        <f>IF(OR($A285="",$E285=""),"",IF($J285&lt;&gt;"","Manual",IF($S285="","-","Auto")))</f>
        <v/>
      </c>
      <c r="M285" s="22" t="n"/>
      <c r="N285" s="25">
        <f>IF($T285=0,"",IF($U285=1,IF($M285="","",$M285-$K285),IF($K285="","",TODAY()-$K285)))</f>
        <v/>
      </c>
      <c r="O285" s="24">
        <f>IF(OR($A285="",$E285=""),"",IF($V285=1,S_INACT,IF(ISNA(MATCH($A285,TYP_TYPE,0)),S_TYPEKO,IF($U285=1,S_DONE,IF(AND($K285="",$R285=""),S_NOSCOPE,IF($K285="",S_NOTARGET,IF($N285&gt;0,S_LATE,IF($I285&lt;&gt;"",S_WIP,IF(-$N285&lt;=FEN_DOC,S_RISK,IF(-$N285&lt;=HORIZON,S_COMING,S_NOTYET))))))))))</f>
        <v/>
      </c>
      <c r="P285" s="24">
        <f>IF(OR($A285="",$E285=""),"",IF($V285=1,"",IF(ISNA(MATCH($A285,TYP_TYPE,0)),"Type not in the library",IF($B285="","Scope not set",IF(AND($B285="System",$C285=""),"System not set",IF(AND($B285="Equipment",$D285=""),"Equipment not set",IF($F285="","Responsible not set",IF($K285="","No target date",IF(AND($B285="Equipment",$C285&lt;&gt;"",IFERROR(INDEX(EQP_SYS,MATCH($D285,EQP_NOM,0)),"")&lt;&gt;$C285),"Equipment not in that system",IF(AND($U285=1,$M285=""),"Approved with no approval date",""))))))))))</f>
        <v/>
      </c>
      <c r="Q285" s="21" t="n"/>
      <c r="R285" s="23">
        <f>IF(OR($A285="",$B285=""),"",IF($B285="Equipment",IFERROR(INDEX(EQP_START,MATCH($D285,EQP_NOM,0)),""),IF($B285="System",IFERROR(INDEX(SYS_EARLIEST,MATCH($C285,SYS_ID,0)),""),IF($B285="All",CTR_EARLIEST,""))))</f>
        <v/>
      </c>
      <c r="S285" s="23">
        <f>IF(OR($A285="",$E285=""),"",IFERROR(IF(INDEX(TYP_ANCHOR,MATCH($A285,TYP_TYPE,0))="Commissioning Start",IF($R285="","",$R285-INDEX(TYP_LEAD,MATCH($A285,TYP_TYPE,0))),IF(INDEX(MS_PLAN,MATCH(INDEX(TYP_ANCHOR,MATCH($A285,TYP_TYPE,0)),MS_NOM,0))="","",INDEX(MS_PLAN,MATCH(INDEX(TYP_ANCHOR,MATCH($A285,TYP_TYPE,0)),MS_NOM,0))-INDEX(TYP_LEAD,MATCH($A285,TYP_TYPE,0)))),""))</f>
        <v/>
      </c>
      <c r="T285" s="26">
        <f>IF(OR($A285="",$E285=""),0,IF($V285=1,0,1))</f>
        <v/>
      </c>
      <c r="U285" s="26">
        <f>IF($T285=0,0,IF($M285&lt;&gt;"",1,IF(IFERROR(INDEX(WF_CLASS,MATCH($H285,WF_CODE,0)),"")="Done",1,0)))</f>
        <v/>
      </c>
      <c r="V285" s="26">
        <f>IF(OR($A285="",$E285=""),0,IF(IFERROR(INDEX(WF_CLASS,MATCH($H285,WF_CODE,0)),"")="Inactive",1,0))</f>
        <v/>
      </c>
      <c r="W285" s="24">
        <f>IF($A285="","",IFERROR(INDEX(TYP_PHASE,MATCH($A285,TYP_TYPE,0)),"-"))</f>
        <v/>
      </c>
      <c r="X285" s="24">
        <f>IF(AND($T285=1,$U285=0,N($N285)&gt;0),$N285+ROW()/1000000,"")</f>
        <v/>
      </c>
      <c r="Y285" s="24">
        <f>IF(AND($T285=1,$U285=0,OR($I285&lt;&gt;"",N($N285)&gt;0)),N($N285)+ROW()/1000000,"")</f>
        <v/>
      </c>
      <c r="Z285" s="24">
        <f>IF(AND($T285=1,$U285=0,$I285="",N($N285)&lt;=0,-N($N285)&lt;=HORIZON),N($N285)+ROW()/1000000,"")</f>
        <v/>
      </c>
    </row>
    <row r="286">
      <c r="A286" s="21" t="n"/>
      <c r="B286" s="21" t="n"/>
      <c r="C286" s="21" t="n"/>
      <c r="D286" s="21" t="n"/>
      <c r="E286" s="21" t="n"/>
      <c r="F286" s="21" t="n"/>
      <c r="G286" s="21" t="n"/>
      <c r="H286" s="21" t="n"/>
      <c r="I286" s="22" t="n"/>
      <c r="J286" s="22" t="n"/>
      <c r="K286" s="23">
        <f>IF($A286="","",IF($J286&lt;&gt;"",$J286,$S286))</f>
        <v/>
      </c>
      <c r="L286" s="24">
        <f>IF(OR($A286="",$E286=""),"",IF($J286&lt;&gt;"","Manual",IF($S286="","-","Auto")))</f>
        <v/>
      </c>
      <c r="M286" s="22" t="n"/>
      <c r="N286" s="25">
        <f>IF($T286=0,"",IF($U286=1,IF($M286="","",$M286-$K286),IF($K286="","",TODAY()-$K286)))</f>
        <v/>
      </c>
      <c r="O286" s="24">
        <f>IF(OR($A286="",$E286=""),"",IF($V286=1,S_INACT,IF(ISNA(MATCH($A286,TYP_TYPE,0)),S_TYPEKO,IF($U286=1,S_DONE,IF(AND($K286="",$R286=""),S_NOSCOPE,IF($K286="",S_NOTARGET,IF($N286&gt;0,S_LATE,IF($I286&lt;&gt;"",S_WIP,IF(-$N286&lt;=FEN_DOC,S_RISK,IF(-$N286&lt;=HORIZON,S_COMING,S_NOTYET))))))))))</f>
        <v/>
      </c>
      <c r="P286" s="24">
        <f>IF(OR($A286="",$E286=""),"",IF($V286=1,"",IF(ISNA(MATCH($A286,TYP_TYPE,0)),"Type not in the library",IF($B286="","Scope not set",IF(AND($B286="System",$C286=""),"System not set",IF(AND($B286="Equipment",$D286=""),"Equipment not set",IF($F286="","Responsible not set",IF($K286="","No target date",IF(AND($B286="Equipment",$C286&lt;&gt;"",IFERROR(INDEX(EQP_SYS,MATCH($D286,EQP_NOM,0)),"")&lt;&gt;$C286),"Equipment not in that system",IF(AND($U286=1,$M286=""),"Approved with no approval date",""))))))))))</f>
        <v/>
      </c>
      <c r="Q286" s="21" t="n"/>
      <c r="R286" s="23">
        <f>IF(OR($A286="",$B286=""),"",IF($B286="Equipment",IFERROR(INDEX(EQP_START,MATCH($D286,EQP_NOM,0)),""),IF($B286="System",IFERROR(INDEX(SYS_EARLIEST,MATCH($C286,SYS_ID,0)),""),IF($B286="All",CTR_EARLIEST,""))))</f>
        <v/>
      </c>
      <c r="S286" s="23">
        <f>IF(OR($A286="",$E286=""),"",IFERROR(IF(INDEX(TYP_ANCHOR,MATCH($A286,TYP_TYPE,0))="Commissioning Start",IF($R286="","",$R286-INDEX(TYP_LEAD,MATCH($A286,TYP_TYPE,0))),IF(INDEX(MS_PLAN,MATCH(INDEX(TYP_ANCHOR,MATCH($A286,TYP_TYPE,0)),MS_NOM,0))="","",INDEX(MS_PLAN,MATCH(INDEX(TYP_ANCHOR,MATCH($A286,TYP_TYPE,0)),MS_NOM,0))-INDEX(TYP_LEAD,MATCH($A286,TYP_TYPE,0)))),""))</f>
        <v/>
      </c>
      <c r="T286" s="26">
        <f>IF(OR($A286="",$E286=""),0,IF($V286=1,0,1))</f>
        <v/>
      </c>
      <c r="U286" s="26">
        <f>IF($T286=0,0,IF($M286&lt;&gt;"",1,IF(IFERROR(INDEX(WF_CLASS,MATCH($H286,WF_CODE,0)),"")="Done",1,0)))</f>
        <v/>
      </c>
      <c r="V286" s="26">
        <f>IF(OR($A286="",$E286=""),0,IF(IFERROR(INDEX(WF_CLASS,MATCH($H286,WF_CODE,0)),"")="Inactive",1,0))</f>
        <v/>
      </c>
      <c r="W286" s="24">
        <f>IF($A286="","",IFERROR(INDEX(TYP_PHASE,MATCH($A286,TYP_TYPE,0)),"-"))</f>
        <v/>
      </c>
      <c r="X286" s="24">
        <f>IF(AND($T286=1,$U286=0,N($N286)&gt;0),$N286+ROW()/1000000,"")</f>
        <v/>
      </c>
      <c r="Y286" s="24">
        <f>IF(AND($T286=1,$U286=0,OR($I286&lt;&gt;"",N($N286)&gt;0)),N($N286)+ROW()/1000000,"")</f>
        <v/>
      </c>
      <c r="Z286" s="24">
        <f>IF(AND($T286=1,$U286=0,$I286="",N($N286)&lt;=0,-N($N286)&lt;=HORIZON),N($N286)+ROW()/1000000,"")</f>
        <v/>
      </c>
    </row>
    <row r="287">
      <c r="A287" s="21" t="n"/>
      <c r="B287" s="21" t="n"/>
      <c r="C287" s="21" t="n"/>
      <c r="D287" s="21" t="n"/>
      <c r="E287" s="21" t="n"/>
      <c r="F287" s="21" t="n"/>
      <c r="G287" s="21" t="n"/>
      <c r="H287" s="21" t="n"/>
      <c r="I287" s="22" t="n"/>
      <c r="J287" s="22" t="n"/>
      <c r="K287" s="23">
        <f>IF($A287="","",IF($J287&lt;&gt;"",$J287,$S287))</f>
        <v/>
      </c>
      <c r="L287" s="24">
        <f>IF(OR($A287="",$E287=""),"",IF($J287&lt;&gt;"","Manual",IF($S287="","-","Auto")))</f>
        <v/>
      </c>
      <c r="M287" s="22" t="n"/>
      <c r="N287" s="25">
        <f>IF($T287=0,"",IF($U287=1,IF($M287="","",$M287-$K287),IF($K287="","",TODAY()-$K287)))</f>
        <v/>
      </c>
      <c r="O287" s="24">
        <f>IF(OR($A287="",$E287=""),"",IF($V287=1,S_INACT,IF(ISNA(MATCH($A287,TYP_TYPE,0)),S_TYPEKO,IF($U287=1,S_DONE,IF(AND($K287="",$R287=""),S_NOSCOPE,IF($K287="",S_NOTARGET,IF($N287&gt;0,S_LATE,IF($I287&lt;&gt;"",S_WIP,IF(-$N287&lt;=FEN_DOC,S_RISK,IF(-$N287&lt;=HORIZON,S_COMING,S_NOTYET))))))))))</f>
        <v/>
      </c>
      <c r="P287" s="24">
        <f>IF(OR($A287="",$E287=""),"",IF($V287=1,"",IF(ISNA(MATCH($A287,TYP_TYPE,0)),"Type not in the library",IF($B287="","Scope not set",IF(AND($B287="System",$C287=""),"System not set",IF(AND($B287="Equipment",$D287=""),"Equipment not set",IF($F287="","Responsible not set",IF($K287="","No target date",IF(AND($B287="Equipment",$C287&lt;&gt;"",IFERROR(INDEX(EQP_SYS,MATCH($D287,EQP_NOM,0)),"")&lt;&gt;$C287),"Equipment not in that system",IF(AND($U287=1,$M287=""),"Approved with no approval date",""))))))))))</f>
        <v/>
      </c>
      <c r="Q287" s="21" t="n"/>
      <c r="R287" s="23">
        <f>IF(OR($A287="",$B287=""),"",IF($B287="Equipment",IFERROR(INDEX(EQP_START,MATCH($D287,EQP_NOM,0)),""),IF($B287="System",IFERROR(INDEX(SYS_EARLIEST,MATCH($C287,SYS_ID,0)),""),IF($B287="All",CTR_EARLIEST,""))))</f>
        <v/>
      </c>
      <c r="S287" s="23">
        <f>IF(OR($A287="",$E287=""),"",IFERROR(IF(INDEX(TYP_ANCHOR,MATCH($A287,TYP_TYPE,0))="Commissioning Start",IF($R287="","",$R287-INDEX(TYP_LEAD,MATCH($A287,TYP_TYPE,0))),IF(INDEX(MS_PLAN,MATCH(INDEX(TYP_ANCHOR,MATCH($A287,TYP_TYPE,0)),MS_NOM,0))="","",INDEX(MS_PLAN,MATCH(INDEX(TYP_ANCHOR,MATCH($A287,TYP_TYPE,0)),MS_NOM,0))-INDEX(TYP_LEAD,MATCH($A287,TYP_TYPE,0)))),""))</f>
        <v/>
      </c>
      <c r="T287" s="26">
        <f>IF(OR($A287="",$E287=""),0,IF($V287=1,0,1))</f>
        <v/>
      </c>
      <c r="U287" s="26">
        <f>IF($T287=0,0,IF($M287&lt;&gt;"",1,IF(IFERROR(INDEX(WF_CLASS,MATCH($H287,WF_CODE,0)),"")="Done",1,0)))</f>
        <v/>
      </c>
      <c r="V287" s="26">
        <f>IF(OR($A287="",$E287=""),0,IF(IFERROR(INDEX(WF_CLASS,MATCH($H287,WF_CODE,0)),"")="Inactive",1,0))</f>
        <v/>
      </c>
      <c r="W287" s="24">
        <f>IF($A287="","",IFERROR(INDEX(TYP_PHASE,MATCH($A287,TYP_TYPE,0)),"-"))</f>
        <v/>
      </c>
      <c r="X287" s="24">
        <f>IF(AND($T287=1,$U287=0,N($N287)&gt;0),$N287+ROW()/1000000,"")</f>
        <v/>
      </c>
      <c r="Y287" s="24">
        <f>IF(AND($T287=1,$U287=0,OR($I287&lt;&gt;"",N($N287)&gt;0)),N($N287)+ROW()/1000000,"")</f>
        <v/>
      </c>
      <c r="Z287" s="24">
        <f>IF(AND($T287=1,$U287=0,$I287="",N($N287)&lt;=0,-N($N287)&lt;=HORIZON),N($N287)+ROW()/1000000,"")</f>
        <v/>
      </c>
    </row>
    <row r="288">
      <c r="A288" s="21" t="n"/>
      <c r="B288" s="21" t="n"/>
      <c r="C288" s="21" t="n"/>
      <c r="D288" s="21" t="n"/>
      <c r="E288" s="21" t="n"/>
      <c r="F288" s="21" t="n"/>
      <c r="G288" s="21" t="n"/>
      <c r="H288" s="21" t="n"/>
      <c r="I288" s="22" t="n"/>
      <c r="J288" s="22" t="n"/>
      <c r="K288" s="23">
        <f>IF($A288="","",IF($J288&lt;&gt;"",$J288,$S288))</f>
        <v/>
      </c>
      <c r="L288" s="24">
        <f>IF(OR($A288="",$E288=""),"",IF($J288&lt;&gt;"","Manual",IF($S288="","-","Auto")))</f>
        <v/>
      </c>
      <c r="M288" s="22" t="n"/>
      <c r="N288" s="25">
        <f>IF($T288=0,"",IF($U288=1,IF($M288="","",$M288-$K288),IF($K288="","",TODAY()-$K288)))</f>
        <v/>
      </c>
      <c r="O288" s="24">
        <f>IF(OR($A288="",$E288=""),"",IF($V288=1,S_INACT,IF(ISNA(MATCH($A288,TYP_TYPE,0)),S_TYPEKO,IF($U288=1,S_DONE,IF(AND($K288="",$R288=""),S_NOSCOPE,IF($K288="",S_NOTARGET,IF($N288&gt;0,S_LATE,IF($I288&lt;&gt;"",S_WIP,IF(-$N288&lt;=FEN_DOC,S_RISK,IF(-$N288&lt;=HORIZON,S_COMING,S_NOTYET))))))))))</f>
        <v/>
      </c>
      <c r="P288" s="24">
        <f>IF(OR($A288="",$E288=""),"",IF($V288=1,"",IF(ISNA(MATCH($A288,TYP_TYPE,0)),"Type not in the library",IF($B288="","Scope not set",IF(AND($B288="System",$C288=""),"System not set",IF(AND($B288="Equipment",$D288=""),"Equipment not set",IF($F288="","Responsible not set",IF($K288="","No target date",IF(AND($B288="Equipment",$C288&lt;&gt;"",IFERROR(INDEX(EQP_SYS,MATCH($D288,EQP_NOM,0)),"")&lt;&gt;$C288),"Equipment not in that system",IF(AND($U288=1,$M288=""),"Approved with no approval date",""))))))))))</f>
        <v/>
      </c>
      <c r="Q288" s="21" t="n"/>
      <c r="R288" s="23">
        <f>IF(OR($A288="",$B288=""),"",IF($B288="Equipment",IFERROR(INDEX(EQP_START,MATCH($D288,EQP_NOM,0)),""),IF($B288="System",IFERROR(INDEX(SYS_EARLIEST,MATCH($C288,SYS_ID,0)),""),IF($B288="All",CTR_EARLIEST,""))))</f>
        <v/>
      </c>
      <c r="S288" s="23">
        <f>IF(OR($A288="",$E288=""),"",IFERROR(IF(INDEX(TYP_ANCHOR,MATCH($A288,TYP_TYPE,0))="Commissioning Start",IF($R288="","",$R288-INDEX(TYP_LEAD,MATCH($A288,TYP_TYPE,0))),IF(INDEX(MS_PLAN,MATCH(INDEX(TYP_ANCHOR,MATCH($A288,TYP_TYPE,0)),MS_NOM,0))="","",INDEX(MS_PLAN,MATCH(INDEX(TYP_ANCHOR,MATCH($A288,TYP_TYPE,0)),MS_NOM,0))-INDEX(TYP_LEAD,MATCH($A288,TYP_TYPE,0)))),""))</f>
        <v/>
      </c>
      <c r="T288" s="26">
        <f>IF(OR($A288="",$E288=""),0,IF($V288=1,0,1))</f>
        <v/>
      </c>
      <c r="U288" s="26">
        <f>IF($T288=0,0,IF($M288&lt;&gt;"",1,IF(IFERROR(INDEX(WF_CLASS,MATCH($H288,WF_CODE,0)),"")="Done",1,0)))</f>
        <v/>
      </c>
      <c r="V288" s="26">
        <f>IF(OR($A288="",$E288=""),0,IF(IFERROR(INDEX(WF_CLASS,MATCH($H288,WF_CODE,0)),"")="Inactive",1,0))</f>
        <v/>
      </c>
      <c r="W288" s="24">
        <f>IF($A288="","",IFERROR(INDEX(TYP_PHASE,MATCH($A288,TYP_TYPE,0)),"-"))</f>
        <v/>
      </c>
      <c r="X288" s="24">
        <f>IF(AND($T288=1,$U288=0,N($N288)&gt;0),$N288+ROW()/1000000,"")</f>
        <v/>
      </c>
      <c r="Y288" s="24">
        <f>IF(AND($T288=1,$U288=0,OR($I288&lt;&gt;"",N($N288)&gt;0)),N($N288)+ROW()/1000000,"")</f>
        <v/>
      </c>
      <c r="Z288" s="24">
        <f>IF(AND($T288=1,$U288=0,$I288="",N($N288)&lt;=0,-N($N288)&lt;=HORIZON),N($N288)+ROW()/1000000,"")</f>
        <v/>
      </c>
    </row>
    <row r="289">
      <c r="A289" s="21" t="n"/>
      <c r="B289" s="21" t="n"/>
      <c r="C289" s="21" t="n"/>
      <c r="D289" s="21" t="n"/>
      <c r="E289" s="21" t="n"/>
      <c r="F289" s="21" t="n"/>
      <c r="G289" s="21" t="n"/>
      <c r="H289" s="21" t="n"/>
      <c r="I289" s="22" t="n"/>
      <c r="J289" s="22" t="n"/>
      <c r="K289" s="23">
        <f>IF($A289="","",IF($J289&lt;&gt;"",$J289,$S289))</f>
        <v/>
      </c>
      <c r="L289" s="24">
        <f>IF(OR($A289="",$E289=""),"",IF($J289&lt;&gt;"","Manual",IF($S289="","-","Auto")))</f>
        <v/>
      </c>
      <c r="M289" s="22" t="n"/>
      <c r="N289" s="25">
        <f>IF($T289=0,"",IF($U289=1,IF($M289="","",$M289-$K289),IF($K289="","",TODAY()-$K289)))</f>
        <v/>
      </c>
      <c r="O289" s="24">
        <f>IF(OR($A289="",$E289=""),"",IF($V289=1,S_INACT,IF(ISNA(MATCH($A289,TYP_TYPE,0)),S_TYPEKO,IF($U289=1,S_DONE,IF(AND($K289="",$R289=""),S_NOSCOPE,IF($K289="",S_NOTARGET,IF($N289&gt;0,S_LATE,IF($I289&lt;&gt;"",S_WIP,IF(-$N289&lt;=FEN_DOC,S_RISK,IF(-$N289&lt;=HORIZON,S_COMING,S_NOTYET))))))))))</f>
        <v/>
      </c>
      <c r="P289" s="24">
        <f>IF(OR($A289="",$E289=""),"",IF($V289=1,"",IF(ISNA(MATCH($A289,TYP_TYPE,0)),"Type not in the library",IF($B289="","Scope not set",IF(AND($B289="System",$C289=""),"System not set",IF(AND($B289="Equipment",$D289=""),"Equipment not set",IF($F289="","Responsible not set",IF($K289="","No target date",IF(AND($B289="Equipment",$C289&lt;&gt;"",IFERROR(INDEX(EQP_SYS,MATCH($D289,EQP_NOM,0)),"")&lt;&gt;$C289),"Equipment not in that system",IF(AND($U289=1,$M289=""),"Approved with no approval date",""))))))))))</f>
        <v/>
      </c>
      <c r="Q289" s="21" t="n"/>
      <c r="R289" s="23">
        <f>IF(OR($A289="",$B289=""),"",IF($B289="Equipment",IFERROR(INDEX(EQP_START,MATCH($D289,EQP_NOM,0)),""),IF($B289="System",IFERROR(INDEX(SYS_EARLIEST,MATCH($C289,SYS_ID,0)),""),IF($B289="All",CTR_EARLIEST,""))))</f>
        <v/>
      </c>
      <c r="S289" s="23">
        <f>IF(OR($A289="",$E289=""),"",IFERROR(IF(INDEX(TYP_ANCHOR,MATCH($A289,TYP_TYPE,0))="Commissioning Start",IF($R289="","",$R289-INDEX(TYP_LEAD,MATCH($A289,TYP_TYPE,0))),IF(INDEX(MS_PLAN,MATCH(INDEX(TYP_ANCHOR,MATCH($A289,TYP_TYPE,0)),MS_NOM,0))="","",INDEX(MS_PLAN,MATCH(INDEX(TYP_ANCHOR,MATCH($A289,TYP_TYPE,0)),MS_NOM,0))-INDEX(TYP_LEAD,MATCH($A289,TYP_TYPE,0)))),""))</f>
        <v/>
      </c>
      <c r="T289" s="26">
        <f>IF(OR($A289="",$E289=""),0,IF($V289=1,0,1))</f>
        <v/>
      </c>
      <c r="U289" s="26">
        <f>IF($T289=0,0,IF($M289&lt;&gt;"",1,IF(IFERROR(INDEX(WF_CLASS,MATCH($H289,WF_CODE,0)),"")="Done",1,0)))</f>
        <v/>
      </c>
      <c r="V289" s="26">
        <f>IF(OR($A289="",$E289=""),0,IF(IFERROR(INDEX(WF_CLASS,MATCH($H289,WF_CODE,0)),"")="Inactive",1,0))</f>
        <v/>
      </c>
      <c r="W289" s="24">
        <f>IF($A289="","",IFERROR(INDEX(TYP_PHASE,MATCH($A289,TYP_TYPE,0)),"-"))</f>
        <v/>
      </c>
      <c r="X289" s="24">
        <f>IF(AND($T289=1,$U289=0,N($N289)&gt;0),$N289+ROW()/1000000,"")</f>
        <v/>
      </c>
      <c r="Y289" s="24">
        <f>IF(AND($T289=1,$U289=0,OR($I289&lt;&gt;"",N($N289)&gt;0)),N($N289)+ROW()/1000000,"")</f>
        <v/>
      </c>
      <c r="Z289" s="24">
        <f>IF(AND($T289=1,$U289=0,$I289="",N($N289)&lt;=0,-N($N289)&lt;=HORIZON),N($N289)+ROW()/1000000,"")</f>
        <v/>
      </c>
    </row>
    <row r="290">
      <c r="A290" s="21" t="n"/>
      <c r="B290" s="21" t="n"/>
      <c r="C290" s="21" t="n"/>
      <c r="D290" s="21" t="n"/>
      <c r="E290" s="21" t="n"/>
      <c r="F290" s="21" t="n"/>
      <c r="G290" s="21" t="n"/>
      <c r="H290" s="21" t="n"/>
      <c r="I290" s="22" t="n"/>
      <c r="J290" s="22" t="n"/>
      <c r="K290" s="23">
        <f>IF($A290="","",IF($J290&lt;&gt;"",$J290,$S290))</f>
        <v/>
      </c>
      <c r="L290" s="24">
        <f>IF(OR($A290="",$E290=""),"",IF($J290&lt;&gt;"","Manual",IF($S290="","-","Auto")))</f>
        <v/>
      </c>
      <c r="M290" s="22" t="n"/>
      <c r="N290" s="25">
        <f>IF($T290=0,"",IF($U290=1,IF($M290="","",$M290-$K290),IF($K290="","",TODAY()-$K290)))</f>
        <v/>
      </c>
      <c r="O290" s="24">
        <f>IF(OR($A290="",$E290=""),"",IF($V290=1,S_INACT,IF(ISNA(MATCH($A290,TYP_TYPE,0)),S_TYPEKO,IF($U290=1,S_DONE,IF(AND($K290="",$R290=""),S_NOSCOPE,IF($K290="",S_NOTARGET,IF($N290&gt;0,S_LATE,IF($I290&lt;&gt;"",S_WIP,IF(-$N290&lt;=FEN_DOC,S_RISK,IF(-$N290&lt;=HORIZON,S_COMING,S_NOTYET))))))))))</f>
        <v/>
      </c>
      <c r="P290" s="24">
        <f>IF(OR($A290="",$E290=""),"",IF($V290=1,"",IF(ISNA(MATCH($A290,TYP_TYPE,0)),"Type not in the library",IF($B290="","Scope not set",IF(AND($B290="System",$C290=""),"System not set",IF(AND($B290="Equipment",$D290=""),"Equipment not set",IF($F290="","Responsible not set",IF($K290="","No target date",IF(AND($B290="Equipment",$C290&lt;&gt;"",IFERROR(INDEX(EQP_SYS,MATCH($D290,EQP_NOM,0)),"")&lt;&gt;$C290),"Equipment not in that system",IF(AND($U290=1,$M290=""),"Approved with no approval date",""))))))))))</f>
        <v/>
      </c>
      <c r="Q290" s="21" t="n"/>
      <c r="R290" s="23">
        <f>IF(OR($A290="",$B290=""),"",IF($B290="Equipment",IFERROR(INDEX(EQP_START,MATCH($D290,EQP_NOM,0)),""),IF($B290="System",IFERROR(INDEX(SYS_EARLIEST,MATCH($C290,SYS_ID,0)),""),IF($B290="All",CTR_EARLIEST,""))))</f>
        <v/>
      </c>
      <c r="S290" s="23">
        <f>IF(OR($A290="",$E290=""),"",IFERROR(IF(INDEX(TYP_ANCHOR,MATCH($A290,TYP_TYPE,0))="Commissioning Start",IF($R290="","",$R290-INDEX(TYP_LEAD,MATCH($A290,TYP_TYPE,0))),IF(INDEX(MS_PLAN,MATCH(INDEX(TYP_ANCHOR,MATCH($A290,TYP_TYPE,0)),MS_NOM,0))="","",INDEX(MS_PLAN,MATCH(INDEX(TYP_ANCHOR,MATCH($A290,TYP_TYPE,0)),MS_NOM,0))-INDEX(TYP_LEAD,MATCH($A290,TYP_TYPE,0)))),""))</f>
        <v/>
      </c>
      <c r="T290" s="26">
        <f>IF(OR($A290="",$E290=""),0,IF($V290=1,0,1))</f>
        <v/>
      </c>
      <c r="U290" s="26">
        <f>IF($T290=0,0,IF($M290&lt;&gt;"",1,IF(IFERROR(INDEX(WF_CLASS,MATCH($H290,WF_CODE,0)),"")="Done",1,0)))</f>
        <v/>
      </c>
      <c r="V290" s="26">
        <f>IF(OR($A290="",$E290=""),0,IF(IFERROR(INDEX(WF_CLASS,MATCH($H290,WF_CODE,0)),"")="Inactive",1,0))</f>
        <v/>
      </c>
      <c r="W290" s="24">
        <f>IF($A290="","",IFERROR(INDEX(TYP_PHASE,MATCH($A290,TYP_TYPE,0)),"-"))</f>
        <v/>
      </c>
      <c r="X290" s="24">
        <f>IF(AND($T290=1,$U290=0,N($N290)&gt;0),$N290+ROW()/1000000,"")</f>
        <v/>
      </c>
      <c r="Y290" s="24">
        <f>IF(AND($T290=1,$U290=0,OR($I290&lt;&gt;"",N($N290)&gt;0)),N($N290)+ROW()/1000000,"")</f>
        <v/>
      </c>
      <c r="Z290" s="24">
        <f>IF(AND($T290=1,$U290=0,$I290="",N($N290)&lt;=0,-N($N290)&lt;=HORIZON),N($N290)+ROW()/1000000,"")</f>
        <v/>
      </c>
    </row>
    <row r="291">
      <c r="A291" s="21" t="n"/>
      <c r="B291" s="21" t="n"/>
      <c r="C291" s="21" t="n"/>
      <c r="D291" s="21" t="n"/>
      <c r="E291" s="21" t="n"/>
      <c r="F291" s="21" t="n"/>
      <c r="G291" s="21" t="n"/>
      <c r="H291" s="21" t="n"/>
      <c r="I291" s="22" t="n"/>
      <c r="J291" s="22" t="n"/>
      <c r="K291" s="23">
        <f>IF($A291="","",IF($J291&lt;&gt;"",$J291,$S291))</f>
        <v/>
      </c>
      <c r="L291" s="24">
        <f>IF(OR($A291="",$E291=""),"",IF($J291&lt;&gt;"","Manual",IF($S291="","-","Auto")))</f>
        <v/>
      </c>
      <c r="M291" s="22" t="n"/>
      <c r="N291" s="25">
        <f>IF($T291=0,"",IF($U291=1,IF($M291="","",$M291-$K291),IF($K291="","",TODAY()-$K291)))</f>
        <v/>
      </c>
      <c r="O291" s="24">
        <f>IF(OR($A291="",$E291=""),"",IF($V291=1,S_INACT,IF(ISNA(MATCH($A291,TYP_TYPE,0)),S_TYPEKO,IF($U291=1,S_DONE,IF(AND($K291="",$R291=""),S_NOSCOPE,IF($K291="",S_NOTARGET,IF($N291&gt;0,S_LATE,IF($I291&lt;&gt;"",S_WIP,IF(-$N291&lt;=FEN_DOC,S_RISK,IF(-$N291&lt;=HORIZON,S_COMING,S_NOTYET))))))))))</f>
        <v/>
      </c>
      <c r="P291" s="24">
        <f>IF(OR($A291="",$E291=""),"",IF($V291=1,"",IF(ISNA(MATCH($A291,TYP_TYPE,0)),"Type not in the library",IF($B291="","Scope not set",IF(AND($B291="System",$C291=""),"System not set",IF(AND($B291="Equipment",$D291=""),"Equipment not set",IF($F291="","Responsible not set",IF($K291="","No target date",IF(AND($B291="Equipment",$C291&lt;&gt;"",IFERROR(INDEX(EQP_SYS,MATCH($D291,EQP_NOM,0)),"")&lt;&gt;$C291),"Equipment not in that system",IF(AND($U291=1,$M291=""),"Approved with no approval date",""))))))))))</f>
        <v/>
      </c>
      <c r="Q291" s="21" t="n"/>
      <c r="R291" s="23">
        <f>IF(OR($A291="",$B291=""),"",IF($B291="Equipment",IFERROR(INDEX(EQP_START,MATCH($D291,EQP_NOM,0)),""),IF($B291="System",IFERROR(INDEX(SYS_EARLIEST,MATCH($C291,SYS_ID,0)),""),IF($B291="All",CTR_EARLIEST,""))))</f>
        <v/>
      </c>
      <c r="S291" s="23">
        <f>IF(OR($A291="",$E291=""),"",IFERROR(IF(INDEX(TYP_ANCHOR,MATCH($A291,TYP_TYPE,0))="Commissioning Start",IF($R291="","",$R291-INDEX(TYP_LEAD,MATCH($A291,TYP_TYPE,0))),IF(INDEX(MS_PLAN,MATCH(INDEX(TYP_ANCHOR,MATCH($A291,TYP_TYPE,0)),MS_NOM,0))="","",INDEX(MS_PLAN,MATCH(INDEX(TYP_ANCHOR,MATCH($A291,TYP_TYPE,0)),MS_NOM,0))-INDEX(TYP_LEAD,MATCH($A291,TYP_TYPE,0)))),""))</f>
        <v/>
      </c>
      <c r="T291" s="26">
        <f>IF(OR($A291="",$E291=""),0,IF($V291=1,0,1))</f>
        <v/>
      </c>
      <c r="U291" s="26">
        <f>IF($T291=0,0,IF($M291&lt;&gt;"",1,IF(IFERROR(INDEX(WF_CLASS,MATCH($H291,WF_CODE,0)),"")="Done",1,0)))</f>
        <v/>
      </c>
      <c r="V291" s="26">
        <f>IF(OR($A291="",$E291=""),0,IF(IFERROR(INDEX(WF_CLASS,MATCH($H291,WF_CODE,0)),"")="Inactive",1,0))</f>
        <v/>
      </c>
      <c r="W291" s="24">
        <f>IF($A291="","",IFERROR(INDEX(TYP_PHASE,MATCH($A291,TYP_TYPE,0)),"-"))</f>
        <v/>
      </c>
      <c r="X291" s="24">
        <f>IF(AND($T291=1,$U291=0,N($N291)&gt;0),$N291+ROW()/1000000,"")</f>
        <v/>
      </c>
      <c r="Y291" s="24">
        <f>IF(AND($T291=1,$U291=0,OR($I291&lt;&gt;"",N($N291)&gt;0)),N($N291)+ROW()/1000000,"")</f>
        <v/>
      </c>
      <c r="Z291" s="24">
        <f>IF(AND($T291=1,$U291=0,$I291="",N($N291)&lt;=0,-N($N291)&lt;=HORIZON),N($N291)+ROW()/1000000,"")</f>
        <v/>
      </c>
    </row>
    <row r="292">
      <c r="A292" s="21" t="n"/>
      <c r="B292" s="21" t="n"/>
      <c r="C292" s="21" t="n"/>
      <c r="D292" s="21" t="n"/>
      <c r="E292" s="21" t="n"/>
      <c r="F292" s="21" t="n"/>
      <c r="G292" s="21" t="n"/>
      <c r="H292" s="21" t="n"/>
      <c r="I292" s="22" t="n"/>
      <c r="J292" s="22" t="n"/>
      <c r="K292" s="23">
        <f>IF($A292="","",IF($J292&lt;&gt;"",$J292,$S292))</f>
        <v/>
      </c>
      <c r="L292" s="24">
        <f>IF(OR($A292="",$E292=""),"",IF($J292&lt;&gt;"","Manual",IF($S292="","-","Auto")))</f>
        <v/>
      </c>
      <c r="M292" s="22" t="n"/>
      <c r="N292" s="25">
        <f>IF($T292=0,"",IF($U292=1,IF($M292="","",$M292-$K292),IF($K292="","",TODAY()-$K292)))</f>
        <v/>
      </c>
      <c r="O292" s="24">
        <f>IF(OR($A292="",$E292=""),"",IF($V292=1,S_INACT,IF(ISNA(MATCH($A292,TYP_TYPE,0)),S_TYPEKO,IF($U292=1,S_DONE,IF(AND($K292="",$R292=""),S_NOSCOPE,IF($K292="",S_NOTARGET,IF($N292&gt;0,S_LATE,IF($I292&lt;&gt;"",S_WIP,IF(-$N292&lt;=FEN_DOC,S_RISK,IF(-$N292&lt;=HORIZON,S_COMING,S_NOTYET))))))))))</f>
        <v/>
      </c>
      <c r="P292" s="24">
        <f>IF(OR($A292="",$E292=""),"",IF($V292=1,"",IF(ISNA(MATCH($A292,TYP_TYPE,0)),"Type not in the library",IF($B292="","Scope not set",IF(AND($B292="System",$C292=""),"System not set",IF(AND($B292="Equipment",$D292=""),"Equipment not set",IF($F292="","Responsible not set",IF($K292="","No target date",IF(AND($B292="Equipment",$C292&lt;&gt;"",IFERROR(INDEX(EQP_SYS,MATCH($D292,EQP_NOM,0)),"")&lt;&gt;$C292),"Equipment not in that system",IF(AND($U292=1,$M292=""),"Approved with no approval date",""))))))))))</f>
        <v/>
      </c>
      <c r="Q292" s="21" t="n"/>
      <c r="R292" s="23">
        <f>IF(OR($A292="",$B292=""),"",IF($B292="Equipment",IFERROR(INDEX(EQP_START,MATCH($D292,EQP_NOM,0)),""),IF($B292="System",IFERROR(INDEX(SYS_EARLIEST,MATCH($C292,SYS_ID,0)),""),IF($B292="All",CTR_EARLIEST,""))))</f>
        <v/>
      </c>
      <c r="S292" s="23">
        <f>IF(OR($A292="",$E292=""),"",IFERROR(IF(INDEX(TYP_ANCHOR,MATCH($A292,TYP_TYPE,0))="Commissioning Start",IF($R292="","",$R292-INDEX(TYP_LEAD,MATCH($A292,TYP_TYPE,0))),IF(INDEX(MS_PLAN,MATCH(INDEX(TYP_ANCHOR,MATCH($A292,TYP_TYPE,0)),MS_NOM,0))="","",INDEX(MS_PLAN,MATCH(INDEX(TYP_ANCHOR,MATCH($A292,TYP_TYPE,0)),MS_NOM,0))-INDEX(TYP_LEAD,MATCH($A292,TYP_TYPE,0)))),""))</f>
        <v/>
      </c>
      <c r="T292" s="26">
        <f>IF(OR($A292="",$E292=""),0,IF($V292=1,0,1))</f>
        <v/>
      </c>
      <c r="U292" s="26">
        <f>IF($T292=0,0,IF($M292&lt;&gt;"",1,IF(IFERROR(INDEX(WF_CLASS,MATCH($H292,WF_CODE,0)),"")="Done",1,0)))</f>
        <v/>
      </c>
      <c r="V292" s="26">
        <f>IF(OR($A292="",$E292=""),0,IF(IFERROR(INDEX(WF_CLASS,MATCH($H292,WF_CODE,0)),"")="Inactive",1,0))</f>
        <v/>
      </c>
      <c r="W292" s="24">
        <f>IF($A292="","",IFERROR(INDEX(TYP_PHASE,MATCH($A292,TYP_TYPE,0)),"-"))</f>
        <v/>
      </c>
      <c r="X292" s="24">
        <f>IF(AND($T292=1,$U292=0,N($N292)&gt;0),$N292+ROW()/1000000,"")</f>
        <v/>
      </c>
      <c r="Y292" s="24">
        <f>IF(AND($T292=1,$U292=0,OR($I292&lt;&gt;"",N($N292)&gt;0)),N($N292)+ROW()/1000000,"")</f>
        <v/>
      </c>
      <c r="Z292" s="24">
        <f>IF(AND($T292=1,$U292=0,$I292="",N($N292)&lt;=0,-N($N292)&lt;=HORIZON),N($N292)+ROW()/1000000,"")</f>
        <v/>
      </c>
    </row>
    <row r="293">
      <c r="A293" s="21" t="n"/>
      <c r="B293" s="21" t="n"/>
      <c r="C293" s="21" t="n"/>
      <c r="D293" s="21" t="n"/>
      <c r="E293" s="21" t="n"/>
      <c r="F293" s="21" t="n"/>
      <c r="G293" s="21" t="n"/>
      <c r="H293" s="21" t="n"/>
      <c r="I293" s="22" t="n"/>
      <c r="J293" s="22" t="n"/>
      <c r="K293" s="23">
        <f>IF($A293="","",IF($J293&lt;&gt;"",$J293,$S293))</f>
        <v/>
      </c>
      <c r="L293" s="24">
        <f>IF(OR($A293="",$E293=""),"",IF($J293&lt;&gt;"","Manual",IF($S293="","-","Auto")))</f>
        <v/>
      </c>
      <c r="M293" s="22" t="n"/>
      <c r="N293" s="25">
        <f>IF($T293=0,"",IF($U293=1,IF($M293="","",$M293-$K293),IF($K293="","",TODAY()-$K293)))</f>
        <v/>
      </c>
      <c r="O293" s="24">
        <f>IF(OR($A293="",$E293=""),"",IF($V293=1,S_INACT,IF(ISNA(MATCH($A293,TYP_TYPE,0)),S_TYPEKO,IF($U293=1,S_DONE,IF(AND($K293="",$R293=""),S_NOSCOPE,IF($K293="",S_NOTARGET,IF($N293&gt;0,S_LATE,IF($I293&lt;&gt;"",S_WIP,IF(-$N293&lt;=FEN_DOC,S_RISK,IF(-$N293&lt;=HORIZON,S_COMING,S_NOTYET))))))))))</f>
        <v/>
      </c>
      <c r="P293" s="24">
        <f>IF(OR($A293="",$E293=""),"",IF($V293=1,"",IF(ISNA(MATCH($A293,TYP_TYPE,0)),"Type not in the library",IF($B293="","Scope not set",IF(AND($B293="System",$C293=""),"System not set",IF(AND($B293="Equipment",$D293=""),"Equipment not set",IF($F293="","Responsible not set",IF($K293="","No target date",IF(AND($B293="Equipment",$C293&lt;&gt;"",IFERROR(INDEX(EQP_SYS,MATCH($D293,EQP_NOM,0)),"")&lt;&gt;$C293),"Equipment not in that system",IF(AND($U293=1,$M293=""),"Approved with no approval date",""))))))))))</f>
        <v/>
      </c>
      <c r="Q293" s="21" t="n"/>
      <c r="R293" s="23">
        <f>IF(OR($A293="",$B293=""),"",IF($B293="Equipment",IFERROR(INDEX(EQP_START,MATCH($D293,EQP_NOM,0)),""),IF($B293="System",IFERROR(INDEX(SYS_EARLIEST,MATCH($C293,SYS_ID,0)),""),IF($B293="All",CTR_EARLIEST,""))))</f>
        <v/>
      </c>
      <c r="S293" s="23">
        <f>IF(OR($A293="",$E293=""),"",IFERROR(IF(INDEX(TYP_ANCHOR,MATCH($A293,TYP_TYPE,0))="Commissioning Start",IF($R293="","",$R293-INDEX(TYP_LEAD,MATCH($A293,TYP_TYPE,0))),IF(INDEX(MS_PLAN,MATCH(INDEX(TYP_ANCHOR,MATCH($A293,TYP_TYPE,0)),MS_NOM,0))="","",INDEX(MS_PLAN,MATCH(INDEX(TYP_ANCHOR,MATCH($A293,TYP_TYPE,0)),MS_NOM,0))-INDEX(TYP_LEAD,MATCH($A293,TYP_TYPE,0)))),""))</f>
        <v/>
      </c>
      <c r="T293" s="26">
        <f>IF(OR($A293="",$E293=""),0,IF($V293=1,0,1))</f>
        <v/>
      </c>
      <c r="U293" s="26">
        <f>IF($T293=0,0,IF($M293&lt;&gt;"",1,IF(IFERROR(INDEX(WF_CLASS,MATCH($H293,WF_CODE,0)),"")="Done",1,0)))</f>
        <v/>
      </c>
      <c r="V293" s="26">
        <f>IF(OR($A293="",$E293=""),0,IF(IFERROR(INDEX(WF_CLASS,MATCH($H293,WF_CODE,0)),"")="Inactive",1,0))</f>
        <v/>
      </c>
      <c r="W293" s="24">
        <f>IF($A293="","",IFERROR(INDEX(TYP_PHASE,MATCH($A293,TYP_TYPE,0)),"-"))</f>
        <v/>
      </c>
      <c r="X293" s="24">
        <f>IF(AND($T293=1,$U293=0,N($N293)&gt;0),$N293+ROW()/1000000,"")</f>
        <v/>
      </c>
      <c r="Y293" s="24">
        <f>IF(AND($T293=1,$U293=0,OR($I293&lt;&gt;"",N($N293)&gt;0)),N($N293)+ROW()/1000000,"")</f>
        <v/>
      </c>
      <c r="Z293" s="24">
        <f>IF(AND($T293=1,$U293=0,$I293="",N($N293)&lt;=0,-N($N293)&lt;=HORIZON),N($N293)+ROW()/1000000,"")</f>
        <v/>
      </c>
    </row>
    <row r="294">
      <c r="A294" s="21" t="n"/>
      <c r="B294" s="21" t="n"/>
      <c r="C294" s="21" t="n"/>
      <c r="D294" s="21" t="n"/>
      <c r="E294" s="21" t="n"/>
      <c r="F294" s="21" t="n"/>
      <c r="G294" s="21" t="n"/>
      <c r="H294" s="21" t="n"/>
      <c r="I294" s="22" t="n"/>
      <c r="J294" s="22" t="n"/>
      <c r="K294" s="23">
        <f>IF($A294="","",IF($J294&lt;&gt;"",$J294,$S294))</f>
        <v/>
      </c>
      <c r="L294" s="24">
        <f>IF(OR($A294="",$E294=""),"",IF($J294&lt;&gt;"","Manual",IF($S294="","-","Auto")))</f>
        <v/>
      </c>
      <c r="M294" s="22" t="n"/>
      <c r="N294" s="25">
        <f>IF($T294=0,"",IF($U294=1,IF($M294="","",$M294-$K294),IF($K294="","",TODAY()-$K294)))</f>
        <v/>
      </c>
      <c r="O294" s="24">
        <f>IF(OR($A294="",$E294=""),"",IF($V294=1,S_INACT,IF(ISNA(MATCH($A294,TYP_TYPE,0)),S_TYPEKO,IF($U294=1,S_DONE,IF(AND($K294="",$R294=""),S_NOSCOPE,IF($K294="",S_NOTARGET,IF($N294&gt;0,S_LATE,IF($I294&lt;&gt;"",S_WIP,IF(-$N294&lt;=FEN_DOC,S_RISK,IF(-$N294&lt;=HORIZON,S_COMING,S_NOTYET))))))))))</f>
        <v/>
      </c>
      <c r="P294" s="24">
        <f>IF(OR($A294="",$E294=""),"",IF($V294=1,"",IF(ISNA(MATCH($A294,TYP_TYPE,0)),"Type not in the library",IF($B294="","Scope not set",IF(AND($B294="System",$C294=""),"System not set",IF(AND($B294="Equipment",$D294=""),"Equipment not set",IF($F294="","Responsible not set",IF($K294="","No target date",IF(AND($B294="Equipment",$C294&lt;&gt;"",IFERROR(INDEX(EQP_SYS,MATCH($D294,EQP_NOM,0)),"")&lt;&gt;$C294),"Equipment not in that system",IF(AND($U294=1,$M294=""),"Approved with no approval date",""))))))))))</f>
        <v/>
      </c>
      <c r="Q294" s="21" t="n"/>
      <c r="R294" s="23">
        <f>IF(OR($A294="",$B294=""),"",IF($B294="Equipment",IFERROR(INDEX(EQP_START,MATCH($D294,EQP_NOM,0)),""),IF($B294="System",IFERROR(INDEX(SYS_EARLIEST,MATCH($C294,SYS_ID,0)),""),IF($B294="All",CTR_EARLIEST,""))))</f>
        <v/>
      </c>
      <c r="S294" s="23">
        <f>IF(OR($A294="",$E294=""),"",IFERROR(IF(INDEX(TYP_ANCHOR,MATCH($A294,TYP_TYPE,0))="Commissioning Start",IF($R294="","",$R294-INDEX(TYP_LEAD,MATCH($A294,TYP_TYPE,0))),IF(INDEX(MS_PLAN,MATCH(INDEX(TYP_ANCHOR,MATCH($A294,TYP_TYPE,0)),MS_NOM,0))="","",INDEX(MS_PLAN,MATCH(INDEX(TYP_ANCHOR,MATCH($A294,TYP_TYPE,0)),MS_NOM,0))-INDEX(TYP_LEAD,MATCH($A294,TYP_TYPE,0)))),""))</f>
        <v/>
      </c>
      <c r="T294" s="26">
        <f>IF(OR($A294="",$E294=""),0,IF($V294=1,0,1))</f>
        <v/>
      </c>
      <c r="U294" s="26">
        <f>IF($T294=0,0,IF($M294&lt;&gt;"",1,IF(IFERROR(INDEX(WF_CLASS,MATCH($H294,WF_CODE,0)),"")="Done",1,0)))</f>
        <v/>
      </c>
      <c r="V294" s="26">
        <f>IF(OR($A294="",$E294=""),0,IF(IFERROR(INDEX(WF_CLASS,MATCH($H294,WF_CODE,0)),"")="Inactive",1,0))</f>
        <v/>
      </c>
      <c r="W294" s="24">
        <f>IF($A294="","",IFERROR(INDEX(TYP_PHASE,MATCH($A294,TYP_TYPE,0)),"-"))</f>
        <v/>
      </c>
      <c r="X294" s="24">
        <f>IF(AND($T294=1,$U294=0,N($N294)&gt;0),$N294+ROW()/1000000,"")</f>
        <v/>
      </c>
      <c r="Y294" s="24">
        <f>IF(AND($T294=1,$U294=0,OR($I294&lt;&gt;"",N($N294)&gt;0)),N($N294)+ROW()/1000000,"")</f>
        <v/>
      </c>
      <c r="Z294" s="24">
        <f>IF(AND($T294=1,$U294=0,$I294="",N($N294)&lt;=0,-N($N294)&lt;=HORIZON),N($N294)+ROW()/1000000,"")</f>
        <v/>
      </c>
    </row>
    <row r="295">
      <c r="A295" s="21" t="n"/>
      <c r="B295" s="21" t="n"/>
      <c r="C295" s="21" t="n"/>
      <c r="D295" s="21" t="n"/>
      <c r="E295" s="21" t="n"/>
      <c r="F295" s="21" t="n"/>
      <c r="G295" s="21" t="n"/>
      <c r="H295" s="21" t="n"/>
      <c r="I295" s="22" t="n"/>
      <c r="J295" s="22" t="n"/>
      <c r="K295" s="23">
        <f>IF($A295="","",IF($J295&lt;&gt;"",$J295,$S295))</f>
        <v/>
      </c>
      <c r="L295" s="24">
        <f>IF(OR($A295="",$E295=""),"",IF($J295&lt;&gt;"","Manual",IF($S295="","-","Auto")))</f>
        <v/>
      </c>
      <c r="M295" s="22" t="n"/>
      <c r="N295" s="25">
        <f>IF($T295=0,"",IF($U295=1,IF($M295="","",$M295-$K295),IF($K295="","",TODAY()-$K295)))</f>
        <v/>
      </c>
      <c r="O295" s="24">
        <f>IF(OR($A295="",$E295=""),"",IF($V295=1,S_INACT,IF(ISNA(MATCH($A295,TYP_TYPE,0)),S_TYPEKO,IF($U295=1,S_DONE,IF(AND($K295="",$R295=""),S_NOSCOPE,IF($K295="",S_NOTARGET,IF($N295&gt;0,S_LATE,IF($I295&lt;&gt;"",S_WIP,IF(-$N295&lt;=FEN_DOC,S_RISK,IF(-$N295&lt;=HORIZON,S_COMING,S_NOTYET))))))))))</f>
        <v/>
      </c>
      <c r="P295" s="24">
        <f>IF(OR($A295="",$E295=""),"",IF($V295=1,"",IF(ISNA(MATCH($A295,TYP_TYPE,0)),"Type not in the library",IF($B295="","Scope not set",IF(AND($B295="System",$C295=""),"System not set",IF(AND($B295="Equipment",$D295=""),"Equipment not set",IF($F295="","Responsible not set",IF($K295="","No target date",IF(AND($B295="Equipment",$C295&lt;&gt;"",IFERROR(INDEX(EQP_SYS,MATCH($D295,EQP_NOM,0)),"")&lt;&gt;$C295),"Equipment not in that system",IF(AND($U295=1,$M295=""),"Approved with no approval date",""))))))))))</f>
        <v/>
      </c>
      <c r="Q295" s="21" t="n"/>
      <c r="R295" s="23">
        <f>IF(OR($A295="",$B295=""),"",IF($B295="Equipment",IFERROR(INDEX(EQP_START,MATCH($D295,EQP_NOM,0)),""),IF($B295="System",IFERROR(INDEX(SYS_EARLIEST,MATCH($C295,SYS_ID,0)),""),IF($B295="All",CTR_EARLIEST,""))))</f>
        <v/>
      </c>
      <c r="S295" s="23">
        <f>IF(OR($A295="",$E295=""),"",IFERROR(IF(INDEX(TYP_ANCHOR,MATCH($A295,TYP_TYPE,0))="Commissioning Start",IF($R295="","",$R295-INDEX(TYP_LEAD,MATCH($A295,TYP_TYPE,0))),IF(INDEX(MS_PLAN,MATCH(INDEX(TYP_ANCHOR,MATCH($A295,TYP_TYPE,0)),MS_NOM,0))="","",INDEX(MS_PLAN,MATCH(INDEX(TYP_ANCHOR,MATCH($A295,TYP_TYPE,0)),MS_NOM,0))-INDEX(TYP_LEAD,MATCH($A295,TYP_TYPE,0)))),""))</f>
        <v/>
      </c>
      <c r="T295" s="26">
        <f>IF(OR($A295="",$E295=""),0,IF($V295=1,0,1))</f>
        <v/>
      </c>
      <c r="U295" s="26">
        <f>IF($T295=0,0,IF($M295&lt;&gt;"",1,IF(IFERROR(INDEX(WF_CLASS,MATCH($H295,WF_CODE,0)),"")="Done",1,0)))</f>
        <v/>
      </c>
      <c r="V295" s="26">
        <f>IF(OR($A295="",$E295=""),0,IF(IFERROR(INDEX(WF_CLASS,MATCH($H295,WF_CODE,0)),"")="Inactive",1,0))</f>
        <v/>
      </c>
      <c r="W295" s="24">
        <f>IF($A295="","",IFERROR(INDEX(TYP_PHASE,MATCH($A295,TYP_TYPE,0)),"-"))</f>
        <v/>
      </c>
      <c r="X295" s="24">
        <f>IF(AND($T295=1,$U295=0,N($N295)&gt;0),$N295+ROW()/1000000,"")</f>
        <v/>
      </c>
      <c r="Y295" s="24">
        <f>IF(AND($T295=1,$U295=0,OR($I295&lt;&gt;"",N($N295)&gt;0)),N($N295)+ROW()/1000000,"")</f>
        <v/>
      </c>
      <c r="Z295" s="24">
        <f>IF(AND($T295=1,$U295=0,$I295="",N($N295)&lt;=0,-N($N295)&lt;=HORIZON),N($N295)+ROW()/1000000,"")</f>
        <v/>
      </c>
    </row>
    <row r="296">
      <c r="A296" s="21" t="n"/>
      <c r="B296" s="21" t="n"/>
      <c r="C296" s="21" t="n"/>
      <c r="D296" s="21" t="n"/>
      <c r="E296" s="21" t="n"/>
      <c r="F296" s="21" t="n"/>
      <c r="G296" s="21" t="n"/>
      <c r="H296" s="21" t="n"/>
      <c r="I296" s="22" t="n"/>
      <c r="J296" s="22" t="n"/>
      <c r="K296" s="23">
        <f>IF($A296="","",IF($J296&lt;&gt;"",$J296,$S296))</f>
        <v/>
      </c>
      <c r="L296" s="24">
        <f>IF(OR($A296="",$E296=""),"",IF($J296&lt;&gt;"","Manual",IF($S296="","-","Auto")))</f>
        <v/>
      </c>
      <c r="M296" s="22" t="n"/>
      <c r="N296" s="25">
        <f>IF($T296=0,"",IF($U296=1,IF($M296="","",$M296-$K296),IF($K296="","",TODAY()-$K296)))</f>
        <v/>
      </c>
      <c r="O296" s="24">
        <f>IF(OR($A296="",$E296=""),"",IF($V296=1,S_INACT,IF(ISNA(MATCH($A296,TYP_TYPE,0)),S_TYPEKO,IF($U296=1,S_DONE,IF(AND($K296="",$R296=""),S_NOSCOPE,IF($K296="",S_NOTARGET,IF($N296&gt;0,S_LATE,IF($I296&lt;&gt;"",S_WIP,IF(-$N296&lt;=FEN_DOC,S_RISK,IF(-$N296&lt;=HORIZON,S_COMING,S_NOTYET))))))))))</f>
        <v/>
      </c>
      <c r="P296" s="24">
        <f>IF(OR($A296="",$E296=""),"",IF($V296=1,"",IF(ISNA(MATCH($A296,TYP_TYPE,0)),"Type not in the library",IF($B296="","Scope not set",IF(AND($B296="System",$C296=""),"System not set",IF(AND($B296="Equipment",$D296=""),"Equipment not set",IF($F296="","Responsible not set",IF($K296="","No target date",IF(AND($B296="Equipment",$C296&lt;&gt;"",IFERROR(INDEX(EQP_SYS,MATCH($D296,EQP_NOM,0)),"")&lt;&gt;$C296),"Equipment not in that system",IF(AND($U296=1,$M296=""),"Approved with no approval date",""))))))))))</f>
        <v/>
      </c>
      <c r="Q296" s="21" t="n"/>
      <c r="R296" s="23">
        <f>IF(OR($A296="",$B296=""),"",IF($B296="Equipment",IFERROR(INDEX(EQP_START,MATCH($D296,EQP_NOM,0)),""),IF($B296="System",IFERROR(INDEX(SYS_EARLIEST,MATCH($C296,SYS_ID,0)),""),IF($B296="All",CTR_EARLIEST,""))))</f>
        <v/>
      </c>
      <c r="S296" s="23">
        <f>IF(OR($A296="",$E296=""),"",IFERROR(IF(INDEX(TYP_ANCHOR,MATCH($A296,TYP_TYPE,0))="Commissioning Start",IF($R296="","",$R296-INDEX(TYP_LEAD,MATCH($A296,TYP_TYPE,0))),IF(INDEX(MS_PLAN,MATCH(INDEX(TYP_ANCHOR,MATCH($A296,TYP_TYPE,0)),MS_NOM,0))="","",INDEX(MS_PLAN,MATCH(INDEX(TYP_ANCHOR,MATCH($A296,TYP_TYPE,0)),MS_NOM,0))-INDEX(TYP_LEAD,MATCH($A296,TYP_TYPE,0)))),""))</f>
        <v/>
      </c>
      <c r="T296" s="26">
        <f>IF(OR($A296="",$E296=""),0,IF($V296=1,0,1))</f>
        <v/>
      </c>
      <c r="U296" s="26">
        <f>IF($T296=0,0,IF($M296&lt;&gt;"",1,IF(IFERROR(INDEX(WF_CLASS,MATCH($H296,WF_CODE,0)),"")="Done",1,0)))</f>
        <v/>
      </c>
      <c r="V296" s="26">
        <f>IF(OR($A296="",$E296=""),0,IF(IFERROR(INDEX(WF_CLASS,MATCH($H296,WF_CODE,0)),"")="Inactive",1,0))</f>
        <v/>
      </c>
      <c r="W296" s="24">
        <f>IF($A296="","",IFERROR(INDEX(TYP_PHASE,MATCH($A296,TYP_TYPE,0)),"-"))</f>
        <v/>
      </c>
      <c r="X296" s="24">
        <f>IF(AND($T296=1,$U296=0,N($N296)&gt;0),$N296+ROW()/1000000,"")</f>
        <v/>
      </c>
      <c r="Y296" s="24">
        <f>IF(AND($T296=1,$U296=0,OR($I296&lt;&gt;"",N($N296)&gt;0)),N($N296)+ROW()/1000000,"")</f>
        <v/>
      </c>
      <c r="Z296" s="24">
        <f>IF(AND($T296=1,$U296=0,$I296="",N($N296)&lt;=0,-N($N296)&lt;=HORIZON),N($N296)+ROW()/1000000,"")</f>
        <v/>
      </c>
    </row>
    <row r="297">
      <c r="A297" s="21" t="n"/>
      <c r="B297" s="21" t="n"/>
      <c r="C297" s="21" t="n"/>
      <c r="D297" s="21" t="n"/>
      <c r="E297" s="21" t="n"/>
      <c r="F297" s="21" t="n"/>
      <c r="G297" s="21" t="n"/>
      <c r="H297" s="21" t="n"/>
      <c r="I297" s="22" t="n"/>
      <c r="J297" s="22" t="n"/>
      <c r="K297" s="23">
        <f>IF($A297="","",IF($J297&lt;&gt;"",$J297,$S297))</f>
        <v/>
      </c>
      <c r="L297" s="24">
        <f>IF(OR($A297="",$E297=""),"",IF($J297&lt;&gt;"","Manual",IF($S297="","-","Auto")))</f>
        <v/>
      </c>
      <c r="M297" s="22" t="n"/>
      <c r="N297" s="25">
        <f>IF($T297=0,"",IF($U297=1,IF($M297="","",$M297-$K297),IF($K297="","",TODAY()-$K297)))</f>
        <v/>
      </c>
      <c r="O297" s="24">
        <f>IF(OR($A297="",$E297=""),"",IF($V297=1,S_INACT,IF(ISNA(MATCH($A297,TYP_TYPE,0)),S_TYPEKO,IF($U297=1,S_DONE,IF(AND($K297="",$R297=""),S_NOSCOPE,IF($K297="",S_NOTARGET,IF($N297&gt;0,S_LATE,IF($I297&lt;&gt;"",S_WIP,IF(-$N297&lt;=FEN_DOC,S_RISK,IF(-$N297&lt;=HORIZON,S_COMING,S_NOTYET))))))))))</f>
        <v/>
      </c>
      <c r="P297" s="24">
        <f>IF(OR($A297="",$E297=""),"",IF($V297=1,"",IF(ISNA(MATCH($A297,TYP_TYPE,0)),"Type not in the library",IF($B297="","Scope not set",IF(AND($B297="System",$C297=""),"System not set",IF(AND($B297="Equipment",$D297=""),"Equipment not set",IF($F297="","Responsible not set",IF($K297="","No target date",IF(AND($B297="Equipment",$C297&lt;&gt;"",IFERROR(INDEX(EQP_SYS,MATCH($D297,EQP_NOM,0)),"")&lt;&gt;$C297),"Equipment not in that system",IF(AND($U297=1,$M297=""),"Approved with no approval date",""))))))))))</f>
        <v/>
      </c>
      <c r="Q297" s="21" t="n"/>
      <c r="R297" s="23">
        <f>IF(OR($A297="",$B297=""),"",IF($B297="Equipment",IFERROR(INDEX(EQP_START,MATCH($D297,EQP_NOM,0)),""),IF($B297="System",IFERROR(INDEX(SYS_EARLIEST,MATCH($C297,SYS_ID,0)),""),IF($B297="All",CTR_EARLIEST,""))))</f>
        <v/>
      </c>
      <c r="S297" s="23">
        <f>IF(OR($A297="",$E297=""),"",IFERROR(IF(INDEX(TYP_ANCHOR,MATCH($A297,TYP_TYPE,0))="Commissioning Start",IF($R297="","",$R297-INDEX(TYP_LEAD,MATCH($A297,TYP_TYPE,0))),IF(INDEX(MS_PLAN,MATCH(INDEX(TYP_ANCHOR,MATCH($A297,TYP_TYPE,0)),MS_NOM,0))="","",INDEX(MS_PLAN,MATCH(INDEX(TYP_ANCHOR,MATCH($A297,TYP_TYPE,0)),MS_NOM,0))-INDEX(TYP_LEAD,MATCH($A297,TYP_TYPE,0)))),""))</f>
        <v/>
      </c>
      <c r="T297" s="26">
        <f>IF(OR($A297="",$E297=""),0,IF($V297=1,0,1))</f>
        <v/>
      </c>
      <c r="U297" s="26">
        <f>IF($T297=0,0,IF($M297&lt;&gt;"",1,IF(IFERROR(INDEX(WF_CLASS,MATCH($H297,WF_CODE,0)),"")="Done",1,0)))</f>
        <v/>
      </c>
      <c r="V297" s="26">
        <f>IF(OR($A297="",$E297=""),0,IF(IFERROR(INDEX(WF_CLASS,MATCH($H297,WF_CODE,0)),"")="Inactive",1,0))</f>
        <v/>
      </c>
      <c r="W297" s="24">
        <f>IF($A297="","",IFERROR(INDEX(TYP_PHASE,MATCH($A297,TYP_TYPE,0)),"-"))</f>
        <v/>
      </c>
      <c r="X297" s="24">
        <f>IF(AND($T297=1,$U297=0,N($N297)&gt;0),$N297+ROW()/1000000,"")</f>
        <v/>
      </c>
      <c r="Y297" s="24">
        <f>IF(AND($T297=1,$U297=0,OR($I297&lt;&gt;"",N($N297)&gt;0)),N($N297)+ROW()/1000000,"")</f>
        <v/>
      </c>
      <c r="Z297" s="24">
        <f>IF(AND($T297=1,$U297=0,$I297="",N($N297)&lt;=0,-N($N297)&lt;=HORIZON),N($N297)+ROW()/1000000,"")</f>
        <v/>
      </c>
    </row>
    <row r="298">
      <c r="A298" s="21" t="n"/>
      <c r="B298" s="21" t="n"/>
      <c r="C298" s="21" t="n"/>
      <c r="D298" s="21" t="n"/>
      <c r="E298" s="21" t="n"/>
      <c r="F298" s="21" t="n"/>
      <c r="G298" s="21" t="n"/>
      <c r="H298" s="21" t="n"/>
      <c r="I298" s="22" t="n"/>
      <c r="J298" s="22" t="n"/>
      <c r="K298" s="23">
        <f>IF($A298="","",IF($J298&lt;&gt;"",$J298,$S298))</f>
        <v/>
      </c>
      <c r="L298" s="24">
        <f>IF(OR($A298="",$E298=""),"",IF($J298&lt;&gt;"","Manual",IF($S298="","-","Auto")))</f>
        <v/>
      </c>
      <c r="M298" s="22" t="n"/>
      <c r="N298" s="25">
        <f>IF($T298=0,"",IF($U298=1,IF($M298="","",$M298-$K298),IF($K298="","",TODAY()-$K298)))</f>
        <v/>
      </c>
      <c r="O298" s="24">
        <f>IF(OR($A298="",$E298=""),"",IF($V298=1,S_INACT,IF(ISNA(MATCH($A298,TYP_TYPE,0)),S_TYPEKO,IF($U298=1,S_DONE,IF(AND($K298="",$R298=""),S_NOSCOPE,IF($K298="",S_NOTARGET,IF($N298&gt;0,S_LATE,IF($I298&lt;&gt;"",S_WIP,IF(-$N298&lt;=FEN_DOC,S_RISK,IF(-$N298&lt;=HORIZON,S_COMING,S_NOTYET))))))))))</f>
        <v/>
      </c>
      <c r="P298" s="24">
        <f>IF(OR($A298="",$E298=""),"",IF($V298=1,"",IF(ISNA(MATCH($A298,TYP_TYPE,0)),"Type not in the library",IF($B298="","Scope not set",IF(AND($B298="System",$C298=""),"System not set",IF(AND($B298="Equipment",$D298=""),"Equipment not set",IF($F298="","Responsible not set",IF($K298="","No target date",IF(AND($B298="Equipment",$C298&lt;&gt;"",IFERROR(INDEX(EQP_SYS,MATCH($D298,EQP_NOM,0)),"")&lt;&gt;$C298),"Equipment not in that system",IF(AND($U298=1,$M298=""),"Approved with no approval date",""))))))))))</f>
        <v/>
      </c>
      <c r="Q298" s="21" t="n"/>
      <c r="R298" s="23">
        <f>IF(OR($A298="",$B298=""),"",IF($B298="Equipment",IFERROR(INDEX(EQP_START,MATCH($D298,EQP_NOM,0)),""),IF($B298="System",IFERROR(INDEX(SYS_EARLIEST,MATCH($C298,SYS_ID,0)),""),IF($B298="All",CTR_EARLIEST,""))))</f>
        <v/>
      </c>
      <c r="S298" s="23">
        <f>IF(OR($A298="",$E298=""),"",IFERROR(IF(INDEX(TYP_ANCHOR,MATCH($A298,TYP_TYPE,0))="Commissioning Start",IF($R298="","",$R298-INDEX(TYP_LEAD,MATCH($A298,TYP_TYPE,0))),IF(INDEX(MS_PLAN,MATCH(INDEX(TYP_ANCHOR,MATCH($A298,TYP_TYPE,0)),MS_NOM,0))="","",INDEX(MS_PLAN,MATCH(INDEX(TYP_ANCHOR,MATCH($A298,TYP_TYPE,0)),MS_NOM,0))-INDEX(TYP_LEAD,MATCH($A298,TYP_TYPE,0)))),""))</f>
        <v/>
      </c>
      <c r="T298" s="26">
        <f>IF(OR($A298="",$E298=""),0,IF($V298=1,0,1))</f>
        <v/>
      </c>
      <c r="U298" s="26">
        <f>IF($T298=0,0,IF($M298&lt;&gt;"",1,IF(IFERROR(INDEX(WF_CLASS,MATCH($H298,WF_CODE,0)),"")="Done",1,0)))</f>
        <v/>
      </c>
      <c r="V298" s="26">
        <f>IF(OR($A298="",$E298=""),0,IF(IFERROR(INDEX(WF_CLASS,MATCH($H298,WF_CODE,0)),"")="Inactive",1,0))</f>
        <v/>
      </c>
      <c r="W298" s="24">
        <f>IF($A298="","",IFERROR(INDEX(TYP_PHASE,MATCH($A298,TYP_TYPE,0)),"-"))</f>
        <v/>
      </c>
      <c r="X298" s="24">
        <f>IF(AND($T298=1,$U298=0,N($N298)&gt;0),$N298+ROW()/1000000,"")</f>
        <v/>
      </c>
      <c r="Y298" s="24">
        <f>IF(AND($T298=1,$U298=0,OR($I298&lt;&gt;"",N($N298)&gt;0)),N($N298)+ROW()/1000000,"")</f>
        <v/>
      </c>
      <c r="Z298" s="24">
        <f>IF(AND($T298=1,$U298=0,$I298="",N($N298)&lt;=0,-N($N298)&lt;=HORIZON),N($N298)+ROW()/1000000,"")</f>
        <v/>
      </c>
    </row>
    <row r="299">
      <c r="A299" s="21" t="n"/>
      <c r="B299" s="21" t="n"/>
      <c r="C299" s="21" t="n"/>
      <c r="D299" s="21" t="n"/>
      <c r="E299" s="21" t="n"/>
      <c r="F299" s="21" t="n"/>
      <c r="G299" s="21" t="n"/>
      <c r="H299" s="21" t="n"/>
      <c r="I299" s="22" t="n"/>
      <c r="J299" s="22" t="n"/>
      <c r="K299" s="23">
        <f>IF($A299="","",IF($J299&lt;&gt;"",$J299,$S299))</f>
        <v/>
      </c>
      <c r="L299" s="24">
        <f>IF(OR($A299="",$E299=""),"",IF($J299&lt;&gt;"","Manual",IF($S299="","-","Auto")))</f>
        <v/>
      </c>
      <c r="M299" s="22" t="n"/>
      <c r="N299" s="25">
        <f>IF($T299=0,"",IF($U299=1,IF($M299="","",$M299-$K299),IF($K299="","",TODAY()-$K299)))</f>
        <v/>
      </c>
      <c r="O299" s="24">
        <f>IF(OR($A299="",$E299=""),"",IF($V299=1,S_INACT,IF(ISNA(MATCH($A299,TYP_TYPE,0)),S_TYPEKO,IF($U299=1,S_DONE,IF(AND($K299="",$R299=""),S_NOSCOPE,IF($K299="",S_NOTARGET,IF($N299&gt;0,S_LATE,IF($I299&lt;&gt;"",S_WIP,IF(-$N299&lt;=FEN_DOC,S_RISK,IF(-$N299&lt;=HORIZON,S_COMING,S_NOTYET))))))))))</f>
        <v/>
      </c>
      <c r="P299" s="24">
        <f>IF(OR($A299="",$E299=""),"",IF($V299=1,"",IF(ISNA(MATCH($A299,TYP_TYPE,0)),"Type not in the library",IF($B299="","Scope not set",IF(AND($B299="System",$C299=""),"System not set",IF(AND($B299="Equipment",$D299=""),"Equipment not set",IF($F299="","Responsible not set",IF($K299="","No target date",IF(AND($B299="Equipment",$C299&lt;&gt;"",IFERROR(INDEX(EQP_SYS,MATCH($D299,EQP_NOM,0)),"")&lt;&gt;$C299),"Equipment not in that system",IF(AND($U299=1,$M299=""),"Approved with no approval date",""))))))))))</f>
        <v/>
      </c>
      <c r="Q299" s="21" t="n"/>
      <c r="R299" s="23">
        <f>IF(OR($A299="",$B299=""),"",IF($B299="Equipment",IFERROR(INDEX(EQP_START,MATCH($D299,EQP_NOM,0)),""),IF($B299="System",IFERROR(INDEX(SYS_EARLIEST,MATCH($C299,SYS_ID,0)),""),IF($B299="All",CTR_EARLIEST,""))))</f>
        <v/>
      </c>
      <c r="S299" s="23">
        <f>IF(OR($A299="",$E299=""),"",IFERROR(IF(INDEX(TYP_ANCHOR,MATCH($A299,TYP_TYPE,0))="Commissioning Start",IF($R299="","",$R299-INDEX(TYP_LEAD,MATCH($A299,TYP_TYPE,0))),IF(INDEX(MS_PLAN,MATCH(INDEX(TYP_ANCHOR,MATCH($A299,TYP_TYPE,0)),MS_NOM,0))="","",INDEX(MS_PLAN,MATCH(INDEX(TYP_ANCHOR,MATCH($A299,TYP_TYPE,0)),MS_NOM,0))-INDEX(TYP_LEAD,MATCH($A299,TYP_TYPE,0)))),""))</f>
        <v/>
      </c>
      <c r="T299" s="26">
        <f>IF(OR($A299="",$E299=""),0,IF($V299=1,0,1))</f>
        <v/>
      </c>
      <c r="U299" s="26">
        <f>IF($T299=0,0,IF($M299&lt;&gt;"",1,IF(IFERROR(INDEX(WF_CLASS,MATCH($H299,WF_CODE,0)),"")="Done",1,0)))</f>
        <v/>
      </c>
      <c r="V299" s="26">
        <f>IF(OR($A299="",$E299=""),0,IF(IFERROR(INDEX(WF_CLASS,MATCH($H299,WF_CODE,0)),"")="Inactive",1,0))</f>
        <v/>
      </c>
      <c r="W299" s="24">
        <f>IF($A299="","",IFERROR(INDEX(TYP_PHASE,MATCH($A299,TYP_TYPE,0)),"-"))</f>
        <v/>
      </c>
      <c r="X299" s="24">
        <f>IF(AND($T299=1,$U299=0,N($N299)&gt;0),$N299+ROW()/1000000,"")</f>
        <v/>
      </c>
      <c r="Y299" s="24">
        <f>IF(AND($T299=1,$U299=0,OR($I299&lt;&gt;"",N($N299)&gt;0)),N($N299)+ROW()/1000000,"")</f>
        <v/>
      </c>
      <c r="Z299" s="24">
        <f>IF(AND($T299=1,$U299=0,$I299="",N($N299)&lt;=0,-N($N299)&lt;=HORIZON),N($N299)+ROW()/1000000,"")</f>
        <v/>
      </c>
    </row>
    <row r="300">
      <c r="A300" s="21" t="n"/>
      <c r="B300" s="21" t="n"/>
      <c r="C300" s="21" t="n"/>
      <c r="D300" s="21" t="n"/>
      <c r="E300" s="21" t="n"/>
      <c r="F300" s="21" t="n"/>
      <c r="G300" s="21" t="n"/>
      <c r="H300" s="21" t="n"/>
      <c r="I300" s="22" t="n"/>
      <c r="J300" s="22" t="n"/>
      <c r="K300" s="23">
        <f>IF($A300="","",IF($J300&lt;&gt;"",$J300,$S300))</f>
        <v/>
      </c>
      <c r="L300" s="24">
        <f>IF(OR($A300="",$E300=""),"",IF($J300&lt;&gt;"","Manual",IF($S300="","-","Auto")))</f>
        <v/>
      </c>
      <c r="M300" s="22" t="n"/>
      <c r="N300" s="25">
        <f>IF($T300=0,"",IF($U300=1,IF($M300="","",$M300-$K300),IF($K300="","",TODAY()-$K300)))</f>
        <v/>
      </c>
      <c r="O300" s="24">
        <f>IF(OR($A300="",$E300=""),"",IF($V300=1,S_INACT,IF(ISNA(MATCH($A300,TYP_TYPE,0)),S_TYPEKO,IF($U300=1,S_DONE,IF(AND($K300="",$R300=""),S_NOSCOPE,IF($K300="",S_NOTARGET,IF($N300&gt;0,S_LATE,IF($I300&lt;&gt;"",S_WIP,IF(-$N300&lt;=FEN_DOC,S_RISK,IF(-$N300&lt;=HORIZON,S_COMING,S_NOTYET))))))))))</f>
        <v/>
      </c>
      <c r="P300" s="24">
        <f>IF(OR($A300="",$E300=""),"",IF($V300=1,"",IF(ISNA(MATCH($A300,TYP_TYPE,0)),"Type not in the library",IF($B300="","Scope not set",IF(AND($B300="System",$C300=""),"System not set",IF(AND($B300="Equipment",$D300=""),"Equipment not set",IF($F300="","Responsible not set",IF($K300="","No target date",IF(AND($B300="Equipment",$C300&lt;&gt;"",IFERROR(INDEX(EQP_SYS,MATCH($D300,EQP_NOM,0)),"")&lt;&gt;$C300),"Equipment not in that system",IF(AND($U300=1,$M300=""),"Approved with no approval date",""))))))))))</f>
        <v/>
      </c>
      <c r="Q300" s="21" t="n"/>
      <c r="R300" s="23">
        <f>IF(OR($A300="",$B300=""),"",IF($B300="Equipment",IFERROR(INDEX(EQP_START,MATCH($D300,EQP_NOM,0)),""),IF($B300="System",IFERROR(INDEX(SYS_EARLIEST,MATCH($C300,SYS_ID,0)),""),IF($B300="All",CTR_EARLIEST,""))))</f>
        <v/>
      </c>
      <c r="S300" s="23">
        <f>IF(OR($A300="",$E300=""),"",IFERROR(IF(INDEX(TYP_ANCHOR,MATCH($A300,TYP_TYPE,0))="Commissioning Start",IF($R300="","",$R300-INDEX(TYP_LEAD,MATCH($A300,TYP_TYPE,0))),IF(INDEX(MS_PLAN,MATCH(INDEX(TYP_ANCHOR,MATCH($A300,TYP_TYPE,0)),MS_NOM,0))="","",INDEX(MS_PLAN,MATCH(INDEX(TYP_ANCHOR,MATCH($A300,TYP_TYPE,0)),MS_NOM,0))-INDEX(TYP_LEAD,MATCH($A300,TYP_TYPE,0)))),""))</f>
        <v/>
      </c>
      <c r="T300" s="26">
        <f>IF(OR($A300="",$E300=""),0,IF($V300=1,0,1))</f>
        <v/>
      </c>
      <c r="U300" s="26">
        <f>IF($T300=0,0,IF($M300&lt;&gt;"",1,IF(IFERROR(INDEX(WF_CLASS,MATCH($H300,WF_CODE,0)),"")="Done",1,0)))</f>
        <v/>
      </c>
      <c r="V300" s="26">
        <f>IF(OR($A300="",$E300=""),0,IF(IFERROR(INDEX(WF_CLASS,MATCH($H300,WF_CODE,0)),"")="Inactive",1,0))</f>
        <v/>
      </c>
      <c r="W300" s="24">
        <f>IF($A300="","",IFERROR(INDEX(TYP_PHASE,MATCH($A300,TYP_TYPE,0)),"-"))</f>
        <v/>
      </c>
      <c r="X300" s="24">
        <f>IF(AND($T300=1,$U300=0,N($N300)&gt;0),$N300+ROW()/1000000,"")</f>
        <v/>
      </c>
      <c r="Y300" s="24">
        <f>IF(AND($T300=1,$U300=0,OR($I300&lt;&gt;"",N($N300)&gt;0)),N($N300)+ROW()/1000000,"")</f>
        <v/>
      </c>
      <c r="Z300" s="24">
        <f>IF(AND($T300=1,$U300=0,$I300="",N($N300)&lt;=0,-N($N300)&lt;=HORIZON),N($N300)+ROW()/1000000,"")</f>
        <v/>
      </c>
    </row>
    <row r="301">
      <c r="A301" s="21" t="n"/>
      <c r="B301" s="21" t="n"/>
      <c r="C301" s="21" t="n"/>
      <c r="D301" s="21" t="n"/>
      <c r="E301" s="21" t="n"/>
      <c r="F301" s="21" t="n"/>
      <c r="G301" s="21" t="n"/>
      <c r="H301" s="21" t="n"/>
      <c r="I301" s="22" t="n"/>
      <c r="J301" s="22" t="n"/>
      <c r="K301" s="23">
        <f>IF($A301="","",IF($J301&lt;&gt;"",$J301,$S301))</f>
        <v/>
      </c>
      <c r="L301" s="24">
        <f>IF(OR($A301="",$E301=""),"",IF($J301&lt;&gt;"","Manual",IF($S301="","-","Auto")))</f>
        <v/>
      </c>
      <c r="M301" s="22" t="n"/>
      <c r="N301" s="25">
        <f>IF($T301=0,"",IF($U301=1,IF($M301="","",$M301-$K301),IF($K301="","",TODAY()-$K301)))</f>
        <v/>
      </c>
      <c r="O301" s="24">
        <f>IF(OR($A301="",$E301=""),"",IF($V301=1,S_INACT,IF(ISNA(MATCH($A301,TYP_TYPE,0)),S_TYPEKO,IF($U301=1,S_DONE,IF(AND($K301="",$R301=""),S_NOSCOPE,IF($K301="",S_NOTARGET,IF($N301&gt;0,S_LATE,IF($I301&lt;&gt;"",S_WIP,IF(-$N301&lt;=FEN_DOC,S_RISK,IF(-$N301&lt;=HORIZON,S_COMING,S_NOTYET))))))))))</f>
        <v/>
      </c>
      <c r="P301" s="24">
        <f>IF(OR($A301="",$E301=""),"",IF($V301=1,"",IF(ISNA(MATCH($A301,TYP_TYPE,0)),"Type not in the library",IF($B301="","Scope not set",IF(AND($B301="System",$C301=""),"System not set",IF(AND($B301="Equipment",$D301=""),"Equipment not set",IF($F301="","Responsible not set",IF($K301="","No target date",IF(AND($B301="Equipment",$C301&lt;&gt;"",IFERROR(INDEX(EQP_SYS,MATCH($D301,EQP_NOM,0)),"")&lt;&gt;$C301),"Equipment not in that system",IF(AND($U301=1,$M301=""),"Approved with no approval date",""))))))))))</f>
        <v/>
      </c>
      <c r="Q301" s="21" t="n"/>
      <c r="R301" s="23">
        <f>IF(OR($A301="",$B301=""),"",IF($B301="Equipment",IFERROR(INDEX(EQP_START,MATCH($D301,EQP_NOM,0)),""),IF($B301="System",IFERROR(INDEX(SYS_EARLIEST,MATCH($C301,SYS_ID,0)),""),IF($B301="All",CTR_EARLIEST,""))))</f>
        <v/>
      </c>
      <c r="S301" s="23">
        <f>IF(OR($A301="",$E301=""),"",IFERROR(IF(INDEX(TYP_ANCHOR,MATCH($A301,TYP_TYPE,0))="Commissioning Start",IF($R301="","",$R301-INDEX(TYP_LEAD,MATCH($A301,TYP_TYPE,0))),IF(INDEX(MS_PLAN,MATCH(INDEX(TYP_ANCHOR,MATCH($A301,TYP_TYPE,0)),MS_NOM,0))="","",INDEX(MS_PLAN,MATCH(INDEX(TYP_ANCHOR,MATCH($A301,TYP_TYPE,0)),MS_NOM,0))-INDEX(TYP_LEAD,MATCH($A301,TYP_TYPE,0)))),""))</f>
        <v/>
      </c>
      <c r="T301" s="26">
        <f>IF(OR($A301="",$E301=""),0,IF($V301=1,0,1))</f>
        <v/>
      </c>
      <c r="U301" s="26">
        <f>IF($T301=0,0,IF($M301&lt;&gt;"",1,IF(IFERROR(INDEX(WF_CLASS,MATCH($H301,WF_CODE,0)),"")="Done",1,0)))</f>
        <v/>
      </c>
      <c r="V301" s="26">
        <f>IF(OR($A301="",$E301=""),0,IF(IFERROR(INDEX(WF_CLASS,MATCH($H301,WF_CODE,0)),"")="Inactive",1,0))</f>
        <v/>
      </c>
      <c r="W301" s="24">
        <f>IF($A301="","",IFERROR(INDEX(TYP_PHASE,MATCH($A301,TYP_TYPE,0)),"-"))</f>
        <v/>
      </c>
      <c r="X301" s="24">
        <f>IF(AND($T301=1,$U301=0,N($N301)&gt;0),$N301+ROW()/1000000,"")</f>
        <v/>
      </c>
      <c r="Y301" s="24">
        <f>IF(AND($T301=1,$U301=0,OR($I301&lt;&gt;"",N($N301)&gt;0)),N($N301)+ROW()/1000000,"")</f>
        <v/>
      </c>
      <c r="Z301" s="24">
        <f>IF(AND($T301=1,$U301=0,$I301="",N($N301)&lt;=0,-N($N301)&lt;=HORIZON),N($N301)+ROW()/1000000,"")</f>
        <v/>
      </c>
    </row>
    <row r="302">
      <c r="A302" s="21" t="n"/>
      <c r="B302" s="21" t="n"/>
      <c r="C302" s="21" t="n"/>
      <c r="D302" s="21" t="n"/>
      <c r="E302" s="21" t="n"/>
      <c r="F302" s="21" t="n"/>
      <c r="G302" s="21" t="n"/>
      <c r="H302" s="21" t="n"/>
      <c r="I302" s="22" t="n"/>
      <c r="J302" s="22" t="n"/>
      <c r="K302" s="23">
        <f>IF($A302="","",IF($J302&lt;&gt;"",$J302,$S302))</f>
        <v/>
      </c>
      <c r="L302" s="24">
        <f>IF(OR($A302="",$E302=""),"",IF($J302&lt;&gt;"","Manual",IF($S302="","-","Auto")))</f>
        <v/>
      </c>
      <c r="M302" s="22" t="n"/>
      <c r="N302" s="25">
        <f>IF($T302=0,"",IF($U302=1,IF($M302="","",$M302-$K302),IF($K302="","",TODAY()-$K302)))</f>
        <v/>
      </c>
      <c r="O302" s="24">
        <f>IF(OR($A302="",$E302=""),"",IF($V302=1,S_INACT,IF(ISNA(MATCH($A302,TYP_TYPE,0)),S_TYPEKO,IF($U302=1,S_DONE,IF(AND($K302="",$R302=""),S_NOSCOPE,IF($K302="",S_NOTARGET,IF($N302&gt;0,S_LATE,IF($I302&lt;&gt;"",S_WIP,IF(-$N302&lt;=FEN_DOC,S_RISK,IF(-$N302&lt;=HORIZON,S_COMING,S_NOTYET))))))))))</f>
        <v/>
      </c>
      <c r="P302" s="24">
        <f>IF(OR($A302="",$E302=""),"",IF($V302=1,"",IF(ISNA(MATCH($A302,TYP_TYPE,0)),"Type not in the library",IF($B302="","Scope not set",IF(AND($B302="System",$C302=""),"System not set",IF(AND($B302="Equipment",$D302=""),"Equipment not set",IF($F302="","Responsible not set",IF($K302="","No target date",IF(AND($B302="Equipment",$C302&lt;&gt;"",IFERROR(INDEX(EQP_SYS,MATCH($D302,EQP_NOM,0)),"")&lt;&gt;$C302),"Equipment not in that system",IF(AND($U302=1,$M302=""),"Approved with no approval date",""))))))))))</f>
        <v/>
      </c>
      <c r="Q302" s="21" t="n"/>
      <c r="R302" s="23">
        <f>IF(OR($A302="",$B302=""),"",IF($B302="Equipment",IFERROR(INDEX(EQP_START,MATCH($D302,EQP_NOM,0)),""),IF($B302="System",IFERROR(INDEX(SYS_EARLIEST,MATCH($C302,SYS_ID,0)),""),IF($B302="All",CTR_EARLIEST,""))))</f>
        <v/>
      </c>
      <c r="S302" s="23">
        <f>IF(OR($A302="",$E302=""),"",IFERROR(IF(INDEX(TYP_ANCHOR,MATCH($A302,TYP_TYPE,0))="Commissioning Start",IF($R302="","",$R302-INDEX(TYP_LEAD,MATCH($A302,TYP_TYPE,0))),IF(INDEX(MS_PLAN,MATCH(INDEX(TYP_ANCHOR,MATCH($A302,TYP_TYPE,0)),MS_NOM,0))="","",INDEX(MS_PLAN,MATCH(INDEX(TYP_ANCHOR,MATCH($A302,TYP_TYPE,0)),MS_NOM,0))-INDEX(TYP_LEAD,MATCH($A302,TYP_TYPE,0)))),""))</f>
        <v/>
      </c>
      <c r="T302" s="26">
        <f>IF(OR($A302="",$E302=""),0,IF($V302=1,0,1))</f>
        <v/>
      </c>
      <c r="U302" s="26">
        <f>IF($T302=0,0,IF($M302&lt;&gt;"",1,IF(IFERROR(INDEX(WF_CLASS,MATCH($H302,WF_CODE,0)),"")="Done",1,0)))</f>
        <v/>
      </c>
      <c r="V302" s="26">
        <f>IF(OR($A302="",$E302=""),0,IF(IFERROR(INDEX(WF_CLASS,MATCH($H302,WF_CODE,0)),"")="Inactive",1,0))</f>
        <v/>
      </c>
      <c r="W302" s="24">
        <f>IF($A302="","",IFERROR(INDEX(TYP_PHASE,MATCH($A302,TYP_TYPE,0)),"-"))</f>
        <v/>
      </c>
      <c r="X302" s="24">
        <f>IF(AND($T302=1,$U302=0,N($N302)&gt;0),$N302+ROW()/1000000,"")</f>
        <v/>
      </c>
      <c r="Y302" s="24">
        <f>IF(AND($T302=1,$U302=0,OR($I302&lt;&gt;"",N($N302)&gt;0)),N($N302)+ROW()/1000000,"")</f>
        <v/>
      </c>
      <c r="Z302" s="24">
        <f>IF(AND($T302=1,$U302=0,$I302="",N($N302)&lt;=0,-N($N302)&lt;=HORIZON),N($N302)+ROW()/1000000,"")</f>
        <v/>
      </c>
    </row>
    <row r="303">
      <c r="A303" s="21" t="n"/>
      <c r="B303" s="21" t="n"/>
      <c r="C303" s="21" t="n"/>
      <c r="D303" s="21" t="n"/>
      <c r="E303" s="21" t="n"/>
      <c r="F303" s="21" t="n"/>
      <c r="G303" s="21" t="n"/>
      <c r="H303" s="21" t="n"/>
      <c r="I303" s="22" t="n"/>
      <c r="J303" s="22" t="n"/>
      <c r="K303" s="23">
        <f>IF($A303="","",IF($J303&lt;&gt;"",$J303,$S303))</f>
        <v/>
      </c>
      <c r="L303" s="24">
        <f>IF(OR($A303="",$E303=""),"",IF($J303&lt;&gt;"","Manual",IF($S303="","-","Auto")))</f>
        <v/>
      </c>
      <c r="M303" s="22" t="n"/>
      <c r="N303" s="25">
        <f>IF($T303=0,"",IF($U303=1,IF($M303="","",$M303-$K303),IF($K303="","",TODAY()-$K303)))</f>
        <v/>
      </c>
      <c r="O303" s="24">
        <f>IF(OR($A303="",$E303=""),"",IF($V303=1,S_INACT,IF(ISNA(MATCH($A303,TYP_TYPE,0)),S_TYPEKO,IF($U303=1,S_DONE,IF(AND($K303="",$R303=""),S_NOSCOPE,IF($K303="",S_NOTARGET,IF($N303&gt;0,S_LATE,IF($I303&lt;&gt;"",S_WIP,IF(-$N303&lt;=FEN_DOC,S_RISK,IF(-$N303&lt;=HORIZON,S_COMING,S_NOTYET))))))))))</f>
        <v/>
      </c>
      <c r="P303" s="24">
        <f>IF(OR($A303="",$E303=""),"",IF($V303=1,"",IF(ISNA(MATCH($A303,TYP_TYPE,0)),"Type not in the library",IF($B303="","Scope not set",IF(AND($B303="System",$C303=""),"System not set",IF(AND($B303="Equipment",$D303=""),"Equipment not set",IF($F303="","Responsible not set",IF($K303="","No target date",IF(AND($B303="Equipment",$C303&lt;&gt;"",IFERROR(INDEX(EQP_SYS,MATCH($D303,EQP_NOM,0)),"")&lt;&gt;$C303),"Equipment not in that system",IF(AND($U303=1,$M303=""),"Approved with no approval date",""))))))))))</f>
        <v/>
      </c>
      <c r="Q303" s="21" t="n"/>
      <c r="R303" s="23">
        <f>IF(OR($A303="",$B303=""),"",IF($B303="Equipment",IFERROR(INDEX(EQP_START,MATCH($D303,EQP_NOM,0)),""),IF($B303="System",IFERROR(INDEX(SYS_EARLIEST,MATCH($C303,SYS_ID,0)),""),IF($B303="All",CTR_EARLIEST,""))))</f>
        <v/>
      </c>
      <c r="S303" s="23">
        <f>IF(OR($A303="",$E303=""),"",IFERROR(IF(INDEX(TYP_ANCHOR,MATCH($A303,TYP_TYPE,0))="Commissioning Start",IF($R303="","",$R303-INDEX(TYP_LEAD,MATCH($A303,TYP_TYPE,0))),IF(INDEX(MS_PLAN,MATCH(INDEX(TYP_ANCHOR,MATCH($A303,TYP_TYPE,0)),MS_NOM,0))="","",INDEX(MS_PLAN,MATCH(INDEX(TYP_ANCHOR,MATCH($A303,TYP_TYPE,0)),MS_NOM,0))-INDEX(TYP_LEAD,MATCH($A303,TYP_TYPE,0)))),""))</f>
        <v/>
      </c>
      <c r="T303" s="26">
        <f>IF(OR($A303="",$E303=""),0,IF($V303=1,0,1))</f>
        <v/>
      </c>
      <c r="U303" s="26">
        <f>IF($T303=0,0,IF($M303&lt;&gt;"",1,IF(IFERROR(INDEX(WF_CLASS,MATCH($H303,WF_CODE,0)),"")="Done",1,0)))</f>
        <v/>
      </c>
      <c r="V303" s="26">
        <f>IF(OR($A303="",$E303=""),0,IF(IFERROR(INDEX(WF_CLASS,MATCH($H303,WF_CODE,0)),"")="Inactive",1,0))</f>
        <v/>
      </c>
      <c r="W303" s="24">
        <f>IF($A303="","",IFERROR(INDEX(TYP_PHASE,MATCH($A303,TYP_TYPE,0)),"-"))</f>
        <v/>
      </c>
      <c r="X303" s="24">
        <f>IF(AND($T303=1,$U303=0,N($N303)&gt;0),$N303+ROW()/1000000,"")</f>
        <v/>
      </c>
      <c r="Y303" s="24">
        <f>IF(AND($T303=1,$U303=0,OR($I303&lt;&gt;"",N($N303)&gt;0)),N($N303)+ROW()/1000000,"")</f>
        <v/>
      </c>
      <c r="Z303" s="24">
        <f>IF(AND($T303=1,$U303=0,$I303="",N($N303)&lt;=0,-N($N303)&lt;=HORIZON),N($N303)+ROW()/1000000,"")</f>
        <v/>
      </c>
    </row>
    <row r="304">
      <c r="A304" s="21" t="n"/>
      <c r="B304" s="21" t="n"/>
      <c r="C304" s="21" t="n"/>
      <c r="D304" s="21" t="n"/>
      <c r="E304" s="21" t="n"/>
      <c r="F304" s="21" t="n"/>
      <c r="G304" s="21" t="n"/>
      <c r="H304" s="21" t="n"/>
      <c r="I304" s="22" t="n"/>
      <c r="J304" s="22" t="n"/>
      <c r="K304" s="23">
        <f>IF($A304="","",IF($J304&lt;&gt;"",$J304,$S304))</f>
        <v/>
      </c>
      <c r="L304" s="24">
        <f>IF(OR($A304="",$E304=""),"",IF($J304&lt;&gt;"","Manual",IF($S304="","-","Auto")))</f>
        <v/>
      </c>
      <c r="M304" s="22" t="n"/>
      <c r="N304" s="25">
        <f>IF($T304=0,"",IF($U304=1,IF($M304="","",$M304-$K304),IF($K304="","",TODAY()-$K304)))</f>
        <v/>
      </c>
      <c r="O304" s="24">
        <f>IF(OR($A304="",$E304=""),"",IF($V304=1,S_INACT,IF(ISNA(MATCH($A304,TYP_TYPE,0)),S_TYPEKO,IF($U304=1,S_DONE,IF(AND($K304="",$R304=""),S_NOSCOPE,IF($K304="",S_NOTARGET,IF($N304&gt;0,S_LATE,IF($I304&lt;&gt;"",S_WIP,IF(-$N304&lt;=FEN_DOC,S_RISK,IF(-$N304&lt;=HORIZON,S_COMING,S_NOTYET))))))))))</f>
        <v/>
      </c>
      <c r="P304" s="24">
        <f>IF(OR($A304="",$E304=""),"",IF($V304=1,"",IF(ISNA(MATCH($A304,TYP_TYPE,0)),"Type not in the library",IF($B304="","Scope not set",IF(AND($B304="System",$C304=""),"System not set",IF(AND($B304="Equipment",$D304=""),"Equipment not set",IF($F304="","Responsible not set",IF($K304="","No target date",IF(AND($B304="Equipment",$C304&lt;&gt;"",IFERROR(INDEX(EQP_SYS,MATCH($D304,EQP_NOM,0)),"")&lt;&gt;$C304),"Equipment not in that system",IF(AND($U304=1,$M304=""),"Approved with no approval date",""))))))))))</f>
        <v/>
      </c>
      <c r="Q304" s="21" t="n"/>
      <c r="R304" s="23">
        <f>IF(OR($A304="",$B304=""),"",IF($B304="Equipment",IFERROR(INDEX(EQP_START,MATCH($D304,EQP_NOM,0)),""),IF($B304="System",IFERROR(INDEX(SYS_EARLIEST,MATCH($C304,SYS_ID,0)),""),IF($B304="All",CTR_EARLIEST,""))))</f>
        <v/>
      </c>
      <c r="S304" s="23">
        <f>IF(OR($A304="",$E304=""),"",IFERROR(IF(INDEX(TYP_ANCHOR,MATCH($A304,TYP_TYPE,0))="Commissioning Start",IF($R304="","",$R304-INDEX(TYP_LEAD,MATCH($A304,TYP_TYPE,0))),IF(INDEX(MS_PLAN,MATCH(INDEX(TYP_ANCHOR,MATCH($A304,TYP_TYPE,0)),MS_NOM,0))="","",INDEX(MS_PLAN,MATCH(INDEX(TYP_ANCHOR,MATCH($A304,TYP_TYPE,0)),MS_NOM,0))-INDEX(TYP_LEAD,MATCH($A304,TYP_TYPE,0)))),""))</f>
        <v/>
      </c>
      <c r="T304" s="26">
        <f>IF(OR($A304="",$E304=""),0,IF($V304=1,0,1))</f>
        <v/>
      </c>
      <c r="U304" s="26">
        <f>IF($T304=0,0,IF($M304&lt;&gt;"",1,IF(IFERROR(INDEX(WF_CLASS,MATCH($H304,WF_CODE,0)),"")="Done",1,0)))</f>
        <v/>
      </c>
      <c r="V304" s="26">
        <f>IF(OR($A304="",$E304=""),0,IF(IFERROR(INDEX(WF_CLASS,MATCH($H304,WF_CODE,0)),"")="Inactive",1,0))</f>
        <v/>
      </c>
      <c r="W304" s="24">
        <f>IF($A304="","",IFERROR(INDEX(TYP_PHASE,MATCH($A304,TYP_TYPE,0)),"-"))</f>
        <v/>
      </c>
      <c r="X304" s="24">
        <f>IF(AND($T304=1,$U304=0,N($N304)&gt;0),$N304+ROW()/1000000,"")</f>
        <v/>
      </c>
      <c r="Y304" s="24">
        <f>IF(AND($T304=1,$U304=0,OR($I304&lt;&gt;"",N($N304)&gt;0)),N($N304)+ROW()/1000000,"")</f>
        <v/>
      </c>
      <c r="Z304" s="24">
        <f>IF(AND($T304=1,$U304=0,$I304="",N($N304)&lt;=0,-N($N304)&lt;=HORIZON),N($N304)+ROW()/1000000,"")</f>
        <v/>
      </c>
    </row>
    <row r="305">
      <c r="A305" s="21" t="n"/>
      <c r="B305" s="21" t="n"/>
      <c r="C305" s="21" t="n"/>
      <c r="D305" s="21" t="n"/>
      <c r="E305" s="21" t="n"/>
      <c r="F305" s="21" t="n"/>
      <c r="G305" s="21" t="n"/>
      <c r="H305" s="21" t="n"/>
      <c r="I305" s="22" t="n"/>
      <c r="J305" s="22" t="n"/>
      <c r="K305" s="23">
        <f>IF($A305="","",IF($J305&lt;&gt;"",$J305,$S305))</f>
        <v/>
      </c>
      <c r="L305" s="24">
        <f>IF(OR($A305="",$E305=""),"",IF($J305&lt;&gt;"","Manual",IF($S305="","-","Auto")))</f>
        <v/>
      </c>
      <c r="M305" s="22" t="n"/>
      <c r="N305" s="25">
        <f>IF($T305=0,"",IF($U305=1,IF($M305="","",$M305-$K305),IF($K305="","",TODAY()-$K305)))</f>
        <v/>
      </c>
      <c r="O305" s="24">
        <f>IF(OR($A305="",$E305=""),"",IF($V305=1,S_INACT,IF(ISNA(MATCH($A305,TYP_TYPE,0)),S_TYPEKO,IF($U305=1,S_DONE,IF(AND($K305="",$R305=""),S_NOSCOPE,IF($K305="",S_NOTARGET,IF($N305&gt;0,S_LATE,IF($I305&lt;&gt;"",S_WIP,IF(-$N305&lt;=FEN_DOC,S_RISK,IF(-$N305&lt;=HORIZON,S_COMING,S_NOTYET))))))))))</f>
        <v/>
      </c>
      <c r="P305" s="24">
        <f>IF(OR($A305="",$E305=""),"",IF($V305=1,"",IF(ISNA(MATCH($A305,TYP_TYPE,0)),"Type not in the library",IF($B305="","Scope not set",IF(AND($B305="System",$C305=""),"System not set",IF(AND($B305="Equipment",$D305=""),"Equipment not set",IF($F305="","Responsible not set",IF($K305="","No target date",IF(AND($B305="Equipment",$C305&lt;&gt;"",IFERROR(INDEX(EQP_SYS,MATCH($D305,EQP_NOM,0)),"")&lt;&gt;$C305),"Equipment not in that system",IF(AND($U305=1,$M305=""),"Approved with no approval date",""))))))))))</f>
        <v/>
      </c>
      <c r="Q305" s="21" t="n"/>
      <c r="R305" s="23">
        <f>IF(OR($A305="",$B305=""),"",IF($B305="Equipment",IFERROR(INDEX(EQP_START,MATCH($D305,EQP_NOM,0)),""),IF($B305="System",IFERROR(INDEX(SYS_EARLIEST,MATCH($C305,SYS_ID,0)),""),IF($B305="All",CTR_EARLIEST,""))))</f>
        <v/>
      </c>
      <c r="S305" s="23">
        <f>IF(OR($A305="",$E305=""),"",IFERROR(IF(INDEX(TYP_ANCHOR,MATCH($A305,TYP_TYPE,0))="Commissioning Start",IF($R305="","",$R305-INDEX(TYP_LEAD,MATCH($A305,TYP_TYPE,0))),IF(INDEX(MS_PLAN,MATCH(INDEX(TYP_ANCHOR,MATCH($A305,TYP_TYPE,0)),MS_NOM,0))="","",INDEX(MS_PLAN,MATCH(INDEX(TYP_ANCHOR,MATCH($A305,TYP_TYPE,0)),MS_NOM,0))-INDEX(TYP_LEAD,MATCH($A305,TYP_TYPE,0)))),""))</f>
        <v/>
      </c>
      <c r="T305" s="26">
        <f>IF(OR($A305="",$E305=""),0,IF($V305=1,0,1))</f>
        <v/>
      </c>
      <c r="U305" s="26">
        <f>IF($T305=0,0,IF($M305&lt;&gt;"",1,IF(IFERROR(INDEX(WF_CLASS,MATCH($H305,WF_CODE,0)),"")="Done",1,0)))</f>
        <v/>
      </c>
      <c r="V305" s="26">
        <f>IF(OR($A305="",$E305=""),0,IF(IFERROR(INDEX(WF_CLASS,MATCH($H305,WF_CODE,0)),"")="Inactive",1,0))</f>
        <v/>
      </c>
      <c r="W305" s="24">
        <f>IF($A305="","",IFERROR(INDEX(TYP_PHASE,MATCH($A305,TYP_TYPE,0)),"-"))</f>
        <v/>
      </c>
      <c r="X305" s="24">
        <f>IF(AND($T305=1,$U305=0,N($N305)&gt;0),$N305+ROW()/1000000,"")</f>
        <v/>
      </c>
      <c r="Y305" s="24">
        <f>IF(AND($T305=1,$U305=0,OR($I305&lt;&gt;"",N($N305)&gt;0)),N($N305)+ROW()/1000000,"")</f>
        <v/>
      </c>
      <c r="Z305" s="24">
        <f>IF(AND($T305=1,$U305=0,$I305="",N($N305)&lt;=0,-N($N305)&lt;=HORIZON),N($N305)+ROW()/1000000,"")</f>
        <v/>
      </c>
    </row>
    <row r="306">
      <c r="A306" s="21" t="n"/>
      <c r="B306" s="21" t="n"/>
      <c r="C306" s="21" t="n"/>
      <c r="D306" s="21" t="n"/>
      <c r="E306" s="21" t="n"/>
      <c r="F306" s="21" t="n"/>
      <c r="G306" s="21" t="n"/>
      <c r="H306" s="21" t="n"/>
      <c r="I306" s="22" t="n"/>
      <c r="J306" s="22" t="n"/>
      <c r="K306" s="23">
        <f>IF($A306="","",IF($J306&lt;&gt;"",$J306,$S306))</f>
        <v/>
      </c>
      <c r="L306" s="24">
        <f>IF(OR($A306="",$E306=""),"",IF($J306&lt;&gt;"","Manual",IF($S306="","-","Auto")))</f>
        <v/>
      </c>
      <c r="M306" s="22" t="n"/>
      <c r="N306" s="25">
        <f>IF($T306=0,"",IF($U306=1,IF($M306="","",$M306-$K306),IF($K306="","",TODAY()-$K306)))</f>
        <v/>
      </c>
      <c r="O306" s="24">
        <f>IF(OR($A306="",$E306=""),"",IF($V306=1,S_INACT,IF(ISNA(MATCH($A306,TYP_TYPE,0)),S_TYPEKO,IF($U306=1,S_DONE,IF(AND($K306="",$R306=""),S_NOSCOPE,IF($K306="",S_NOTARGET,IF($N306&gt;0,S_LATE,IF($I306&lt;&gt;"",S_WIP,IF(-$N306&lt;=FEN_DOC,S_RISK,IF(-$N306&lt;=HORIZON,S_COMING,S_NOTYET))))))))))</f>
        <v/>
      </c>
      <c r="P306" s="24">
        <f>IF(OR($A306="",$E306=""),"",IF($V306=1,"",IF(ISNA(MATCH($A306,TYP_TYPE,0)),"Type not in the library",IF($B306="","Scope not set",IF(AND($B306="System",$C306=""),"System not set",IF(AND($B306="Equipment",$D306=""),"Equipment not set",IF($F306="","Responsible not set",IF($K306="","No target date",IF(AND($B306="Equipment",$C306&lt;&gt;"",IFERROR(INDEX(EQP_SYS,MATCH($D306,EQP_NOM,0)),"")&lt;&gt;$C306),"Equipment not in that system",IF(AND($U306=1,$M306=""),"Approved with no approval date",""))))))))))</f>
        <v/>
      </c>
      <c r="Q306" s="21" t="n"/>
      <c r="R306" s="23">
        <f>IF(OR($A306="",$B306=""),"",IF($B306="Equipment",IFERROR(INDEX(EQP_START,MATCH($D306,EQP_NOM,0)),""),IF($B306="System",IFERROR(INDEX(SYS_EARLIEST,MATCH($C306,SYS_ID,0)),""),IF($B306="All",CTR_EARLIEST,""))))</f>
        <v/>
      </c>
      <c r="S306" s="23">
        <f>IF(OR($A306="",$E306=""),"",IFERROR(IF(INDEX(TYP_ANCHOR,MATCH($A306,TYP_TYPE,0))="Commissioning Start",IF($R306="","",$R306-INDEX(TYP_LEAD,MATCH($A306,TYP_TYPE,0))),IF(INDEX(MS_PLAN,MATCH(INDEX(TYP_ANCHOR,MATCH($A306,TYP_TYPE,0)),MS_NOM,0))="","",INDEX(MS_PLAN,MATCH(INDEX(TYP_ANCHOR,MATCH($A306,TYP_TYPE,0)),MS_NOM,0))-INDEX(TYP_LEAD,MATCH($A306,TYP_TYPE,0)))),""))</f>
        <v/>
      </c>
      <c r="T306" s="26">
        <f>IF(OR($A306="",$E306=""),0,IF($V306=1,0,1))</f>
        <v/>
      </c>
      <c r="U306" s="26">
        <f>IF($T306=0,0,IF($M306&lt;&gt;"",1,IF(IFERROR(INDEX(WF_CLASS,MATCH($H306,WF_CODE,0)),"")="Done",1,0)))</f>
        <v/>
      </c>
      <c r="V306" s="26">
        <f>IF(OR($A306="",$E306=""),0,IF(IFERROR(INDEX(WF_CLASS,MATCH($H306,WF_CODE,0)),"")="Inactive",1,0))</f>
        <v/>
      </c>
      <c r="W306" s="24">
        <f>IF($A306="","",IFERROR(INDEX(TYP_PHASE,MATCH($A306,TYP_TYPE,0)),"-"))</f>
        <v/>
      </c>
      <c r="X306" s="24">
        <f>IF(AND($T306=1,$U306=0,N($N306)&gt;0),$N306+ROW()/1000000,"")</f>
        <v/>
      </c>
      <c r="Y306" s="24">
        <f>IF(AND($T306=1,$U306=0,OR($I306&lt;&gt;"",N($N306)&gt;0)),N($N306)+ROW()/1000000,"")</f>
        <v/>
      </c>
      <c r="Z306" s="24">
        <f>IF(AND($T306=1,$U306=0,$I306="",N($N306)&lt;=0,-N($N306)&lt;=HORIZON),N($N306)+ROW()/1000000,"")</f>
        <v/>
      </c>
    </row>
    <row r="307">
      <c r="A307" s="21" t="n"/>
      <c r="B307" s="21" t="n"/>
      <c r="C307" s="21" t="n"/>
      <c r="D307" s="21" t="n"/>
      <c r="E307" s="21" t="n"/>
      <c r="F307" s="21" t="n"/>
      <c r="G307" s="21" t="n"/>
      <c r="H307" s="21" t="n"/>
      <c r="I307" s="22" t="n"/>
      <c r="J307" s="22" t="n"/>
      <c r="K307" s="23">
        <f>IF($A307="","",IF($J307&lt;&gt;"",$J307,$S307))</f>
        <v/>
      </c>
      <c r="L307" s="24">
        <f>IF(OR($A307="",$E307=""),"",IF($J307&lt;&gt;"","Manual",IF($S307="","-","Auto")))</f>
        <v/>
      </c>
      <c r="M307" s="22" t="n"/>
      <c r="N307" s="25">
        <f>IF($T307=0,"",IF($U307=1,IF($M307="","",$M307-$K307),IF($K307="","",TODAY()-$K307)))</f>
        <v/>
      </c>
      <c r="O307" s="24">
        <f>IF(OR($A307="",$E307=""),"",IF($V307=1,S_INACT,IF(ISNA(MATCH($A307,TYP_TYPE,0)),S_TYPEKO,IF($U307=1,S_DONE,IF(AND($K307="",$R307=""),S_NOSCOPE,IF($K307="",S_NOTARGET,IF($N307&gt;0,S_LATE,IF($I307&lt;&gt;"",S_WIP,IF(-$N307&lt;=FEN_DOC,S_RISK,IF(-$N307&lt;=HORIZON,S_COMING,S_NOTYET))))))))))</f>
        <v/>
      </c>
      <c r="P307" s="24">
        <f>IF(OR($A307="",$E307=""),"",IF($V307=1,"",IF(ISNA(MATCH($A307,TYP_TYPE,0)),"Type not in the library",IF($B307="","Scope not set",IF(AND($B307="System",$C307=""),"System not set",IF(AND($B307="Equipment",$D307=""),"Equipment not set",IF($F307="","Responsible not set",IF($K307="","No target date",IF(AND($B307="Equipment",$C307&lt;&gt;"",IFERROR(INDEX(EQP_SYS,MATCH($D307,EQP_NOM,0)),"")&lt;&gt;$C307),"Equipment not in that system",IF(AND($U307=1,$M307=""),"Approved with no approval date",""))))))))))</f>
        <v/>
      </c>
      <c r="Q307" s="21" t="n"/>
      <c r="R307" s="23">
        <f>IF(OR($A307="",$B307=""),"",IF($B307="Equipment",IFERROR(INDEX(EQP_START,MATCH($D307,EQP_NOM,0)),""),IF($B307="System",IFERROR(INDEX(SYS_EARLIEST,MATCH($C307,SYS_ID,0)),""),IF($B307="All",CTR_EARLIEST,""))))</f>
        <v/>
      </c>
      <c r="S307" s="23">
        <f>IF(OR($A307="",$E307=""),"",IFERROR(IF(INDEX(TYP_ANCHOR,MATCH($A307,TYP_TYPE,0))="Commissioning Start",IF($R307="","",$R307-INDEX(TYP_LEAD,MATCH($A307,TYP_TYPE,0))),IF(INDEX(MS_PLAN,MATCH(INDEX(TYP_ANCHOR,MATCH($A307,TYP_TYPE,0)),MS_NOM,0))="","",INDEX(MS_PLAN,MATCH(INDEX(TYP_ANCHOR,MATCH($A307,TYP_TYPE,0)),MS_NOM,0))-INDEX(TYP_LEAD,MATCH($A307,TYP_TYPE,0)))),""))</f>
        <v/>
      </c>
      <c r="T307" s="26">
        <f>IF(OR($A307="",$E307=""),0,IF($V307=1,0,1))</f>
        <v/>
      </c>
      <c r="U307" s="26">
        <f>IF($T307=0,0,IF($M307&lt;&gt;"",1,IF(IFERROR(INDEX(WF_CLASS,MATCH($H307,WF_CODE,0)),"")="Done",1,0)))</f>
        <v/>
      </c>
      <c r="V307" s="26">
        <f>IF(OR($A307="",$E307=""),0,IF(IFERROR(INDEX(WF_CLASS,MATCH($H307,WF_CODE,0)),"")="Inactive",1,0))</f>
        <v/>
      </c>
      <c r="W307" s="24">
        <f>IF($A307="","",IFERROR(INDEX(TYP_PHASE,MATCH($A307,TYP_TYPE,0)),"-"))</f>
        <v/>
      </c>
      <c r="X307" s="24">
        <f>IF(AND($T307=1,$U307=0,N($N307)&gt;0),$N307+ROW()/1000000,"")</f>
        <v/>
      </c>
      <c r="Y307" s="24">
        <f>IF(AND($T307=1,$U307=0,OR($I307&lt;&gt;"",N($N307)&gt;0)),N($N307)+ROW()/1000000,"")</f>
        <v/>
      </c>
      <c r="Z307" s="24">
        <f>IF(AND($T307=1,$U307=0,$I307="",N($N307)&lt;=0,-N($N307)&lt;=HORIZON),N($N307)+ROW()/1000000,"")</f>
        <v/>
      </c>
    </row>
    <row r="308">
      <c r="A308" s="21" t="n"/>
      <c r="B308" s="21" t="n"/>
      <c r="C308" s="21" t="n"/>
      <c r="D308" s="21" t="n"/>
      <c r="E308" s="21" t="n"/>
      <c r="F308" s="21" t="n"/>
      <c r="G308" s="21" t="n"/>
      <c r="H308" s="21" t="n"/>
      <c r="I308" s="22" t="n"/>
      <c r="J308" s="22" t="n"/>
      <c r="K308" s="23">
        <f>IF($A308="","",IF($J308&lt;&gt;"",$J308,$S308))</f>
        <v/>
      </c>
      <c r="L308" s="24">
        <f>IF(OR($A308="",$E308=""),"",IF($J308&lt;&gt;"","Manual",IF($S308="","-","Auto")))</f>
        <v/>
      </c>
      <c r="M308" s="22" t="n"/>
      <c r="N308" s="25">
        <f>IF($T308=0,"",IF($U308=1,IF($M308="","",$M308-$K308),IF($K308="","",TODAY()-$K308)))</f>
        <v/>
      </c>
      <c r="O308" s="24">
        <f>IF(OR($A308="",$E308=""),"",IF($V308=1,S_INACT,IF(ISNA(MATCH($A308,TYP_TYPE,0)),S_TYPEKO,IF($U308=1,S_DONE,IF(AND($K308="",$R308=""),S_NOSCOPE,IF($K308="",S_NOTARGET,IF($N308&gt;0,S_LATE,IF($I308&lt;&gt;"",S_WIP,IF(-$N308&lt;=FEN_DOC,S_RISK,IF(-$N308&lt;=HORIZON,S_COMING,S_NOTYET))))))))))</f>
        <v/>
      </c>
      <c r="P308" s="24">
        <f>IF(OR($A308="",$E308=""),"",IF($V308=1,"",IF(ISNA(MATCH($A308,TYP_TYPE,0)),"Type not in the library",IF($B308="","Scope not set",IF(AND($B308="System",$C308=""),"System not set",IF(AND($B308="Equipment",$D308=""),"Equipment not set",IF($F308="","Responsible not set",IF($K308="","No target date",IF(AND($B308="Equipment",$C308&lt;&gt;"",IFERROR(INDEX(EQP_SYS,MATCH($D308,EQP_NOM,0)),"")&lt;&gt;$C308),"Equipment not in that system",IF(AND($U308=1,$M308=""),"Approved with no approval date",""))))))))))</f>
        <v/>
      </c>
      <c r="Q308" s="21" t="n"/>
      <c r="R308" s="23">
        <f>IF(OR($A308="",$B308=""),"",IF($B308="Equipment",IFERROR(INDEX(EQP_START,MATCH($D308,EQP_NOM,0)),""),IF($B308="System",IFERROR(INDEX(SYS_EARLIEST,MATCH($C308,SYS_ID,0)),""),IF($B308="All",CTR_EARLIEST,""))))</f>
        <v/>
      </c>
      <c r="S308" s="23">
        <f>IF(OR($A308="",$E308=""),"",IFERROR(IF(INDEX(TYP_ANCHOR,MATCH($A308,TYP_TYPE,0))="Commissioning Start",IF($R308="","",$R308-INDEX(TYP_LEAD,MATCH($A308,TYP_TYPE,0))),IF(INDEX(MS_PLAN,MATCH(INDEX(TYP_ANCHOR,MATCH($A308,TYP_TYPE,0)),MS_NOM,0))="","",INDEX(MS_PLAN,MATCH(INDEX(TYP_ANCHOR,MATCH($A308,TYP_TYPE,0)),MS_NOM,0))-INDEX(TYP_LEAD,MATCH($A308,TYP_TYPE,0)))),""))</f>
        <v/>
      </c>
      <c r="T308" s="26">
        <f>IF(OR($A308="",$E308=""),0,IF($V308=1,0,1))</f>
        <v/>
      </c>
      <c r="U308" s="26">
        <f>IF($T308=0,0,IF($M308&lt;&gt;"",1,IF(IFERROR(INDEX(WF_CLASS,MATCH($H308,WF_CODE,0)),"")="Done",1,0)))</f>
        <v/>
      </c>
      <c r="V308" s="26">
        <f>IF(OR($A308="",$E308=""),0,IF(IFERROR(INDEX(WF_CLASS,MATCH($H308,WF_CODE,0)),"")="Inactive",1,0))</f>
        <v/>
      </c>
      <c r="W308" s="24">
        <f>IF($A308="","",IFERROR(INDEX(TYP_PHASE,MATCH($A308,TYP_TYPE,0)),"-"))</f>
        <v/>
      </c>
      <c r="X308" s="24">
        <f>IF(AND($T308=1,$U308=0,N($N308)&gt;0),$N308+ROW()/1000000,"")</f>
        <v/>
      </c>
      <c r="Y308" s="24">
        <f>IF(AND($T308=1,$U308=0,OR($I308&lt;&gt;"",N($N308)&gt;0)),N($N308)+ROW()/1000000,"")</f>
        <v/>
      </c>
      <c r="Z308" s="24">
        <f>IF(AND($T308=1,$U308=0,$I308="",N($N308)&lt;=0,-N($N308)&lt;=HORIZON),N($N308)+ROW()/1000000,"")</f>
        <v/>
      </c>
    </row>
    <row r="309">
      <c r="A309" s="21" t="n"/>
      <c r="B309" s="21" t="n"/>
      <c r="C309" s="21" t="n"/>
      <c r="D309" s="21" t="n"/>
      <c r="E309" s="21" t="n"/>
      <c r="F309" s="21" t="n"/>
      <c r="G309" s="21" t="n"/>
      <c r="H309" s="21" t="n"/>
      <c r="I309" s="22" t="n"/>
      <c r="J309" s="22" t="n"/>
      <c r="K309" s="23">
        <f>IF($A309="","",IF($J309&lt;&gt;"",$J309,$S309))</f>
        <v/>
      </c>
      <c r="L309" s="24">
        <f>IF(OR($A309="",$E309=""),"",IF($J309&lt;&gt;"","Manual",IF($S309="","-","Auto")))</f>
        <v/>
      </c>
      <c r="M309" s="22" t="n"/>
      <c r="N309" s="25">
        <f>IF($T309=0,"",IF($U309=1,IF($M309="","",$M309-$K309),IF($K309="","",TODAY()-$K309)))</f>
        <v/>
      </c>
      <c r="O309" s="24">
        <f>IF(OR($A309="",$E309=""),"",IF($V309=1,S_INACT,IF(ISNA(MATCH($A309,TYP_TYPE,0)),S_TYPEKO,IF($U309=1,S_DONE,IF(AND($K309="",$R309=""),S_NOSCOPE,IF($K309="",S_NOTARGET,IF($N309&gt;0,S_LATE,IF($I309&lt;&gt;"",S_WIP,IF(-$N309&lt;=FEN_DOC,S_RISK,IF(-$N309&lt;=HORIZON,S_COMING,S_NOTYET))))))))))</f>
        <v/>
      </c>
      <c r="P309" s="24">
        <f>IF(OR($A309="",$E309=""),"",IF($V309=1,"",IF(ISNA(MATCH($A309,TYP_TYPE,0)),"Type not in the library",IF($B309="","Scope not set",IF(AND($B309="System",$C309=""),"System not set",IF(AND($B309="Equipment",$D309=""),"Equipment not set",IF($F309="","Responsible not set",IF($K309="","No target date",IF(AND($B309="Equipment",$C309&lt;&gt;"",IFERROR(INDEX(EQP_SYS,MATCH($D309,EQP_NOM,0)),"")&lt;&gt;$C309),"Equipment not in that system",IF(AND($U309=1,$M309=""),"Approved with no approval date",""))))))))))</f>
        <v/>
      </c>
      <c r="Q309" s="21" t="n"/>
      <c r="R309" s="23">
        <f>IF(OR($A309="",$B309=""),"",IF($B309="Equipment",IFERROR(INDEX(EQP_START,MATCH($D309,EQP_NOM,0)),""),IF($B309="System",IFERROR(INDEX(SYS_EARLIEST,MATCH($C309,SYS_ID,0)),""),IF($B309="All",CTR_EARLIEST,""))))</f>
        <v/>
      </c>
      <c r="S309" s="23">
        <f>IF(OR($A309="",$E309=""),"",IFERROR(IF(INDEX(TYP_ANCHOR,MATCH($A309,TYP_TYPE,0))="Commissioning Start",IF($R309="","",$R309-INDEX(TYP_LEAD,MATCH($A309,TYP_TYPE,0))),IF(INDEX(MS_PLAN,MATCH(INDEX(TYP_ANCHOR,MATCH($A309,TYP_TYPE,0)),MS_NOM,0))="","",INDEX(MS_PLAN,MATCH(INDEX(TYP_ANCHOR,MATCH($A309,TYP_TYPE,0)),MS_NOM,0))-INDEX(TYP_LEAD,MATCH($A309,TYP_TYPE,0)))),""))</f>
        <v/>
      </c>
      <c r="T309" s="26">
        <f>IF(OR($A309="",$E309=""),0,IF($V309=1,0,1))</f>
        <v/>
      </c>
      <c r="U309" s="26">
        <f>IF($T309=0,0,IF($M309&lt;&gt;"",1,IF(IFERROR(INDEX(WF_CLASS,MATCH($H309,WF_CODE,0)),"")="Done",1,0)))</f>
        <v/>
      </c>
      <c r="V309" s="26">
        <f>IF(OR($A309="",$E309=""),0,IF(IFERROR(INDEX(WF_CLASS,MATCH($H309,WF_CODE,0)),"")="Inactive",1,0))</f>
        <v/>
      </c>
      <c r="W309" s="24">
        <f>IF($A309="","",IFERROR(INDEX(TYP_PHASE,MATCH($A309,TYP_TYPE,0)),"-"))</f>
        <v/>
      </c>
      <c r="X309" s="24">
        <f>IF(AND($T309=1,$U309=0,N($N309)&gt;0),$N309+ROW()/1000000,"")</f>
        <v/>
      </c>
      <c r="Y309" s="24">
        <f>IF(AND($T309=1,$U309=0,OR($I309&lt;&gt;"",N($N309)&gt;0)),N($N309)+ROW()/1000000,"")</f>
        <v/>
      </c>
      <c r="Z309" s="24">
        <f>IF(AND($T309=1,$U309=0,$I309="",N($N309)&lt;=0,-N($N309)&lt;=HORIZON),N($N309)+ROW()/1000000,"")</f>
        <v/>
      </c>
    </row>
    <row r="310">
      <c r="A310" s="21" t="n"/>
      <c r="B310" s="21" t="n"/>
      <c r="C310" s="21" t="n"/>
      <c r="D310" s="21" t="n"/>
      <c r="E310" s="21" t="n"/>
      <c r="F310" s="21" t="n"/>
      <c r="G310" s="21" t="n"/>
      <c r="H310" s="21" t="n"/>
      <c r="I310" s="22" t="n"/>
      <c r="J310" s="22" t="n"/>
      <c r="K310" s="23">
        <f>IF($A310="","",IF($J310&lt;&gt;"",$J310,$S310))</f>
        <v/>
      </c>
      <c r="L310" s="24">
        <f>IF(OR($A310="",$E310=""),"",IF($J310&lt;&gt;"","Manual",IF($S310="","-","Auto")))</f>
        <v/>
      </c>
      <c r="M310" s="22" t="n"/>
      <c r="N310" s="25">
        <f>IF($T310=0,"",IF($U310=1,IF($M310="","",$M310-$K310),IF($K310="","",TODAY()-$K310)))</f>
        <v/>
      </c>
      <c r="O310" s="24">
        <f>IF(OR($A310="",$E310=""),"",IF($V310=1,S_INACT,IF(ISNA(MATCH($A310,TYP_TYPE,0)),S_TYPEKO,IF($U310=1,S_DONE,IF(AND($K310="",$R310=""),S_NOSCOPE,IF($K310="",S_NOTARGET,IF($N310&gt;0,S_LATE,IF($I310&lt;&gt;"",S_WIP,IF(-$N310&lt;=FEN_DOC,S_RISK,IF(-$N310&lt;=HORIZON,S_COMING,S_NOTYET))))))))))</f>
        <v/>
      </c>
      <c r="P310" s="24">
        <f>IF(OR($A310="",$E310=""),"",IF($V310=1,"",IF(ISNA(MATCH($A310,TYP_TYPE,0)),"Type not in the library",IF($B310="","Scope not set",IF(AND($B310="System",$C310=""),"System not set",IF(AND($B310="Equipment",$D310=""),"Equipment not set",IF($F310="","Responsible not set",IF($K310="","No target date",IF(AND($B310="Equipment",$C310&lt;&gt;"",IFERROR(INDEX(EQP_SYS,MATCH($D310,EQP_NOM,0)),"")&lt;&gt;$C310),"Equipment not in that system",IF(AND($U310=1,$M310=""),"Approved with no approval date",""))))))))))</f>
        <v/>
      </c>
      <c r="Q310" s="21" t="n"/>
      <c r="R310" s="23">
        <f>IF(OR($A310="",$B310=""),"",IF($B310="Equipment",IFERROR(INDEX(EQP_START,MATCH($D310,EQP_NOM,0)),""),IF($B310="System",IFERROR(INDEX(SYS_EARLIEST,MATCH($C310,SYS_ID,0)),""),IF($B310="All",CTR_EARLIEST,""))))</f>
        <v/>
      </c>
      <c r="S310" s="23">
        <f>IF(OR($A310="",$E310=""),"",IFERROR(IF(INDEX(TYP_ANCHOR,MATCH($A310,TYP_TYPE,0))="Commissioning Start",IF($R310="","",$R310-INDEX(TYP_LEAD,MATCH($A310,TYP_TYPE,0))),IF(INDEX(MS_PLAN,MATCH(INDEX(TYP_ANCHOR,MATCH($A310,TYP_TYPE,0)),MS_NOM,0))="","",INDEX(MS_PLAN,MATCH(INDEX(TYP_ANCHOR,MATCH($A310,TYP_TYPE,0)),MS_NOM,0))-INDEX(TYP_LEAD,MATCH($A310,TYP_TYPE,0)))),""))</f>
        <v/>
      </c>
      <c r="T310" s="26">
        <f>IF(OR($A310="",$E310=""),0,IF($V310=1,0,1))</f>
        <v/>
      </c>
      <c r="U310" s="26">
        <f>IF($T310=0,0,IF($M310&lt;&gt;"",1,IF(IFERROR(INDEX(WF_CLASS,MATCH($H310,WF_CODE,0)),"")="Done",1,0)))</f>
        <v/>
      </c>
      <c r="V310" s="26">
        <f>IF(OR($A310="",$E310=""),0,IF(IFERROR(INDEX(WF_CLASS,MATCH($H310,WF_CODE,0)),"")="Inactive",1,0))</f>
        <v/>
      </c>
      <c r="W310" s="24">
        <f>IF($A310="","",IFERROR(INDEX(TYP_PHASE,MATCH($A310,TYP_TYPE,0)),"-"))</f>
        <v/>
      </c>
      <c r="X310" s="24">
        <f>IF(AND($T310=1,$U310=0,N($N310)&gt;0),$N310+ROW()/1000000,"")</f>
        <v/>
      </c>
      <c r="Y310" s="24">
        <f>IF(AND($T310=1,$U310=0,OR($I310&lt;&gt;"",N($N310)&gt;0)),N($N310)+ROW()/1000000,"")</f>
        <v/>
      </c>
      <c r="Z310" s="24">
        <f>IF(AND($T310=1,$U310=0,$I310="",N($N310)&lt;=0,-N($N310)&lt;=HORIZON),N($N310)+ROW()/1000000,"")</f>
        <v/>
      </c>
    </row>
    <row r="311">
      <c r="A311" s="21" t="n"/>
      <c r="B311" s="21" t="n"/>
      <c r="C311" s="21" t="n"/>
      <c r="D311" s="21" t="n"/>
      <c r="E311" s="21" t="n"/>
      <c r="F311" s="21" t="n"/>
      <c r="G311" s="21" t="n"/>
      <c r="H311" s="21" t="n"/>
      <c r="I311" s="22" t="n"/>
      <c r="J311" s="22" t="n"/>
      <c r="K311" s="23">
        <f>IF($A311="","",IF($J311&lt;&gt;"",$J311,$S311))</f>
        <v/>
      </c>
      <c r="L311" s="24">
        <f>IF(OR($A311="",$E311=""),"",IF($J311&lt;&gt;"","Manual",IF($S311="","-","Auto")))</f>
        <v/>
      </c>
      <c r="M311" s="22" t="n"/>
      <c r="N311" s="25">
        <f>IF($T311=0,"",IF($U311=1,IF($M311="","",$M311-$K311),IF($K311="","",TODAY()-$K311)))</f>
        <v/>
      </c>
      <c r="O311" s="24">
        <f>IF(OR($A311="",$E311=""),"",IF($V311=1,S_INACT,IF(ISNA(MATCH($A311,TYP_TYPE,0)),S_TYPEKO,IF($U311=1,S_DONE,IF(AND($K311="",$R311=""),S_NOSCOPE,IF($K311="",S_NOTARGET,IF($N311&gt;0,S_LATE,IF($I311&lt;&gt;"",S_WIP,IF(-$N311&lt;=FEN_DOC,S_RISK,IF(-$N311&lt;=HORIZON,S_COMING,S_NOTYET))))))))))</f>
        <v/>
      </c>
      <c r="P311" s="24">
        <f>IF(OR($A311="",$E311=""),"",IF($V311=1,"",IF(ISNA(MATCH($A311,TYP_TYPE,0)),"Type not in the library",IF($B311="","Scope not set",IF(AND($B311="System",$C311=""),"System not set",IF(AND($B311="Equipment",$D311=""),"Equipment not set",IF($F311="","Responsible not set",IF($K311="","No target date",IF(AND($B311="Equipment",$C311&lt;&gt;"",IFERROR(INDEX(EQP_SYS,MATCH($D311,EQP_NOM,0)),"")&lt;&gt;$C311),"Equipment not in that system",IF(AND($U311=1,$M311=""),"Approved with no approval date",""))))))))))</f>
        <v/>
      </c>
      <c r="Q311" s="21" t="n"/>
      <c r="R311" s="23">
        <f>IF(OR($A311="",$B311=""),"",IF($B311="Equipment",IFERROR(INDEX(EQP_START,MATCH($D311,EQP_NOM,0)),""),IF($B311="System",IFERROR(INDEX(SYS_EARLIEST,MATCH($C311,SYS_ID,0)),""),IF($B311="All",CTR_EARLIEST,""))))</f>
        <v/>
      </c>
      <c r="S311" s="23">
        <f>IF(OR($A311="",$E311=""),"",IFERROR(IF(INDEX(TYP_ANCHOR,MATCH($A311,TYP_TYPE,0))="Commissioning Start",IF($R311="","",$R311-INDEX(TYP_LEAD,MATCH($A311,TYP_TYPE,0))),IF(INDEX(MS_PLAN,MATCH(INDEX(TYP_ANCHOR,MATCH($A311,TYP_TYPE,0)),MS_NOM,0))="","",INDEX(MS_PLAN,MATCH(INDEX(TYP_ANCHOR,MATCH($A311,TYP_TYPE,0)),MS_NOM,0))-INDEX(TYP_LEAD,MATCH($A311,TYP_TYPE,0)))),""))</f>
        <v/>
      </c>
      <c r="T311" s="26">
        <f>IF(OR($A311="",$E311=""),0,IF($V311=1,0,1))</f>
        <v/>
      </c>
      <c r="U311" s="26">
        <f>IF($T311=0,0,IF($M311&lt;&gt;"",1,IF(IFERROR(INDEX(WF_CLASS,MATCH($H311,WF_CODE,0)),"")="Done",1,0)))</f>
        <v/>
      </c>
      <c r="V311" s="26">
        <f>IF(OR($A311="",$E311=""),0,IF(IFERROR(INDEX(WF_CLASS,MATCH($H311,WF_CODE,0)),"")="Inactive",1,0))</f>
        <v/>
      </c>
      <c r="W311" s="24">
        <f>IF($A311="","",IFERROR(INDEX(TYP_PHASE,MATCH($A311,TYP_TYPE,0)),"-"))</f>
        <v/>
      </c>
      <c r="X311" s="24">
        <f>IF(AND($T311=1,$U311=0,N($N311)&gt;0),$N311+ROW()/1000000,"")</f>
        <v/>
      </c>
      <c r="Y311" s="24">
        <f>IF(AND($T311=1,$U311=0,OR($I311&lt;&gt;"",N($N311)&gt;0)),N($N311)+ROW()/1000000,"")</f>
        <v/>
      </c>
      <c r="Z311" s="24">
        <f>IF(AND($T311=1,$U311=0,$I311="",N($N311)&lt;=0,-N($N311)&lt;=HORIZON),N($N311)+ROW()/1000000,"")</f>
        <v/>
      </c>
    </row>
    <row r="312">
      <c r="A312" s="21" t="n"/>
      <c r="B312" s="21" t="n"/>
      <c r="C312" s="21" t="n"/>
      <c r="D312" s="21" t="n"/>
      <c r="E312" s="21" t="n"/>
      <c r="F312" s="21" t="n"/>
      <c r="G312" s="21" t="n"/>
      <c r="H312" s="21" t="n"/>
      <c r="I312" s="22" t="n"/>
      <c r="J312" s="22" t="n"/>
      <c r="K312" s="23">
        <f>IF($A312="","",IF($J312&lt;&gt;"",$J312,$S312))</f>
        <v/>
      </c>
      <c r="L312" s="24">
        <f>IF(OR($A312="",$E312=""),"",IF($J312&lt;&gt;"","Manual",IF($S312="","-","Auto")))</f>
        <v/>
      </c>
      <c r="M312" s="22" t="n"/>
      <c r="N312" s="25">
        <f>IF($T312=0,"",IF($U312=1,IF($M312="","",$M312-$K312),IF($K312="","",TODAY()-$K312)))</f>
        <v/>
      </c>
      <c r="O312" s="24">
        <f>IF(OR($A312="",$E312=""),"",IF($V312=1,S_INACT,IF(ISNA(MATCH($A312,TYP_TYPE,0)),S_TYPEKO,IF($U312=1,S_DONE,IF(AND($K312="",$R312=""),S_NOSCOPE,IF($K312="",S_NOTARGET,IF($N312&gt;0,S_LATE,IF($I312&lt;&gt;"",S_WIP,IF(-$N312&lt;=FEN_DOC,S_RISK,IF(-$N312&lt;=HORIZON,S_COMING,S_NOTYET))))))))))</f>
        <v/>
      </c>
      <c r="P312" s="24">
        <f>IF(OR($A312="",$E312=""),"",IF($V312=1,"",IF(ISNA(MATCH($A312,TYP_TYPE,0)),"Type not in the library",IF($B312="","Scope not set",IF(AND($B312="System",$C312=""),"System not set",IF(AND($B312="Equipment",$D312=""),"Equipment not set",IF($F312="","Responsible not set",IF($K312="","No target date",IF(AND($B312="Equipment",$C312&lt;&gt;"",IFERROR(INDEX(EQP_SYS,MATCH($D312,EQP_NOM,0)),"")&lt;&gt;$C312),"Equipment not in that system",IF(AND($U312=1,$M312=""),"Approved with no approval date",""))))))))))</f>
        <v/>
      </c>
      <c r="Q312" s="21" t="n"/>
      <c r="R312" s="23">
        <f>IF(OR($A312="",$B312=""),"",IF($B312="Equipment",IFERROR(INDEX(EQP_START,MATCH($D312,EQP_NOM,0)),""),IF($B312="System",IFERROR(INDEX(SYS_EARLIEST,MATCH($C312,SYS_ID,0)),""),IF($B312="All",CTR_EARLIEST,""))))</f>
        <v/>
      </c>
      <c r="S312" s="23">
        <f>IF(OR($A312="",$E312=""),"",IFERROR(IF(INDEX(TYP_ANCHOR,MATCH($A312,TYP_TYPE,0))="Commissioning Start",IF($R312="","",$R312-INDEX(TYP_LEAD,MATCH($A312,TYP_TYPE,0))),IF(INDEX(MS_PLAN,MATCH(INDEX(TYP_ANCHOR,MATCH($A312,TYP_TYPE,0)),MS_NOM,0))="","",INDEX(MS_PLAN,MATCH(INDEX(TYP_ANCHOR,MATCH($A312,TYP_TYPE,0)),MS_NOM,0))-INDEX(TYP_LEAD,MATCH($A312,TYP_TYPE,0)))),""))</f>
        <v/>
      </c>
      <c r="T312" s="26">
        <f>IF(OR($A312="",$E312=""),0,IF($V312=1,0,1))</f>
        <v/>
      </c>
      <c r="U312" s="26">
        <f>IF($T312=0,0,IF($M312&lt;&gt;"",1,IF(IFERROR(INDEX(WF_CLASS,MATCH($H312,WF_CODE,0)),"")="Done",1,0)))</f>
        <v/>
      </c>
      <c r="V312" s="26">
        <f>IF(OR($A312="",$E312=""),0,IF(IFERROR(INDEX(WF_CLASS,MATCH($H312,WF_CODE,0)),"")="Inactive",1,0))</f>
        <v/>
      </c>
      <c r="W312" s="24">
        <f>IF($A312="","",IFERROR(INDEX(TYP_PHASE,MATCH($A312,TYP_TYPE,0)),"-"))</f>
        <v/>
      </c>
      <c r="X312" s="24">
        <f>IF(AND($T312=1,$U312=0,N($N312)&gt;0),$N312+ROW()/1000000,"")</f>
        <v/>
      </c>
      <c r="Y312" s="24">
        <f>IF(AND($T312=1,$U312=0,OR($I312&lt;&gt;"",N($N312)&gt;0)),N($N312)+ROW()/1000000,"")</f>
        <v/>
      </c>
      <c r="Z312" s="24">
        <f>IF(AND($T312=1,$U312=0,$I312="",N($N312)&lt;=0,-N($N312)&lt;=HORIZON),N($N312)+ROW()/1000000,"")</f>
        <v/>
      </c>
    </row>
    <row r="313">
      <c r="A313" s="21" t="n"/>
      <c r="B313" s="21" t="n"/>
      <c r="C313" s="21" t="n"/>
      <c r="D313" s="21" t="n"/>
      <c r="E313" s="21" t="n"/>
      <c r="F313" s="21" t="n"/>
      <c r="G313" s="21" t="n"/>
      <c r="H313" s="21" t="n"/>
      <c r="I313" s="22" t="n"/>
      <c r="J313" s="22" t="n"/>
      <c r="K313" s="23">
        <f>IF($A313="","",IF($J313&lt;&gt;"",$J313,$S313))</f>
        <v/>
      </c>
      <c r="L313" s="24">
        <f>IF(OR($A313="",$E313=""),"",IF($J313&lt;&gt;"","Manual",IF($S313="","-","Auto")))</f>
        <v/>
      </c>
      <c r="M313" s="22" t="n"/>
      <c r="N313" s="25">
        <f>IF($T313=0,"",IF($U313=1,IF($M313="","",$M313-$K313),IF($K313="","",TODAY()-$K313)))</f>
        <v/>
      </c>
      <c r="O313" s="24">
        <f>IF(OR($A313="",$E313=""),"",IF($V313=1,S_INACT,IF(ISNA(MATCH($A313,TYP_TYPE,0)),S_TYPEKO,IF($U313=1,S_DONE,IF(AND($K313="",$R313=""),S_NOSCOPE,IF($K313="",S_NOTARGET,IF($N313&gt;0,S_LATE,IF($I313&lt;&gt;"",S_WIP,IF(-$N313&lt;=FEN_DOC,S_RISK,IF(-$N313&lt;=HORIZON,S_COMING,S_NOTYET))))))))))</f>
        <v/>
      </c>
      <c r="P313" s="24">
        <f>IF(OR($A313="",$E313=""),"",IF($V313=1,"",IF(ISNA(MATCH($A313,TYP_TYPE,0)),"Type not in the library",IF($B313="","Scope not set",IF(AND($B313="System",$C313=""),"System not set",IF(AND($B313="Equipment",$D313=""),"Equipment not set",IF($F313="","Responsible not set",IF($K313="","No target date",IF(AND($B313="Equipment",$C313&lt;&gt;"",IFERROR(INDEX(EQP_SYS,MATCH($D313,EQP_NOM,0)),"")&lt;&gt;$C313),"Equipment not in that system",IF(AND($U313=1,$M313=""),"Approved with no approval date",""))))))))))</f>
        <v/>
      </c>
      <c r="Q313" s="21" t="n"/>
      <c r="R313" s="23">
        <f>IF(OR($A313="",$B313=""),"",IF($B313="Equipment",IFERROR(INDEX(EQP_START,MATCH($D313,EQP_NOM,0)),""),IF($B313="System",IFERROR(INDEX(SYS_EARLIEST,MATCH($C313,SYS_ID,0)),""),IF($B313="All",CTR_EARLIEST,""))))</f>
        <v/>
      </c>
      <c r="S313" s="23">
        <f>IF(OR($A313="",$E313=""),"",IFERROR(IF(INDEX(TYP_ANCHOR,MATCH($A313,TYP_TYPE,0))="Commissioning Start",IF($R313="","",$R313-INDEX(TYP_LEAD,MATCH($A313,TYP_TYPE,0))),IF(INDEX(MS_PLAN,MATCH(INDEX(TYP_ANCHOR,MATCH($A313,TYP_TYPE,0)),MS_NOM,0))="","",INDEX(MS_PLAN,MATCH(INDEX(TYP_ANCHOR,MATCH($A313,TYP_TYPE,0)),MS_NOM,0))-INDEX(TYP_LEAD,MATCH($A313,TYP_TYPE,0)))),""))</f>
        <v/>
      </c>
      <c r="T313" s="26">
        <f>IF(OR($A313="",$E313=""),0,IF($V313=1,0,1))</f>
        <v/>
      </c>
      <c r="U313" s="26">
        <f>IF($T313=0,0,IF($M313&lt;&gt;"",1,IF(IFERROR(INDEX(WF_CLASS,MATCH($H313,WF_CODE,0)),"")="Done",1,0)))</f>
        <v/>
      </c>
      <c r="V313" s="26">
        <f>IF(OR($A313="",$E313=""),0,IF(IFERROR(INDEX(WF_CLASS,MATCH($H313,WF_CODE,0)),"")="Inactive",1,0))</f>
        <v/>
      </c>
      <c r="W313" s="24">
        <f>IF($A313="","",IFERROR(INDEX(TYP_PHASE,MATCH($A313,TYP_TYPE,0)),"-"))</f>
        <v/>
      </c>
      <c r="X313" s="24">
        <f>IF(AND($T313=1,$U313=0,N($N313)&gt;0),$N313+ROW()/1000000,"")</f>
        <v/>
      </c>
      <c r="Y313" s="24">
        <f>IF(AND($T313=1,$U313=0,OR($I313&lt;&gt;"",N($N313)&gt;0)),N($N313)+ROW()/1000000,"")</f>
        <v/>
      </c>
      <c r="Z313" s="24">
        <f>IF(AND($T313=1,$U313=0,$I313="",N($N313)&lt;=0,-N($N313)&lt;=HORIZON),N($N313)+ROW()/1000000,"")</f>
        <v/>
      </c>
    </row>
    <row r="314">
      <c r="A314" s="21" t="n"/>
      <c r="B314" s="21" t="n"/>
      <c r="C314" s="21" t="n"/>
      <c r="D314" s="21" t="n"/>
      <c r="E314" s="21" t="n"/>
      <c r="F314" s="21" t="n"/>
      <c r="G314" s="21" t="n"/>
      <c r="H314" s="21" t="n"/>
      <c r="I314" s="22" t="n"/>
      <c r="J314" s="22" t="n"/>
      <c r="K314" s="23">
        <f>IF($A314="","",IF($J314&lt;&gt;"",$J314,$S314))</f>
        <v/>
      </c>
      <c r="L314" s="24">
        <f>IF(OR($A314="",$E314=""),"",IF($J314&lt;&gt;"","Manual",IF($S314="","-","Auto")))</f>
        <v/>
      </c>
      <c r="M314" s="22" t="n"/>
      <c r="N314" s="25">
        <f>IF($T314=0,"",IF($U314=1,IF($M314="","",$M314-$K314),IF($K314="","",TODAY()-$K314)))</f>
        <v/>
      </c>
      <c r="O314" s="24">
        <f>IF(OR($A314="",$E314=""),"",IF($V314=1,S_INACT,IF(ISNA(MATCH($A314,TYP_TYPE,0)),S_TYPEKO,IF($U314=1,S_DONE,IF(AND($K314="",$R314=""),S_NOSCOPE,IF($K314="",S_NOTARGET,IF($N314&gt;0,S_LATE,IF($I314&lt;&gt;"",S_WIP,IF(-$N314&lt;=FEN_DOC,S_RISK,IF(-$N314&lt;=HORIZON,S_COMING,S_NOTYET))))))))))</f>
        <v/>
      </c>
      <c r="P314" s="24">
        <f>IF(OR($A314="",$E314=""),"",IF($V314=1,"",IF(ISNA(MATCH($A314,TYP_TYPE,0)),"Type not in the library",IF($B314="","Scope not set",IF(AND($B314="System",$C314=""),"System not set",IF(AND($B314="Equipment",$D314=""),"Equipment not set",IF($F314="","Responsible not set",IF($K314="","No target date",IF(AND($B314="Equipment",$C314&lt;&gt;"",IFERROR(INDEX(EQP_SYS,MATCH($D314,EQP_NOM,0)),"")&lt;&gt;$C314),"Equipment not in that system",IF(AND($U314=1,$M314=""),"Approved with no approval date",""))))))))))</f>
        <v/>
      </c>
      <c r="Q314" s="21" t="n"/>
      <c r="R314" s="23">
        <f>IF(OR($A314="",$B314=""),"",IF($B314="Equipment",IFERROR(INDEX(EQP_START,MATCH($D314,EQP_NOM,0)),""),IF($B314="System",IFERROR(INDEX(SYS_EARLIEST,MATCH($C314,SYS_ID,0)),""),IF($B314="All",CTR_EARLIEST,""))))</f>
        <v/>
      </c>
      <c r="S314" s="23">
        <f>IF(OR($A314="",$E314=""),"",IFERROR(IF(INDEX(TYP_ANCHOR,MATCH($A314,TYP_TYPE,0))="Commissioning Start",IF($R314="","",$R314-INDEX(TYP_LEAD,MATCH($A314,TYP_TYPE,0))),IF(INDEX(MS_PLAN,MATCH(INDEX(TYP_ANCHOR,MATCH($A314,TYP_TYPE,0)),MS_NOM,0))="","",INDEX(MS_PLAN,MATCH(INDEX(TYP_ANCHOR,MATCH($A314,TYP_TYPE,0)),MS_NOM,0))-INDEX(TYP_LEAD,MATCH($A314,TYP_TYPE,0)))),""))</f>
        <v/>
      </c>
      <c r="T314" s="26">
        <f>IF(OR($A314="",$E314=""),0,IF($V314=1,0,1))</f>
        <v/>
      </c>
      <c r="U314" s="26">
        <f>IF($T314=0,0,IF($M314&lt;&gt;"",1,IF(IFERROR(INDEX(WF_CLASS,MATCH($H314,WF_CODE,0)),"")="Done",1,0)))</f>
        <v/>
      </c>
      <c r="V314" s="26">
        <f>IF(OR($A314="",$E314=""),0,IF(IFERROR(INDEX(WF_CLASS,MATCH($H314,WF_CODE,0)),"")="Inactive",1,0))</f>
        <v/>
      </c>
      <c r="W314" s="24">
        <f>IF($A314="","",IFERROR(INDEX(TYP_PHASE,MATCH($A314,TYP_TYPE,0)),"-"))</f>
        <v/>
      </c>
      <c r="X314" s="24">
        <f>IF(AND($T314=1,$U314=0,N($N314)&gt;0),$N314+ROW()/1000000,"")</f>
        <v/>
      </c>
      <c r="Y314" s="24">
        <f>IF(AND($T314=1,$U314=0,OR($I314&lt;&gt;"",N($N314)&gt;0)),N($N314)+ROW()/1000000,"")</f>
        <v/>
      </c>
      <c r="Z314" s="24">
        <f>IF(AND($T314=1,$U314=0,$I314="",N($N314)&lt;=0,-N($N314)&lt;=HORIZON),N($N314)+ROW()/1000000,"")</f>
        <v/>
      </c>
    </row>
    <row r="315">
      <c r="A315" s="21" t="n"/>
      <c r="B315" s="21" t="n"/>
      <c r="C315" s="21" t="n"/>
      <c r="D315" s="21" t="n"/>
      <c r="E315" s="21" t="n"/>
      <c r="F315" s="21" t="n"/>
      <c r="G315" s="21" t="n"/>
      <c r="H315" s="21" t="n"/>
      <c r="I315" s="22" t="n"/>
      <c r="J315" s="22" t="n"/>
      <c r="K315" s="23">
        <f>IF($A315="","",IF($J315&lt;&gt;"",$J315,$S315))</f>
        <v/>
      </c>
      <c r="L315" s="24">
        <f>IF(OR($A315="",$E315=""),"",IF($J315&lt;&gt;"","Manual",IF($S315="","-","Auto")))</f>
        <v/>
      </c>
      <c r="M315" s="22" t="n"/>
      <c r="N315" s="25">
        <f>IF($T315=0,"",IF($U315=1,IF($M315="","",$M315-$K315),IF($K315="","",TODAY()-$K315)))</f>
        <v/>
      </c>
      <c r="O315" s="24">
        <f>IF(OR($A315="",$E315=""),"",IF($V315=1,S_INACT,IF(ISNA(MATCH($A315,TYP_TYPE,0)),S_TYPEKO,IF($U315=1,S_DONE,IF(AND($K315="",$R315=""),S_NOSCOPE,IF($K315="",S_NOTARGET,IF($N315&gt;0,S_LATE,IF($I315&lt;&gt;"",S_WIP,IF(-$N315&lt;=FEN_DOC,S_RISK,IF(-$N315&lt;=HORIZON,S_COMING,S_NOTYET))))))))))</f>
        <v/>
      </c>
      <c r="P315" s="24">
        <f>IF(OR($A315="",$E315=""),"",IF($V315=1,"",IF(ISNA(MATCH($A315,TYP_TYPE,0)),"Type not in the library",IF($B315="","Scope not set",IF(AND($B315="System",$C315=""),"System not set",IF(AND($B315="Equipment",$D315=""),"Equipment not set",IF($F315="","Responsible not set",IF($K315="","No target date",IF(AND($B315="Equipment",$C315&lt;&gt;"",IFERROR(INDEX(EQP_SYS,MATCH($D315,EQP_NOM,0)),"")&lt;&gt;$C315),"Equipment not in that system",IF(AND($U315=1,$M315=""),"Approved with no approval date",""))))))))))</f>
        <v/>
      </c>
      <c r="Q315" s="21" t="n"/>
      <c r="R315" s="23">
        <f>IF(OR($A315="",$B315=""),"",IF($B315="Equipment",IFERROR(INDEX(EQP_START,MATCH($D315,EQP_NOM,0)),""),IF($B315="System",IFERROR(INDEX(SYS_EARLIEST,MATCH($C315,SYS_ID,0)),""),IF($B315="All",CTR_EARLIEST,""))))</f>
        <v/>
      </c>
      <c r="S315" s="23">
        <f>IF(OR($A315="",$E315=""),"",IFERROR(IF(INDEX(TYP_ANCHOR,MATCH($A315,TYP_TYPE,0))="Commissioning Start",IF($R315="","",$R315-INDEX(TYP_LEAD,MATCH($A315,TYP_TYPE,0))),IF(INDEX(MS_PLAN,MATCH(INDEX(TYP_ANCHOR,MATCH($A315,TYP_TYPE,0)),MS_NOM,0))="","",INDEX(MS_PLAN,MATCH(INDEX(TYP_ANCHOR,MATCH($A315,TYP_TYPE,0)),MS_NOM,0))-INDEX(TYP_LEAD,MATCH($A315,TYP_TYPE,0)))),""))</f>
        <v/>
      </c>
      <c r="T315" s="26">
        <f>IF(OR($A315="",$E315=""),0,IF($V315=1,0,1))</f>
        <v/>
      </c>
      <c r="U315" s="26">
        <f>IF($T315=0,0,IF($M315&lt;&gt;"",1,IF(IFERROR(INDEX(WF_CLASS,MATCH($H315,WF_CODE,0)),"")="Done",1,0)))</f>
        <v/>
      </c>
      <c r="V315" s="26">
        <f>IF(OR($A315="",$E315=""),0,IF(IFERROR(INDEX(WF_CLASS,MATCH($H315,WF_CODE,0)),"")="Inactive",1,0))</f>
        <v/>
      </c>
      <c r="W315" s="24">
        <f>IF($A315="","",IFERROR(INDEX(TYP_PHASE,MATCH($A315,TYP_TYPE,0)),"-"))</f>
        <v/>
      </c>
      <c r="X315" s="24">
        <f>IF(AND($T315=1,$U315=0,N($N315)&gt;0),$N315+ROW()/1000000,"")</f>
        <v/>
      </c>
      <c r="Y315" s="24">
        <f>IF(AND($T315=1,$U315=0,OR($I315&lt;&gt;"",N($N315)&gt;0)),N($N315)+ROW()/1000000,"")</f>
        <v/>
      </c>
      <c r="Z315" s="24">
        <f>IF(AND($T315=1,$U315=0,$I315="",N($N315)&lt;=0,-N($N315)&lt;=HORIZON),N($N315)+ROW()/1000000,"")</f>
        <v/>
      </c>
    </row>
    <row r="316">
      <c r="A316" s="21" t="n"/>
      <c r="B316" s="21" t="n"/>
      <c r="C316" s="21" t="n"/>
      <c r="D316" s="21" t="n"/>
      <c r="E316" s="21" t="n"/>
      <c r="F316" s="21" t="n"/>
      <c r="G316" s="21" t="n"/>
      <c r="H316" s="21" t="n"/>
      <c r="I316" s="22" t="n"/>
      <c r="J316" s="22" t="n"/>
      <c r="K316" s="23">
        <f>IF($A316="","",IF($J316&lt;&gt;"",$J316,$S316))</f>
        <v/>
      </c>
      <c r="L316" s="24">
        <f>IF(OR($A316="",$E316=""),"",IF($J316&lt;&gt;"","Manual",IF($S316="","-","Auto")))</f>
        <v/>
      </c>
      <c r="M316" s="22" t="n"/>
      <c r="N316" s="25">
        <f>IF($T316=0,"",IF($U316=1,IF($M316="","",$M316-$K316),IF($K316="","",TODAY()-$K316)))</f>
        <v/>
      </c>
      <c r="O316" s="24">
        <f>IF(OR($A316="",$E316=""),"",IF($V316=1,S_INACT,IF(ISNA(MATCH($A316,TYP_TYPE,0)),S_TYPEKO,IF($U316=1,S_DONE,IF(AND($K316="",$R316=""),S_NOSCOPE,IF($K316="",S_NOTARGET,IF($N316&gt;0,S_LATE,IF($I316&lt;&gt;"",S_WIP,IF(-$N316&lt;=FEN_DOC,S_RISK,IF(-$N316&lt;=HORIZON,S_COMING,S_NOTYET))))))))))</f>
        <v/>
      </c>
      <c r="P316" s="24">
        <f>IF(OR($A316="",$E316=""),"",IF($V316=1,"",IF(ISNA(MATCH($A316,TYP_TYPE,0)),"Type not in the library",IF($B316="","Scope not set",IF(AND($B316="System",$C316=""),"System not set",IF(AND($B316="Equipment",$D316=""),"Equipment not set",IF($F316="","Responsible not set",IF($K316="","No target date",IF(AND($B316="Equipment",$C316&lt;&gt;"",IFERROR(INDEX(EQP_SYS,MATCH($D316,EQP_NOM,0)),"")&lt;&gt;$C316),"Equipment not in that system",IF(AND($U316=1,$M316=""),"Approved with no approval date",""))))))))))</f>
        <v/>
      </c>
      <c r="Q316" s="21" t="n"/>
      <c r="R316" s="23">
        <f>IF(OR($A316="",$B316=""),"",IF($B316="Equipment",IFERROR(INDEX(EQP_START,MATCH($D316,EQP_NOM,0)),""),IF($B316="System",IFERROR(INDEX(SYS_EARLIEST,MATCH($C316,SYS_ID,0)),""),IF($B316="All",CTR_EARLIEST,""))))</f>
        <v/>
      </c>
      <c r="S316" s="23">
        <f>IF(OR($A316="",$E316=""),"",IFERROR(IF(INDEX(TYP_ANCHOR,MATCH($A316,TYP_TYPE,0))="Commissioning Start",IF($R316="","",$R316-INDEX(TYP_LEAD,MATCH($A316,TYP_TYPE,0))),IF(INDEX(MS_PLAN,MATCH(INDEX(TYP_ANCHOR,MATCH($A316,TYP_TYPE,0)),MS_NOM,0))="","",INDEX(MS_PLAN,MATCH(INDEX(TYP_ANCHOR,MATCH($A316,TYP_TYPE,0)),MS_NOM,0))-INDEX(TYP_LEAD,MATCH($A316,TYP_TYPE,0)))),""))</f>
        <v/>
      </c>
      <c r="T316" s="26">
        <f>IF(OR($A316="",$E316=""),0,IF($V316=1,0,1))</f>
        <v/>
      </c>
      <c r="U316" s="26">
        <f>IF($T316=0,0,IF($M316&lt;&gt;"",1,IF(IFERROR(INDEX(WF_CLASS,MATCH($H316,WF_CODE,0)),"")="Done",1,0)))</f>
        <v/>
      </c>
      <c r="V316" s="26">
        <f>IF(OR($A316="",$E316=""),0,IF(IFERROR(INDEX(WF_CLASS,MATCH($H316,WF_CODE,0)),"")="Inactive",1,0))</f>
        <v/>
      </c>
      <c r="W316" s="24">
        <f>IF($A316="","",IFERROR(INDEX(TYP_PHASE,MATCH($A316,TYP_TYPE,0)),"-"))</f>
        <v/>
      </c>
      <c r="X316" s="24">
        <f>IF(AND($T316=1,$U316=0,N($N316)&gt;0),$N316+ROW()/1000000,"")</f>
        <v/>
      </c>
      <c r="Y316" s="24">
        <f>IF(AND($T316=1,$U316=0,OR($I316&lt;&gt;"",N($N316)&gt;0)),N($N316)+ROW()/1000000,"")</f>
        <v/>
      </c>
      <c r="Z316" s="24">
        <f>IF(AND($T316=1,$U316=0,$I316="",N($N316)&lt;=0,-N($N316)&lt;=HORIZON),N($N316)+ROW()/1000000,"")</f>
        <v/>
      </c>
    </row>
    <row r="317">
      <c r="A317" s="21" t="n"/>
      <c r="B317" s="21" t="n"/>
      <c r="C317" s="21" t="n"/>
      <c r="D317" s="21" t="n"/>
      <c r="E317" s="21" t="n"/>
      <c r="F317" s="21" t="n"/>
      <c r="G317" s="21" t="n"/>
      <c r="H317" s="21" t="n"/>
      <c r="I317" s="22" t="n"/>
      <c r="J317" s="22" t="n"/>
      <c r="K317" s="23">
        <f>IF($A317="","",IF($J317&lt;&gt;"",$J317,$S317))</f>
        <v/>
      </c>
      <c r="L317" s="24">
        <f>IF(OR($A317="",$E317=""),"",IF($J317&lt;&gt;"","Manual",IF($S317="","-","Auto")))</f>
        <v/>
      </c>
      <c r="M317" s="22" t="n"/>
      <c r="N317" s="25">
        <f>IF($T317=0,"",IF($U317=1,IF($M317="","",$M317-$K317),IF($K317="","",TODAY()-$K317)))</f>
        <v/>
      </c>
      <c r="O317" s="24">
        <f>IF(OR($A317="",$E317=""),"",IF($V317=1,S_INACT,IF(ISNA(MATCH($A317,TYP_TYPE,0)),S_TYPEKO,IF($U317=1,S_DONE,IF(AND($K317="",$R317=""),S_NOSCOPE,IF($K317="",S_NOTARGET,IF($N317&gt;0,S_LATE,IF($I317&lt;&gt;"",S_WIP,IF(-$N317&lt;=FEN_DOC,S_RISK,IF(-$N317&lt;=HORIZON,S_COMING,S_NOTYET))))))))))</f>
        <v/>
      </c>
      <c r="P317" s="24">
        <f>IF(OR($A317="",$E317=""),"",IF($V317=1,"",IF(ISNA(MATCH($A317,TYP_TYPE,0)),"Type not in the library",IF($B317="","Scope not set",IF(AND($B317="System",$C317=""),"System not set",IF(AND($B317="Equipment",$D317=""),"Equipment not set",IF($F317="","Responsible not set",IF($K317="","No target date",IF(AND($B317="Equipment",$C317&lt;&gt;"",IFERROR(INDEX(EQP_SYS,MATCH($D317,EQP_NOM,0)),"")&lt;&gt;$C317),"Equipment not in that system",IF(AND($U317=1,$M317=""),"Approved with no approval date",""))))))))))</f>
        <v/>
      </c>
      <c r="Q317" s="21" t="n"/>
      <c r="R317" s="23">
        <f>IF(OR($A317="",$B317=""),"",IF($B317="Equipment",IFERROR(INDEX(EQP_START,MATCH($D317,EQP_NOM,0)),""),IF($B317="System",IFERROR(INDEX(SYS_EARLIEST,MATCH($C317,SYS_ID,0)),""),IF($B317="All",CTR_EARLIEST,""))))</f>
        <v/>
      </c>
      <c r="S317" s="23">
        <f>IF(OR($A317="",$E317=""),"",IFERROR(IF(INDEX(TYP_ANCHOR,MATCH($A317,TYP_TYPE,0))="Commissioning Start",IF($R317="","",$R317-INDEX(TYP_LEAD,MATCH($A317,TYP_TYPE,0))),IF(INDEX(MS_PLAN,MATCH(INDEX(TYP_ANCHOR,MATCH($A317,TYP_TYPE,0)),MS_NOM,0))="","",INDEX(MS_PLAN,MATCH(INDEX(TYP_ANCHOR,MATCH($A317,TYP_TYPE,0)),MS_NOM,0))-INDEX(TYP_LEAD,MATCH($A317,TYP_TYPE,0)))),""))</f>
        <v/>
      </c>
      <c r="T317" s="26">
        <f>IF(OR($A317="",$E317=""),0,IF($V317=1,0,1))</f>
        <v/>
      </c>
      <c r="U317" s="26">
        <f>IF($T317=0,0,IF($M317&lt;&gt;"",1,IF(IFERROR(INDEX(WF_CLASS,MATCH($H317,WF_CODE,0)),"")="Done",1,0)))</f>
        <v/>
      </c>
      <c r="V317" s="26">
        <f>IF(OR($A317="",$E317=""),0,IF(IFERROR(INDEX(WF_CLASS,MATCH($H317,WF_CODE,0)),"")="Inactive",1,0))</f>
        <v/>
      </c>
      <c r="W317" s="24">
        <f>IF($A317="","",IFERROR(INDEX(TYP_PHASE,MATCH($A317,TYP_TYPE,0)),"-"))</f>
        <v/>
      </c>
      <c r="X317" s="24">
        <f>IF(AND($T317=1,$U317=0,N($N317)&gt;0),$N317+ROW()/1000000,"")</f>
        <v/>
      </c>
      <c r="Y317" s="24">
        <f>IF(AND($T317=1,$U317=0,OR($I317&lt;&gt;"",N($N317)&gt;0)),N($N317)+ROW()/1000000,"")</f>
        <v/>
      </c>
      <c r="Z317" s="24">
        <f>IF(AND($T317=1,$U317=0,$I317="",N($N317)&lt;=0,-N($N317)&lt;=HORIZON),N($N317)+ROW()/1000000,"")</f>
        <v/>
      </c>
    </row>
    <row r="318">
      <c r="A318" s="21" t="n"/>
      <c r="B318" s="21" t="n"/>
      <c r="C318" s="21" t="n"/>
      <c r="D318" s="21" t="n"/>
      <c r="E318" s="21" t="n"/>
      <c r="F318" s="21" t="n"/>
      <c r="G318" s="21" t="n"/>
      <c r="H318" s="21" t="n"/>
      <c r="I318" s="22" t="n"/>
      <c r="J318" s="22" t="n"/>
      <c r="K318" s="23">
        <f>IF($A318="","",IF($J318&lt;&gt;"",$J318,$S318))</f>
        <v/>
      </c>
      <c r="L318" s="24">
        <f>IF(OR($A318="",$E318=""),"",IF($J318&lt;&gt;"","Manual",IF($S318="","-","Auto")))</f>
        <v/>
      </c>
      <c r="M318" s="22" t="n"/>
      <c r="N318" s="25">
        <f>IF($T318=0,"",IF($U318=1,IF($M318="","",$M318-$K318),IF($K318="","",TODAY()-$K318)))</f>
        <v/>
      </c>
      <c r="O318" s="24">
        <f>IF(OR($A318="",$E318=""),"",IF($V318=1,S_INACT,IF(ISNA(MATCH($A318,TYP_TYPE,0)),S_TYPEKO,IF($U318=1,S_DONE,IF(AND($K318="",$R318=""),S_NOSCOPE,IF($K318="",S_NOTARGET,IF($N318&gt;0,S_LATE,IF($I318&lt;&gt;"",S_WIP,IF(-$N318&lt;=FEN_DOC,S_RISK,IF(-$N318&lt;=HORIZON,S_COMING,S_NOTYET))))))))))</f>
        <v/>
      </c>
      <c r="P318" s="24">
        <f>IF(OR($A318="",$E318=""),"",IF($V318=1,"",IF(ISNA(MATCH($A318,TYP_TYPE,0)),"Type not in the library",IF($B318="","Scope not set",IF(AND($B318="System",$C318=""),"System not set",IF(AND($B318="Equipment",$D318=""),"Equipment not set",IF($F318="","Responsible not set",IF($K318="","No target date",IF(AND($B318="Equipment",$C318&lt;&gt;"",IFERROR(INDEX(EQP_SYS,MATCH($D318,EQP_NOM,0)),"")&lt;&gt;$C318),"Equipment not in that system",IF(AND($U318=1,$M318=""),"Approved with no approval date",""))))))))))</f>
        <v/>
      </c>
      <c r="Q318" s="21" t="n"/>
      <c r="R318" s="23">
        <f>IF(OR($A318="",$B318=""),"",IF($B318="Equipment",IFERROR(INDEX(EQP_START,MATCH($D318,EQP_NOM,0)),""),IF($B318="System",IFERROR(INDEX(SYS_EARLIEST,MATCH($C318,SYS_ID,0)),""),IF($B318="All",CTR_EARLIEST,""))))</f>
        <v/>
      </c>
      <c r="S318" s="23">
        <f>IF(OR($A318="",$E318=""),"",IFERROR(IF(INDEX(TYP_ANCHOR,MATCH($A318,TYP_TYPE,0))="Commissioning Start",IF($R318="","",$R318-INDEX(TYP_LEAD,MATCH($A318,TYP_TYPE,0))),IF(INDEX(MS_PLAN,MATCH(INDEX(TYP_ANCHOR,MATCH($A318,TYP_TYPE,0)),MS_NOM,0))="","",INDEX(MS_PLAN,MATCH(INDEX(TYP_ANCHOR,MATCH($A318,TYP_TYPE,0)),MS_NOM,0))-INDEX(TYP_LEAD,MATCH($A318,TYP_TYPE,0)))),""))</f>
        <v/>
      </c>
      <c r="T318" s="26">
        <f>IF(OR($A318="",$E318=""),0,IF($V318=1,0,1))</f>
        <v/>
      </c>
      <c r="U318" s="26">
        <f>IF($T318=0,0,IF($M318&lt;&gt;"",1,IF(IFERROR(INDEX(WF_CLASS,MATCH($H318,WF_CODE,0)),"")="Done",1,0)))</f>
        <v/>
      </c>
      <c r="V318" s="26">
        <f>IF(OR($A318="",$E318=""),0,IF(IFERROR(INDEX(WF_CLASS,MATCH($H318,WF_CODE,0)),"")="Inactive",1,0))</f>
        <v/>
      </c>
      <c r="W318" s="24">
        <f>IF($A318="","",IFERROR(INDEX(TYP_PHASE,MATCH($A318,TYP_TYPE,0)),"-"))</f>
        <v/>
      </c>
      <c r="X318" s="24">
        <f>IF(AND($T318=1,$U318=0,N($N318)&gt;0),$N318+ROW()/1000000,"")</f>
        <v/>
      </c>
      <c r="Y318" s="24">
        <f>IF(AND($T318=1,$U318=0,OR($I318&lt;&gt;"",N($N318)&gt;0)),N($N318)+ROW()/1000000,"")</f>
        <v/>
      </c>
      <c r="Z318" s="24">
        <f>IF(AND($T318=1,$U318=0,$I318="",N($N318)&lt;=0,-N($N318)&lt;=HORIZON),N($N318)+ROW()/1000000,"")</f>
        <v/>
      </c>
    </row>
    <row r="319">
      <c r="A319" s="21" t="n"/>
      <c r="B319" s="21" t="n"/>
      <c r="C319" s="21" t="n"/>
      <c r="D319" s="21" t="n"/>
      <c r="E319" s="21" t="n"/>
      <c r="F319" s="21" t="n"/>
      <c r="G319" s="21" t="n"/>
      <c r="H319" s="21" t="n"/>
      <c r="I319" s="22" t="n"/>
      <c r="J319" s="22" t="n"/>
      <c r="K319" s="23">
        <f>IF($A319="","",IF($J319&lt;&gt;"",$J319,$S319))</f>
        <v/>
      </c>
      <c r="L319" s="24">
        <f>IF(OR($A319="",$E319=""),"",IF($J319&lt;&gt;"","Manual",IF($S319="","-","Auto")))</f>
        <v/>
      </c>
      <c r="M319" s="22" t="n"/>
      <c r="N319" s="25">
        <f>IF($T319=0,"",IF($U319=1,IF($M319="","",$M319-$K319),IF($K319="","",TODAY()-$K319)))</f>
        <v/>
      </c>
      <c r="O319" s="24">
        <f>IF(OR($A319="",$E319=""),"",IF($V319=1,S_INACT,IF(ISNA(MATCH($A319,TYP_TYPE,0)),S_TYPEKO,IF($U319=1,S_DONE,IF(AND($K319="",$R319=""),S_NOSCOPE,IF($K319="",S_NOTARGET,IF($N319&gt;0,S_LATE,IF($I319&lt;&gt;"",S_WIP,IF(-$N319&lt;=FEN_DOC,S_RISK,IF(-$N319&lt;=HORIZON,S_COMING,S_NOTYET))))))))))</f>
        <v/>
      </c>
      <c r="P319" s="24">
        <f>IF(OR($A319="",$E319=""),"",IF($V319=1,"",IF(ISNA(MATCH($A319,TYP_TYPE,0)),"Type not in the library",IF($B319="","Scope not set",IF(AND($B319="System",$C319=""),"System not set",IF(AND($B319="Equipment",$D319=""),"Equipment not set",IF($F319="","Responsible not set",IF($K319="","No target date",IF(AND($B319="Equipment",$C319&lt;&gt;"",IFERROR(INDEX(EQP_SYS,MATCH($D319,EQP_NOM,0)),"")&lt;&gt;$C319),"Equipment not in that system",IF(AND($U319=1,$M319=""),"Approved with no approval date",""))))))))))</f>
        <v/>
      </c>
      <c r="Q319" s="21" t="n"/>
      <c r="R319" s="23">
        <f>IF(OR($A319="",$B319=""),"",IF($B319="Equipment",IFERROR(INDEX(EQP_START,MATCH($D319,EQP_NOM,0)),""),IF($B319="System",IFERROR(INDEX(SYS_EARLIEST,MATCH($C319,SYS_ID,0)),""),IF($B319="All",CTR_EARLIEST,""))))</f>
        <v/>
      </c>
      <c r="S319" s="23">
        <f>IF(OR($A319="",$E319=""),"",IFERROR(IF(INDEX(TYP_ANCHOR,MATCH($A319,TYP_TYPE,0))="Commissioning Start",IF($R319="","",$R319-INDEX(TYP_LEAD,MATCH($A319,TYP_TYPE,0))),IF(INDEX(MS_PLAN,MATCH(INDEX(TYP_ANCHOR,MATCH($A319,TYP_TYPE,0)),MS_NOM,0))="","",INDEX(MS_PLAN,MATCH(INDEX(TYP_ANCHOR,MATCH($A319,TYP_TYPE,0)),MS_NOM,0))-INDEX(TYP_LEAD,MATCH($A319,TYP_TYPE,0)))),""))</f>
        <v/>
      </c>
      <c r="T319" s="26">
        <f>IF(OR($A319="",$E319=""),0,IF($V319=1,0,1))</f>
        <v/>
      </c>
      <c r="U319" s="26">
        <f>IF($T319=0,0,IF($M319&lt;&gt;"",1,IF(IFERROR(INDEX(WF_CLASS,MATCH($H319,WF_CODE,0)),"")="Done",1,0)))</f>
        <v/>
      </c>
      <c r="V319" s="26">
        <f>IF(OR($A319="",$E319=""),0,IF(IFERROR(INDEX(WF_CLASS,MATCH($H319,WF_CODE,0)),"")="Inactive",1,0))</f>
        <v/>
      </c>
      <c r="W319" s="24">
        <f>IF($A319="","",IFERROR(INDEX(TYP_PHASE,MATCH($A319,TYP_TYPE,0)),"-"))</f>
        <v/>
      </c>
      <c r="X319" s="24">
        <f>IF(AND($T319=1,$U319=0,N($N319)&gt;0),$N319+ROW()/1000000,"")</f>
        <v/>
      </c>
      <c r="Y319" s="24">
        <f>IF(AND($T319=1,$U319=0,OR($I319&lt;&gt;"",N($N319)&gt;0)),N($N319)+ROW()/1000000,"")</f>
        <v/>
      </c>
      <c r="Z319" s="24">
        <f>IF(AND($T319=1,$U319=0,$I319="",N($N319)&lt;=0,-N($N319)&lt;=HORIZON),N($N319)+ROW()/1000000,"")</f>
        <v/>
      </c>
    </row>
    <row r="320">
      <c r="A320" s="21" t="n"/>
      <c r="B320" s="21" t="n"/>
      <c r="C320" s="21" t="n"/>
      <c r="D320" s="21" t="n"/>
      <c r="E320" s="21" t="n"/>
      <c r="F320" s="21" t="n"/>
      <c r="G320" s="21" t="n"/>
      <c r="H320" s="21" t="n"/>
      <c r="I320" s="22" t="n"/>
      <c r="J320" s="22" t="n"/>
      <c r="K320" s="23">
        <f>IF($A320="","",IF($J320&lt;&gt;"",$J320,$S320))</f>
        <v/>
      </c>
      <c r="L320" s="24">
        <f>IF(OR($A320="",$E320=""),"",IF($J320&lt;&gt;"","Manual",IF($S320="","-","Auto")))</f>
        <v/>
      </c>
      <c r="M320" s="22" t="n"/>
      <c r="N320" s="25">
        <f>IF($T320=0,"",IF($U320=1,IF($M320="","",$M320-$K320),IF($K320="","",TODAY()-$K320)))</f>
        <v/>
      </c>
      <c r="O320" s="24">
        <f>IF(OR($A320="",$E320=""),"",IF($V320=1,S_INACT,IF(ISNA(MATCH($A320,TYP_TYPE,0)),S_TYPEKO,IF($U320=1,S_DONE,IF(AND($K320="",$R320=""),S_NOSCOPE,IF($K320="",S_NOTARGET,IF($N320&gt;0,S_LATE,IF($I320&lt;&gt;"",S_WIP,IF(-$N320&lt;=FEN_DOC,S_RISK,IF(-$N320&lt;=HORIZON,S_COMING,S_NOTYET))))))))))</f>
        <v/>
      </c>
      <c r="P320" s="24">
        <f>IF(OR($A320="",$E320=""),"",IF($V320=1,"",IF(ISNA(MATCH($A320,TYP_TYPE,0)),"Type not in the library",IF($B320="","Scope not set",IF(AND($B320="System",$C320=""),"System not set",IF(AND($B320="Equipment",$D320=""),"Equipment not set",IF($F320="","Responsible not set",IF($K320="","No target date",IF(AND($B320="Equipment",$C320&lt;&gt;"",IFERROR(INDEX(EQP_SYS,MATCH($D320,EQP_NOM,0)),"")&lt;&gt;$C320),"Equipment not in that system",IF(AND($U320=1,$M320=""),"Approved with no approval date",""))))))))))</f>
        <v/>
      </c>
      <c r="Q320" s="21" t="n"/>
      <c r="R320" s="23">
        <f>IF(OR($A320="",$B320=""),"",IF($B320="Equipment",IFERROR(INDEX(EQP_START,MATCH($D320,EQP_NOM,0)),""),IF($B320="System",IFERROR(INDEX(SYS_EARLIEST,MATCH($C320,SYS_ID,0)),""),IF($B320="All",CTR_EARLIEST,""))))</f>
        <v/>
      </c>
      <c r="S320" s="23">
        <f>IF(OR($A320="",$E320=""),"",IFERROR(IF(INDEX(TYP_ANCHOR,MATCH($A320,TYP_TYPE,0))="Commissioning Start",IF($R320="","",$R320-INDEX(TYP_LEAD,MATCH($A320,TYP_TYPE,0))),IF(INDEX(MS_PLAN,MATCH(INDEX(TYP_ANCHOR,MATCH($A320,TYP_TYPE,0)),MS_NOM,0))="","",INDEX(MS_PLAN,MATCH(INDEX(TYP_ANCHOR,MATCH($A320,TYP_TYPE,0)),MS_NOM,0))-INDEX(TYP_LEAD,MATCH($A320,TYP_TYPE,0)))),""))</f>
        <v/>
      </c>
      <c r="T320" s="26">
        <f>IF(OR($A320="",$E320=""),0,IF($V320=1,0,1))</f>
        <v/>
      </c>
      <c r="U320" s="26">
        <f>IF($T320=0,0,IF($M320&lt;&gt;"",1,IF(IFERROR(INDEX(WF_CLASS,MATCH($H320,WF_CODE,0)),"")="Done",1,0)))</f>
        <v/>
      </c>
      <c r="V320" s="26">
        <f>IF(OR($A320="",$E320=""),0,IF(IFERROR(INDEX(WF_CLASS,MATCH($H320,WF_CODE,0)),"")="Inactive",1,0))</f>
        <v/>
      </c>
      <c r="W320" s="24">
        <f>IF($A320="","",IFERROR(INDEX(TYP_PHASE,MATCH($A320,TYP_TYPE,0)),"-"))</f>
        <v/>
      </c>
      <c r="X320" s="24">
        <f>IF(AND($T320=1,$U320=0,N($N320)&gt;0),$N320+ROW()/1000000,"")</f>
        <v/>
      </c>
      <c r="Y320" s="24">
        <f>IF(AND($T320=1,$U320=0,OR($I320&lt;&gt;"",N($N320)&gt;0)),N($N320)+ROW()/1000000,"")</f>
        <v/>
      </c>
      <c r="Z320" s="24">
        <f>IF(AND($T320=1,$U320=0,$I320="",N($N320)&lt;=0,-N($N320)&lt;=HORIZON),N($N320)+ROW()/1000000,"")</f>
        <v/>
      </c>
    </row>
    <row r="321">
      <c r="A321" s="21" t="n"/>
      <c r="B321" s="21" t="n"/>
      <c r="C321" s="21" t="n"/>
      <c r="D321" s="21" t="n"/>
      <c r="E321" s="21" t="n"/>
      <c r="F321" s="21" t="n"/>
      <c r="G321" s="21" t="n"/>
      <c r="H321" s="21" t="n"/>
      <c r="I321" s="22" t="n"/>
      <c r="J321" s="22" t="n"/>
      <c r="K321" s="23">
        <f>IF($A321="","",IF($J321&lt;&gt;"",$J321,$S321))</f>
        <v/>
      </c>
      <c r="L321" s="24">
        <f>IF(OR($A321="",$E321=""),"",IF($J321&lt;&gt;"","Manual",IF($S321="","-","Auto")))</f>
        <v/>
      </c>
      <c r="M321" s="22" t="n"/>
      <c r="N321" s="25">
        <f>IF($T321=0,"",IF($U321=1,IF($M321="","",$M321-$K321),IF($K321="","",TODAY()-$K321)))</f>
        <v/>
      </c>
      <c r="O321" s="24">
        <f>IF(OR($A321="",$E321=""),"",IF($V321=1,S_INACT,IF(ISNA(MATCH($A321,TYP_TYPE,0)),S_TYPEKO,IF($U321=1,S_DONE,IF(AND($K321="",$R321=""),S_NOSCOPE,IF($K321="",S_NOTARGET,IF($N321&gt;0,S_LATE,IF($I321&lt;&gt;"",S_WIP,IF(-$N321&lt;=FEN_DOC,S_RISK,IF(-$N321&lt;=HORIZON,S_COMING,S_NOTYET))))))))))</f>
        <v/>
      </c>
      <c r="P321" s="24">
        <f>IF(OR($A321="",$E321=""),"",IF($V321=1,"",IF(ISNA(MATCH($A321,TYP_TYPE,0)),"Type not in the library",IF($B321="","Scope not set",IF(AND($B321="System",$C321=""),"System not set",IF(AND($B321="Equipment",$D321=""),"Equipment not set",IF($F321="","Responsible not set",IF($K321="","No target date",IF(AND($B321="Equipment",$C321&lt;&gt;"",IFERROR(INDEX(EQP_SYS,MATCH($D321,EQP_NOM,0)),"")&lt;&gt;$C321),"Equipment not in that system",IF(AND($U321=1,$M321=""),"Approved with no approval date",""))))))))))</f>
        <v/>
      </c>
      <c r="Q321" s="21" t="n"/>
      <c r="R321" s="23">
        <f>IF(OR($A321="",$B321=""),"",IF($B321="Equipment",IFERROR(INDEX(EQP_START,MATCH($D321,EQP_NOM,0)),""),IF($B321="System",IFERROR(INDEX(SYS_EARLIEST,MATCH($C321,SYS_ID,0)),""),IF($B321="All",CTR_EARLIEST,""))))</f>
        <v/>
      </c>
      <c r="S321" s="23">
        <f>IF(OR($A321="",$E321=""),"",IFERROR(IF(INDEX(TYP_ANCHOR,MATCH($A321,TYP_TYPE,0))="Commissioning Start",IF($R321="","",$R321-INDEX(TYP_LEAD,MATCH($A321,TYP_TYPE,0))),IF(INDEX(MS_PLAN,MATCH(INDEX(TYP_ANCHOR,MATCH($A321,TYP_TYPE,0)),MS_NOM,0))="","",INDEX(MS_PLAN,MATCH(INDEX(TYP_ANCHOR,MATCH($A321,TYP_TYPE,0)),MS_NOM,0))-INDEX(TYP_LEAD,MATCH($A321,TYP_TYPE,0)))),""))</f>
        <v/>
      </c>
      <c r="T321" s="26">
        <f>IF(OR($A321="",$E321=""),0,IF($V321=1,0,1))</f>
        <v/>
      </c>
      <c r="U321" s="26">
        <f>IF($T321=0,0,IF($M321&lt;&gt;"",1,IF(IFERROR(INDEX(WF_CLASS,MATCH($H321,WF_CODE,0)),"")="Done",1,0)))</f>
        <v/>
      </c>
      <c r="V321" s="26">
        <f>IF(OR($A321="",$E321=""),0,IF(IFERROR(INDEX(WF_CLASS,MATCH($H321,WF_CODE,0)),"")="Inactive",1,0))</f>
        <v/>
      </c>
      <c r="W321" s="24">
        <f>IF($A321="","",IFERROR(INDEX(TYP_PHASE,MATCH($A321,TYP_TYPE,0)),"-"))</f>
        <v/>
      </c>
      <c r="X321" s="24">
        <f>IF(AND($T321=1,$U321=0,N($N321)&gt;0),$N321+ROW()/1000000,"")</f>
        <v/>
      </c>
      <c r="Y321" s="24">
        <f>IF(AND($T321=1,$U321=0,OR($I321&lt;&gt;"",N($N321)&gt;0)),N($N321)+ROW()/1000000,"")</f>
        <v/>
      </c>
      <c r="Z321" s="24">
        <f>IF(AND($T321=1,$U321=0,$I321="",N($N321)&lt;=0,-N($N321)&lt;=HORIZON),N($N321)+ROW()/1000000,"")</f>
        <v/>
      </c>
    </row>
    <row r="322">
      <c r="A322" s="21" t="n"/>
      <c r="B322" s="21" t="n"/>
      <c r="C322" s="21" t="n"/>
      <c r="D322" s="21" t="n"/>
      <c r="E322" s="21" t="n"/>
      <c r="F322" s="21" t="n"/>
      <c r="G322" s="21" t="n"/>
      <c r="H322" s="21" t="n"/>
      <c r="I322" s="22" t="n"/>
      <c r="J322" s="22" t="n"/>
      <c r="K322" s="23">
        <f>IF($A322="","",IF($J322&lt;&gt;"",$J322,$S322))</f>
        <v/>
      </c>
      <c r="L322" s="24">
        <f>IF(OR($A322="",$E322=""),"",IF($J322&lt;&gt;"","Manual",IF($S322="","-","Auto")))</f>
        <v/>
      </c>
      <c r="M322" s="22" t="n"/>
      <c r="N322" s="25">
        <f>IF($T322=0,"",IF($U322=1,IF($M322="","",$M322-$K322),IF($K322="","",TODAY()-$K322)))</f>
        <v/>
      </c>
      <c r="O322" s="24">
        <f>IF(OR($A322="",$E322=""),"",IF($V322=1,S_INACT,IF(ISNA(MATCH($A322,TYP_TYPE,0)),S_TYPEKO,IF($U322=1,S_DONE,IF(AND($K322="",$R322=""),S_NOSCOPE,IF($K322="",S_NOTARGET,IF($N322&gt;0,S_LATE,IF($I322&lt;&gt;"",S_WIP,IF(-$N322&lt;=FEN_DOC,S_RISK,IF(-$N322&lt;=HORIZON,S_COMING,S_NOTYET))))))))))</f>
        <v/>
      </c>
      <c r="P322" s="24">
        <f>IF(OR($A322="",$E322=""),"",IF($V322=1,"",IF(ISNA(MATCH($A322,TYP_TYPE,0)),"Type not in the library",IF($B322="","Scope not set",IF(AND($B322="System",$C322=""),"System not set",IF(AND($B322="Equipment",$D322=""),"Equipment not set",IF($F322="","Responsible not set",IF($K322="","No target date",IF(AND($B322="Equipment",$C322&lt;&gt;"",IFERROR(INDEX(EQP_SYS,MATCH($D322,EQP_NOM,0)),"")&lt;&gt;$C322),"Equipment not in that system",IF(AND($U322=1,$M322=""),"Approved with no approval date",""))))))))))</f>
        <v/>
      </c>
      <c r="Q322" s="21" t="n"/>
      <c r="R322" s="23">
        <f>IF(OR($A322="",$B322=""),"",IF($B322="Equipment",IFERROR(INDEX(EQP_START,MATCH($D322,EQP_NOM,0)),""),IF($B322="System",IFERROR(INDEX(SYS_EARLIEST,MATCH($C322,SYS_ID,0)),""),IF($B322="All",CTR_EARLIEST,""))))</f>
        <v/>
      </c>
      <c r="S322" s="23">
        <f>IF(OR($A322="",$E322=""),"",IFERROR(IF(INDEX(TYP_ANCHOR,MATCH($A322,TYP_TYPE,0))="Commissioning Start",IF($R322="","",$R322-INDEX(TYP_LEAD,MATCH($A322,TYP_TYPE,0))),IF(INDEX(MS_PLAN,MATCH(INDEX(TYP_ANCHOR,MATCH($A322,TYP_TYPE,0)),MS_NOM,0))="","",INDEX(MS_PLAN,MATCH(INDEX(TYP_ANCHOR,MATCH($A322,TYP_TYPE,0)),MS_NOM,0))-INDEX(TYP_LEAD,MATCH($A322,TYP_TYPE,0)))),""))</f>
        <v/>
      </c>
      <c r="T322" s="26">
        <f>IF(OR($A322="",$E322=""),0,IF($V322=1,0,1))</f>
        <v/>
      </c>
      <c r="U322" s="26">
        <f>IF($T322=0,0,IF($M322&lt;&gt;"",1,IF(IFERROR(INDEX(WF_CLASS,MATCH($H322,WF_CODE,0)),"")="Done",1,0)))</f>
        <v/>
      </c>
      <c r="V322" s="26">
        <f>IF(OR($A322="",$E322=""),0,IF(IFERROR(INDEX(WF_CLASS,MATCH($H322,WF_CODE,0)),"")="Inactive",1,0))</f>
        <v/>
      </c>
      <c r="W322" s="24">
        <f>IF($A322="","",IFERROR(INDEX(TYP_PHASE,MATCH($A322,TYP_TYPE,0)),"-"))</f>
        <v/>
      </c>
      <c r="X322" s="24">
        <f>IF(AND($T322=1,$U322=0,N($N322)&gt;0),$N322+ROW()/1000000,"")</f>
        <v/>
      </c>
      <c r="Y322" s="24">
        <f>IF(AND($T322=1,$U322=0,OR($I322&lt;&gt;"",N($N322)&gt;0)),N($N322)+ROW()/1000000,"")</f>
        <v/>
      </c>
      <c r="Z322" s="24">
        <f>IF(AND($T322=1,$U322=0,$I322="",N($N322)&lt;=0,-N($N322)&lt;=HORIZON),N($N322)+ROW()/1000000,"")</f>
        <v/>
      </c>
    </row>
    <row r="323">
      <c r="A323" s="21" t="n"/>
      <c r="B323" s="21" t="n"/>
      <c r="C323" s="21" t="n"/>
      <c r="D323" s="21" t="n"/>
      <c r="E323" s="21" t="n"/>
      <c r="F323" s="21" t="n"/>
      <c r="G323" s="21" t="n"/>
      <c r="H323" s="21" t="n"/>
      <c r="I323" s="22" t="n"/>
      <c r="J323" s="22" t="n"/>
      <c r="K323" s="23">
        <f>IF($A323="","",IF($J323&lt;&gt;"",$J323,$S323))</f>
        <v/>
      </c>
      <c r="L323" s="24">
        <f>IF(OR($A323="",$E323=""),"",IF($J323&lt;&gt;"","Manual",IF($S323="","-","Auto")))</f>
        <v/>
      </c>
      <c r="M323" s="22" t="n"/>
      <c r="N323" s="25">
        <f>IF($T323=0,"",IF($U323=1,IF($M323="","",$M323-$K323),IF($K323="","",TODAY()-$K323)))</f>
        <v/>
      </c>
      <c r="O323" s="24">
        <f>IF(OR($A323="",$E323=""),"",IF($V323=1,S_INACT,IF(ISNA(MATCH($A323,TYP_TYPE,0)),S_TYPEKO,IF($U323=1,S_DONE,IF(AND($K323="",$R323=""),S_NOSCOPE,IF($K323="",S_NOTARGET,IF($N323&gt;0,S_LATE,IF($I323&lt;&gt;"",S_WIP,IF(-$N323&lt;=FEN_DOC,S_RISK,IF(-$N323&lt;=HORIZON,S_COMING,S_NOTYET))))))))))</f>
        <v/>
      </c>
      <c r="P323" s="24">
        <f>IF(OR($A323="",$E323=""),"",IF($V323=1,"",IF(ISNA(MATCH($A323,TYP_TYPE,0)),"Type not in the library",IF($B323="","Scope not set",IF(AND($B323="System",$C323=""),"System not set",IF(AND($B323="Equipment",$D323=""),"Equipment not set",IF($F323="","Responsible not set",IF($K323="","No target date",IF(AND($B323="Equipment",$C323&lt;&gt;"",IFERROR(INDEX(EQP_SYS,MATCH($D323,EQP_NOM,0)),"")&lt;&gt;$C323),"Equipment not in that system",IF(AND($U323=1,$M323=""),"Approved with no approval date",""))))))))))</f>
        <v/>
      </c>
      <c r="Q323" s="21" t="n"/>
      <c r="R323" s="23">
        <f>IF(OR($A323="",$B323=""),"",IF($B323="Equipment",IFERROR(INDEX(EQP_START,MATCH($D323,EQP_NOM,0)),""),IF($B323="System",IFERROR(INDEX(SYS_EARLIEST,MATCH($C323,SYS_ID,0)),""),IF($B323="All",CTR_EARLIEST,""))))</f>
        <v/>
      </c>
      <c r="S323" s="23">
        <f>IF(OR($A323="",$E323=""),"",IFERROR(IF(INDEX(TYP_ANCHOR,MATCH($A323,TYP_TYPE,0))="Commissioning Start",IF($R323="","",$R323-INDEX(TYP_LEAD,MATCH($A323,TYP_TYPE,0))),IF(INDEX(MS_PLAN,MATCH(INDEX(TYP_ANCHOR,MATCH($A323,TYP_TYPE,0)),MS_NOM,0))="","",INDEX(MS_PLAN,MATCH(INDEX(TYP_ANCHOR,MATCH($A323,TYP_TYPE,0)),MS_NOM,0))-INDEX(TYP_LEAD,MATCH($A323,TYP_TYPE,0)))),""))</f>
        <v/>
      </c>
      <c r="T323" s="26">
        <f>IF(OR($A323="",$E323=""),0,IF($V323=1,0,1))</f>
        <v/>
      </c>
      <c r="U323" s="26">
        <f>IF($T323=0,0,IF($M323&lt;&gt;"",1,IF(IFERROR(INDEX(WF_CLASS,MATCH($H323,WF_CODE,0)),"")="Done",1,0)))</f>
        <v/>
      </c>
      <c r="V323" s="26">
        <f>IF(OR($A323="",$E323=""),0,IF(IFERROR(INDEX(WF_CLASS,MATCH($H323,WF_CODE,0)),"")="Inactive",1,0))</f>
        <v/>
      </c>
      <c r="W323" s="24">
        <f>IF($A323="","",IFERROR(INDEX(TYP_PHASE,MATCH($A323,TYP_TYPE,0)),"-"))</f>
        <v/>
      </c>
      <c r="X323" s="24">
        <f>IF(AND($T323=1,$U323=0,N($N323)&gt;0),$N323+ROW()/1000000,"")</f>
        <v/>
      </c>
      <c r="Y323" s="24">
        <f>IF(AND($T323=1,$U323=0,OR($I323&lt;&gt;"",N($N323)&gt;0)),N($N323)+ROW()/1000000,"")</f>
        <v/>
      </c>
      <c r="Z323" s="24">
        <f>IF(AND($T323=1,$U323=0,$I323="",N($N323)&lt;=0,-N($N323)&lt;=HORIZON),N($N323)+ROW()/1000000,"")</f>
        <v/>
      </c>
    </row>
    <row r="324">
      <c r="A324" s="21" t="n"/>
      <c r="B324" s="21" t="n"/>
      <c r="C324" s="21" t="n"/>
      <c r="D324" s="21" t="n"/>
      <c r="E324" s="21" t="n"/>
      <c r="F324" s="21" t="n"/>
      <c r="G324" s="21" t="n"/>
      <c r="H324" s="21" t="n"/>
      <c r="I324" s="22" t="n"/>
      <c r="J324" s="22" t="n"/>
      <c r="K324" s="23">
        <f>IF($A324="","",IF($J324&lt;&gt;"",$J324,$S324))</f>
        <v/>
      </c>
      <c r="L324" s="24">
        <f>IF(OR($A324="",$E324=""),"",IF($J324&lt;&gt;"","Manual",IF($S324="","-","Auto")))</f>
        <v/>
      </c>
      <c r="M324" s="22" t="n"/>
      <c r="N324" s="25">
        <f>IF($T324=0,"",IF($U324=1,IF($M324="","",$M324-$K324),IF($K324="","",TODAY()-$K324)))</f>
        <v/>
      </c>
      <c r="O324" s="24">
        <f>IF(OR($A324="",$E324=""),"",IF($V324=1,S_INACT,IF(ISNA(MATCH($A324,TYP_TYPE,0)),S_TYPEKO,IF($U324=1,S_DONE,IF(AND($K324="",$R324=""),S_NOSCOPE,IF($K324="",S_NOTARGET,IF($N324&gt;0,S_LATE,IF($I324&lt;&gt;"",S_WIP,IF(-$N324&lt;=FEN_DOC,S_RISK,IF(-$N324&lt;=HORIZON,S_COMING,S_NOTYET))))))))))</f>
        <v/>
      </c>
      <c r="P324" s="24">
        <f>IF(OR($A324="",$E324=""),"",IF($V324=1,"",IF(ISNA(MATCH($A324,TYP_TYPE,0)),"Type not in the library",IF($B324="","Scope not set",IF(AND($B324="System",$C324=""),"System not set",IF(AND($B324="Equipment",$D324=""),"Equipment not set",IF($F324="","Responsible not set",IF($K324="","No target date",IF(AND($B324="Equipment",$C324&lt;&gt;"",IFERROR(INDEX(EQP_SYS,MATCH($D324,EQP_NOM,0)),"")&lt;&gt;$C324),"Equipment not in that system",IF(AND($U324=1,$M324=""),"Approved with no approval date",""))))))))))</f>
        <v/>
      </c>
      <c r="Q324" s="21" t="n"/>
      <c r="R324" s="23">
        <f>IF(OR($A324="",$B324=""),"",IF($B324="Equipment",IFERROR(INDEX(EQP_START,MATCH($D324,EQP_NOM,0)),""),IF($B324="System",IFERROR(INDEX(SYS_EARLIEST,MATCH($C324,SYS_ID,0)),""),IF($B324="All",CTR_EARLIEST,""))))</f>
        <v/>
      </c>
      <c r="S324" s="23">
        <f>IF(OR($A324="",$E324=""),"",IFERROR(IF(INDEX(TYP_ANCHOR,MATCH($A324,TYP_TYPE,0))="Commissioning Start",IF($R324="","",$R324-INDEX(TYP_LEAD,MATCH($A324,TYP_TYPE,0))),IF(INDEX(MS_PLAN,MATCH(INDEX(TYP_ANCHOR,MATCH($A324,TYP_TYPE,0)),MS_NOM,0))="","",INDEX(MS_PLAN,MATCH(INDEX(TYP_ANCHOR,MATCH($A324,TYP_TYPE,0)),MS_NOM,0))-INDEX(TYP_LEAD,MATCH($A324,TYP_TYPE,0)))),""))</f>
        <v/>
      </c>
      <c r="T324" s="26">
        <f>IF(OR($A324="",$E324=""),0,IF($V324=1,0,1))</f>
        <v/>
      </c>
      <c r="U324" s="26">
        <f>IF($T324=0,0,IF($M324&lt;&gt;"",1,IF(IFERROR(INDEX(WF_CLASS,MATCH($H324,WF_CODE,0)),"")="Done",1,0)))</f>
        <v/>
      </c>
      <c r="V324" s="26">
        <f>IF(OR($A324="",$E324=""),0,IF(IFERROR(INDEX(WF_CLASS,MATCH($H324,WF_CODE,0)),"")="Inactive",1,0))</f>
        <v/>
      </c>
      <c r="W324" s="24">
        <f>IF($A324="","",IFERROR(INDEX(TYP_PHASE,MATCH($A324,TYP_TYPE,0)),"-"))</f>
        <v/>
      </c>
      <c r="X324" s="24">
        <f>IF(AND($T324=1,$U324=0,N($N324)&gt;0),$N324+ROW()/1000000,"")</f>
        <v/>
      </c>
      <c r="Y324" s="24">
        <f>IF(AND($T324=1,$U324=0,OR($I324&lt;&gt;"",N($N324)&gt;0)),N($N324)+ROW()/1000000,"")</f>
        <v/>
      </c>
      <c r="Z324" s="24">
        <f>IF(AND($T324=1,$U324=0,$I324="",N($N324)&lt;=0,-N($N324)&lt;=HORIZON),N($N324)+ROW()/1000000,"")</f>
        <v/>
      </c>
    </row>
    <row r="325">
      <c r="A325" s="21" t="n"/>
      <c r="B325" s="21" t="n"/>
      <c r="C325" s="21" t="n"/>
      <c r="D325" s="21" t="n"/>
      <c r="E325" s="21" t="n"/>
      <c r="F325" s="21" t="n"/>
      <c r="G325" s="21" t="n"/>
      <c r="H325" s="21" t="n"/>
      <c r="I325" s="22" t="n"/>
      <c r="J325" s="22" t="n"/>
      <c r="K325" s="23">
        <f>IF($A325="","",IF($J325&lt;&gt;"",$J325,$S325))</f>
        <v/>
      </c>
      <c r="L325" s="24">
        <f>IF(OR($A325="",$E325=""),"",IF($J325&lt;&gt;"","Manual",IF($S325="","-","Auto")))</f>
        <v/>
      </c>
      <c r="M325" s="22" t="n"/>
      <c r="N325" s="25">
        <f>IF($T325=0,"",IF($U325=1,IF($M325="","",$M325-$K325),IF($K325="","",TODAY()-$K325)))</f>
        <v/>
      </c>
      <c r="O325" s="24">
        <f>IF(OR($A325="",$E325=""),"",IF($V325=1,S_INACT,IF(ISNA(MATCH($A325,TYP_TYPE,0)),S_TYPEKO,IF($U325=1,S_DONE,IF(AND($K325="",$R325=""),S_NOSCOPE,IF($K325="",S_NOTARGET,IF($N325&gt;0,S_LATE,IF($I325&lt;&gt;"",S_WIP,IF(-$N325&lt;=FEN_DOC,S_RISK,IF(-$N325&lt;=HORIZON,S_COMING,S_NOTYET))))))))))</f>
        <v/>
      </c>
      <c r="P325" s="24">
        <f>IF(OR($A325="",$E325=""),"",IF($V325=1,"",IF(ISNA(MATCH($A325,TYP_TYPE,0)),"Type not in the library",IF($B325="","Scope not set",IF(AND($B325="System",$C325=""),"System not set",IF(AND($B325="Equipment",$D325=""),"Equipment not set",IF($F325="","Responsible not set",IF($K325="","No target date",IF(AND($B325="Equipment",$C325&lt;&gt;"",IFERROR(INDEX(EQP_SYS,MATCH($D325,EQP_NOM,0)),"")&lt;&gt;$C325),"Equipment not in that system",IF(AND($U325=1,$M325=""),"Approved with no approval date",""))))))))))</f>
        <v/>
      </c>
      <c r="Q325" s="21" t="n"/>
      <c r="R325" s="23">
        <f>IF(OR($A325="",$B325=""),"",IF($B325="Equipment",IFERROR(INDEX(EQP_START,MATCH($D325,EQP_NOM,0)),""),IF($B325="System",IFERROR(INDEX(SYS_EARLIEST,MATCH($C325,SYS_ID,0)),""),IF($B325="All",CTR_EARLIEST,""))))</f>
        <v/>
      </c>
      <c r="S325" s="23">
        <f>IF(OR($A325="",$E325=""),"",IFERROR(IF(INDEX(TYP_ANCHOR,MATCH($A325,TYP_TYPE,0))="Commissioning Start",IF($R325="","",$R325-INDEX(TYP_LEAD,MATCH($A325,TYP_TYPE,0))),IF(INDEX(MS_PLAN,MATCH(INDEX(TYP_ANCHOR,MATCH($A325,TYP_TYPE,0)),MS_NOM,0))="","",INDEX(MS_PLAN,MATCH(INDEX(TYP_ANCHOR,MATCH($A325,TYP_TYPE,0)),MS_NOM,0))-INDEX(TYP_LEAD,MATCH($A325,TYP_TYPE,0)))),""))</f>
        <v/>
      </c>
      <c r="T325" s="26">
        <f>IF(OR($A325="",$E325=""),0,IF($V325=1,0,1))</f>
        <v/>
      </c>
      <c r="U325" s="26">
        <f>IF($T325=0,0,IF($M325&lt;&gt;"",1,IF(IFERROR(INDEX(WF_CLASS,MATCH($H325,WF_CODE,0)),"")="Done",1,0)))</f>
        <v/>
      </c>
      <c r="V325" s="26">
        <f>IF(OR($A325="",$E325=""),0,IF(IFERROR(INDEX(WF_CLASS,MATCH($H325,WF_CODE,0)),"")="Inactive",1,0))</f>
        <v/>
      </c>
      <c r="W325" s="24">
        <f>IF($A325="","",IFERROR(INDEX(TYP_PHASE,MATCH($A325,TYP_TYPE,0)),"-"))</f>
        <v/>
      </c>
      <c r="X325" s="24">
        <f>IF(AND($T325=1,$U325=0,N($N325)&gt;0),$N325+ROW()/1000000,"")</f>
        <v/>
      </c>
      <c r="Y325" s="24">
        <f>IF(AND($T325=1,$U325=0,OR($I325&lt;&gt;"",N($N325)&gt;0)),N($N325)+ROW()/1000000,"")</f>
        <v/>
      </c>
      <c r="Z325" s="24">
        <f>IF(AND($T325=1,$U325=0,$I325="",N($N325)&lt;=0,-N($N325)&lt;=HORIZON),N($N325)+ROW()/1000000,"")</f>
        <v/>
      </c>
    </row>
    <row r="326">
      <c r="A326" s="21" t="n"/>
      <c r="B326" s="21" t="n"/>
      <c r="C326" s="21" t="n"/>
      <c r="D326" s="21" t="n"/>
      <c r="E326" s="21" t="n"/>
      <c r="F326" s="21" t="n"/>
      <c r="G326" s="21" t="n"/>
      <c r="H326" s="21" t="n"/>
      <c r="I326" s="22" t="n"/>
      <c r="J326" s="22" t="n"/>
      <c r="K326" s="23">
        <f>IF($A326="","",IF($J326&lt;&gt;"",$J326,$S326))</f>
        <v/>
      </c>
      <c r="L326" s="24">
        <f>IF(OR($A326="",$E326=""),"",IF($J326&lt;&gt;"","Manual",IF($S326="","-","Auto")))</f>
        <v/>
      </c>
      <c r="M326" s="22" t="n"/>
      <c r="N326" s="25">
        <f>IF($T326=0,"",IF($U326=1,IF($M326="","",$M326-$K326),IF($K326="","",TODAY()-$K326)))</f>
        <v/>
      </c>
      <c r="O326" s="24">
        <f>IF(OR($A326="",$E326=""),"",IF($V326=1,S_INACT,IF(ISNA(MATCH($A326,TYP_TYPE,0)),S_TYPEKO,IF($U326=1,S_DONE,IF(AND($K326="",$R326=""),S_NOSCOPE,IF($K326="",S_NOTARGET,IF($N326&gt;0,S_LATE,IF($I326&lt;&gt;"",S_WIP,IF(-$N326&lt;=FEN_DOC,S_RISK,IF(-$N326&lt;=HORIZON,S_COMING,S_NOTYET))))))))))</f>
        <v/>
      </c>
      <c r="P326" s="24">
        <f>IF(OR($A326="",$E326=""),"",IF($V326=1,"",IF(ISNA(MATCH($A326,TYP_TYPE,0)),"Type not in the library",IF($B326="","Scope not set",IF(AND($B326="System",$C326=""),"System not set",IF(AND($B326="Equipment",$D326=""),"Equipment not set",IF($F326="","Responsible not set",IF($K326="","No target date",IF(AND($B326="Equipment",$C326&lt;&gt;"",IFERROR(INDEX(EQP_SYS,MATCH($D326,EQP_NOM,0)),"")&lt;&gt;$C326),"Equipment not in that system",IF(AND($U326=1,$M326=""),"Approved with no approval date",""))))))))))</f>
        <v/>
      </c>
      <c r="Q326" s="21" t="n"/>
      <c r="R326" s="23">
        <f>IF(OR($A326="",$B326=""),"",IF($B326="Equipment",IFERROR(INDEX(EQP_START,MATCH($D326,EQP_NOM,0)),""),IF($B326="System",IFERROR(INDEX(SYS_EARLIEST,MATCH($C326,SYS_ID,0)),""),IF($B326="All",CTR_EARLIEST,""))))</f>
        <v/>
      </c>
      <c r="S326" s="23">
        <f>IF(OR($A326="",$E326=""),"",IFERROR(IF(INDEX(TYP_ANCHOR,MATCH($A326,TYP_TYPE,0))="Commissioning Start",IF($R326="","",$R326-INDEX(TYP_LEAD,MATCH($A326,TYP_TYPE,0))),IF(INDEX(MS_PLAN,MATCH(INDEX(TYP_ANCHOR,MATCH($A326,TYP_TYPE,0)),MS_NOM,0))="","",INDEX(MS_PLAN,MATCH(INDEX(TYP_ANCHOR,MATCH($A326,TYP_TYPE,0)),MS_NOM,0))-INDEX(TYP_LEAD,MATCH($A326,TYP_TYPE,0)))),""))</f>
        <v/>
      </c>
      <c r="T326" s="26">
        <f>IF(OR($A326="",$E326=""),0,IF($V326=1,0,1))</f>
        <v/>
      </c>
      <c r="U326" s="26">
        <f>IF($T326=0,0,IF($M326&lt;&gt;"",1,IF(IFERROR(INDEX(WF_CLASS,MATCH($H326,WF_CODE,0)),"")="Done",1,0)))</f>
        <v/>
      </c>
      <c r="V326" s="26">
        <f>IF(OR($A326="",$E326=""),0,IF(IFERROR(INDEX(WF_CLASS,MATCH($H326,WF_CODE,0)),"")="Inactive",1,0))</f>
        <v/>
      </c>
      <c r="W326" s="24">
        <f>IF($A326="","",IFERROR(INDEX(TYP_PHASE,MATCH($A326,TYP_TYPE,0)),"-"))</f>
        <v/>
      </c>
      <c r="X326" s="24">
        <f>IF(AND($T326=1,$U326=0,N($N326)&gt;0),$N326+ROW()/1000000,"")</f>
        <v/>
      </c>
      <c r="Y326" s="24">
        <f>IF(AND($T326=1,$U326=0,OR($I326&lt;&gt;"",N($N326)&gt;0)),N($N326)+ROW()/1000000,"")</f>
        <v/>
      </c>
      <c r="Z326" s="24">
        <f>IF(AND($T326=1,$U326=0,$I326="",N($N326)&lt;=0,-N($N326)&lt;=HORIZON),N($N326)+ROW()/1000000,"")</f>
        <v/>
      </c>
    </row>
    <row r="327">
      <c r="A327" s="21" t="n"/>
      <c r="B327" s="21" t="n"/>
      <c r="C327" s="21" t="n"/>
      <c r="D327" s="21" t="n"/>
      <c r="E327" s="21" t="n"/>
      <c r="F327" s="21" t="n"/>
      <c r="G327" s="21" t="n"/>
      <c r="H327" s="21" t="n"/>
      <c r="I327" s="22" t="n"/>
      <c r="J327" s="22" t="n"/>
      <c r="K327" s="23">
        <f>IF($A327="","",IF($J327&lt;&gt;"",$J327,$S327))</f>
        <v/>
      </c>
      <c r="L327" s="24">
        <f>IF(OR($A327="",$E327=""),"",IF($J327&lt;&gt;"","Manual",IF($S327="","-","Auto")))</f>
        <v/>
      </c>
      <c r="M327" s="22" t="n"/>
      <c r="N327" s="25">
        <f>IF($T327=0,"",IF($U327=1,IF($M327="","",$M327-$K327),IF($K327="","",TODAY()-$K327)))</f>
        <v/>
      </c>
      <c r="O327" s="24">
        <f>IF(OR($A327="",$E327=""),"",IF($V327=1,S_INACT,IF(ISNA(MATCH($A327,TYP_TYPE,0)),S_TYPEKO,IF($U327=1,S_DONE,IF(AND($K327="",$R327=""),S_NOSCOPE,IF($K327="",S_NOTARGET,IF($N327&gt;0,S_LATE,IF($I327&lt;&gt;"",S_WIP,IF(-$N327&lt;=FEN_DOC,S_RISK,IF(-$N327&lt;=HORIZON,S_COMING,S_NOTYET))))))))))</f>
        <v/>
      </c>
      <c r="P327" s="24">
        <f>IF(OR($A327="",$E327=""),"",IF($V327=1,"",IF(ISNA(MATCH($A327,TYP_TYPE,0)),"Type not in the library",IF($B327="","Scope not set",IF(AND($B327="System",$C327=""),"System not set",IF(AND($B327="Equipment",$D327=""),"Equipment not set",IF($F327="","Responsible not set",IF($K327="","No target date",IF(AND($B327="Equipment",$C327&lt;&gt;"",IFERROR(INDEX(EQP_SYS,MATCH($D327,EQP_NOM,0)),"")&lt;&gt;$C327),"Equipment not in that system",IF(AND($U327=1,$M327=""),"Approved with no approval date",""))))))))))</f>
        <v/>
      </c>
      <c r="Q327" s="21" t="n"/>
      <c r="R327" s="23">
        <f>IF(OR($A327="",$B327=""),"",IF($B327="Equipment",IFERROR(INDEX(EQP_START,MATCH($D327,EQP_NOM,0)),""),IF($B327="System",IFERROR(INDEX(SYS_EARLIEST,MATCH($C327,SYS_ID,0)),""),IF($B327="All",CTR_EARLIEST,""))))</f>
        <v/>
      </c>
      <c r="S327" s="23">
        <f>IF(OR($A327="",$E327=""),"",IFERROR(IF(INDEX(TYP_ANCHOR,MATCH($A327,TYP_TYPE,0))="Commissioning Start",IF($R327="","",$R327-INDEX(TYP_LEAD,MATCH($A327,TYP_TYPE,0))),IF(INDEX(MS_PLAN,MATCH(INDEX(TYP_ANCHOR,MATCH($A327,TYP_TYPE,0)),MS_NOM,0))="","",INDEX(MS_PLAN,MATCH(INDEX(TYP_ANCHOR,MATCH($A327,TYP_TYPE,0)),MS_NOM,0))-INDEX(TYP_LEAD,MATCH($A327,TYP_TYPE,0)))),""))</f>
        <v/>
      </c>
      <c r="T327" s="26">
        <f>IF(OR($A327="",$E327=""),0,IF($V327=1,0,1))</f>
        <v/>
      </c>
      <c r="U327" s="26">
        <f>IF($T327=0,0,IF($M327&lt;&gt;"",1,IF(IFERROR(INDEX(WF_CLASS,MATCH($H327,WF_CODE,0)),"")="Done",1,0)))</f>
        <v/>
      </c>
      <c r="V327" s="26">
        <f>IF(OR($A327="",$E327=""),0,IF(IFERROR(INDEX(WF_CLASS,MATCH($H327,WF_CODE,0)),"")="Inactive",1,0))</f>
        <v/>
      </c>
      <c r="W327" s="24">
        <f>IF($A327="","",IFERROR(INDEX(TYP_PHASE,MATCH($A327,TYP_TYPE,0)),"-"))</f>
        <v/>
      </c>
      <c r="X327" s="24">
        <f>IF(AND($T327=1,$U327=0,N($N327)&gt;0),$N327+ROW()/1000000,"")</f>
        <v/>
      </c>
      <c r="Y327" s="24">
        <f>IF(AND($T327=1,$U327=0,OR($I327&lt;&gt;"",N($N327)&gt;0)),N($N327)+ROW()/1000000,"")</f>
        <v/>
      </c>
      <c r="Z327" s="24">
        <f>IF(AND($T327=1,$U327=0,$I327="",N($N327)&lt;=0,-N($N327)&lt;=HORIZON),N($N327)+ROW()/1000000,"")</f>
        <v/>
      </c>
    </row>
    <row r="328">
      <c r="A328" s="21" t="n"/>
      <c r="B328" s="21" t="n"/>
      <c r="C328" s="21" t="n"/>
      <c r="D328" s="21" t="n"/>
      <c r="E328" s="21" t="n"/>
      <c r="F328" s="21" t="n"/>
      <c r="G328" s="21" t="n"/>
      <c r="H328" s="21" t="n"/>
      <c r="I328" s="22" t="n"/>
      <c r="J328" s="22" t="n"/>
      <c r="K328" s="23">
        <f>IF($A328="","",IF($J328&lt;&gt;"",$J328,$S328))</f>
        <v/>
      </c>
      <c r="L328" s="24">
        <f>IF(OR($A328="",$E328=""),"",IF($J328&lt;&gt;"","Manual",IF($S328="","-","Auto")))</f>
        <v/>
      </c>
      <c r="M328" s="22" t="n"/>
      <c r="N328" s="25">
        <f>IF($T328=0,"",IF($U328=1,IF($M328="","",$M328-$K328),IF($K328="","",TODAY()-$K328)))</f>
        <v/>
      </c>
      <c r="O328" s="24">
        <f>IF(OR($A328="",$E328=""),"",IF($V328=1,S_INACT,IF(ISNA(MATCH($A328,TYP_TYPE,0)),S_TYPEKO,IF($U328=1,S_DONE,IF(AND($K328="",$R328=""),S_NOSCOPE,IF($K328="",S_NOTARGET,IF($N328&gt;0,S_LATE,IF($I328&lt;&gt;"",S_WIP,IF(-$N328&lt;=FEN_DOC,S_RISK,IF(-$N328&lt;=HORIZON,S_COMING,S_NOTYET))))))))))</f>
        <v/>
      </c>
      <c r="P328" s="24">
        <f>IF(OR($A328="",$E328=""),"",IF($V328=1,"",IF(ISNA(MATCH($A328,TYP_TYPE,0)),"Type not in the library",IF($B328="","Scope not set",IF(AND($B328="System",$C328=""),"System not set",IF(AND($B328="Equipment",$D328=""),"Equipment not set",IF($F328="","Responsible not set",IF($K328="","No target date",IF(AND($B328="Equipment",$C328&lt;&gt;"",IFERROR(INDEX(EQP_SYS,MATCH($D328,EQP_NOM,0)),"")&lt;&gt;$C328),"Equipment not in that system",IF(AND($U328=1,$M328=""),"Approved with no approval date",""))))))))))</f>
        <v/>
      </c>
      <c r="Q328" s="21" t="n"/>
      <c r="R328" s="23">
        <f>IF(OR($A328="",$B328=""),"",IF($B328="Equipment",IFERROR(INDEX(EQP_START,MATCH($D328,EQP_NOM,0)),""),IF($B328="System",IFERROR(INDEX(SYS_EARLIEST,MATCH($C328,SYS_ID,0)),""),IF($B328="All",CTR_EARLIEST,""))))</f>
        <v/>
      </c>
      <c r="S328" s="23">
        <f>IF(OR($A328="",$E328=""),"",IFERROR(IF(INDEX(TYP_ANCHOR,MATCH($A328,TYP_TYPE,0))="Commissioning Start",IF($R328="","",$R328-INDEX(TYP_LEAD,MATCH($A328,TYP_TYPE,0))),IF(INDEX(MS_PLAN,MATCH(INDEX(TYP_ANCHOR,MATCH($A328,TYP_TYPE,0)),MS_NOM,0))="","",INDEX(MS_PLAN,MATCH(INDEX(TYP_ANCHOR,MATCH($A328,TYP_TYPE,0)),MS_NOM,0))-INDEX(TYP_LEAD,MATCH($A328,TYP_TYPE,0)))),""))</f>
        <v/>
      </c>
      <c r="T328" s="26">
        <f>IF(OR($A328="",$E328=""),0,IF($V328=1,0,1))</f>
        <v/>
      </c>
      <c r="U328" s="26">
        <f>IF($T328=0,0,IF($M328&lt;&gt;"",1,IF(IFERROR(INDEX(WF_CLASS,MATCH($H328,WF_CODE,0)),"")="Done",1,0)))</f>
        <v/>
      </c>
      <c r="V328" s="26">
        <f>IF(OR($A328="",$E328=""),0,IF(IFERROR(INDEX(WF_CLASS,MATCH($H328,WF_CODE,0)),"")="Inactive",1,0))</f>
        <v/>
      </c>
      <c r="W328" s="24">
        <f>IF($A328="","",IFERROR(INDEX(TYP_PHASE,MATCH($A328,TYP_TYPE,0)),"-"))</f>
        <v/>
      </c>
      <c r="X328" s="24">
        <f>IF(AND($T328=1,$U328=0,N($N328)&gt;0),$N328+ROW()/1000000,"")</f>
        <v/>
      </c>
      <c r="Y328" s="24">
        <f>IF(AND($T328=1,$U328=0,OR($I328&lt;&gt;"",N($N328)&gt;0)),N($N328)+ROW()/1000000,"")</f>
        <v/>
      </c>
      <c r="Z328" s="24">
        <f>IF(AND($T328=1,$U328=0,$I328="",N($N328)&lt;=0,-N($N328)&lt;=HORIZON),N($N328)+ROW()/1000000,"")</f>
        <v/>
      </c>
    </row>
    <row r="329">
      <c r="A329" s="21" t="n"/>
      <c r="B329" s="21" t="n"/>
      <c r="C329" s="21" t="n"/>
      <c r="D329" s="21" t="n"/>
      <c r="E329" s="21" t="n"/>
      <c r="F329" s="21" t="n"/>
      <c r="G329" s="21" t="n"/>
      <c r="H329" s="21" t="n"/>
      <c r="I329" s="22" t="n"/>
      <c r="J329" s="22" t="n"/>
      <c r="K329" s="23">
        <f>IF($A329="","",IF($J329&lt;&gt;"",$J329,$S329))</f>
        <v/>
      </c>
      <c r="L329" s="24">
        <f>IF(OR($A329="",$E329=""),"",IF($J329&lt;&gt;"","Manual",IF($S329="","-","Auto")))</f>
        <v/>
      </c>
      <c r="M329" s="22" t="n"/>
      <c r="N329" s="25">
        <f>IF($T329=0,"",IF($U329=1,IF($M329="","",$M329-$K329),IF($K329="","",TODAY()-$K329)))</f>
        <v/>
      </c>
      <c r="O329" s="24">
        <f>IF(OR($A329="",$E329=""),"",IF($V329=1,S_INACT,IF(ISNA(MATCH($A329,TYP_TYPE,0)),S_TYPEKO,IF($U329=1,S_DONE,IF(AND($K329="",$R329=""),S_NOSCOPE,IF($K329="",S_NOTARGET,IF($N329&gt;0,S_LATE,IF($I329&lt;&gt;"",S_WIP,IF(-$N329&lt;=FEN_DOC,S_RISK,IF(-$N329&lt;=HORIZON,S_COMING,S_NOTYET))))))))))</f>
        <v/>
      </c>
      <c r="P329" s="24">
        <f>IF(OR($A329="",$E329=""),"",IF($V329=1,"",IF(ISNA(MATCH($A329,TYP_TYPE,0)),"Type not in the library",IF($B329="","Scope not set",IF(AND($B329="System",$C329=""),"System not set",IF(AND($B329="Equipment",$D329=""),"Equipment not set",IF($F329="","Responsible not set",IF($K329="","No target date",IF(AND($B329="Equipment",$C329&lt;&gt;"",IFERROR(INDEX(EQP_SYS,MATCH($D329,EQP_NOM,0)),"")&lt;&gt;$C329),"Equipment not in that system",IF(AND($U329=1,$M329=""),"Approved with no approval date",""))))))))))</f>
        <v/>
      </c>
      <c r="Q329" s="21" t="n"/>
      <c r="R329" s="23">
        <f>IF(OR($A329="",$B329=""),"",IF($B329="Equipment",IFERROR(INDEX(EQP_START,MATCH($D329,EQP_NOM,0)),""),IF($B329="System",IFERROR(INDEX(SYS_EARLIEST,MATCH($C329,SYS_ID,0)),""),IF($B329="All",CTR_EARLIEST,""))))</f>
        <v/>
      </c>
      <c r="S329" s="23">
        <f>IF(OR($A329="",$E329=""),"",IFERROR(IF(INDEX(TYP_ANCHOR,MATCH($A329,TYP_TYPE,0))="Commissioning Start",IF($R329="","",$R329-INDEX(TYP_LEAD,MATCH($A329,TYP_TYPE,0))),IF(INDEX(MS_PLAN,MATCH(INDEX(TYP_ANCHOR,MATCH($A329,TYP_TYPE,0)),MS_NOM,0))="","",INDEX(MS_PLAN,MATCH(INDEX(TYP_ANCHOR,MATCH($A329,TYP_TYPE,0)),MS_NOM,0))-INDEX(TYP_LEAD,MATCH($A329,TYP_TYPE,0)))),""))</f>
        <v/>
      </c>
      <c r="T329" s="26">
        <f>IF(OR($A329="",$E329=""),0,IF($V329=1,0,1))</f>
        <v/>
      </c>
      <c r="U329" s="26">
        <f>IF($T329=0,0,IF($M329&lt;&gt;"",1,IF(IFERROR(INDEX(WF_CLASS,MATCH($H329,WF_CODE,0)),"")="Done",1,0)))</f>
        <v/>
      </c>
      <c r="V329" s="26">
        <f>IF(OR($A329="",$E329=""),0,IF(IFERROR(INDEX(WF_CLASS,MATCH($H329,WF_CODE,0)),"")="Inactive",1,0))</f>
        <v/>
      </c>
      <c r="W329" s="24">
        <f>IF($A329="","",IFERROR(INDEX(TYP_PHASE,MATCH($A329,TYP_TYPE,0)),"-"))</f>
        <v/>
      </c>
      <c r="X329" s="24">
        <f>IF(AND($T329=1,$U329=0,N($N329)&gt;0),$N329+ROW()/1000000,"")</f>
        <v/>
      </c>
      <c r="Y329" s="24">
        <f>IF(AND($T329=1,$U329=0,OR($I329&lt;&gt;"",N($N329)&gt;0)),N($N329)+ROW()/1000000,"")</f>
        <v/>
      </c>
      <c r="Z329" s="24">
        <f>IF(AND($T329=1,$U329=0,$I329="",N($N329)&lt;=0,-N($N329)&lt;=HORIZON),N($N329)+ROW()/1000000,"")</f>
        <v/>
      </c>
    </row>
    <row r="330">
      <c r="A330" s="21" t="n"/>
      <c r="B330" s="21" t="n"/>
      <c r="C330" s="21" t="n"/>
      <c r="D330" s="21" t="n"/>
      <c r="E330" s="21" t="n"/>
      <c r="F330" s="21" t="n"/>
      <c r="G330" s="21" t="n"/>
      <c r="H330" s="21" t="n"/>
      <c r="I330" s="22" t="n"/>
      <c r="J330" s="22" t="n"/>
      <c r="K330" s="23">
        <f>IF($A330="","",IF($J330&lt;&gt;"",$J330,$S330))</f>
        <v/>
      </c>
      <c r="L330" s="24">
        <f>IF(OR($A330="",$E330=""),"",IF($J330&lt;&gt;"","Manual",IF($S330="","-","Auto")))</f>
        <v/>
      </c>
      <c r="M330" s="22" t="n"/>
      <c r="N330" s="25">
        <f>IF($T330=0,"",IF($U330=1,IF($M330="","",$M330-$K330),IF($K330="","",TODAY()-$K330)))</f>
        <v/>
      </c>
      <c r="O330" s="24">
        <f>IF(OR($A330="",$E330=""),"",IF($V330=1,S_INACT,IF(ISNA(MATCH($A330,TYP_TYPE,0)),S_TYPEKO,IF($U330=1,S_DONE,IF(AND($K330="",$R330=""),S_NOSCOPE,IF($K330="",S_NOTARGET,IF($N330&gt;0,S_LATE,IF($I330&lt;&gt;"",S_WIP,IF(-$N330&lt;=FEN_DOC,S_RISK,IF(-$N330&lt;=HORIZON,S_COMING,S_NOTYET))))))))))</f>
        <v/>
      </c>
      <c r="P330" s="24">
        <f>IF(OR($A330="",$E330=""),"",IF($V330=1,"",IF(ISNA(MATCH($A330,TYP_TYPE,0)),"Type not in the library",IF($B330="","Scope not set",IF(AND($B330="System",$C330=""),"System not set",IF(AND($B330="Equipment",$D330=""),"Equipment not set",IF($F330="","Responsible not set",IF($K330="","No target date",IF(AND($B330="Equipment",$C330&lt;&gt;"",IFERROR(INDEX(EQP_SYS,MATCH($D330,EQP_NOM,0)),"")&lt;&gt;$C330),"Equipment not in that system",IF(AND($U330=1,$M330=""),"Approved with no approval date",""))))))))))</f>
        <v/>
      </c>
      <c r="Q330" s="21" t="n"/>
      <c r="R330" s="23">
        <f>IF(OR($A330="",$B330=""),"",IF($B330="Equipment",IFERROR(INDEX(EQP_START,MATCH($D330,EQP_NOM,0)),""),IF($B330="System",IFERROR(INDEX(SYS_EARLIEST,MATCH($C330,SYS_ID,0)),""),IF($B330="All",CTR_EARLIEST,""))))</f>
        <v/>
      </c>
      <c r="S330" s="23">
        <f>IF(OR($A330="",$E330=""),"",IFERROR(IF(INDEX(TYP_ANCHOR,MATCH($A330,TYP_TYPE,0))="Commissioning Start",IF($R330="","",$R330-INDEX(TYP_LEAD,MATCH($A330,TYP_TYPE,0))),IF(INDEX(MS_PLAN,MATCH(INDEX(TYP_ANCHOR,MATCH($A330,TYP_TYPE,0)),MS_NOM,0))="","",INDEX(MS_PLAN,MATCH(INDEX(TYP_ANCHOR,MATCH($A330,TYP_TYPE,0)),MS_NOM,0))-INDEX(TYP_LEAD,MATCH($A330,TYP_TYPE,0)))),""))</f>
        <v/>
      </c>
      <c r="T330" s="26">
        <f>IF(OR($A330="",$E330=""),0,IF($V330=1,0,1))</f>
        <v/>
      </c>
      <c r="U330" s="26">
        <f>IF($T330=0,0,IF($M330&lt;&gt;"",1,IF(IFERROR(INDEX(WF_CLASS,MATCH($H330,WF_CODE,0)),"")="Done",1,0)))</f>
        <v/>
      </c>
      <c r="V330" s="26">
        <f>IF(OR($A330="",$E330=""),0,IF(IFERROR(INDEX(WF_CLASS,MATCH($H330,WF_CODE,0)),"")="Inactive",1,0))</f>
        <v/>
      </c>
      <c r="W330" s="24">
        <f>IF($A330="","",IFERROR(INDEX(TYP_PHASE,MATCH($A330,TYP_TYPE,0)),"-"))</f>
        <v/>
      </c>
      <c r="X330" s="24">
        <f>IF(AND($T330=1,$U330=0,N($N330)&gt;0),$N330+ROW()/1000000,"")</f>
        <v/>
      </c>
      <c r="Y330" s="24">
        <f>IF(AND($T330=1,$U330=0,OR($I330&lt;&gt;"",N($N330)&gt;0)),N($N330)+ROW()/1000000,"")</f>
        <v/>
      </c>
      <c r="Z330" s="24">
        <f>IF(AND($T330=1,$U330=0,$I330="",N($N330)&lt;=0,-N($N330)&lt;=HORIZON),N($N330)+ROW()/1000000,"")</f>
        <v/>
      </c>
    </row>
    <row r="331">
      <c r="A331" s="21" t="n"/>
      <c r="B331" s="21" t="n"/>
      <c r="C331" s="21" t="n"/>
      <c r="D331" s="21" t="n"/>
      <c r="E331" s="21" t="n"/>
      <c r="F331" s="21" t="n"/>
      <c r="G331" s="21" t="n"/>
      <c r="H331" s="21" t="n"/>
      <c r="I331" s="22" t="n"/>
      <c r="J331" s="22" t="n"/>
      <c r="K331" s="23">
        <f>IF($A331="","",IF($J331&lt;&gt;"",$J331,$S331))</f>
        <v/>
      </c>
      <c r="L331" s="24">
        <f>IF(OR($A331="",$E331=""),"",IF($J331&lt;&gt;"","Manual",IF($S331="","-","Auto")))</f>
        <v/>
      </c>
      <c r="M331" s="22" t="n"/>
      <c r="N331" s="25">
        <f>IF($T331=0,"",IF($U331=1,IF($M331="","",$M331-$K331),IF($K331="","",TODAY()-$K331)))</f>
        <v/>
      </c>
      <c r="O331" s="24">
        <f>IF(OR($A331="",$E331=""),"",IF($V331=1,S_INACT,IF(ISNA(MATCH($A331,TYP_TYPE,0)),S_TYPEKO,IF($U331=1,S_DONE,IF(AND($K331="",$R331=""),S_NOSCOPE,IF($K331="",S_NOTARGET,IF($N331&gt;0,S_LATE,IF($I331&lt;&gt;"",S_WIP,IF(-$N331&lt;=FEN_DOC,S_RISK,IF(-$N331&lt;=HORIZON,S_COMING,S_NOTYET))))))))))</f>
        <v/>
      </c>
      <c r="P331" s="24">
        <f>IF(OR($A331="",$E331=""),"",IF($V331=1,"",IF(ISNA(MATCH($A331,TYP_TYPE,0)),"Type not in the library",IF($B331="","Scope not set",IF(AND($B331="System",$C331=""),"System not set",IF(AND($B331="Equipment",$D331=""),"Equipment not set",IF($F331="","Responsible not set",IF($K331="","No target date",IF(AND($B331="Equipment",$C331&lt;&gt;"",IFERROR(INDEX(EQP_SYS,MATCH($D331,EQP_NOM,0)),"")&lt;&gt;$C331),"Equipment not in that system",IF(AND($U331=1,$M331=""),"Approved with no approval date",""))))))))))</f>
        <v/>
      </c>
      <c r="Q331" s="21" t="n"/>
      <c r="R331" s="23">
        <f>IF(OR($A331="",$B331=""),"",IF($B331="Equipment",IFERROR(INDEX(EQP_START,MATCH($D331,EQP_NOM,0)),""),IF($B331="System",IFERROR(INDEX(SYS_EARLIEST,MATCH($C331,SYS_ID,0)),""),IF($B331="All",CTR_EARLIEST,""))))</f>
        <v/>
      </c>
      <c r="S331" s="23">
        <f>IF(OR($A331="",$E331=""),"",IFERROR(IF(INDEX(TYP_ANCHOR,MATCH($A331,TYP_TYPE,0))="Commissioning Start",IF($R331="","",$R331-INDEX(TYP_LEAD,MATCH($A331,TYP_TYPE,0))),IF(INDEX(MS_PLAN,MATCH(INDEX(TYP_ANCHOR,MATCH($A331,TYP_TYPE,0)),MS_NOM,0))="","",INDEX(MS_PLAN,MATCH(INDEX(TYP_ANCHOR,MATCH($A331,TYP_TYPE,0)),MS_NOM,0))-INDEX(TYP_LEAD,MATCH($A331,TYP_TYPE,0)))),""))</f>
        <v/>
      </c>
      <c r="T331" s="26">
        <f>IF(OR($A331="",$E331=""),0,IF($V331=1,0,1))</f>
        <v/>
      </c>
      <c r="U331" s="26">
        <f>IF($T331=0,0,IF($M331&lt;&gt;"",1,IF(IFERROR(INDEX(WF_CLASS,MATCH($H331,WF_CODE,0)),"")="Done",1,0)))</f>
        <v/>
      </c>
      <c r="V331" s="26">
        <f>IF(OR($A331="",$E331=""),0,IF(IFERROR(INDEX(WF_CLASS,MATCH($H331,WF_CODE,0)),"")="Inactive",1,0))</f>
        <v/>
      </c>
      <c r="W331" s="24">
        <f>IF($A331="","",IFERROR(INDEX(TYP_PHASE,MATCH($A331,TYP_TYPE,0)),"-"))</f>
        <v/>
      </c>
      <c r="X331" s="24">
        <f>IF(AND($T331=1,$U331=0,N($N331)&gt;0),$N331+ROW()/1000000,"")</f>
        <v/>
      </c>
      <c r="Y331" s="24">
        <f>IF(AND($T331=1,$U331=0,OR($I331&lt;&gt;"",N($N331)&gt;0)),N($N331)+ROW()/1000000,"")</f>
        <v/>
      </c>
      <c r="Z331" s="24">
        <f>IF(AND($T331=1,$U331=0,$I331="",N($N331)&lt;=0,-N($N331)&lt;=HORIZON),N($N331)+ROW()/1000000,"")</f>
        <v/>
      </c>
    </row>
    <row r="332">
      <c r="A332" s="21" t="n"/>
      <c r="B332" s="21" t="n"/>
      <c r="C332" s="21" t="n"/>
      <c r="D332" s="21" t="n"/>
      <c r="E332" s="21" t="n"/>
      <c r="F332" s="21" t="n"/>
      <c r="G332" s="21" t="n"/>
      <c r="H332" s="21" t="n"/>
      <c r="I332" s="22" t="n"/>
      <c r="J332" s="22" t="n"/>
      <c r="K332" s="23">
        <f>IF($A332="","",IF($J332&lt;&gt;"",$J332,$S332))</f>
        <v/>
      </c>
      <c r="L332" s="24">
        <f>IF(OR($A332="",$E332=""),"",IF($J332&lt;&gt;"","Manual",IF($S332="","-","Auto")))</f>
        <v/>
      </c>
      <c r="M332" s="22" t="n"/>
      <c r="N332" s="25">
        <f>IF($T332=0,"",IF($U332=1,IF($M332="","",$M332-$K332),IF($K332="","",TODAY()-$K332)))</f>
        <v/>
      </c>
      <c r="O332" s="24">
        <f>IF(OR($A332="",$E332=""),"",IF($V332=1,S_INACT,IF(ISNA(MATCH($A332,TYP_TYPE,0)),S_TYPEKO,IF($U332=1,S_DONE,IF(AND($K332="",$R332=""),S_NOSCOPE,IF($K332="",S_NOTARGET,IF($N332&gt;0,S_LATE,IF($I332&lt;&gt;"",S_WIP,IF(-$N332&lt;=FEN_DOC,S_RISK,IF(-$N332&lt;=HORIZON,S_COMING,S_NOTYET))))))))))</f>
        <v/>
      </c>
      <c r="P332" s="24">
        <f>IF(OR($A332="",$E332=""),"",IF($V332=1,"",IF(ISNA(MATCH($A332,TYP_TYPE,0)),"Type not in the library",IF($B332="","Scope not set",IF(AND($B332="System",$C332=""),"System not set",IF(AND($B332="Equipment",$D332=""),"Equipment not set",IF($F332="","Responsible not set",IF($K332="","No target date",IF(AND($B332="Equipment",$C332&lt;&gt;"",IFERROR(INDEX(EQP_SYS,MATCH($D332,EQP_NOM,0)),"")&lt;&gt;$C332),"Equipment not in that system",IF(AND($U332=1,$M332=""),"Approved with no approval date",""))))))))))</f>
        <v/>
      </c>
      <c r="Q332" s="21" t="n"/>
      <c r="R332" s="23">
        <f>IF(OR($A332="",$B332=""),"",IF($B332="Equipment",IFERROR(INDEX(EQP_START,MATCH($D332,EQP_NOM,0)),""),IF($B332="System",IFERROR(INDEX(SYS_EARLIEST,MATCH($C332,SYS_ID,0)),""),IF($B332="All",CTR_EARLIEST,""))))</f>
        <v/>
      </c>
      <c r="S332" s="23">
        <f>IF(OR($A332="",$E332=""),"",IFERROR(IF(INDEX(TYP_ANCHOR,MATCH($A332,TYP_TYPE,0))="Commissioning Start",IF($R332="","",$R332-INDEX(TYP_LEAD,MATCH($A332,TYP_TYPE,0))),IF(INDEX(MS_PLAN,MATCH(INDEX(TYP_ANCHOR,MATCH($A332,TYP_TYPE,0)),MS_NOM,0))="","",INDEX(MS_PLAN,MATCH(INDEX(TYP_ANCHOR,MATCH($A332,TYP_TYPE,0)),MS_NOM,0))-INDEX(TYP_LEAD,MATCH($A332,TYP_TYPE,0)))),""))</f>
        <v/>
      </c>
      <c r="T332" s="26">
        <f>IF(OR($A332="",$E332=""),0,IF($V332=1,0,1))</f>
        <v/>
      </c>
      <c r="U332" s="26">
        <f>IF($T332=0,0,IF($M332&lt;&gt;"",1,IF(IFERROR(INDEX(WF_CLASS,MATCH($H332,WF_CODE,0)),"")="Done",1,0)))</f>
        <v/>
      </c>
      <c r="V332" s="26">
        <f>IF(OR($A332="",$E332=""),0,IF(IFERROR(INDEX(WF_CLASS,MATCH($H332,WF_CODE,0)),"")="Inactive",1,0))</f>
        <v/>
      </c>
      <c r="W332" s="24">
        <f>IF($A332="","",IFERROR(INDEX(TYP_PHASE,MATCH($A332,TYP_TYPE,0)),"-"))</f>
        <v/>
      </c>
      <c r="X332" s="24">
        <f>IF(AND($T332=1,$U332=0,N($N332)&gt;0),$N332+ROW()/1000000,"")</f>
        <v/>
      </c>
      <c r="Y332" s="24">
        <f>IF(AND($T332=1,$U332=0,OR($I332&lt;&gt;"",N($N332)&gt;0)),N($N332)+ROW()/1000000,"")</f>
        <v/>
      </c>
      <c r="Z332" s="24">
        <f>IF(AND($T332=1,$U332=0,$I332="",N($N332)&lt;=0,-N($N332)&lt;=HORIZON),N($N332)+ROW()/1000000,"")</f>
        <v/>
      </c>
    </row>
    <row r="333">
      <c r="A333" s="21" t="n"/>
      <c r="B333" s="21" t="n"/>
      <c r="C333" s="21" t="n"/>
      <c r="D333" s="21" t="n"/>
      <c r="E333" s="21" t="n"/>
      <c r="F333" s="21" t="n"/>
      <c r="G333" s="21" t="n"/>
      <c r="H333" s="21" t="n"/>
      <c r="I333" s="22" t="n"/>
      <c r="J333" s="22" t="n"/>
      <c r="K333" s="23">
        <f>IF($A333="","",IF($J333&lt;&gt;"",$J333,$S333))</f>
        <v/>
      </c>
      <c r="L333" s="24">
        <f>IF(OR($A333="",$E333=""),"",IF($J333&lt;&gt;"","Manual",IF($S333="","-","Auto")))</f>
        <v/>
      </c>
      <c r="M333" s="22" t="n"/>
      <c r="N333" s="25">
        <f>IF($T333=0,"",IF($U333=1,IF($M333="","",$M333-$K333),IF($K333="","",TODAY()-$K333)))</f>
        <v/>
      </c>
      <c r="O333" s="24">
        <f>IF(OR($A333="",$E333=""),"",IF($V333=1,S_INACT,IF(ISNA(MATCH($A333,TYP_TYPE,0)),S_TYPEKO,IF($U333=1,S_DONE,IF(AND($K333="",$R333=""),S_NOSCOPE,IF($K333="",S_NOTARGET,IF($N333&gt;0,S_LATE,IF($I333&lt;&gt;"",S_WIP,IF(-$N333&lt;=FEN_DOC,S_RISK,IF(-$N333&lt;=HORIZON,S_COMING,S_NOTYET))))))))))</f>
        <v/>
      </c>
      <c r="P333" s="24">
        <f>IF(OR($A333="",$E333=""),"",IF($V333=1,"",IF(ISNA(MATCH($A333,TYP_TYPE,0)),"Type not in the library",IF($B333="","Scope not set",IF(AND($B333="System",$C333=""),"System not set",IF(AND($B333="Equipment",$D333=""),"Equipment not set",IF($F333="","Responsible not set",IF($K333="","No target date",IF(AND($B333="Equipment",$C333&lt;&gt;"",IFERROR(INDEX(EQP_SYS,MATCH($D333,EQP_NOM,0)),"")&lt;&gt;$C333),"Equipment not in that system",IF(AND($U333=1,$M333=""),"Approved with no approval date",""))))))))))</f>
        <v/>
      </c>
      <c r="Q333" s="21" t="n"/>
      <c r="R333" s="23">
        <f>IF(OR($A333="",$B333=""),"",IF($B333="Equipment",IFERROR(INDEX(EQP_START,MATCH($D333,EQP_NOM,0)),""),IF($B333="System",IFERROR(INDEX(SYS_EARLIEST,MATCH($C333,SYS_ID,0)),""),IF($B333="All",CTR_EARLIEST,""))))</f>
        <v/>
      </c>
      <c r="S333" s="23">
        <f>IF(OR($A333="",$E333=""),"",IFERROR(IF(INDEX(TYP_ANCHOR,MATCH($A333,TYP_TYPE,0))="Commissioning Start",IF($R333="","",$R333-INDEX(TYP_LEAD,MATCH($A333,TYP_TYPE,0))),IF(INDEX(MS_PLAN,MATCH(INDEX(TYP_ANCHOR,MATCH($A333,TYP_TYPE,0)),MS_NOM,0))="","",INDEX(MS_PLAN,MATCH(INDEX(TYP_ANCHOR,MATCH($A333,TYP_TYPE,0)),MS_NOM,0))-INDEX(TYP_LEAD,MATCH($A333,TYP_TYPE,0)))),""))</f>
        <v/>
      </c>
      <c r="T333" s="26">
        <f>IF(OR($A333="",$E333=""),0,IF($V333=1,0,1))</f>
        <v/>
      </c>
      <c r="U333" s="26">
        <f>IF($T333=0,0,IF($M333&lt;&gt;"",1,IF(IFERROR(INDEX(WF_CLASS,MATCH($H333,WF_CODE,0)),"")="Done",1,0)))</f>
        <v/>
      </c>
      <c r="V333" s="26">
        <f>IF(OR($A333="",$E333=""),0,IF(IFERROR(INDEX(WF_CLASS,MATCH($H333,WF_CODE,0)),"")="Inactive",1,0))</f>
        <v/>
      </c>
      <c r="W333" s="24">
        <f>IF($A333="","",IFERROR(INDEX(TYP_PHASE,MATCH($A333,TYP_TYPE,0)),"-"))</f>
        <v/>
      </c>
      <c r="X333" s="24">
        <f>IF(AND($T333=1,$U333=0,N($N333)&gt;0),$N333+ROW()/1000000,"")</f>
        <v/>
      </c>
      <c r="Y333" s="24">
        <f>IF(AND($T333=1,$U333=0,OR($I333&lt;&gt;"",N($N333)&gt;0)),N($N333)+ROW()/1000000,"")</f>
        <v/>
      </c>
      <c r="Z333" s="24">
        <f>IF(AND($T333=1,$U333=0,$I333="",N($N333)&lt;=0,-N($N333)&lt;=HORIZON),N($N333)+ROW()/1000000,"")</f>
        <v/>
      </c>
    </row>
    <row r="334">
      <c r="A334" s="21" t="n"/>
      <c r="B334" s="21" t="n"/>
      <c r="C334" s="21" t="n"/>
      <c r="D334" s="21" t="n"/>
      <c r="E334" s="21" t="n"/>
      <c r="F334" s="21" t="n"/>
      <c r="G334" s="21" t="n"/>
      <c r="H334" s="21" t="n"/>
      <c r="I334" s="22" t="n"/>
      <c r="J334" s="22" t="n"/>
      <c r="K334" s="23">
        <f>IF($A334="","",IF($J334&lt;&gt;"",$J334,$S334))</f>
        <v/>
      </c>
      <c r="L334" s="24">
        <f>IF(OR($A334="",$E334=""),"",IF($J334&lt;&gt;"","Manual",IF($S334="","-","Auto")))</f>
        <v/>
      </c>
      <c r="M334" s="22" t="n"/>
      <c r="N334" s="25">
        <f>IF($T334=0,"",IF($U334=1,IF($M334="","",$M334-$K334),IF($K334="","",TODAY()-$K334)))</f>
        <v/>
      </c>
      <c r="O334" s="24">
        <f>IF(OR($A334="",$E334=""),"",IF($V334=1,S_INACT,IF(ISNA(MATCH($A334,TYP_TYPE,0)),S_TYPEKO,IF($U334=1,S_DONE,IF(AND($K334="",$R334=""),S_NOSCOPE,IF($K334="",S_NOTARGET,IF($N334&gt;0,S_LATE,IF($I334&lt;&gt;"",S_WIP,IF(-$N334&lt;=FEN_DOC,S_RISK,IF(-$N334&lt;=HORIZON,S_COMING,S_NOTYET))))))))))</f>
        <v/>
      </c>
      <c r="P334" s="24">
        <f>IF(OR($A334="",$E334=""),"",IF($V334=1,"",IF(ISNA(MATCH($A334,TYP_TYPE,0)),"Type not in the library",IF($B334="","Scope not set",IF(AND($B334="System",$C334=""),"System not set",IF(AND($B334="Equipment",$D334=""),"Equipment not set",IF($F334="","Responsible not set",IF($K334="","No target date",IF(AND($B334="Equipment",$C334&lt;&gt;"",IFERROR(INDEX(EQP_SYS,MATCH($D334,EQP_NOM,0)),"")&lt;&gt;$C334),"Equipment not in that system",IF(AND($U334=1,$M334=""),"Approved with no approval date",""))))))))))</f>
        <v/>
      </c>
      <c r="Q334" s="21" t="n"/>
      <c r="R334" s="23">
        <f>IF(OR($A334="",$B334=""),"",IF($B334="Equipment",IFERROR(INDEX(EQP_START,MATCH($D334,EQP_NOM,0)),""),IF($B334="System",IFERROR(INDEX(SYS_EARLIEST,MATCH($C334,SYS_ID,0)),""),IF($B334="All",CTR_EARLIEST,""))))</f>
        <v/>
      </c>
      <c r="S334" s="23">
        <f>IF(OR($A334="",$E334=""),"",IFERROR(IF(INDEX(TYP_ANCHOR,MATCH($A334,TYP_TYPE,0))="Commissioning Start",IF($R334="","",$R334-INDEX(TYP_LEAD,MATCH($A334,TYP_TYPE,0))),IF(INDEX(MS_PLAN,MATCH(INDEX(TYP_ANCHOR,MATCH($A334,TYP_TYPE,0)),MS_NOM,0))="","",INDEX(MS_PLAN,MATCH(INDEX(TYP_ANCHOR,MATCH($A334,TYP_TYPE,0)),MS_NOM,0))-INDEX(TYP_LEAD,MATCH($A334,TYP_TYPE,0)))),""))</f>
        <v/>
      </c>
      <c r="T334" s="26">
        <f>IF(OR($A334="",$E334=""),0,IF($V334=1,0,1))</f>
        <v/>
      </c>
      <c r="U334" s="26">
        <f>IF($T334=0,0,IF($M334&lt;&gt;"",1,IF(IFERROR(INDEX(WF_CLASS,MATCH($H334,WF_CODE,0)),"")="Done",1,0)))</f>
        <v/>
      </c>
      <c r="V334" s="26">
        <f>IF(OR($A334="",$E334=""),0,IF(IFERROR(INDEX(WF_CLASS,MATCH($H334,WF_CODE,0)),"")="Inactive",1,0))</f>
        <v/>
      </c>
      <c r="W334" s="24">
        <f>IF($A334="","",IFERROR(INDEX(TYP_PHASE,MATCH($A334,TYP_TYPE,0)),"-"))</f>
        <v/>
      </c>
      <c r="X334" s="24">
        <f>IF(AND($T334=1,$U334=0,N($N334)&gt;0),$N334+ROW()/1000000,"")</f>
        <v/>
      </c>
      <c r="Y334" s="24">
        <f>IF(AND($T334=1,$U334=0,OR($I334&lt;&gt;"",N($N334)&gt;0)),N($N334)+ROW()/1000000,"")</f>
        <v/>
      </c>
      <c r="Z334" s="24">
        <f>IF(AND($T334=1,$U334=0,$I334="",N($N334)&lt;=0,-N($N334)&lt;=HORIZON),N($N334)+ROW()/1000000,"")</f>
        <v/>
      </c>
    </row>
    <row r="335">
      <c r="A335" s="21" t="n"/>
      <c r="B335" s="21" t="n"/>
      <c r="C335" s="21" t="n"/>
      <c r="D335" s="21" t="n"/>
      <c r="E335" s="21" t="n"/>
      <c r="F335" s="21" t="n"/>
      <c r="G335" s="21" t="n"/>
      <c r="H335" s="21" t="n"/>
      <c r="I335" s="22" t="n"/>
      <c r="J335" s="22" t="n"/>
      <c r="K335" s="23">
        <f>IF($A335="","",IF($J335&lt;&gt;"",$J335,$S335))</f>
        <v/>
      </c>
      <c r="L335" s="24">
        <f>IF(OR($A335="",$E335=""),"",IF($J335&lt;&gt;"","Manual",IF($S335="","-","Auto")))</f>
        <v/>
      </c>
      <c r="M335" s="22" t="n"/>
      <c r="N335" s="25">
        <f>IF($T335=0,"",IF($U335=1,IF($M335="","",$M335-$K335),IF($K335="","",TODAY()-$K335)))</f>
        <v/>
      </c>
      <c r="O335" s="24">
        <f>IF(OR($A335="",$E335=""),"",IF($V335=1,S_INACT,IF(ISNA(MATCH($A335,TYP_TYPE,0)),S_TYPEKO,IF($U335=1,S_DONE,IF(AND($K335="",$R335=""),S_NOSCOPE,IF($K335="",S_NOTARGET,IF($N335&gt;0,S_LATE,IF($I335&lt;&gt;"",S_WIP,IF(-$N335&lt;=FEN_DOC,S_RISK,IF(-$N335&lt;=HORIZON,S_COMING,S_NOTYET))))))))))</f>
        <v/>
      </c>
      <c r="P335" s="24">
        <f>IF(OR($A335="",$E335=""),"",IF($V335=1,"",IF(ISNA(MATCH($A335,TYP_TYPE,0)),"Type not in the library",IF($B335="","Scope not set",IF(AND($B335="System",$C335=""),"System not set",IF(AND($B335="Equipment",$D335=""),"Equipment not set",IF($F335="","Responsible not set",IF($K335="","No target date",IF(AND($B335="Equipment",$C335&lt;&gt;"",IFERROR(INDEX(EQP_SYS,MATCH($D335,EQP_NOM,0)),"")&lt;&gt;$C335),"Equipment not in that system",IF(AND($U335=1,$M335=""),"Approved with no approval date",""))))))))))</f>
        <v/>
      </c>
      <c r="Q335" s="21" t="n"/>
      <c r="R335" s="23">
        <f>IF(OR($A335="",$B335=""),"",IF($B335="Equipment",IFERROR(INDEX(EQP_START,MATCH($D335,EQP_NOM,0)),""),IF($B335="System",IFERROR(INDEX(SYS_EARLIEST,MATCH($C335,SYS_ID,0)),""),IF($B335="All",CTR_EARLIEST,""))))</f>
        <v/>
      </c>
      <c r="S335" s="23">
        <f>IF(OR($A335="",$E335=""),"",IFERROR(IF(INDEX(TYP_ANCHOR,MATCH($A335,TYP_TYPE,0))="Commissioning Start",IF($R335="","",$R335-INDEX(TYP_LEAD,MATCH($A335,TYP_TYPE,0))),IF(INDEX(MS_PLAN,MATCH(INDEX(TYP_ANCHOR,MATCH($A335,TYP_TYPE,0)),MS_NOM,0))="","",INDEX(MS_PLAN,MATCH(INDEX(TYP_ANCHOR,MATCH($A335,TYP_TYPE,0)),MS_NOM,0))-INDEX(TYP_LEAD,MATCH($A335,TYP_TYPE,0)))),""))</f>
        <v/>
      </c>
      <c r="T335" s="26">
        <f>IF(OR($A335="",$E335=""),0,IF($V335=1,0,1))</f>
        <v/>
      </c>
      <c r="U335" s="26">
        <f>IF($T335=0,0,IF($M335&lt;&gt;"",1,IF(IFERROR(INDEX(WF_CLASS,MATCH($H335,WF_CODE,0)),"")="Done",1,0)))</f>
        <v/>
      </c>
      <c r="V335" s="26">
        <f>IF(OR($A335="",$E335=""),0,IF(IFERROR(INDEX(WF_CLASS,MATCH($H335,WF_CODE,0)),"")="Inactive",1,0))</f>
        <v/>
      </c>
      <c r="W335" s="24">
        <f>IF($A335="","",IFERROR(INDEX(TYP_PHASE,MATCH($A335,TYP_TYPE,0)),"-"))</f>
        <v/>
      </c>
      <c r="X335" s="24">
        <f>IF(AND($T335=1,$U335=0,N($N335)&gt;0),$N335+ROW()/1000000,"")</f>
        <v/>
      </c>
      <c r="Y335" s="24">
        <f>IF(AND($T335=1,$U335=0,OR($I335&lt;&gt;"",N($N335)&gt;0)),N($N335)+ROW()/1000000,"")</f>
        <v/>
      </c>
      <c r="Z335" s="24">
        <f>IF(AND($T335=1,$U335=0,$I335="",N($N335)&lt;=0,-N($N335)&lt;=HORIZON),N($N335)+ROW()/1000000,"")</f>
        <v/>
      </c>
    </row>
    <row r="336">
      <c r="A336" s="21" t="n"/>
      <c r="B336" s="21" t="n"/>
      <c r="C336" s="21" t="n"/>
      <c r="D336" s="21" t="n"/>
      <c r="E336" s="21" t="n"/>
      <c r="F336" s="21" t="n"/>
      <c r="G336" s="21" t="n"/>
      <c r="H336" s="21" t="n"/>
      <c r="I336" s="22" t="n"/>
      <c r="J336" s="22" t="n"/>
      <c r="K336" s="23">
        <f>IF($A336="","",IF($J336&lt;&gt;"",$J336,$S336))</f>
        <v/>
      </c>
      <c r="L336" s="24">
        <f>IF(OR($A336="",$E336=""),"",IF($J336&lt;&gt;"","Manual",IF($S336="","-","Auto")))</f>
        <v/>
      </c>
      <c r="M336" s="22" t="n"/>
      <c r="N336" s="25">
        <f>IF($T336=0,"",IF($U336=1,IF($M336="","",$M336-$K336),IF($K336="","",TODAY()-$K336)))</f>
        <v/>
      </c>
      <c r="O336" s="24">
        <f>IF(OR($A336="",$E336=""),"",IF($V336=1,S_INACT,IF(ISNA(MATCH($A336,TYP_TYPE,0)),S_TYPEKO,IF($U336=1,S_DONE,IF(AND($K336="",$R336=""),S_NOSCOPE,IF($K336="",S_NOTARGET,IF($N336&gt;0,S_LATE,IF($I336&lt;&gt;"",S_WIP,IF(-$N336&lt;=FEN_DOC,S_RISK,IF(-$N336&lt;=HORIZON,S_COMING,S_NOTYET))))))))))</f>
        <v/>
      </c>
      <c r="P336" s="24">
        <f>IF(OR($A336="",$E336=""),"",IF($V336=1,"",IF(ISNA(MATCH($A336,TYP_TYPE,0)),"Type not in the library",IF($B336="","Scope not set",IF(AND($B336="System",$C336=""),"System not set",IF(AND($B336="Equipment",$D336=""),"Equipment not set",IF($F336="","Responsible not set",IF($K336="","No target date",IF(AND($B336="Equipment",$C336&lt;&gt;"",IFERROR(INDEX(EQP_SYS,MATCH($D336,EQP_NOM,0)),"")&lt;&gt;$C336),"Equipment not in that system",IF(AND($U336=1,$M336=""),"Approved with no approval date",""))))))))))</f>
        <v/>
      </c>
      <c r="Q336" s="21" t="n"/>
      <c r="R336" s="23">
        <f>IF(OR($A336="",$B336=""),"",IF($B336="Equipment",IFERROR(INDEX(EQP_START,MATCH($D336,EQP_NOM,0)),""),IF($B336="System",IFERROR(INDEX(SYS_EARLIEST,MATCH($C336,SYS_ID,0)),""),IF($B336="All",CTR_EARLIEST,""))))</f>
        <v/>
      </c>
      <c r="S336" s="23">
        <f>IF(OR($A336="",$E336=""),"",IFERROR(IF(INDEX(TYP_ANCHOR,MATCH($A336,TYP_TYPE,0))="Commissioning Start",IF($R336="","",$R336-INDEX(TYP_LEAD,MATCH($A336,TYP_TYPE,0))),IF(INDEX(MS_PLAN,MATCH(INDEX(TYP_ANCHOR,MATCH($A336,TYP_TYPE,0)),MS_NOM,0))="","",INDEX(MS_PLAN,MATCH(INDEX(TYP_ANCHOR,MATCH($A336,TYP_TYPE,0)),MS_NOM,0))-INDEX(TYP_LEAD,MATCH($A336,TYP_TYPE,0)))),""))</f>
        <v/>
      </c>
      <c r="T336" s="26">
        <f>IF(OR($A336="",$E336=""),0,IF($V336=1,0,1))</f>
        <v/>
      </c>
      <c r="U336" s="26">
        <f>IF($T336=0,0,IF($M336&lt;&gt;"",1,IF(IFERROR(INDEX(WF_CLASS,MATCH($H336,WF_CODE,0)),"")="Done",1,0)))</f>
        <v/>
      </c>
      <c r="V336" s="26">
        <f>IF(OR($A336="",$E336=""),0,IF(IFERROR(INDEX(WF_CLASS,MATCH($H336,WF_CODE,0)),"")="Inactive",1,0))</f>
        <v/>
      </c>
      <c r="W336" s="24">
        <f>IF($A336="","",IFERROR(INDEX(TYP_PHASE,MATCH($A336,TYP_TYPE,0)),"-"))</f>
        <v/>
      </c>
      <c r="X336" s="24">
        <f>IF(AND($T336=1,$U336=0,N($N336)&gt;0),$N336+ROW()/1000000,"")</f>
        <v/>
      </c>
      <c r="Y336" s="24">
        <f>IF(AND($T336=1,$U336=0,OR($I336&lt;&gt;"",N($N336)&gt;0)),N($N336)+ROW()/1000000,"")</f>
        <v/>
      </c>
      <c r="Z336" s="24">
        <f>IF(AND($T336=1,$U336=0,$I336="",N($N336)&lt;=0,-N($N336)&lt;=HORIZON),N($N336)+ROW()/1000000,"")</f>
        <v/>
      </c>
    </row>
    <row r="337">
      <c r="A337" s="21" t="n"/>
      <c r="B337" s="21" t="n"/>
      <c r="C337" s="21" t="n"/>
      <c r="D337" s="21" t="n"/>
      <c r="E337" s="21" t="n"/>
      <c r="F337" s="21" t="n"/>
      <c r="G337" s="21" t="n"/>
      <c r="H337" s="21" t="n"/>
      <c r="I337" s="22" t="n"/>
      <c r="J337" s="22" t="n"/>
      <c r="K337" s="23">
        <f>IF($A337="","",IF($J337&lt;&gt;"",$J337,$S337))</f>
        <v/>
      </c>
      <c r="L337" s="24">
        <f>IF(OR($A337="",$E337=""),"",IF($J337&lt;&gt;"","Manual",IF($S337="","-","Auto")))</f>
        <v/>
      </c>
      <c r="M337" s="22" t="n"/>
      <c r="N337" s="25">
        <f>IF($T337=0,"",IF($U337=1,IF($M337="","",$M337-$K337),IF($K337="","",TODAY()-$K337)))</f>
        <v/>
      </c>
      <c r="O337" s="24">
        <f>IF(OR($A337="",$E337=""),"",IF($V337=1,S_INACT,IF(ISNA(MATCH($A337,TYP_TYPE,0)),S_TYPEKO,IF($U337=1,S_DONE,IF(AND($K337="",$R337=""),S_NOSCOPE,IF($K337="",S_NOTARGET,IF($N337&gt;0,S_LATE,IF($I337&lt;&gt;"",S_WIP,IF(-$N337&lt;=FEN_DOC,S_RISK,IF(-$N337&lt;=HORIZON,S_COMING,S_NOTYET))))))))))</f>
        <v/>
      </c>
      <c r="P337" s="24">
        <f>IF(OR($A337="",$E337=""),"",IF($V337=1,"",IF(ISNA(MATCH($A337,TYP_TYPE,0)),"Type not in the library",IF($B337="","Scope not set",IF(AND($B337="System",$C337=""),"System not set",IF(AND($B337="Equipment",$D337=""),"Equipment not set",IF($F337="","Responsible not set",IF($K337="","No target date",IF(AND($B337="Equipment",$C337&lt;&gt;"",IFERROR(INDEX(EQP_SYS,MATCH($D337,EQP_NOM,0)),"")&lt;&gt;$C337),"Equipment not in that system",IF(AND($U337=1,$M337=""),"Approved with no approval date",""))))))))))</f>
        <v/>
      </c>
      <c r="Q337" s="21" t="n"/>
      <c r="R337" s="23">
        <f>IF(OR($A337="",$B337=""),"",IF($B337="Equipment",IFERROR(INDEX(EQP_START,MATCH($D337,EQP_NOM,0)),""),IF($B337="System",IFERROR(INDEX(SYS_EARLIEST,MATCH($C337,SYS_ID,0)),""),IF($B337="All",CTR_EARLIEST,""))))</f>
        <v/>
      </c>
      <c r="S337" s="23">
        <f>IF(OR($A337="",$E337=""),"",IFERROR(IF(INDEX(TYP_ANCHOR,MATCH($A337,TYP_TYPE,0))="Commissioning Start",IF($R337="","",$R337-INDEX(TYP_LEAD,MATCH($A337,TYP_TYPE,0))),IF(INDEX(MS_PLAN,MATCH(INDEX(TYP_ANCHOR,MATCH($A337,TYP_TYPE,0)),MS_NOM,0))="","",INDEX(MS_PLAN,MATCH(INDEX(TYP_ANCHOR,MATCH($A337,TYP_TYPE,0)),MS_NOM,0))-INDEX(TYP_LEAD,MATCH($A337,TYP_TYPE,0)))),""))</f>
        <v/>
      </c>
      <c r="T337" s="26">
        <f>IF(OR($A337="",$E337=""),0,IF($V337=1,0,1))</f>
        <v/>
      </c>
      <c r="U337" s="26">
        <f>IF($T337=0,0,IF($M337&lt;&gt;"",1,IF(IFERROR(INDEX(WF_CLASS,MATCH($H337,WF_CODE,0)),"")="Done",1,0)))</f>
        <v/>
      </c>
      <c r="V337" s="26">
        <f>IF(OR($A337="",$E337=""),0,IF(IFERROR(INDEX(WF_CLASS,MATCH($H337,WF_CODE,0)),"")="Inactive",1,0))</f>
        <v/>
      </c>
      <c r="W337" s="24">
        <f>IF($A337="","",IFERROR(INDEX(TYP_PHASE,MATCH($A337,TYP_TYPE,0)),"-"))</f>
        <v/>
      </c>
      <c r="X337" s="24">
        <f>IF(AND($T337=1,$U337=0,N($N337)&gt;0),$N337+ROW()/1000000,"")</f>
        <v/>
      </c>
      <c r="Y337" s="24">
        <f>IF(AND($T337=1,$U337=0,OR($I337&lt;&gt;"",N($N337)&gt;0)),N($N337)+ROW()/1000000,"")</f>
        <v/>
      </c>
      <c r="Z337" s="24">
        <f>IF(AND($T337=1,$U337=0,$I337="",N($N337)&lt;=0,-N($N337)&lt;=HORIZON),N($N337)+ROW()/1000000,"")</f>
        <v/>
      </c>
    </row>
    <row r="338">
      <c r="A338" s="21" t="n"/>
      <c r="B338" s="21" t="n"/>
      <c r="C338" s="21" t="n"/>
      <c r="D338" s="21" t="n"/>
      <c r="E338" s="21" t="n"/>
      <c r="F338" s="21" t="n"/>
      <c r="G338" s="21" t="n"/>
      <c r="H338" s="21" t="n"/>
      <c r="I338" s="22" t="n"/>
      <c r="J338" s="22" t="n"/>
      <c r="K338" s="23">
        <f>IF($A338="","",IF($J338&lt;&gt;"",$J338,$S338))</f>
        <v/>
      </c>
      <c r="L338" s="24">
        <f>IF(OR($A338="",$E338=""),"",IF($J338&lt;&gt;"","Manual",IF($S338="","-","Auto")))</f>
        <v/>
      </c>
      <c r="M338" s="22" t="n"/>
      <c r="N338" s="25">
        <f>IF($T338=0,"",IF($U338=1,IF($M338="","",$M338-$K338),IF($K338="","",TODAY()-$K338)))</f>
        <v/>
      </c>
      <c r="O338" s="24">
        <f>IF(OR($A338="",$E338=""),"",IF($V338=1,S_INACT,IF(ISNA(MATCH($A338,TYP_TYPE,0)),S_TYPEKO,IF($U338=1,S_DONE,IF(AND($K338="",$R338=""),S_NOSCOPE,IF($K338="",S_NOTARGET,IF($N338&gt;0,S_LATE,IF($I338&lt;&gt;"",S_WIP,IF(-$N338&lt;=FEN_DOC,S_RISK,IF(-$N338&lt;=HORIZON,S_COMING,S_NOTYET))))))))))</f>
        <v/>
      </c>
      <c r="P338" s="24">
        <f>IF(OR($A338="",$E338=""),"",IF($V338=1,"",IF(ISNA(MATCH($A338,TYP_TYPE,0)),"Type not in the library",IF($B338="","Scope not set",IF(AND($B338="System",$C338=""),"System not set",IF(AND($B338="Equipment",$D338=""),"Equipment not set",IF($F338="","Responsible not set",IF($K338="","No target date",IF(AND($B338="Equipment",$C338&lt;&gt;"",IFERROR(INDEX(EQP_SYS,MATCH($D338,EQP_NOM,0)),"")&lt;&gt;$C338),"Equipment not in that system",IF(AND($U338=1,$M338=""),"Approved with no approval date",""))))))))))</f>
        <v/>
      </c>
      <c r="Q338" s="21" t="n"/>
      <c r="R338" s="23">
        <f>IF(OR($A338="",$B338=""),"",IF($B338="Equipment",IFERROR(INDEX(EQP_START,MATCH($D338,EQP_NOM,0)),""),IF($B338="System",IFERROR(INDEX(SYS_EARLIEST,MATCH($C338,SYS_ID,0)),""),IF($B338="All",CTR_EARLIEST,""))))</f>
        <v/>
      </c>
      <c r="S338" s="23">
        <f>IF(OR($A338="",$E338=""),"",IFERROR(IF(INDEX(TYP_ANCHOR,MATCH($A338,TYP_TYPE,0))="Commissioning Start",IF($R338="","",$R338-INDEX(TYP_LEAD,MATCH($A338,TYP_TYPE,0))),IF(INDEX(MS_PLAN,MATCH(INDEX(TYP_ANCHOR,MATCH($A338,TYP_TYPE,0)),MS_NOM,0))="","",INDEX(MS_PLAN,MATCH(INDEX(TYP_ANCHOR,MATCH($A338,TYP_TYPE,0)),MS_NOM,0))-INDEX(TYP_LEAD,MATCH($A338,TYP_TYPE,0)))),""))</f>
        <v/>
      </c>
      <c r="T338" s="26">
        <f>IF(OR($A338="",$E338=""),0,IF($V338=1,0,1))</f>
        <v/>
      </c>
      <c r="U338" s="26">
        <f>IF($T338=0,0,IF($M338&lt;&gt;"",1,IF(IFERROR(INDEX(WF_CLASS,MATCH($H338,WF_CODE,0)),"")="Done",1,0)))</f>
        <v/>
      </c>
      <c r="V338" s="26">
        <f>IF(OR($A338="",$E338=""),0,IF(IFERROR(INDEX(WF_CLASS,MATCH($H338,WF_CODE,0)),"")="Inactive",1,0))</f>
        <v/>
      </c>
      <c r="W338" s="24">
        <f>IF($A338="","",IFERROR(INDEX(TYP_PHASE,MATCH($A338,TYP_TYPE,0)),"-"))</f>
        <v/>
      </c>
      <c r="X338" s="24">
        <f>IF(AND($T338=1,$U338=0,N($N338)&gt;0),$N338+ROW()/1000000,"")</f>
        <v/>
      </c>
      <c r="Y338" s="24">
        <f>IF(AND($T338=1,$U338=0,OR($I338&lt;&gt;"",N($N338)&gt;0)),N($N338)+ROW()/1000000,"")</f>
        <v/>
      </c>
      <c r="Z338" s="24">
        <f>IF(AND($T338=1,$U338=0,$I338="",N($N338)&lt;=0,-N($N338)&lt;=HORIZON),N($N338)+ROW()/1000000,"")</f>
        <v/>
      </c>
    </row>
    <row r="339">
      <c r="A339" s="21" t="n"/>
      <c r="B339" s="21" t="n"/>
      <c r="C339" s="21" t="n"/>
      <c r="D339" s="21" t="n"/>
      <c r="E339" s="21" t="n"/>
      <c r="F339" s="21" t="n"/>
      <c r="G339" s="21" t="n"/>
      <c r="H339" s="21" t="n"/>
      <c r="I339" s="22" t="n"/>
      <c r="J339" s="22" t="n"/>
      <c r="K339" s="23">
        <f>IF($A339="","",IF($J339&lt;&gt;"",$J339,$S339))</f>
        <v/>
      </c>
      <c r="L339" s="24">
        <f>IF(OR($A339="",$E339=""),"",IF($J339&lt;&gt;"","Manual",IF($S339="","-","Auto")))</f>
        <v/>
      </c>
      <c r="M339" s="22" t="n"/>
      <c r="N339" s="25">
        <f>IF($T339=0,"",IF($U339=1,IF($M339="","",$M339-$K339),IF($K339="","",TODAY()-$K339)))</f>
        <v/>
      </c>
      <c r="O339" s="24">
        <f>IF(OR($A339="",$E339=""),"",IF($V339=1,S_INACT,IF(ISNA(MATCH($A339,TYP_TYPE,0)),S_TYPEKO,IF($U339=1,S_DONE,IF(AND($K339="",$R339=""),S_NOSCOPE,IF($K339="",S_NOTARGET,IF($N339&gt;0,S_LATE,IF($I339&lt;&gt;"",S_WIP,IF(-$N339&lt;=FEN_DOC,S_RISK,IF(-$N339&lt;=HORIZON,S_COMING,S_NOTYET))))))))))</f>
        <v/>
      </c>
      <c r="P339" s="24">
        <f>IF(OR($A339="",$E339=""),"",IF($V339=1,"",IF(ISNA(MATCH($A339,TYP_TYPE,0)),"Type not in the library",IF($B339="","Scope not set",IF(AND($B339="System",$C339=""),"System not set",IF(AND($B339="Equipment",$D339=""),"Equipment not set",IF($F339="","Responsible not set",IF($K339="","No target date",IF(AND($B339="Equipment",$C339&lt;&gt;"",IFERROR(INDEX(EQP_SYS,MATCH($D339,EQP_NOM,0)),"")&lt;&gt;$C339),"Equipment not in that system",IF(AND($U339=1,$M339=""),"Approved with no approval date",""))))))))))</f>
        <v/>
      </c>
      <c r="Q339" s="21" t="n"/>
      <c r="R339" s="23">
        <f>IF(OR($A339="",$B339=""),"",IF($B339="Equipment",IFERROR(INDEX(EQP_START,MATCH($D339,EQP_NOM,0)),""),IF($B339="System",IFERROR(INDEX(SYS_EARLIEST,MATCH($C339,SYS_ID,0)),""),IF($B339="All",CTR_EARLIEST,""))))</f>
        <v/>
      </c>
      <c r="S339" s="23">
        <f>IF(OR($A339="",$E339=""),"",IFERROR(IF(INDEX(TYP_ANCHOR,MATCH($A339,TYP_TYPE,0))="Commissioning Start",IF($R339="","",$R339-INDEX(TYP_LEAD,MATCH($A339,TYP_TYPE,0))),IF(INDEX(MS_PLAN,MATCH(INDEX(TYP_ANCHOR,MATCH($A339,TYP_TYPE,0)),MS_NOM,0))="","",INDEX(MS_PLAN,MATCH(INDEX(TYP_ANCHOR,MATCH($A339,TYP_TYPE,0)),MS_NOM,0))-INDEX(TYP_LEAD,MATCH($A339,TYP_TYPE,0)))),""))</f>
        <v/>
      </c>
      <c r="T339" s="26">
        <f>IF(OR($A339="",$E339=""),0,IF($V339=1,0,1))</f>
        <v/>
      </c>
      <c r="U339" s="26">
        <f>IF($T339=0,0,IF($M339&lt;&gt;"",1,IF(IFERROR(INDEX(WF_CLASS,MATCH($H339,WF_CODE,0)),"")="Done",1,0)))</f>
        <v/>
      </c>
      <c r="V339" s="26">
        <f>IF(OR($A339="",$E339=""),0,IF(IFERROR(INDEX(WF_CLASS,MATCH($H339,WF_CODE,0)),"")="Inactive",1,0))</f>
        <v/>
      </c>
      <c r="W339" s="24">
        <f>IF($A339="","",IFERROR(INDEX(TYP_PHASE,MATCH($A339,TYP_TYPE,0)),"-"))</f>
        <v/>
      </c>
      <c r="X339" s="24">
        <f>IF(AND($T339=1,$U339=0,N($N339)&gt;0),$N339+ROW()/1000000,"")</f>
        <v/>
      </c>
      <c r="Y339" s="24">
        <f>IF(AND($T339=1,$U339=0,OR($I339&lt;&gt;"",N($N339)&gt;0)),N($N339)+ROW()/1000000,"")</f>
        <v/>
      </c>
      <c r="Z339" s="24">
        <f>IF(AND($T339=1,$U339=0,$I339="",N($N339)&lt;=0,-N($N339)&lt;=HORIZON),N($N339)+ROW()/1000000,"")</f>
        <v/>
      </c>
    </row>
    <row r="340">
      <c r="A340" s="21" t="n"/>
      <c r="B340" s="21" t="n"/>
      <c r="C340" s="21" t="n"/>
      <c r="D340" s="21" t="n"/>
      <c r="E340" s="21" t="n"/>
      <c r="F340" s="21" t="n"/>
      <c r="G340" s="21" t="n"/>
      <c r="H340" s="21" t="n"/>
      <c r="I340" s="22" t="n"/>
      <c r="J340" s="22" t="n"/>
      <c r="K340" s="23">
        <f>IF($A340="","",IF($J340&lt;&gt;"",$J340,$S340))</f>
        <v/>
      </c>
      <c r="L340" s="24">
        <f>IF(OR($A340="",$E340=""),"",IF($J340&lt;&gt;"","Manual",IF($S340="","-","Auto")))</f>
        <v/>
      </c>
      <c r="M340" s="22" t="n"/>
      <c r="N340" s="25">
        <f>IF($T340=0,"",IF($U340=1,IF($M340="","",$M340-$K340),IF($K340="","",TODAY()-$K340)))</f>
        <v/>
      </c>
      <c r="O340" s="24">
        <f>IF(OR($A340="",$E340=""),"",IF($V340=1,S_INACT,IF(ISNA(MATCH($A340,TYP_TYPE,0)),S_TYPEKO,IF($U340=1,S_DONE,IF(AND($K340="",$R340=""),S_NOSCOPE,IF($K340="",S_NOTARGET,IF($N340&gt;0,S_LATE,IF($I340&lt;&gt;"",S_WIP,IF(-$N340&lt;=FEN_DOC,S_RISK,IF(-$N340&lt;=HORIZON,S_COMING,S_NOTYET))))))))))</f>
        <v/>
      </c>
      <c r="P340" s="24">
        <f>IF(OR($A340="",$E340=""),"",IF($V340=1,"",IF(ISNA(MATCH($A340,TYP_TYPE,0)),"Type not in the library",IF($B340="","Scope not set",IF(AND($B340="System",$C340=""),"System not set",IF(AND($B340="Equipment",$D340=""),"Equipment not set",IF($F340="","Responsible not set",IF($K340="","No target date",IF(AND($B340="Equipment",$C340&lt;&gt;"",IFERROR(INDEX(EQP_SYS,MATCH($D340,EQP_NOM,0)),"")&lt;&gt;$C340),"Equipment not in that system",IF(AND($U340=1,$M340=""),"Approved with no approval date",""))))))))))</f>
        <v/>
      </c>
      <c r="Q340" s="21" t="n"/>
      <c r="R340" s="23">
        <f>IF(OR($A340="",$B340=""),"",IF($B340="Equipment",IFERROR(INDEX(EQP_START,MATCH($D340,EQP_NOM,0)),""),IF($B340="System",IFERROR(INDEX(SYS_EARLIEST,MATCH($C340,SYS_ID,0)),""),IF($B340="All",CTR_EARLIEST,""))))</f>
        <v/>
      </c>
      <c r="S340" s="23">
        <f>IF(OR($A340="",$E340=""),"",IFERROR(IF(INDEX(TYP_ANCHOR,MATCH($A340,TYP_TYPE,0))="Commissioning Start",IF($R340="","",$R340-INDEX(TYP_LEAD,MATCH($A340,TYP_TYPE,0))),IF(INDEX(MS_PLAN,MATCH(INDEX(TYP_ANCHOR,MATCH($A340,TYP_TYPE,0)),MS_NOM,0))="","",INDEX(MS_PLAN,MATCH(INDEX(TYP_ANCHOR,MATCH($A340,TYP_TYPE,0)),MS_NOM,0))-INDEX(TYP_LEAD,MATCH($A340,TYP_TYPE,0)))),""))</f>
        <v/>
      </c>
      <c r="T340" s="26">
        <f>IF(OR($A340="",$E340=""),0,IF($V340=1,0,1))</f>
        <v/>
      </c>
      <c r="U340" s="26">
        <f>IF($T340=0,0,IF($M340&lt;&gt;"",1,IF(IFERROR(INDEX(WF_CLASS,MATCH($H340,WF_CODE,0)),"")="Done",1,0)))</f>
        <v/>
      </c>
      <c r="V340" s="26">
        <f>IF(OR($A340="",$E340=""),0,IF(IFERROR(INDEX(WF_CLASS,MATCH($H340,WF_CODE,0)),"")="Inactive",1,0))</f>
        <v/>
      </c>
      <c r="W340" s="24">
        <f>IF($A340="","",IFERROR(INDEX(TYP_PHASE,MATCH($A340,TYP_TYPE,0)),"-"))</f>
        <v/>
      </c>
      <c r="X340" s="24">
        <f>IF(AND($T340=1,$U340=0,N($N340)&gt;0),$N340+ROW()/1000000,"")</f>
        <v/>
      </c>
      <c r="Y340" s="24">
        <f>IF(AND($T340=1,$U340=0,OR($I340&lt;&gt;"",N($N340)&gt;0)),N($N340)+ROW()/1000000,"")</f>
        <v/>
      </c>
      <c r="Z340" s="24">
        <f>IF(AND($T340=1,$U340=0,$I340="",N($N340)&lt;=0,-N($N340)&lt;=HORIZON),N($N340)+ROW()/1000000,"")</f>
        <v/>
      </c>
    </row>
    <row r="341">
      <c r="A341" s="21" t="n"/>
      <c r="B341" s="21" t="n"/>
      <c r="C341" s="21" t="n"/>
      <c r="D341" s="21" t="n"/>
      <c r="E341" s="21" t="n"/>
      <c r="F341" s="21" t="n"/>
      <c r="G341" s="21" t="n"/>
      <c r="H341" s="21" t="n"/>
      <c r="I341" s="22" t="n"/>
      <c r="J341" s="22" t="n"/>
      <c r="K341" s="23">
        <f>IF($A341="","",IF($J341&lt;&gt;"",$J341,$S341))</f>
        <v/>
      </c>
      <c r="L341" s="24">
        <f>IF(OR($A341="",$E341=""),"",IF($J341&lt;&gt;"","Manual",IF($S341="","-","Auto")))</f>
        <v/>
      </c>
      <c r="M341" s="22" t="n"/>
      <c r="N341" s="25">
        <f>IF($T341=0,"",IF($U341=1,IF($M341="","",$M341-$K341),IF($K341="","",TODAY()-$K341)))</f>
        <v/>
      </c>
      <c r="O341" s="24">
        <f>IF(OR($A341="",$E341=""),"",IF($V341=1,S_INACT,IF(ISNA(MATCH($A341,TYP_TYPE,0)),S_TYPEKO,IF($U341=1,S_DONE,IF(AND($K341="",$R341=""),S_NOSCOPE,IF($K341="",S_NOTARGET,IF($N341&gt;0,S_LATE,IF($I341&lt;&gt;"",S_WIP,IF(-$N341&lt;=FEN_DOC,S_RISK,IF(-$N341&lt;=HORIZON,S_COMING,S_NOTYET))))))))))</f>
        <v/>
      </c>
      <c r="P341" s="24">
        <f>IF(OR($A341="",$E341=""),"",IF($V341=1,"",IF(ISNA(MATCH($A341,TYP_TYPE,0)),"Type not in the library",IF($B341="","Scope not set",IF(AND($B341="System",$C341=""),"System not set",IF(AND($B341="Equipment",$D341=""),"Equipment not set",IF($F341="","Responsible not set",IF($K341="","No target date",IF(AND($B341="Equipment",$C341&lt;&gt;"",IFERROR(INDEX(EQP_SYS,MATCH($D341,EQP_NOM,0)),"")&lt;&gt;$C341),"Equipment not in that system",IF(AND($U341=1,$M341=""),"Approved with no approval date",""))))))))))</f>
        <v/>
      </c>
      <c r="Q341" s="21" t="n"/>
      <c r="R341" s="23">
        <f>IF(OR($A341="",$B341=""),"",IF($B341="Equipment",IFERROR(INDEX(EQP_START,MATCH($D341,EQP_NOM,0)),""),IF($B341="System",IFERROR(INDEX(SYS_EARLIEST,MATCH($C341,SYS_ID,0)),""),IF($B341="All",CTR_EARLIEST,""))))</f>
        <v/>
      </c>
      <c r="S341" s="23">
        <f>IF(OR($A341="",$E341=""),"",IFERROR(IF(INDEX(TYP_ANCHOR,MATCH($A341,TYP_TYPE,0))="Commissioning Start",IF($R341="","",$R341-INDEX(TYP_LEAD,MATCH($A341,TYP_TYPE,0))),IF(INDEX(MS_PLAN,MATCH(INDEX(TYP_ANCHOR,MATCH($A341,TYP_TYPE,0)),MS_NOM,0))="","",INDEX(MS_PLAN,MATCH(INDEX(TYP_ANCHOR,MATCH($A341,TYP_TYPE,0)),MS_NOM,0))-INDEX(TYP_LEAD,MATCH($A341,TYP_TYPE,0)))),""))</f>
        <v/>
      </c>
      <c r="T341" s="26">
        <f>IF(OR($A341="",$E341=""),0,IF($V341=1,0,1))</f>
        <v/>
      </c>
      <c r="U341" s="26">
        <f>IF($T341=0,0,IF($M341&lt;&gt;"",1,IF(IFERROR(INDEX(WF_CLASS,MATCH($H341,WF_CODE,0)),"")="Done",1,0)))</f>
        <v/>
      </c>
      <c r="V341" s="26">
        <f>IF(OR($A341="",$E341=""),0,IF(IFERROR(INDEX(WF_CLASS,MATCH($H341,WF_CODE,0)),"")="Inactive",1,0))</f>
        <v/>
      </c>
      <c r="W341" s="24">
        <f>IF($A341="","",IFERROR(INDEX(TYP_PHASE,MATCH($A341,TYP_TYPE,0)),"-"))</f>
        <v/>
      </c>
      <c r="X341" s="24">
        <f>IF(AND($T341=1,$U341=0,N($N341)&gt;0),$N341+ROW()/1000000,"")</f>
        <v/>
      </c>
      <c r="Y341" s="24">
        <f>IF(AND($T341=1,$U341=0,OR($I341&lt;&gt;"",N($N341)&gt;0)),N($N341)+ROW()/1000000,"")</f>
        <v/>
      </c>
      <c r="Z341" s="24">
        <f>IF(AND($T341=1,$U341=0,$I341="",N($N341)&lt;=0,-N($N341)&lt;=HORIZON),N($N341)+ROW()/1000000,"")</f>
        <v/>
      </c>
    </row>
    <row r="342">
      <c r="A342" s="21" t="n"/>
      <c r="B342" s="21" t="n"/>
      <c r="C342" s="21" t="n"/>
      <c r="D342" s="21" t="n"/>
      <c r="E342" s="21" t="n"/>
      <c r="F342" s="21" t="n"/>
      <c r="G342" s="21" t="n"/>
      <c r="H342" s="21" t="n"/>
      <c r="I342" s="22" t="n"/>
      <c r="J342" s="22" t="n"/>
      <c r="K342" s="23">
        <f>IF($A342="","",IF($J342&lt;&gt;"",$J342,$S342))</f>
        <v/>
      </c>
      <c r="L342" s="24">
        <f>IF(OR($A342="",$E342=""),"",IF($J342&lt;&gt;"","Manual",IF($S342="","-","Auto")))</f>
        <v/>
      </c>
      <c r="M342" s="22" t="n"/>
      <c r="N342" s="25">
        <f>IF($T342=0,"",IF($U342=1,IF($M342="","",$M342-$K342),IF($K342="","",TODAY()-$K342)))</f>
        <v/>
      </c>
      <c r="O342" s="24">
        <f>IF(OR($A342="",$E342=""),"",IF($V342=1,S_INACT,IF(ISNA(MATCH($A342,TYP_TYPE,0)),S_TYPEKO,IF($U342=1,S_DONE,IF(AND($K342="",$R342=""),S_NOSCOPE,IF($K342="",S_NOTARGET,IF($N342&gt;0,S_LATE,IF($I342&lt;&gt;"",S_WIP,IF(-$N342&lt;=FEN_DOC,S_RISK,IF(-$N342&lt;=HORIZON,S_COMING,S_NOTYET))))))))))</f>
        <v/>
      </c>
      <c r="P342" s="24">
        <f>IF(OR($A342="",$E342=""),"",IF($V342=1,"",IF(ISNA(MATCH($A342,TYP_TYPE,0)),"Type not in the library",IF($B342="","Scope not set",IF(AND($B342="System",$C342=""),"System not set",IF(AND($B342="Equipment",$D342=""),"Equipment not set",IF($F342="","Responsible not set",IF($K342="","No target date",IF(AND($B342="Equipment",$C342&lt;&gt;"",IFERROR(INDEX(EQP_SYS,MATCH($D342,EQP_NOM,0)),"")&lt;&gt;$C342),"Equipment not in that system",IF(AND($U342=1,$M342=""),"Approved with no approval date",""))))))))))</f>
        <v/>
      </c>
      <c r="Q342" s="21" t="n"/>
      <c r="R342" s="23">
        <f>IF(OR($A342="",$B342=""),"",IF($B342="Equipment",IFERROR(INDEX(EQP_START,MATCH($D342,EQP_NOM,0)),""),IF($B342="System",IFERROR(INDEX(SYS_EARLIEST,MATCH($C342,SYS_ID,0)),""),IF($B342="All",CTR_EARLIEST,""))))</f>
        <v/>
      </c>
      <c r="S342" s="23">
        <f>IF(OR($A342="",$E342=""),"",IFERROR(IF(INDEX(TYP_ANCHOR,MATCH($A342,TYP_TYPE,0))="Commissioning Start",IF($R342="","",$R342-INDEX(TYP_LEAD,MATCH($A342,TYP_TYPE,0))),IF(INDEX(MS_PLAN,MATCH(INDEX(TYP_ANCHOR,MATCH($A342,TYP_TYPE,0)),MS_NOM,0))="","",INDEX(MS_PLAN,MATCH(INDEX(TYP_ANCHOR,MATCH($A342,TYP_TYPE,0)),MS_NOM,0))-INDEX(TYP_LEAD,MATCH($A342,TYP_TYPE,0)))),""))</f>
        <v/>
      </c>
      <c r="T342" s="26">
        <f>IF(OR($A342="",$E342=""),0,IF($V342=1,0,1))</f>
        <v/>
      </c>
      <c r="U342" s="26">
        <f>IF($T342=0,0,IF($M342&lt;&gt;"",1,IF(IFERROR(INDEX(WF_CLASS,MATCH($H342,WF_CODE,0)),"")="Done",1,0)))</f>
        <v/>
      </c>
      <c r="V342" s="26">
        <f>IF(OR($A342="",$E342=""),0,IF(IFERROR(INDEX(WF_CLASS,MATCH($H342,WF_CODE,0)),"")="Inactive",1,0))</f>
        <v/>
      </c>
      <c r="W342" s="24">
        <f>IF($A342="","",IFERROR(INDEX(TYP_PHASE,MATCH($A342,TYP_TYPE,0)),"-"))</f>
        <v/>
      </c>
      <c r="X342" s="24">
        <f>IF(AND($T342=1,$U342=0,N($N342)&gt;0),$N342+ROW()/1000000,"")</f>
        <v/>
      </c>
      <c r="Y342" s="24">
        <f>IF(AND($T342=1,$U342=0,OR($I342&lt;&gt;"",N($N342)&gt;0)),N($N342)+ROW()/1000000,"")</f>
        <v/>
      </c>
      <c r="Z342" s="24">
        <f>IF(AND($T342=1,$U342=0,$I342="",N($N342)&lt;=0,-N($N342)&lt;=HORIZON),N($N342)+ROW()/1000000,"")</f>
        <v/>
      </c>
    </row>
    <row r="343">
      <c r="A343" s="21" t="n"/>
      <c r="B343" s="21" t="n"/>
      <c r="C343" s="21" t="n"/>
      <c r="D343" s="21" t="n"/>
      <c r="E343" s="21" t="n"/>
      <c r="F343" s="21" t="n"/>
      <c r="G343" s="21" t="n"/>
      <c r="H343" s="21" t="n"/>
      <c r="I343" s="22" t="n"/>
      <c r="J343" s="22" t="n"/>
      <c r="K343" s="23">
        <f>IF($A343="","",IF($J343&lt;&gt;"",$J343,$S343))</f>
        <v/>
      </c>
      <c r="L343" s="24">
        <f>IF(OR($A343="",$E343=""),"",IF($J343&lt;&gt;"","Manual",IF($S343="","-","Auto")))</f>
        <v/>
      </c>
      <c r="M343" s="22" t="n"/>
      <c r="N343" s="25">
        <f>IF($T343=0,"",IF($U343=1,IF($M343="","",$M343-$K343),IF($K343="","",TODAY()-$K343)))</f>
        <v/>
      </c>
      <c r="O343" s="24">
        <f>IF(OR($A343="",$E343=""),"",IF($V343=1,S_INACT,IF(ISNA(MATCH($A343,TYP_TYPE,0)),S_TYPEKO,IF($U343=1,S_DONE,IF(AND($K343="",$R343=""),S_NOSCOPE,IF($K343="",S_NOTARGET,IF($N343&gt;0,S_LATE,IF($I343&lt;&gt;"",S_WIP,IF(-$N343&lt;=FEN_DOC,S_RISK,IF(-$N343&lt;=HORIZON,S_COMING,S_NOTYET))))))))))</f>
        <v/>
      </c>
      <c r="P343" s="24">
        <f>IF(OR($A343="",$E343=""),"",IF($V343=1,"",IF(ISNA(MATCH($A343,TYP_TYPE,0)),"Type not in the library",IF($B343="","Scope not set",IF(AND($B343="System",$C343=""),"System not set",IF(AND($B343="Equipment",$D343=""),"Equipment not set",IF($F343="","Responsible not set",IF($K343="","No target date",IF(AND($B343="Equipment",$C343&lt;&gt;"",IFERROR(INDEX(EQP_SYS,MATCH($D343,EQP_NOM,0)),"")&lt;&gt;$C343),"Equipment not in that system",IF(AND($U343=1,$M343=""),"Approved with no approval date",""))))))))))</f>
        <v/>
      </c>
      <c r="Q343" s="21" t="n"/>
      <c r="R343" s="23">
        <f>IF(OR($A343="",$B343=""),"",IF($B343="Equipment",IFERROR(INDEX(EQP_START,MATCH($D343,EQP_NOM,0)),""),IF($B343="System",IFERROR(INDEX(SYS_EARLIEST,MATCH($C343,SYS_ID,0)),""),IF($B343="All",CTR_EARLIEST,""))))</f>
        <v/>
      </c>
      <c r="S343" s="23">
        <f>IF(OR($A343="",$E343=""),"",IFERROR(IF(INDEX(TYP_ANCHOR,MATCH($A343,TYP_TYPE,0))="Commissioning Start",IF($R343="","",$R343-INDEX(TYP_LEAD,MATCH($A343,TYP_TYPE,0))),IF(INDEX(MS_PLAN,MATCH(INDEX(TYP_ANCHOR,MATCH($A343,TYP_TYPE,0)),MS_NOM,0))="","",INDEX(MS_PLAN,MATCH(INDEX(TYP_ANCHOR,MATCH($A343,TYP_TYPE,0)),MS_NOM,0))-INDEX(TYP_LEAD,MATCH($A343,TYP_TYPE,0)))),""))</f>
        <v/>
      </c>
      <c r="T343" s="26">
        <f>IF(OR($A343="",$E343=""),0,IF($V343=1,0,1))</f>
        <v/>
      </c>
      <c r="U343" s="26">
        <f>IF($T343=0,0,IF($M343&lt;&gt;"",1,IF(IFERROR(INDEX(WF_CLASS,MATCH($H343,WF_CODE,0)),"")="Done",1,0)))</f>
        <v/>
      </c>
      <c r="V343" s="26">
        <f>IF(OR($A343="",$E343=""),0,IF(IFERROR(INDEX(WF_CLASS,MATCH($H343,WF_CODE,0)),"")="Inactive",1,0))</f>
        <v/>
      </c>
      <c r="W343" s="24">
        <f>IF($A343="","",IFERROR(INDEX(TYP_PHASE,MATCH($A343,TYP_TYPE,0)),"-"))</f>
        <v/>
      </c>
      <c r="X343" s="24">
        <f>IF(AND($T343=1,$U343=0,N($N343)&gt;0),$N343+ROW()/1000000,"")</f>
        <v/>
      </c>
      <c r="Y343" s="24">
        <f>IF(AND($T343=1,$U343=0,OR($I343&lt;&gt;"",N($N343)&gt;0)),N($N343)+ROW()/1000000,"")</f>
        <v/>
      </c>
      <c r="Z343" s="24">
        <f>IF(AND($T343=1,$U343=0,$I343="",N($N343)&lt;=0,-N($N343)&lt;=HORIZON),N($N343)+ROW()/1000000,"")</f>
        <v/>
      </c>
    </row>
    <row r="344">
      <c r="A344" s="21" t="n"/>
      <c r="B344" s="21" t="n"/>
      <c r="C344" s="21" t="n"/>
      <c r="D344" s="21" t="n"/>
      <c r="E344" s="21" t="n"/>
      <c r="F344" s="21" t="n"/>
      <c r="G344" s="21" t="n"/>
      <c r="H344" s="21" t="n"/>
      <c r="I344" s="22" t="n"/>
      <c r="J344" s="22" t="n"/>
      <c r="K344" s="23">
        <f>IF($A344="","",IF($J344&lt;&gt;"",$J344,$S344))</f>
        <v/>
      </c>
      <c r="L344" s="24">
        <f>IF(OR($A344="",$E344=""),"",IF($J344&lt;&gt;"","Manual",IF($S344="","-","Auto")))</f>
        <v/>
      </c>
      <c r="M344" s="22" t="n"/>
      <c r="N344" s="25">
        <f>IF($T344=0,"",IF($U344=1,IF($M344="","",$M344-$K344),IF($K344="","",TODAY()-$K344)))</f>
        <v/>
      </c>
      <c r="O344" s="24">
        <f>IF(OR($A344="",$E344=""),"",IF($V344=1,S_INACT,IF(ISNA(MATCH($A344,TYP_TYPE,0)),S_TYPEKO,IF($U344=1,S_DONE,IF(AND($K344="",$R344=""),S_NOSCOPE,IF($K344="",S_NOTARGET,IF($N344&gt;0,S_LATE,IF($I344&lt;&gt;"",S_WIP,IF(-$N344&lt;=FEN_DOC,S_RISK,IF(-$N344&lt;=HORIZON,S_COMING,S_NOTYET))))))))))</f>
        <v/>
      </c>
      <c r="P344" s="24">
        <f>IF(OR($A344="",$E344=""),"",IF($V344=1,"",IF(ISNA(MATCH($A344,TYP_TYPE,0)),"Type not in the library",IF($B344="","Scope not set",IF(AND($B344="System",$C344=""),"System not set",IF(AND($B344="Equipment",$D344=""),"Equipment not set",IF($F344="","Responsible not set",IF($K344="","No target date",IF(AND($B344="Equipment",$C344&lt;&gt;"",IFERROR(INDEX(EQP_SYS,MATCH($D344,EQP_NOM,0)),"")&lt;&gt;$C344),"Equipment not in that system",IF(AND($U344=1,$M344=""),"Approved with no approval date",""))))))))))</f>
        <v/>
      </c>
      <c r="Q344" s="21" t="n"/>
      <c r="R344" s="23">
        <f>IF(OR($A344="",$B344=""),"",IF($B344="Equipment",IFERROR(INDEX(EQP_START,MATCH($D344,EQP_NOM,0)),""),IF($B344="System",IFERROR(INDEX(SYS_EARLIEST,MATCH($C344,SYS_ID,0)),""),IF($B344="All",CTR_EARLIEST,""))))</f>
        <v/>
      </c>
      <c r="S344" s="23">
        <f>IF(OR($A344="",$E344=""),"",IFERROR(IF(INDEX(TYP_ANCHOR,MATCH($A344,TYP_TYPE,0))="Commissioning Start",IF($R344="","",$R344-INDEX(TYP_LEAD,MATCH($A344,TYP_TYPE,0))),IF(INDEX(MS_PLAN,MATCH(INDEX(TYP_ANCHOR,MATCH($A344,TYP_TYPE,0)),MS_NOM,0))="","",INDEX(MS_PLAN,MATCH(INDEX(TYP_ANCHOR,MATCH($A344,TYP_TYPE,0)),MS_NOM,0))-INDEX(TYP_LEAD,MATCH($A344,TYP_TYPE,0)))),""))</f>
        <v/>
      </c>
      <c r="T344" s="26">
        <f>IF(OR($A344="",$E344=""),0,IF($V344=1,0,1))</f>
        <v/>
      </c>
      <c r="U344" s="26">
        <f>IF($T344=0,0,IF($M344&lt;&gt;"",1,IF(IFERROR(INDEX(WF_CLASS,MATCH($H344,WF_CODE,0)),"")="Done",1,0)))</f>
        <v/>
      </c>
      <c r="V344" s="26">
        <f>IF(OR($A344="",$E344=""),0,IF(IFERROR(INDEX(WF_CLASS,MATCH($H344,WF_CODE,0)),"")="Inactive",1,0))</f>
        <v/>
      </c>
      <c r="W344" s="24">
        <f>IF($A344="","",IFERROR(INDEX(TYP_PHASE,MATCH($A344,TYP_TYPE,0)),"-"))</f>
        <v/>
      </c>
      <c r="X344" s="24">
        <f>IF(AND($T344=1,$U344=0,N($N344)&gt;0),$N344+ROW()/1000000,"")</f>
        <v/>
      </c>
      <c r="Y344" s="24">
        <f>IF(AND($T344=1,$U344=0,OR($I344&lt;&gt;"",N($N344)&gt;0)),N($N344)+ROW()/1000000,"")</f>
        <v/>
      </c>
      <c r="Z344" s="24">
        <f>IF(AND($T344=1,$U344=0,$I344="",N($N344)&lt;=0,-N($N344)&lt;=HORIZON),N($N344)+ROW()/1000000,"")</f>
        <v/>
      </c>
    </row>
    <row r="345">
      <c r="A345" s="21" t="n"/>
      <c r="B345" s="21" t="n"/>
      <c r="C345" s="21" t="n"/>
      <c r="D345" s="21" t="n"/>
      <c r="E345" s="21" t="n"/>
      <c r="F345" s="21" t="n"/>
      <c r="G345" s="21" t="n"/>
      <c r="H345" s="21" t="n"/>
      <c r="I345" s="22" t="n"/>
      <c r="J345" s="22" t="n"/>
      <c r="K345" s="23">
        <f>IF($A345="","",IF($J345&lt;&gt;"",$J345,$S345))</f>
        <v/>
      </c>
      <c r="L345" s="24">
        <f>IF(OR($A345="",$E345=""),"",IF($J345&lt;&gt;"","Manual",IF($S345="","-","Auto")))</f>
        <v/>
      </c>
      <c r="M345" s="22" t="n"/>
      <c r="N345" s="25">
        <f>IF($T345=0,"",IF($U345=1,IF($M345="","",$M345-$K345),IF($K345="","",TODAY()-$K345)))</f>
        <v/>
      </c>
      <c r="O345" s="24">
        <f>IF(OR($A345="",$E345=""),"",IF($V345=1,S_INACT,IF(ISNA(MATCH($A345,TYP_TYPE,0)),S_TYPEKO,IF($U345=1,S_DONE,IF(AND($K345="",$R345=""),S_NOSCOPE,IF($K345="",S_NOTARGET,IF($N345&gt;0,S_LATE,IF($I345&lt;&gt;"",S_WIP,IF(-$N345&lt;=FEN_DOC,S_RISK,IF(-$N345&lt;=HORIZON,S_COMING,S_NOTYET))))))))))</f>
        <v/>
      </c>
      <c r="P345" s="24">
        <f>IF(OR($A345="",$E345=""),"",IF($V345=1,"",IF(ISNA(MATCH($A345,TYP_TYPE,0)),"Type not in the library",IF($B345="","Scope not set",IF(AND($B345="System",$C345=""),"System not set",IF(AND($B345="Equipment",$D345=""),"Equipment not set",IF($F345="","Responsible not set",IF($K345="","No target date",IF(AND($B345="Equipment",$C345&lt;&gt;"",IFERROR(INDEX(EQP_SYS,MATCH($D345,EQP_NOM,0)),"")&lt;&gt;$C345),"Equipment not in that system",IF(AND($U345=1,$M345=""),"Approved with no approval date",""))))))))))</f>
        <v/>
      </c>
      <c r="Q345" s="21" t="n"/>
      <c r="R345" s="23">
        <f>IF(OR($A345="",$B345=""),"",IF($B345="Equipment",IFERROR(INDEX(EQP_START,MATCH($D345,EQP_NOM,0)),""),IF($B345="System",IFERROR(INDEX(SYS_EARLIEST,MATCH($C345,SYS_ID,0)),""),IF($B345="All",CTR_EARLIEST,""))))</f>
        <v/>
      </c>
      <c r="S345" s="23">
        <f>IF(OR($A345="",$E345=""),"",IFERROR(IF(INDEX(TYP_ANCHOR,MATCH($A345,TYP_TYPE,0))="Commissioning Start",IF($R345="","",$R345-INDEX(TYP_LEAD,MATCH($A345,TYP_TYPE,0))),IF(INDEX(MS_PLAN,MATCH(INDEX(TYP_ANCHOR,MATCH($A345,TYP_TYPE,0)),MS_NOM,0))="","",INDEX(MS_PLAN,MATCH(INDEX(TYP_ANCHOR,MATCH($A345,TYP_TYPE,0)),MS_NOM,0))-INDEX(TYP_LEAD,MATCH($A345,TYP_TYPE,0)))),""))</f>
        <v/>
      </c>
      <c r="T345" s="26">
        <f>IF(OR($A345="",$E345=""),0,IF($V345=1,0,1))</f>
        <v/>
      </c>
      <c r="U345" s="26">
        <f>IF($T345=0,0,IF($M345&lt;&gt;"",1,IF(IFERROR(INDEX(WF_CLASS,MATCH($H345,WF_CODE,0)),"")="Done",1,0)))</f>
        <v/>
      </c>
      <c r="V345" s="26">
        <f>IF(OR($A345="",$E345=""),0,IF(IFERROR(INDEX(WF_CLASS,MATCH($H345,WF_CODE,0)),"")="Inactive",1,0))</f>
        <v/>
      </c>
      <c r="W345" s="24">
        <f>IF($A345="","",IFERROR(INDEX(TYP_PHASE,MATCH($A345,TYP_TYPE,0)),"-"))</f>
        <v/>
      </c>
      <c r="X345" s="24">
        <f>IF(AND($T345=1,$U345=0,N($N345)&gt;0),$N345+ROW()/1000000,"")</f>
        <v/>
      </c>
      <c r="Y345" s="24">
        <f>IF(AND($T345=1,$U345=0,OR($I345&lt;&gt;"",N($N345)&gt;0)),N($N345)+ROW()/1000000,"")</f>
        <v/>
      </c>
      <c r="Z345" s="24">
        <f>IF(AND($T345=1,$U345=0,$I345="",N($N345)&lt;=0,-N($N345)&lt;=HORIZON),N($N345)+ROW()/1000000,"")</f>
        <v/>
      </c>
    </row>
    <row r="346">
      <c r="A346" s="21" t="n"/>
      <c r="B346" s="21" t="n"/>
      <c r="C346" s="21" t="n"/>
      <c r="D346" s="21" t="n"/>
      <c r="E346" s="21" t="n"/>
      <c r="F346" s="21" t="n"/>
      <c r="G346" s="21" t="n"/>
      <c r="H346" s="21" t="n"/>
      <c r="I346" s="22" t="n"/>
      <c r="J346" s="22" t="n"/>
      <c r="K346" s="23">
        <f>IF($A346="","",IF($J346&lt;&gt;"",$J346,$S346))</f>
        <v/>
      </c>
      <c r="L346" s="24">
        <f>IF(OR($A346="",$E346=""),"",IF($J346&lt;&gt;"","Manual",IF($S346="","-","Auto")))</f>
        <v/>
      </c>
      <c r="M346" s="22" t="n"/>
      <c r="N346" s="25">
        <f>IF($T346=0,"",IF($U346=1,IF($M346="","",$M346-$K346),IF($K346="","",TODAY()-$K346)))</f>
        <v/>
      </c>
      <c r="O346" s="24">
        <f>IF(OR($A346="",$E346=""),"",IF($V346=1,S_INACT,IF(ISNA(MATCH($A346,TYP_TYPE,0)),S_TYPEKO,IF($U346=1,S_DONE,IF(AND($K346="",$R346=""),S_NOSCOPE,IF($K346="",S_NOTARGET,IF($N346&gt;0,S_LATE,IF($I346&lt;&gt;"",S_WIP,IF(-$N346&lt;=FEN_DOC,S_RISK,IF(-$N346&lt;=HORIZON,S_COMING,S_NOTYET))))))))))</f>
        <v/>
      </c>
      <c r="P346" s="24">
        <f>IF(OR($A346="",$E346=""),"",IF($V346=1,"",IF(ISNA(MATCH($A346,TYP_TYPE,0)),"Type not in the library",IF($B346="","Scope not set",IF(AND($B346="System",$C346=""),"System not set",IF(AND($B346="Equipment",$D346=""),"Equipment not set",IF($F346="","Responsible not set",IF($K346="","No target date",IF(AND($B346="Equipment",$C346&lt;&gt;"",IFERROR(INDEX(EQP_SYS,MATCH($D346,EQP_NOM,0)),"")&lt;&gt;$C346),"Equipment not in that system",IF(AND($U346=1,$M346=""),"Approved with no approval date",""))))))))))</f>
        <v/>
      </c>
      <c r="Q346" s="21" t="n"/>
      <c r="R346" s="23">
        <f>IF(OR($A346="",$B346=""),"",IF($B346="Equipment",IFERROR(INDEX(EQP_START,MATCH($D346,EQP_NOM,0)),""),IF($B346="System",IFERROR(INDEX(SYS_EARLIEST,MATCH($C346,SYS_ID,0)),""),IF($B346="All",CTR_EARLIEST,""))))</f>
        <v/>
      </c>
      <c r="S346" s="23">
        <f>IF(OR($A346="",$E346=""),"",IFERROR(IF(INDEX(TYP_ANCHOR,MATCH($A346,TYP_TYPE,0))="Commissioning Start",IF($R346="","",$R346-INDEX(TYP_LEAD,MATCH($A346,TYP_TYPE,0))),IF(INDEX(MS_PLAN,MATCH(INDEX(TYP_ANCHOR,MATCH($A346,TYP_TYPE,0)),MS_NOM,0))="","",INDEX(MS_PLAN,MATCH(INDEX(TYP_ANCHOR,MATCH($A346,TYP_TYPE,0)),MS_NOM,0))-INDEX(TYP_LEAD,MATCH($A346,TYP_TYPE,0)))),""))</f>
        <v/>
      </c>
      <c r="T346" s="26">
        <f>IF(OR($A346="",$E346=""),0,IF($V346=1,0,1))</f>
        <v/>
      </c>
      <c r="U346" s="26">
        <f>IF($T346=0,0,IF($M346&lt;&gt;"",1,IF(IFERROR(INDEX(WF_CLASS,MATCH($H346,WF_CODE,0)),"")="Done",1,0)))</f>
        <v/>
      </c>
      <c r="V346" s="26">
        <f>IF(OR($A346="",$E346=""),0,IF(IFERROR(INDEX(WF_CLASS,MATCH($H346,WF_CODE,0)),"")="Inactive",1,0))</f>
        <v/>
      </c>
      <c r="W346" s="24">
        <f>IF($A346="","",IFERROR(INDEX(TYP_PHASE,MATCH($A346,TYP_TYPE,0)),"-"))</f>
        <v/>
      </c>
      <c r="X346" s="24">
        <f>IF(AND($T346=1,$U346=0,N($N346)&gt;0),$N346+ROW()/1000000,"")</f>
        <v/>
      </c>
      <c r="Y346" s="24">
        <f>IF(AND($T346=1,$U346=0,OR($I346&lt;&gt;"",N($N346)&gt;0)),N($N346)+ROW()/1000000,"")</f>
        <v/>
      </c>
      <c r="Z346" s="24">
        <f>IF(AND($T346=1,$U346=0,$I346="",N($N346)&lt;=0,-N($N346)&lt;=HORIZON),N($N346)+ROW()/1000000,"")</f>
        <v/>
      </c>
    </row>
    <row r="347">
      <c r="A347" s="21" t="n"/>
      <c r="B347" s="21" t="n"/>
      <c r="C347" s="21" t="n"/>
      <c r="D347" s="21" t="n"/>
      <c r="E347" s="21" t="n"/>
      <c r="F347" s="21" t="n"/>
      <c r="G347" s="21" t="n"/>
      <c r="H347" s="21" t="n"/>
      <c r="I347" s="22" t="n"/>
      <c r="J347" s="22" t="n"/>
      <c r="K347" s="23">
        <f>IF($A347="","",IF($J347&lt;&gt;"",$J347,$S347))</f>
        <v/>
      </c>
      <c r="L347" s="24">
        <f>IF(OR($A347="",$E347=""),"",IF($J347&lt;&gt;"","Manual",IF($S347="","-","Auto")))</f>
        <v/>
      </c>
      <c r="M347" s="22" t="n"/>
      <c r="N347" s="25">
        <f>IF($T347=0,"",IF($U347=1,IF($M347="","",$M347-$K347),IF($K347="","",TODAY()-$K347)))</f>
        <v/>
      </c>
      <c r="O347" s="24">
        <f>IF(OR($A347="",$E347=""),"",IF($V347=1,S_INACT,IF(ISNA(MATCH($A347,TYP_TYPE,0)),S_TYPEKO,IF($U347=1,S_DONE,IF(AND($K347="",$R347=""),S_NOSCOPE,IF($K347="",S_NOTARGET,IF($N347&gt;0,S_LATE,IF($I347&lt;&gt;"",S_WIP,IF(-$N347&lt;=FEN_DOC,S_RISK,IF(-$N347&lt;=HORIZON,S_COMING,S_NOTYET))))))))))</f>
        <v/>
      </c>
      <c r="P347" s="24">
        <f>IF(OR($A347="",$E347=""),"",IF($V347=1,"",IF(ISNA(MATCH($A347,TYP_TYPE,0)),"Type not in the library",IF($B347="","Scope not set",IF(AND($B347="System",$C347=""),"System not set",IF(AND($B347="Equipment",$D347=""),"Equipment not set",IF($F347="","Responsible not set",IF($K347="","No target date",IF(AND($B347="Equipment",$C347&lt;&gt;"",IFERROR(INDEX(EQP_SYS,MATCH($D347,EQP_NOM,0)),"")&lt;&gt;$C347),"Equipment not in that system",IF(AND($U347=1,$M347=""),"Approved with no approval date",""))))))))))</f>
        <v/>
      </c>
      <c r="Q347" s="21" t="n"/>
      <c r="R347" s="23">
        <f>IF(OR($A347="",$B347=""),"",IF($B347="Equipment",IFERROR(INDEX(EQP_START,MATCH($D347,EQP_NOM,0)),""),IF($B347="System",IFERROR(INDEX(SYS_EARLIEST,MATCH($C347,SYS_ID,0)),""),IF($B347="All",CTR_EARLIEST,""))))</f>
        <v/>
      </c>
      <c r="S347" s="23">
        <f>IF(OR($A347="",$E347=""),"",IFERROR(IF(INDEX(TYP_ANCHOR,MATCH($A347,TYP_TYPE,0))="Commissioning Start",IF($R347="","",$R347-INDEX(TYP_LEAD,MATCH($A347,TYP_TYPE,0))),IF(INDEX(MS_PLAN,MATCH(INDEX(TYP_ANCHOR,MATCH($A347,TYP_TYPE,0)),MS_NOM,0))="","",INDEX(MS_PLAN,MATCH(INDEX(TYP_ANCHOR,MATCH($A347,TYP_TYPE,0)),MS_NOM,0))-INDEX(TYP_LEAD,MATCH($A347,TYP_TYPE,0)))),""))</f>
        <v/>
      </c>
      <c r="T347" s="26">
        <f>IF(OR($A347="",$E347=""),0,IF($V347=1,0,1))</f>
        <v/>
      </c>
      <c r="U347" s="26">
        <f>IF($T347=0,0,IF($M347&lt;&gt;"",1,IF(IFERROR(INDEX(WF_CLASS,MATCH($H347,WF_CODE,0)),"")="Done",1,0)))</f>
        <v/>
      </c>
      <c r="V347" s="26">
        <f>IF(OR($A347="",$E347=""),0,IF(IFERROR(INDEX(WF_CLASS,MATCH($H347,WF_CODE,0)),"")="Inactive",1,0))</f>
        <v/>
      </c>
      <c r="W347" s="24">
        <f>IF($A347="","",IFERROR(INDEX(TYP_PHASE,MATCH($A347,TYP_TYPE,0)),"-"))</f>
        <v/>
      </c>
      <c r="X347" s="24">
        <f>IF(AND($T347=1,$U347=0,N($N347)&gt;0),$N347+ROW()/1000000,"")</f>
        <v/>
      </c>
      <c r="Y347" s="24">
        <f>IF(AND($T347=1,$U347=0,OR($I347&lt;&gt;"",N($N347)&gt;0)),N($N347)+ROW()/1000000,"")</f>
        <v/>
      </c>
      <c r="Z347" s="24">
        <f>IF(AND($T347=1,$U347=0,$I347="",N($N347)&lt;=0,-N($N347)&lt;=HORIZON),N($N347)+ROW()/1000000,"")</f>
        <v/>
      </c>
    </row>
    <row r="348">
      <c r="A348" s="21" t="n"/>
      <c r="B348" s="21" t="n"/>
      <c r="C348" s="21" t="n"/>
      <c r="D348" s="21" t="n"/>
      <c r="E348" s="21" t="n"/>
      <c r="F348" s="21" t="n"/>
      <c r="G348" s="21" t="n"/>
      <c r="H348" s="21" t="n"/>
      <c r="I348" s="22" t="n"/>
      <c r="J348" s="22" t="n"/>
      <c r="K348" s="23">
        <f>IF($A348="","",IF($J348&lt;&gt;"",$J348,$S348))</f>
        <v/>
      </c>
      <c r="L348" s="24">
        <f>IF(OR($A348="",$E348=""),"",IF($J348&lt;&gt;"","Manual",IF($S348="","-","Auto")))</f>
        <v/>
      </c>
      <c r="M348" s="22" t="n"/>
      <c r="N348" s="25">
        <f>IF($T348=0,"",IF($U348=1,IF($M348="","",$M348-$K348),IF($K348="","",TODAY()-$K348)))</f>
        <v/>
      </c>
      <c r="O348" s="24">
        <f>IF(OR($A348="",$E348=""),"",IF($V348=1,S_INACT,IF(ISNA(MATCH($A348,TYP_TYPE,0)),S_TYPEKO,IF($U348=1,S_DONE,IF(AND($K348="",$R348=""),S_NOSCOPE,IF($K348="",S_NOTARGET,IF($N348&gt;0,S_LATE,IF($I348&lt;&gt;"",S_WIP,IF(-$N348&lt;=FEN_DOC,S_RISK,IF(-$N348&lt;=HORIZON,S_COMING,S_NOTYET))))))))))</f>
        <v/>
      </c>
      <c r="P348" s="24">
        <f>IF(OR($A348="",$E348=""),"",IF($V348=1,"",IF(ISNA(MATCH($A348,TYP_TYPE,0)),"Type not in the library",IF($B348="","Scope not set",IF(AND($B348="System",$C348=""),"System not set",IF(AND($B348="Equipment",$D348=""),"Equipment not set",IF($F348="","Responsible not set",IF($K348="","No target date",IF(AND($B348="Equipment",$C348&lt;&gt;"",IFERROR(INDEX(EQP_SYS,MATCH($D348,EQP_NOM,0)),"")&lt;&gt;$C348),"Equipment not in that system",IF(AND($U348=1,$M348=""),"Approved with no approval date",""))))))))))</f>
        <v/>
      </c>
      <c r="Q348" s="21" t="n"/>
      <c r="R348" s="23">
        <f>IF(OR($A348="",$B348=""),"",IF($B348="Equipment",IFERROR(INDEX(EQP_START,MATCH($D348,EQP_NOM,0)),""),IF($B348="System",IFERROR(INDEX(SYS_EARLIEST,MATCH($C348,SYS_ID,0)),""),IF($B348="All",CTR_EARLIEST,""))))</f>
        <v/>
      </c>
      <c r="S348" s="23">
        <f>IF(OR($A348="",$E348=""),"",IFERROR(IF(INDEX(TYP_ANCHOR,MATCH($A348,TYP_TYPE,0))="Commissioning Start",IF($R348="","",$R348-INDEX(TYP_LEAD,MATCH($A348,TYP_TYPE,0))),IF(INDEX(MS_PLAN,MATCH(INDEX(TYP_ANCHOR,MATCH($A348,TYP_TYPE,0)),MS_NOM,0))="","",INDEX(MS_PLAN,MATCH(INDEX(TYP_ANCHOR,MATCH($A348,TYP_TYPE,0)),MS_NOM,0))-INDEX(TYP_LEAD,MATCH($A348,TYP_TYPE,0)))),""))</f>
        <v/>
      </c>
      <c r="T348" s="26">
        <f>IF(OR($A348="",$E348=""),0,IF($V348=1,0,1))</f>
        <v/>
      </c>
      <c r="U348" s="26">
        <f>IF($T348=0,0,IF($M348&lt;&gt;"",1,IF(IFERROR(INDEX(WF_CLASS,MATCH($H348,WF_CODE,0)),"")="Done",1,0)))</f>
        <v/>
      </c>
      <c r="V348" s="26">
        <f>IF(OR($A348="",$E348=""),0,IF(IFERROR(INDEX(WF_CLASS,MATCH($H348,WF_CODE,0)),"")="Inactive",1,0))</f>
        <v/>
      </c>
      <c r="W348" s="24">
        <f>IF($A348="","",IFERROR(INDEX(TYP_PHASE,MATCH($A348,TYP_TYPE,0)),"-"))</f>
        <v/>
      </c>
      <c r="X348" s="24">
        <f>IF(AND($T348=1,$U348=0,N($N348)&gt;0),$N348+ROW()/1000000,"")</f>
        <v/>
      </c>
      <c r="Y348" s="24">
        <f>IF(AND($T348=1,$U348=0,OR($I348&lt;&gt;"",N($N348)&gt;0)),N($N348)+ROW()/1000000,"")</f>
        <v/>
      </c>
      <c r="Z348" s="24">
        <f>IF(AND($T348=1,$U348=0,$I348="",N($N348)&lt;=0,-N($N348)&lt;=HORIZON),N($N348)+ROW()/1000000,"")</f>
        <v/>
      </c>
    </row>
    <row r="349">
      <c r="A349" s="21" t="n"/>
      <c r="B349" s="21" t="n"/>
      <c r="C349" s="21" t="n"/>
      <c r="D349" s="21" t="n"/>
      <c r="E349" s="21" t="n"/>
      <c r="F349" s="21" t="n"/>
      <c r="G349" s="21" t="n"/>
      <c r="H349" s="21" t="n"/>
      <c r="I349" s="22" t="n"/>
      <c r="J349" s="22" t="n"/>
      <c r="K349" s="23">
        <f>IF($A349="","",IF($J349&lt;&gt;"",$J349,$S349))</f>
        <v/>
      </c>
      <c r="L349" s="24">
        <f>IF(OR($A349="",$E349=""),"",IF($J349&lt;&gt;"","Manual",IF($S349="","-","Auto")))</f>
        <v/>
      </c>
      <c r="M349" s="22" t="n"/>
      <c r="N349" s="25">
        <f>IF($T349=0,"",IF($U349=1,IF($M349="","",$M349-$K349),IF($K349="","",TODAY()-$K349)))</f>
        <v/>
      </c>
      <c r="O349" s="24">
        <f>IF(OR($A349="",$E349=""),"",IF($V349=1,S_INACT,IF(ISNA(MATCH($A349,TYP_TYPE,0)),S_TYPEKO,IF($U349=1,S_DONE,IF(AND($K349="",$R349=""),S_NOSCOPE,IF($K349="",S_NOTARGET,IF($N349&gt;0,S_LATE,IF($I349&lt;&gt;"",S_WIP,IF(-$N349&lt;=FEN_DOC,S_RISK,IF(-$N349&lt;=HORIZON,S_COMING,S_NOTYET))))))))))</f>
        <v/>
      </c>
      <c r="P349" s="24">
        <f>IF(OR($A349="",$E349=""),"",IF($V349=1,"",IF(ISNA(MATCH($A349,TYP_TYPE,0)),"Type not in the library",IF($B349="","Scope not set",IF(AND($B349="System",$C349=""),"System not set",IF(AND($B349="Equipment",$D349=""),"Equipment not set",IF($F349="","Responsible not set",IF($K349="","No target date",IF(AND($B349="Equipment",$C349&lt;&gt;"",IFERROR(INDEX(EQP_SYS,MATCH($D349,EQP_NOM,0)),"")&lt;&gt;$C349),"Equipment not in that system",IF(AND($U349=1,$M349=""),"Approved with no approval date",""))))))))))</f>
        <v/>
      </c>
      <c r="Q349" s="21" t="n"/>
      <c r="R349" s="23">
        <f>IF(OR($A349="",$B349=""),"",IF($B349="Equipment",IFERROR(INDEX(EQP_START,MATCH($D349,EQP_NOM,0)),""),IF($B349="System",IFERROR(INDEX(SYS_EARLIEST,MATCH($C349,SYS_ID,0)),""),IF($B349="All",CTR_EARLIEST,""))))</f>
        <v/>
      </c>
      <c r="S349" s="23">
        <f>IF(OR($A349="",$E349=""),"",IFERROR(IF(INDEX(TYP_ANCHOR,MATCH($A349,TYP_TYPE,0))="Commissioning Start",IF($R349="","",$R349-INDEX(TYP_LEAD,MATCH($A349,TYP_TYPE,0))),IF(INDEX(MS_PLAN,MATCH(INDEX(TYP_ANCHOR,MATCH($A349,TYP_TYPE,0)),MS_NOM,0))="","",INDEX(MS_PLAN,MATCH(INDEX(TYP_ANCHOR,MATCH($A349,TYP_TYPE,0)),MS_NOM,0))-INDEX(TYP_LEAD,MATCH($A349,TYP_TYPE,0)))),""))</f>
        <v/>
      </c>
      <c r="T349" s="26">
        <f>IF(OR($A349="",$E349=""),0,IF($V349=1,0,1))</f>
        <v/>
      </c>
      <c r="U349" s="26">
        <f>IF($T349=0,0,IF($M349&lt;&gt;"",1,IF(IFERROR(INDEX(WF_CLASS,MATCH($H349,WF_CODE,0)),"")="Done",1,0)))</f>
        <v/>
      </c>
      <c r="V349" s="26">
        <f>IF(OR($A349="",$E349=""),0,IF(IFERROR(INDEX(WF_CLASS,MATCH($H349,WF_CODE,0)),"")="Inactive",1,0))</f>
        <v/>
      </c>
      <c r="W349" s="24">
        <f>IF($A349="","",IFERROR(INDEX(TYP_PHASE,MATCH($A349,TYP_TYPE,0)),"-"))</f>
        <v/>
      </c>
      <c r="X349" s="24">
        <f>IF(AND($T349=1,$U349=0,N($N349)&gt;0),$N349+ROW()/1000000,"")</f>
        <v/>
      </c>
      <c r="Y349" s="24">
        <f>IF(AND($T349=1,$U349=0,OR($I349&lt;&gt;"",N($N349)&gt;0)),N($N349)+ROW()/1000000,"")</f>
        <v/>
      </c>
      <c r="Z349" s="24">
        <f>IF(AND($T349=1,$U349=0,$I349="",N($N349)&lt;=0,-N($N349)&lt;=HORIZON),N($N349)+ROW()/1000000,"")</f>
        <v/>
      </c>
    </row>
    <row r="350">
      <c r="A350" s="21" t="n"/>
      <c r="B350" s="21" t="n"/>
      <c r="C350" s="21" t="n"/>
      <c r="D350" s="21" t="n"/>
      <c r="E350" s="21" t="n"/>
      <c r="F350" s="21" t="n"/>
      <c r="G350" s="21" t="n"/>
      <c r="H350" s="21" t="n"/>
      <c r="I350" s="22" t="n"/>
      <c r="J350" s="22" t="n"/>
      <c r="K350" s="23">
        <f>IF($A350="","",IF($J350&lt;&gt;"",$J350,$S350))</f>
        <v/>
      </c>
      <c r="L350" s="24">
        <f>IF(OR($A350="",$E350=""),"",IF($J350&lt;&gt;"","Manual",IF($S350="","-","Auto")))</f>
        <v/>
      </c>
      <c r="M350" s="22" t="n"/>
      <c r="N350" s="25">
        <f>IF($T350=0,"",IF($U350=1,IF($M350="","",$M350-$K350),IF($K350="","",TODAY()-$K350)))</f>
        <v/>
      </c>
      <c r="O350" s="24">
        <f>IF(OR($A350="",$E350=""),"",IF($V350=1,S_INACT,IF(ISNA(MATCH($A350,TYP_TYPE,0)),S_TYPEKO,IF($U350=1,S_DONE,IF(AND($K350="",$R350=""),S_NOSCOPE,IF($K350="",S_NOTARGET,IF($N350&gt;0,S_LATE,IF($I350&lt;&gt;"",S_WIP,IF(-$N350&lt;=FEN_DOC,S_RISK,IF(-$N350&lt;=HORIZON,S_COMING,S_NOTYET))))))))))</f>
        <v/>
      </c>
      <c r="P350" s="24">
        <f>IF(OR($A350="",$E350=""),"",IF($V350=1,"",IF(ISNA(MATCH($A350,TYP_TYPE,0)),"Type not in the library",IF($B350="","Scope not set",IF(AND($B350="System",$C350=""),"System not set",IF(AND($B350="Equipment",$D350=""),"Equipment not set",IF($F350="","Responsible not set",IF($K350="","No target date",IF(AND($B350="Equipment",$C350&lt;&gt;"",IFERROR(INDEX(EQP_SYS,MATCH($D350,EQP_NOM,0)),"")&lt;&gt;$C350),"Equipment not in that system",IF(AND($U350=1,$M350=""),"Approved with no approval date",""))))))))))</f>
        <v/>
      </c>
      <c r="Q350" s="21" t="n"/>
      <c r="R350" s="23">
        <f>IF(OR($A350="",$B350=""),"",IF($B350="Equipment",IFERROR(INDEX(EQP_START,MATCH($D350,EQP_NOM,0)),""),IF($B350="System",IFERROR(INDEX(SYS_EARLIEST,MATCH($C350,SYS_ID,0)),""),IF($B350="All",CTR_EARLIEST,""))))</f>
        <v/>
      </c>
      <c r="S350" s="23">
        <f>IF(OR($A350="",$E350=""),"",IFERROR(IF(INDEX(TYP_ANCHOR,MATCH($A350,TYP_TYPE,0))="Commissioning Start",IF($R350="","",$R350-INDEX(TYP_LEAD,MATCH($A350,TYP_TYPE,0))),IF(INDEX(MS_PLAN,MATCH(INDEX(TYP_ANCHOR,MATCH($A350,TYP_TYPE,0)),MS_NOM,0))="","",INDEX(MS_PLAN,MATCH(INDEX(TYP_ANCHOR,MATCH($A350,TYP_TYPE,0)),MS_NOM,0))-INDEX(TYP_LEAD,MATCH($A350,TYP_TYPE,0)))),""))</f>
        <v/>
      </c>
      <c r="T350" s="26">
        <f>IF(OR($A350="",$E350=""),0,IF($V350=1,0,1))</f>
        <v/>
      </c>
      <c r="U350" s="26">
        <f>IF($T350=0,0,IF($M350&lt;&gt;"",1,IF(IFERROR(INDEX(WF_CLASS,MATCH($H350,WF_CODE,0)),"")="Done",1,0)))</f>
        <v/>
      </c>
      <c r="V350" s="26">
        <f>IF(OR($A350="",$E350=""),0,IF(IFERROR(INDEX(WF_CLASS,MATCH($H350,WF_CODE,0)),"")="Inactive",1,0))</f>
        <v/>
      </c>
      <c r="W350" s="24">
        <f>IF($A350="","",IFERROR(INDEX(TYP_PHASE,MATCH($A350,TYP_TYPE,0)),"-"))</f>
        <v/>
      </c>
      <c r="X350" s="24">
        <f>IF(AND($T350=1,$U350=0,N($N350)&gt;0),$N350+ROW()/1000000,"")</f>
        <v/>
      </c>
      <c r="Y350" s="24">
        <f>IF(AND($T350=1,$U350=0,OR($I350&lt;&gt;"",N($N350)&gt;0)),N($N350)+ROW()/1000000,"")</f>
        <v/>
      </c>
      <c r="Z350" s="24">
        <f>IF(AND($T350=1,$U350=0,$I350="",N($N350)&lt;=0,-N($N350)&lt;=HORIZON),N($N350)+ROW()/1000000,"")</f>
        <v/>
      </c>
    </row>
    <row r="351">
      <c r="A351" s="21" t="n"/>
      <c r="B351" s="21" t="n"/>
      <c r="C351" s="21" t="n"/>
      <c r="D351" s="21" t="n"/>
      <c r="E351" s="21" t="n"/>
      <c r="F351" s="21" t="n"/>
      <c r="G351" s="21" t="n"/>
      <c r="H351" s="21" t="n"/>
      <c r="I351" s="22" t="n"/>
      <c r="J351" s="22" t="n"/>
      <c r="K351" s="23">
        <f>IF($A351="","",IF($J351&lt;&gt;"",$J351,$S351))</f>
        <v/>
      </c>
      <c r="L351" s="24">
        <f>IF(OR($A351="",$E351=""),"",IF($J351&lt;&gt;"","Manual",IF($S351="","-","Auto")))</f>
        <v/>
      </c>
      <c r="M351" s="22" t="n"/>
      <c r="N351" s="25">
        <f>IF($T351=0,"",IF($U351=1,IF($M351="","",$M351-$K351),IF($K351="","",TODAY()-$K351)))</f>
        <v/>
      </c>
      <c r="O351" s="24">
        <f>IF(OR($A351="",$E351=""),"",IF($V351=1,S_INACT,IF(ISNA(MATCH($A351,TYP_TYPE,0)),S_TYPEKO,IF($U351=1,S_DONE,IF(AND($K351="",$R351=""),S_NOSCOPE,IF($K351="",S_NOTARGET,IF($N351&gt;0,S_LATE,IF($I351&lt;&gt;"",S_WIP,IF(-$N351&lt;=FEN_DOC,S_RISK,IF(-$N351&lt;=HORIZON,S_COMING,S_NOTYET))))))))))</f>
        <v/>
      </c>
      <c r="P351" s="24">
        <f>IF(OR($A351="",$E351=""),"",IF($V351=1,"",IF(ISNA(MATCH($A351,TYP_TYPE,0)),"Type not in the library",IF($B351="","Scope not set",IF(AND($B351="System",$C351=""),"System not set",IF(AND($B351="Equipment",$D351=""),"Equipment not set",IF($F351="","Responsible not set",IF($K351="","No target date",IF(AND($B351="Equipment",$C351&lt;&gt;"",IFERROR(INDEX(EQP_SYS,MATCH($D351,EQP_NOM,0)),"")&lt;&gt;$C351),"Equipment not in that system",IF(AND($U351=1,$M351=""),"Approved with no approval date",""))))))))))</f>
        <v/>
      </c>
      <c r="Q351" s="21" t="n"/>
      <c r="R351" s="23">
        <f>IF(OR($A351="",$B351=""),"",IF($B351="Equipment",IFERROR(INDEX(EQP_START,MATCH($D351,EQP_NOM,0)),""),IF($B351="System",IFERROR(INDEX(SYS_EARLIEST,MATCH($C351,SYS_ID,0)),""),IF($B351="All",CTR_EARLIEST,""))))</f>
        <v/>
      </c>
      <c r="S351" s="23">
        <f>IF(OR($A351="",$E351=""),"",IFERROR(IF(INDEX(TYP_ANCHOR,MATCH($A351,TYP_TYPE,0))="Commissioning Start",IF($R351="","",$R351-INDEX(TYP_LEAD,MATCH($A351,TYP_TYPE,0))),IF(INDEX(MS_PLAN,MATCH(INDEX(TYP_ANCHOR,MATCH($A351,TYP_TYPE,0)),MS_NOM,0))="","",INDEX(MS_PLAN,MATCH(INDEX(TYP_ANCHOR,MATCH($A351,TYP_TYPE,0)),MS_NOM,0))-INDEX(TYP_LEAD,MATCH($A351,TYP_TYPE,0)))),""))</f>
        <v/>
      </c>
      <c r="T351" s="26">
        <f>IF(OR($A351="",$E351=""),0,IF($V351=1,0,1))</f>
        <v/>
      </c>
      <c r="U351" s="26">
        <f>IF($T351=0,0,IF($M351&lt;&gt;"",1,IF(IFERROR(INDEX(WF_CLASS,MATCH($H351,WF_CODE,0)),"")="Done",1,0)))</f>
        <v/>
      </c>
      <c r="V351" s="26">
        <f>IF(OR($A351="",$E351=""),0,IF(IFERROR(INDEX(WF_CLASS,MATCH($H351,WF_CODE,0)),"")="Inactive",1,0))</f>
        <v/>
      </c>
      <c r="W351" s="24">
        <f>IF($A351="","",IFERROR(INDEX(TYP_PHASE,MATCH($A351,TYP_TYPE,0)),"-"))</f>
        <v/>
      </c>
      <c r="X351" s="24">
        <f>IF(AND($T351=1,$U351=0,N($N351)&gt;0),$N351+ROW()/1000000,"")</f>
        <v/>
      </c>
      <c r="Y351" s="24">
        <f>IF(AND($T351=1,$U351=0,OR($I351&lt;&gt;"",N($N351)&gt;0)),N($N351)+ROW()/1000000,"")</f>
        <v/>
      </c>
      <c r="Z351" s="24">
        <f>IF(AND($T351=1,$U351=0,$I351="",N($N351)&lt;=0,-N($N351)&lt;=HORIZON),N($N351)+ROW()/1000000,"")</f>
        <v/>
      </c>
    </row>
    <row r="352">
      <c r="A352" s="21" t="n"/>
      <c r="B352" s="21" t="n"/>
      <c r="C352" s="21" t="n"/>
      <c r="D352" s="21" t="n"/>
      <c r="E352" s="21" t="n"/>
      <c r="F352" s="21" t="n"/>
      <c r="G352" s="21" t="n"/>
      <c r="H352" s="21" t="n"/>
      <c r="I352" s="22" t="n"/>
      <c r="J352" s="22" t="n"/>
      <c r="K352" s="23">
        <f>IF($A352="","",IF($J352&lt;&gt;"",$J352,$S352))</f>
        <v/>
      </c>
      <c r="L352" s="24">
        <f>IF(OR($A352="",$E352=""),"",IF($J352&lt;&gt;"","Manual",IF($S352="","-","Auto")))</f>
        <v/>
      </c>
      <c r="M352" s="22" t="n"/>
      <c r="N352" s="25">
        <f>IF($T352=0,"",IF($U352=1,IF($M352="","",$M352-$K352),IF($K352="","",TODAY()-$K352)))</f>
        <v/>
      </c>
      <c r="O352" s="24">
        <f>IF(OR($A352="",$E352=""),"",IF($V352=1,S_INACT,IF(ISNA(MATCH($A352,TYP_TYPE,0)),S_TYPEKO,IF($U352=1,S_DONE,IF(AND($K352="",$R352=""),S_NOSCOPE,IF($K352="",S_NOTARGET,IF($N352&gt;0,S_LATE,IF($I352&lt;&gt;"",S_WIP,IF(-$N352&lt;=FEN_DOC,S_RISK,IF(-$N352&lt;=HORIZON,S_COMING,S_NOTYET))))))))))</f>
        <v/>
      </c>
      <c r="P352" s="24">
        <f>IF(OR($A352="",$E352=""),"",IF($V352=1,"",IF(ISNA(MATCH($A352,TYP_TYPE,0)),"Type not in the library",IF($B352="","Scope not set",IF(AND($B352="System",$C352=""),"System not set",IF(AND($B352="Equipment",$D352=""),"Equipment not set",IF($F352="","Responsible not set",IF($K352="","No target date",IF(AND($B352="Equipment",$C352&lt;&gt;"",IFERROR(INDEX(EQP_SYS,MATCH($D352,EQP_NOM,0)),"")&lt;&gt;$C352),"Equipment not in that system",IF(AND($U352=1,$M352=""),"Approved with no approval date",""))))))))))</f>
        <v/>
      </c>
      <c r="Q352" s="21" t="n"/>
      <c r="R352" s="23">
        <f>IF(OR($A352="",$B352=""),"",IF($B352="Equipment",IFERROR(INDEX(EQP_START,MATCH($D352,EQP_NOM,0)),""),IF($B352="System",IFERROR(INDEX(SYS_EARLIEST,MATCH($C352,SYS_ID,0)),""),IF($B352="All",CTR_EARLIEST,""))))</f>
        <v/>
      </c>
      <c r="S352" s="23">
        <f>IF(OR($A352="",$E352=""),"",IFERROR(IF(INDEX(TYP_ANCHOR,MATCH($A352,TYP_TYPE,0))="Commissioning Start",IF($R352="","",$R352-INDEX(TYP_LEAD,MATCH($A352,TYP_TYPE,0))),IF(INDEX(MS_PLAN,MATCH(INDEX(TYP_ANCHOR,MATCH($A352,TYP_TYPE,0)),MS_NOM,0))="","",INDEX(MS_PLAN,MATCH(INDEX(TYP_ANCHOR,MATCH($A352,TYP_TYPE,0)),MS_NOM,0))-INDEX(TYP_LEAD,MATCH($A352,TYP_TYPE,0)))),""))</f>
        <v/>
      </c>
      <c r="T352" s="26">
        <f>IF(OR($A352="",$E352=""),0,IF($V352=1,0,1))</f>
        <v/>
      </c>
      <c r="U352" s="26">
        <f>IF($T352=0,0,IF($M352&lt;&gt;"",1,IF(IFERROR(INDEX(WF_CLASS,MATCH($H352,WF_CODE,0)),"")="Done",1,0)))</f>
        <v/>
      </c>
      <c r="V352" s="26">
        <f>IF(OR($A352="",$E352=""),0,IF(IFERROR(INDEX(WF_CLASS,MATCH($H352,WF_CODE,0)),"")="Inactive",1,0))</f>
        <v/>
      </c>
      <c r="W352" s="24">
        <f>IF($A352="","",IFERROR(INDEX(TYP_PHASE,MATCH($A352,TYP_TYPE,0)),"-"))</f>
        <v/>
      </c>
      <c r="X352" s="24">
        <f>IF(AND($T352=1,$U352=0,N($N352)&gt;0),$N352+ROW()/1000000,"")</f>
        <v/>
      </c>
      <c r="Y352" s="24">
        <f>IF(AND($T352=1,$U352=0,OR($I352&lt;&gt;"",N($N352)&gt;0)),N($N352)+ROW()/1000000,"")</f>
        <v/>
      </c>
      <c r="Z352" s="24">
        <f>IF(AND($T352=1,$U352=0,$I352="",N($N352)&lt;=0,-N($N352)&lt;=HORIZON),N($N352)+ROW()/1000000,"")</f>
        <v/>
      </c>
    </row>
    <row r="353">
      <c r="A353" s="21" t="n"/>
      <c r="B353" s="21" t="n"/>
      <c r="C353" s="21" t="n"/>
      <c r="D353" s="21" t="n"/>
      <c r="E353" s="21" t="n"/>
      <c r="F353" s="21" t="n"/>
      <c r="G353" s="21" t="n"/>
      <c r="H353" s="21" t="n"/>
      <c r="I353" s="22" t="n"/>
      <c r="J353" s="22" t="n"/>
      <c r="K353" s="23">
        <f>IF($A353="","",IF($J353&lt;&gt;"",$J353,$S353))</f>
        <v/>
      </c>
      <c r="L353" s="24">
        <f>IF(OR($A353="",$E353=""),"",IF($J353&lt;&gt;"","Manual",IF($S353="","-","Auto")))</f>
        <v/>
      </c>
      <c r="M353" s="22" t="n"/>
      <c r="N353" s="25">
        <f>IF($T353=0,"",IF($U353=1,IF($M353="","",$M353-$K353),IF($K353="","",TODAY()-$K353)))</f>
        <v/>
      </c>
      <c r="O353" s="24">
        <f>IF(OR($A353="",$E353=""),"",IF($V353=1,S_INACT,IF(ISNA(MATCH($A353,TYP_TYPE,0)),S_TYPEKO,IF($U353=1,S_DONE,IF(AND($K353="",$R353=""),S_NOSCOPE,IF($K353="",S_NOTARGET,IF($N353&gt;0,S_LATE,IF($I353&lt;&gt;"",S_WIP,IF(-$N353&lt;=FEN_DOC,S_RISK,IF(-$N353&lt;=HORIZON,S_COMING,S_NOTYET))))))))))</f>
        <v/>
      </c>
      <c r="P353" s="24">
        <f>IF(OR($A353="",$E353=""),"",IF($V353=1,"",IF(ISNA(MATCH($A353,TYP_TYPE,0)),"Type not in the library",IF($B353="","Scope not set",IF(AND($B353="System",$C353=""),"System not set",IF(AND($B353="Equipment",$D353=""),"Equipment not set",IF($F353="","Responsible not set",IF($K353="","No target date",IF(AND($B353="Equipment",$C353&lt;&gt;"",IFERROR(INDEX(EQP_SYS,MATCH($D353,EQP_NOM,0)),"")&lt;&gt;$C353),"Equipment not in that system",IF(AND($U353=1,$M353=""),"Approved with no approval date",""))))))))))</f>
        <v/>
      </c>
      <c r="Q353" s="21" t="n"/>
      <c r="R353" s="23">
        <f>IF(OR($A353="",$B353=""),"",IF($B353="Equipment",IFERROR(INDEX(EQP_START,MATCH($D353,EQP_NOM,0)),""),IF($B353="System",IFERROR(INDEX(SYS_EARLIEST,MATCH($C353,SYS_ID,0)),""),IF($B353="All",CTR_EARLIEST,""))))</f>
        <v/>
      </c>
      <c r="S353" s="23">
        <f>IF(OR($A353="",$E353=""),"",IFERROR(IF(INDEX(TYP_ANCHOR,MATCH($A353,TYP_TYPE,0))="Commissioning Start",IF($R353="","",$R353-INDEX(TYP_LEAD,MATCH($A353,TYP_TYPE,0))),IF(INDEX(MS_PLAN,MATCH(INDEX(TYP_ANCHOR,MATCH($A353,TYP_TYPE,0)),MS_NOM,0))="","",INDEX(MS_PLAN,MATCH(INDEX(TYP_ANCHOR,MATCH($A353,TYP_TYPE,0)),MS_NOM,0))-INDEX(TYP_LEAD,MATCH($A353,TYP_TYPE,0)))),""))</f>
        <v/>
      </c>
      <c r="T353" s="26">
        <f>IF(OR($A353="",$E353=""),0,IF($V353=1,0,1))</f>
        <v/>
      </c>
      <c r="U353" s="26">
        <f>IF($T353=0,0,IF($M353&lt;&gt;"",1,IF(IFERROR(INDEX(WF_CLASS,MATCH($H353,WF_CODE,0)),"")="Done",1,0)))</f>
        <v/>
      </c>
      <c r="V353" s="26">
        <f>IF(OR($A353="",$E353=""),0,IF(IFERROR(INDEX(WF_CLASS,MATCH($H353,WF_CODE,0)),"")="Inactive",1,0))</f>
        <v/>
      </c>
      <c r="W353" s="24">
        <f>IF($A353="","",IFERROR(INDEX(TYP_PHASE,MATCH($A353,TYP_TYPE,0)),"-"))</f>
        <v/>
      </c>
      <c r="X353" s="24">
        <f>IF(AND($T353=1,$U353=0,N($N353)&gt;0),$N353+ROW()/1000000,"")</f>
        <v/>
      </c>
      <c r="Y353" s="24">
        <f>IF(AND($T353=1,$U353=0,OR($I353&lt;&gt;"",N($N353)&gt;0)),N($N353)+ROW()/1000000,"")</f>
        <v/>
      </c>
      <c r="Z353" s="24">
        <f>IF(AND($T353=1,$U353=0,$I353="",N($N353)&lt;=0,-N($N353)&lt;=HORIZON),N($N353)+ROW()/1000000,"")</f>
        <v/>
      </c>
    </row>
    <row r="354">
      <c r="A354" s="21" t="n"/>
      <c r="B354" s="21" t="n"/>
      <c r="C354" s="21" t="n"/>
      <c r="D354" s="21" t="n"/>
      <c r="E354" s="21" t="n"/>
      <c r="F354" s="21" t="n"/>
      <c r="G354" s="21" t="n"/>
      <c r="H354" s="21" t="n"/>
      <c r="I354" s="22" t="n"/>
      <c r="J354" s="22" t="n"/>
      <c r="K354" s="23">
        <f>IF($A354="","",IF($J354&lt;&gt;"",$J354,$S354))</f>
        <v/>
      </c>
      <c r="L354" s="24">
        <f>IF(OR($A354="",$E354=""),"",IF($J354&lt;&gt;"","Manual",IF($S354="","-","Auto")))</f>
        <v/>
      </c>
      <c r="M354" s="22" t="n"/>
      <c r="N354" s="25">
        <f>IF($T354=0,"",IF($U354=1,IF($M354="","",$M354-$K354),IF($K354="","",TODAY()-$K354)))</f>
        <v/>
      </c>
      <c r="O354" s="24">
        <f>IF(OR($A354="",$E354=""),"",IF($V354=1,S_INACT,IF(ISNA(MATCH($A354,TYP_TYPE,0)),S_TYPEKO,IF($U354=1,S_DONE,IF(AND($K354="",$R354=""),S_NOSCOPE,IF($K354="",S_NOTARGET,IF($N354&gt;0,S_LATE,IF($I354&lt;&gt;"",S_WIP,IF(-$N354&lt;=FEN_DOC,S_RISK,IF(-$N354&lt;=HORIZON,S_COMING,S_NOTYET))))))))))</f>
        <v/>
      </c>
      <c r="P354" s="24">
        <f>IF(OR($A354="",$E354=""),"",IF($V354=1,"",IF(ISNA(MATCH($A354,TYP_TYPE,0)),"Type not in the library",IF($B354="","Scope not set",IF(AND($B354="System",$C354=""),"System not set",IF(AND($B354="Equipment",$D354=""),"Equipment not set",IF($F354="","Responsible not set",IF($K354="","No target date",IF(AND($B354="Equipment",$C354&lt;&gt;"",IFERROR(INDEX(EQP_SYS,MATCH($D354,EQP_NOM,0)),"")&lt;&gt;$C354),"Equipment not in that system",IF(AND($U354=1,$M354=""),"Approved with no approval date",""))))))))))</f>
        <v/>
      </c>
      <c r="Q354" s="21" t="n"/>
      <c r="R354" s="23">
        <f>IF(OR($A354="",$B354=""),"",IF($B354="Equipment",IFERROR(INDEX(EQP_START,MATCH($D354,EQP_NOM,0)),""),IF($B354="System",IFERROR(INDEX(SYS_EARLIEST,MATCH($C354,SYS_ID,0)),""),IF($B354="All",CTR_EARLIEST,""))))</f>
        <v/>
      </c>
      <c r="S354" s="23">
        <f>IF(OR($A354="",$E354=""),"",IFERROR(IF(INDEX(TYP_ANCHOR,MATCH($A354,TYP_TYPE,0))="Commissioning Start",IF($R354="","",$R354-INDEX(TYP_LEAD,MATCH($A354,TYP_TYPE,0))),IF(INDEX(MS_PLAN,MATCH(INDEX(TYP_ANCHOR,MATCH($A354,TYP_TYPE,0)),MS_NOM,0))="","",INDEX(MS_PLAN,MATCH(INDEX(TYP_ANCHOR,MATCH($A354,TYP_TYPE,0)),MS_NOM,0))-INDEX(TYP_LEAD,MATCH($A354,TYP_TYPE,0)))),""))</f>
        <v/>
      </c>
      <c r="T354" s="26">
        <f>IF(OR($A354="",$E354=""),0,IF($V354=1,0,1))</f>
        <v/>
      </c>
      <c r="U354" s="26">
        <f>IF($T354=0,0,IF($M354&lt;&gt;"",1,IF(IFERROR(INDEX(WF_CLASS,MATCH($H354,WF_CODE,0)),"")="Done",1,0)))</f>
        <v/>
      </c>
      <c r="V354" s="26">
        <f>IF(OR($A354="",$E354=""),0,IF(IFERROR(INDEX(WF_CLASS,MATCH($H354,WF_CODE,0)),"")="Inactive",1,0))</f>
        <v/>
      </c>
      <c r="W354" s="24">
        <f>IF($A354="","",IFERROR(INDEX(TYP_PHASE,MATCH($A354,TYP_TYPE,0)),"-"))</f>
        <v/>
      </c>
      <c r="X354" s="24">
        <f>IF(AND($T354=1,$U354=0,N($N354)&gt;0),$N354+ROW()/1000000,"")</f>
        <v/>
      </c>
      <c r="Y354" s="24">
        <f>IF(AND($T354=1,$U354=0,OR($I354&lt;&gt;"",N($N354)&gt;0)),N($N354)+ROW()/1000000,"")</f>
        <v/>
      </c>
      <c r="Z354" s="24">
        <f>IF(AND($T354=1,$U354=0,$I354="",N($N354)&lt;=0,-N($N354)&lt;=HORIZON),N($N354)+ROW()/1000000,"")</f>
        <v/>
      </c>
    </row>
    <row r="355">
      <c r="A355" s="21" t="n"/>
      <c r="B355" s="21" t="n"/>
      <c r="C355" s="21" t="n"/>
      <c r="D355" s="21" t="n"/>
      <c r="E355" s="21" t="n"/>
      <c r="F355" s="21" t="n"/>
      <c r="G355" s="21" t="n"/>
      <c r="H355" s="21" t="n"/>
      <c r="I355" s="22" t="n"/>
      <c r="J355" s="22" t="n"/>
      <c r="K355" s="23">
        <f>IF($A355="","",IF($J355&lt;&gt;"",$J355,$S355))</f>
        <v/>
      </c>
      <c r="L355" s="24">
        <f>IF(OR($A355="",$E355=""),"",IF($J355&lt;&gt;"","Manual",IF($S355="","-","Auto")))</f>
        <v/>
      </c>
      <c r="M355" s="22" t="n"/>
      <c r="N355" s="25">
        <f>IF($T355=0,"",IF($U355=1,IF($M355="","",$M355-$K355),IF($K355="","",TODAY()-$K355)))</f>
        <v/>
      </c>
      <c r="O355" s="24">
        <f>IF(OR($A355="",$E355=""),"",IF($V355=1,S_INACT,IF(ISNA(MATCH($A355,TYP_TYPE,0)),S_TYPEKO,IF($U355=1,S_DONE,IF(AND($K355="",$R355=""),S_NOSCOPE,IF($K355="",S_NOTARGET,IF($N355&gt;0,S_LATE,IF($I355&lt;&gt;"",S_WIP,IF(-$N355&lt;=FEN_DOC,S_RISK,IF(-$N355&lt;=HORIZON,S_COMING,S_NOTYET))))))))))</f>
        <v/>
      </c>
      <c r="P355" s="24">
        <f>IF(OR($A355="",$E355=""),"",IF($V355=1,"",IF(ISNA(MATCH($A355,TYP_TYPE,0)),"Type not in the library",IF($B355="","Scope not set",IF(AND($B355="System",$C355=""),"System not set",IF(AND($B355="Equipment",$D355=""),"Equipment not set",IF($F355="","Responsible not set",IF($K355="","No target date",IF(AND($B355="Equipment",$C355&lt;&gt;"",IFERROR(INDEX(EQP_SYS,MATCH($D355,EQP_NOM,0)),"")&lt;&gt;$C355),"Equipment not in that system",IF(AND($U355=1,$M355=""),"Approved with no approval date",""))))))))))</f>
        <v/>
      </c>
      <c r="Q355" s="21" t="n"/>
      <c r="R355" s="23">
        <f>IF(OR($A355="",$B355=""),"",IF($B355="Equipment",IFERROR(INDEX(EQP_START,MATCH($D355,EQP_NOM,0)),""),IF($B355="System",IFERROR(INDEX(SYS_EARLIEST,MATCH($C355,SYS_ID,0)),""),IF($B355="All",CTR_EARLIEST,""))))</f>
        <v/>
      </c>
      <c r="S355" s="23">
        <f>IF(OR($A355="",$E355=""),"",IFERROR(IF(INDEX(TYP_ANCHOR,MATCH($A355,TYP_TYPE,0))="Commissioning Start",IF($R355="","",$R355-INDEX(TYP_LEAD,MATCH($A355,TYP_TYPE,0))),IF(INDEX(MS_PLAN,MATCH(INDEX(TYP_ANCHOR,MATCH($A355,TYP_TYPE,0)),MS_NOM,0))="","",INDEX(MS_PLAN,MATCH(INDEX(TYP_ANCHOR,MATCH($A355,TYP_TYPE,0)),MS_NOM,0))-INDEX(TYP_LEAD,MATCH($A355,TYP_TYPE,0)))),""))</f>
        <v/>
      </c>
      <c r="T355" s="26">
        <f>IF(OR($A355="",$E355=""),0,IF($V355=1,0,1))</f>
        <v/>
      </c>
      <c r="U355" s="26">
        <f>IF($T355=0,0,IF($M355&lt;&gt;"",1,IF(IFERROR(INDEX(WF_CLASS,MATCH($H355,WF_CODE,0)),"")="Done",1,0)))</f>
        <v/>
      </c>
      <c r="V355" s="26">
        <f>IF(OR($A355="",$E355=""),0,IF(IFERROR(INDEX(WF_CLASS,MATCH($H355,WF_CODE,0)),"")="Inactive",1,0))</f>
        <v/>
      </c>
      <c r="W355" s="24">
        <f>IF($A355="","",IFERROR(INDEX(TYP_PHASE,MATCH($A355,TYP_TYPE,0)),"-"))</f>
        <v/>
      </c>
      <c r="X355" s="24">
        <f>IF(AND($T355=1,$U355=0,N($N355)&gt;0),$N355+ROW()/1000000,"")</f>
        <v/>
      </c>
      <c r="Y355" s="24">
        <f>IF(AND($T355=1,$U355=0,OR($I355&lt;&gt;"",N($N355)&gt;0)),N($N355)+ROW()/1000000,"")</f>
        <v/>
      </c>
      <c r="Z355" s="24">
        <f>IF(AND($T355=1,$U355=0,$I355="",N($N355)&lt;=0,-N($N355)&lt;=HORIZON),N($N355)+ROW()/1000000,"")</f>
        <v/>
      </c>
    </row>
    <row r="356">
      <c r="A356" s="21" t="n"/>
      <c r="B356" s="21" t="n"/>
      <c r="C356" s="21" t="n"/>
      <c r="D356" s="21" t="n"/>
      <c r="E356" s="21" t="n"/>
      <c r="F356" s="21" t="n"/>
      <c r="G356" s="21" t="n"/>
      <c r="H356" s="21" t="n"/>
      <c r="I356" s="22" t="n"/>
      <c r="J356" s="22" t="n"/>
      <c r="K356" s="23">
        <f>IF($A356="","",IF($J356&lt;&gt;"",$J356,$S356))</f>
        <v/>
      </c>
      <c r="L356" s="24">
        <f>IF(OR($A356="",$E356=""),"",IF($J356&lt;&gt;"","Manual",IF($S356="","-","Auto")))</f>
        <v/>
      </c>
      <c r="M356" s="22" t="n"/>
      <c r="N356" s="25">
        <f>IF($T356=0,"",IF($U356=1,IF($M356="","",$M356-$K356),IF($K356="","",TODAY()-$K356)))</f>
        <v/>
      </c>
      <c r="O356" s="24">
        <f>IF(OR($A356="",$E356=""),"",IF($V356=1,S_INACT,IF(ISNA(MATCH($A356,TYP_TYPE,0)),S_TYPEKO,IF($U356=1,S_DONE,IF(AND($K356="",$R356=""),S_NOSCOPE,IF($K356="",S_NOTARGET,IF($N356&gt;0,S_LATE,IF($I356&lt;&gt;"",S_WIP,IF(-$N356&lt;=FEN_DOC,S_RISK,IF(-$N356&lt;=HORIZON,S_COMING,S_NOTYET))))))))))</f>
        <v/>
      </c>
      <c r="P356" s="24">
        <f>IF(OR($A356="",$E356=""),"",IF($V356=1,"",IF(ISNA(MATCH($A356,TYP_TYPE,0)),"Type not in the library",IF($B356="","Scope not set",IF(AND($B356="System",$C356=""),"System not set",IF(AND($B356="Equipment",$D356=""),"Equipment not set",IF($F356="","Responsible not set",IF($K356="","No target date",IF(AND($B356="Equipment",$C356&lt;&gt;"",IFERROR(INDEX(EQP_SYS,MATCH($D356,EQP_NOM,0)),"")&lt;&gt;$C356),"Equipment not in that system",IF(AND($U356=1,$M356=""),"Approved with no approval date",""))))))))))</f>
        <v/>
      </c>
      <c r="Q356" s="21" t="n"/>
      <c r="R356" s="23">
        <f>IF(OR($A356="",$B356=""),"",IF($B356="Equipment",IFERROR(INDEX(EQP_START,MATCH($D356,EQP_NOM,0)),""),IF($B356="System",IFERROR(INDEX(SYS_EARLIEST,MATCH($C356,SYS_ID,0)),""),IF($B356="All",CTR_EARLIEST,""))))</f>
        <v/>
      </c>
      <c r="S356" s="23">
        <f>IF(OR($A356="",$E356=""),"",IFERROR(IF(INDEX(TYP_ANCHOR,MATCH($A356,TYP_TYPE,0))="Commissioning Start",IF($R356="","",$R356-INDEX(TYP_LEAD,MATCH($A356,TYP_TYPE,0))),IF(INDEX(MS_PLAN,MATCH(INDEX(TYP_ANCHOR,MATCH($A356,TYP_TYPE,0)),MS_NOM,0))="","",INDEX(MS_PLAN,MATCH(INDEX(TYP_ANCHOR,MATCH($A356,TYP_TYPE,0)),MS_NOM,0))-INDEX(TYP_LEAD,MATCH($A356,TYP_TYPE,0)))),""))</f>
        <v/>
      </c>
      <c r="T356" s="26">
        <f>IF(OR($A356="",$E356=""),0,IF($V356=1,0,1))</f>
        <v/>
      </c>
      <c r="U356" s="26">
        <f>IF($T356=0,0,IF($M356&lt;&gt;"",1,IF(IFERROR(INDEX(WF_CLASS,MATCH($H356,WF_CODE,0)),"")="Done",1,0)))</f>
        <v/>
      </c>
      <c r="V356" s="26">
        <f>IF(OR($A356="",$E356=""),0,IF(IFERROR(INDEX(WF_CLASS,MATCH($H356,WF_CODE,0)),"")="Inactive",1,0))</f>
        <v/>
      </c>
      <c r="W356" s="24">
        <f>IF($A356="","",IFERROR(INDEX(TYP_PHASE,MATCH($A356,TYP_TYPE,0)),"-"))</f>
        <v/>
      </c>
      <c r="X356" s="24">
        <f>IF(AND($T356=1,$U356=0,N($N356)&gt;0),$N356+ROW()/1000000,"")</f>
        <v/>
      </c>
      <c r="Y356" s="24">
        <f>IF(AND($T356=1,$U356=0,OR($I356&lt;&gt;"",N($N356)&gt;0)),N($N356)+ROW()/1000000,"")</f>
        <v/>
      </c>
      <c r="Z356" s="24">
        <f>IF(AND($T356=1,$U356=0,$I356="",N($N356)&lt;=0,-N($N356)&lt;=HORIZON),N($N356)+ROW()/1000000,"")</f>
        <v/>
      </c>
    </row>
    <row r="357">
      <c r="A357" s="21" t="n"/>
      <c r="B357" s="21" t="n"/>
      <c r="C357" s="21" t="n"/>
      <c r="D357" s="21" t="n"/>
      <c r="E357" s="21" t="n"/>
      <c r="F357" s="21" t="n"/>
      <c r="G357" s="21" t="n"/>
      <c r="H357" s="21" t="n"/>
      <c r="I357" s="22" t="n"/>
      <c r="J357" s="22" t="n"/>
      <c r="K357" s="23">
        <f>IF($A357="","",IF($J357&lt;&gt;"",$J357,$S357))</f>
        <v/>
      </c>
      <c r="L357" s="24">
        <f>IF(OR($A357="",$E357=""),"",IF($J357&lt;&gt;"","Manual",IF($S357="","-","Auto")))</f>
        <v/>
      </c>
      <c r="M357" s="22" t="n"/>
      <c r="N357" s="25">
        <f>IF($T357=0,"",IF($U357=1,IF($M357="","",$M357-$K357),IF($K357="","",TODAY()-$K357)))</f>
        <v/>
      </c>
      <c r="O357" s="24">
        <f>IF(OR($A357="",$E357=""),"",IF($V357=1,S_INACT,IF(ISNA(MATCH($A357,TYP_TYPE,0)),S_TYPEKO,IF($U357=1,S_DONE,IF(AND($K357="",$R357=""),S_NOSCOPE,IF($K357="",S_NOTARGET,IF($N357&gt;0,S_LATE,IF($I357&lt;&gt;"",S_WIP,IF(-$N357&lt;=FEN_DOC,S_RISK,IF(-$N357&lt;=HORIZON,S_COMING,S_NOTYET))))))))))</f>
        <v/>
      </c>
      <c r="P357" s="24">
        <f>IF(OR($A357="",$E357=""),"",IF($V357=1,"",IF(ISNA(MATCH($A357,TYP_TYPE,0)),"Type not in the library",IF($B357="","Scope not set",IF(AND($B357="System",$C357=""),"System not set",IF(AND($B357="Equipment",$D357=""),"Equipment not set",IF($F357="","Responsible not set",IF($K357="","No target date",IF(AND($B357="Equipment",$C357&lt;&gt;"",IFERROR(INDEX(EQP_SYS,MATCH($D357,EQP_NOM,0)),"")&lt;&gt;$C357),"Equipment not in that system",IF(AND($U357=1,$M357=""),"Approved with no approval date",""))))))))))</f>
        <v/>
      </c>
      <c r="Q357" s="21" t="n"/>
      <c r="R357" s="23">
        <f>IF(OR($A357="",$B357=""),"",IF($B357="Equipment",IFERROR(INDEX(EQP_START,MATCH($D357,EQP_NOM,0)),""),IF($B357="System",IFERROR(INDEX(SYS_EARLIEST,MATCH($C357,SYS_ID,0)),""),IF($B357="All",CTR_EARLIEST,""))))</f>
        <v/>
      </c>
      <c r="S357" s="23">
        <f>IF(OR($A357="",$E357=""),"",IFERROR(IF(INDEX(TYP_ANCHOR,MATCH($A357,TYP_TYPE,0))="Commissioning Start",IF($R357="","",$R357-INDEX(TYP_LEAD,MATCH($A357,TYP_TYPE,0))),IF(INDEX(MS_PLAN,MATCH(INDEX(TYP_ANCHOR,MATCH($A357,TYP_TYPE,0)),MS_NOM,0))="","",INDEX(MS_PLAN,MATCH(INDEX(TYP_ANCHOR,MATCH($A357,TYP_TYPE,0)),MS_NOM,0))-INDEX(TYP_LEAD,MATCH($A357,TYP_TYPE,0)))),""))</f>
        <v/>
      </c>
      <c r="T357" s="26">
        <f>IF(OR($A357="",$E357=""),0,IF($V357=1,0,1))</f>
        <v/>
      </c>
      <c r="U357" s="26">
        <f>IF($T357=0,0,IF($M357&lt;&gt;"",1,IF(IFERROR(INDEX(WF_CLASS,MATCH($H357,WF_CODE,0)),"")="Done",1,0)))</f>
        <v/>
      </c>
      <c r="V357" s="26">
        <f>IF(OR($A357="",$E357=""),0,IF(IFERROR(INDEX(WF_CLASS,MATCH($H357,WF_CODE,0)),"")="Inactive",1,0))</f>
        <v/>
      </c>
      <c r="W357" s="24">
        <f>IF($A357="","",IFERROR(INDEX(TYP_PHASE,MATCH($A357,TYP_TYPE,0)),"-"))</f>
        <v/>
      </c>
      <c r="X357" s="24">
        <f>IF(AND($T357=1,$U357=0,N($N357)&gt;0),$N357+ROW()/1000000,"")</f>
        <v/>
      </c>
      <c r="Y357" s="24">
        <f>IF(AND($T357=1,$U357=0,OR($I357&lt;&gt;"",N($N357)&gt;0)),N($N357)+ROW()/1000000,"")</f>
        <v/>
      </c>
      <c r="Z357" s="24">
        <f>IF(AND($T357=1,$U357=0,$I357="",N($N357)&lt;=0,-N($N357)&lt;=HORIZON),N($N357)+ROW()/1000000,"")</f>
        <v/>
      </c>
    </row>
    <row r="358">
      <c r="A358" s="21" t="n"/>
      <c r="B358" s="21" t="n"/>
      <c r="C358" s="21" t="n"/>
      <c r="D358" s="21" t="n"/>
      <c r="E358" s="21" t="n"/>
      <c r="F358" s="21" t="n"/>
      <c r="G358" s="21" t="n"/>
      <c r="H358" s="21" t="n"/>
      <c r="I358" s="22" t="n"/>
      <c r="J358" s="22" t="n"/>
      <c r="K358" s="23">
        <f>IF($A358="","",IF($J358&lt;&gt;"",$J358,$S358))</f>
        <v/>
      </c>
      <c r="L358" s="24">
        <f>IF(OR($A358="",$E358=""),"",IF($J358&lt;&gt;"","Manual",IF($S358="","-","Auto")))</f>
        <v/>
      </c>
      <c r="M358" s="22" t="n"/>
      <c r="N358" s="25">
        <f>IF($T358=0,"",IF($U358=1,IF($M358="","",$M358-$K358),IF($K358="","",TODAY()-$K358)))</f>
        <v/>
      </c>
      <c r="O358" s="24">
        <f>IF(OR($A358="",$E358=""),"",IF($V358=1,S_INACT,IF(ISNA(MATCH($A358,TYP_TYPE,0)),S_TYPEKO,IF($U358=1,S_DONE,IF(AND($K358="",$R358=""),S_NOSCOPE,IF($K358="",S_NOTARGET,IF($N358&gt;0,S_LATE,IF($I358&lt;&gt;"",S_WIP,IF(-$N358&lt;=FEN_DOC,S_RISK,IF(-$N358&lt;=HORIZON,S_COMING,S_NOTYET))))))))))</f>
        <v/>
      </c>
      <c r="P358" s="24">
        <f>IF(OR($A358="",$E358=""),"",IF($V358=1,"",IF(ISNA(MATCH($A358,TYP_TYPE,0)),"Type not in the library",IF($B358="","Scope not set",IF(AND($B358="System",$C358=""),"System not set",IF(AND($B358="Equipment",$D358=""),"Equipment not set",IF($F358="","Responsible not set",IF($K358="","No target date",IF(AND($B358="Equipment",$C358&lt;&gt;"",IFERROR(INDEX(EQP_SYS,MATCH($D358,EQP_NOM,0)),"")&lt;&gt;$C358),"Equipment not in that system",IF(AND($U358=1,$M358=""),"Approved with no approval date",""))))))))))</f>
        <v/>
      </c>
      <c r="Q358" s="21" t="n"/>
      <c r="R358" s="23">
        <f>IF(OR($A358="",$B358=""),"",IF($B358="Equipment",IFERROR(INDEX(EQP_START,MATCH($D358,EQP_NOM,0)),""),IF($B358="System",IFERROR(INDEX(SYS_EARLIEST,MATCH($C358,SYS_ID,0)),""),IF($B358="All",CTR_EARLIEST,""))))</f>
        <v/>
      </c>
      <c r="S358" s="23">
        <f>IF(OR($A358="",$E358=""),"",IFERROR(IF(INDEX(TYP_ANCHOR,MATCH($A358,TYP_TYPE,0))="Commissioning Start",IF($R358="","",$R358-INDEX(TYP_LEAD,MATCH($A358,TYP_TYPE,0))),IF(INDEX(MS_PLAN,MATCH(INDEX(TYP_ANCHOR,MATCH($A358,TYP_TYPE,0)),MS_NOM,0))="","",INDEX(MS_PLAN,MATCH(INDEX(TYP_ANCHOR,MATCH($A358,TYP_TYPE,0)),MS_NOM,0))-INDEX(TYP_LEAD,MATCH($A358,TYP_TYPE,0)))),""))</f>
        <v/>
      </c>
      <c r="T358" s="26">
        <f>IF(OR($A358="",$E358=""),0,IF($V358=1,0,1))</f>
        <v/>
      </c>
      <c r="U358" s="26">
        <f>IF($T358=0,0,IF($M358&lt;&gt;"",1,IF(IFERROR(INDEX(WF_CLASS,MATCH($H358,WF_CODE,0)),"")="Done",1,0)))</f>
        <v/>
      </c>
      <c r="V358" s="26">
        <f>IF(OR($A358="",$E358=""),0,IF(IFERROR(INDEX(WF_CLASS,MATCH($H358,WF_CODE,0)),"")="Inactive",1,0))</f>
        <v/>
      </c>
      <c r="W358" s="24">
        <f>IF($A358="","",IFERROR(INDEX(TYP_PHASE,MATCH($A358,TYP_TYPE,0)),"-"))</f>
        <v/>
      </c>
      <c r="X358" s="24">
        <f>IF(AND($T358=1,$U358=0,N($N358)&gt;0),$N358+ROW()/1000000,"")</f>
        <v/>
      </c>
      <c r="Y358" s="24">
        <f>IF(AND($T358=1,$U358=0,OR($I358&lt;&gt;"",N($N358)&gt;0)),N($N358)+ROW()/1000000,"")</f>
        <v/>
      </c>
      <c r="Z358" s="24">
        <f>IF(AND($T358=1,$U358=0,$I358="",N($N358)&lt;=0,-N($N358)&lt;=HORIZON),N($N358)+ROW()/1000000,"")</f>
        <v/>
      </c>
    </row>
    <row r="359">
      <c r="A359" s="21" t="n"/>
      <c r="B359" s="21" t="n"/>
      <c r="C359" s="21" t="n"/>
      <c r="D359" s="21" t="n"/>
      <c r="E359" s="21" t="n"/>
      <c r="F359" s="21" t="n"/>
      <c r="G359" s="21" t="n"/>
      <c r="H359" s="21" t="n"/>
      <c r="I359" s="22" t="n"/>
      <c r="J359" s="22" t="n"/>
      <c r="K359" s="23">
        <f>IF($A359="","",IF($J359&lt;&gt;"",$J359,$S359))</f>
        <v/>
      </c>
      <c r="L359" s="24">
        <f>IF(OR($A359="",$E359=""),"",IF($J359&lt;&gt;"","Manual",IF($S359="","-","Auto")))</f>
        <v/>
      </c>
      <c r="M359" s="22" t="n"/>
      <c r="N359" s="25">
        <f>IF($T359=0,"",IF($U359=1,IF($M359="","",$M359-$K359),IF($K359="","",TODAY()-$K359)))</f>
        <v/>
      </c>
      <c r="O359" s="24">
        <f>IF(OR($A359="",$E359=""),"",IF($V359=1,S_INACT,IF(ISNA(MATCH($A359,TYP_TYPE,0)),S_TYPEKO,IF($U359=1,S_DONE,IF(AND($K359="",$R359=""),S_NOSCOPE,IF($K359="",S_NOTARGET,IF($N359&gt;0,S_LATE,IF($I359&lt;&gt;"",S_WIP,IF(-$N359&lt;=FEN_DOC,S_RISK,IF(-$N359&lt;=HORIZON,S_COMING,S_NOTYET))))))))))</f>
        <v/>
      </c>
      <c r="P359" s="24">
        <f>IF(OR($A359="",$E359=""),"",IF($V359=1,"",IF(ISNA(MATCH($A359,TYP_TYPE,0)),"Type not in the library",IF($B359="","Scope not set",IF(AND($B359="System",$C359=""),"System not set",IF(AND($B359="Equipment",$D359=""),"Equipment not set",IF($F359="","Responsible not set",IF($K359="","No target date",IF(AND($B359="Equipment",$C359&lt;&gt;"",IFERROR(INDEX(EQP_SYS,MATCH($D359,EQP_NOM,0)),"")&lt;&gt;$C359),"Equipment not in that system",IF(AND($U359=1,$M359=""),"Approved with no approval date",""))))))))))</f>
        <v/>
      </c>
      <c r="Q359" s="21" t="n"/>
      <c r="R359" s="23">
        <f>IF(OR($A359="",$B359=""),"",IF($B359="Equipment",IFERROR(INDEX(EQP_START,MATCH($D359,EQP_NOM,0)),""),IF($B359="System",IFERROR(INDEX(SYS_EARLIEST,MATCH($C359,SYS_ID,0)),""),IF($B359="All",CTR_EARLIEST,""))))</f>
        <v/>
      </c>
      <c r="S359" s="23">
        <f>IF(OR($A359="",$E359=""),"",IFERROR(IF(INDEX(TYP_ANCHOR,MATCH($A359,TYP_TYPE,0))="Commissioning Start",IF($R359="","",$R359-INDEX(TYP_LEAD,MATCH($A359,TYP_TYPE,0))),IF(INDEX(MS_PLAN,MATCH(INDEX(TYP_ANCHOR,MATCH($A359,TYP_TYPE,0)),MS_NOM,0))="","",INDEX(MS_PLAN,MATCH(INDEX(TYP_ANCHOR,MATCH($A359,TYP_TYPE,0)),MS_NOM,0))-INDEX(TYP_LEAD,MATCH($A359,TYP_TYPE,0)))),""))</f>
        <v/>
      </c>
      <c r="T359" s="26">
        <f>IF(OR($A359="",$E359=""),0,IF($V359=1,0,1))</f>
        <v/>
      </c>
      <c r="U359" s="26">
        <f>IF($T359=0,0,IF($M359&lt;&gt;"",1,IF(IFERROR(INDEX(WF_CLASS,MATCH($H359,WF_CODE,0)),"")="Done",1,0)))</f>
        <v/>
      </c>
      <c r="V359" s="26">
        <f>IF(OR($A359="",$E359=""),0,IF(IFERROR(INDEX(WF_CLASS,MATCH($H359,WF_CODE,0)),"")="Inactive",1,0))</f>
        <v/>
      </c>
      <c r="W359" s="24">
        <f>IF($A359="","",IFERROR(INDEX(TYP_PHASE,MATCH($A359,TYP_TYPE,0)),"-"))</f>
        <v/>
      </c>
      <c r="X359" s="24">
        <f>IF(AND($T359=1,$U359=0,N($N359)&gt;0),$N359+ROW()/1000000,"")</f>
        <v/>
      </c>
      <c r="Y359" s="24">
        <f>IF(AND($T359=1,$U359=0,OR($I359&lt;&gt;"",N($N359)&gt;0)),N($N359)+ROW()/1000000,"")</f>
        <v/>
      </c>
      <c r="Z359" s="24">
        <f>IF(AND($T359=1,$U359=0,$I359="",N($N359)&lt;=0,-N($N359)&lt;=HORIZON),N($N359)+ROW()/1000000,"")</f>
        <v/>
      </c>
    </row>
    <row r="360">
      <c r="A360" s="21" t="n"/>
      <c r="B360" s="21" t="n"/>
      <c r="C360" s="21" t="n"/>
      <c r="D360" s="21" t="n"/>
      <c r="E360" s="21" t="n"/>
      <c r="F360" s="21" t="n"/>
      <c r="G360" s="21" t="n"/>
      <c r="H360" s="21" t="n"/>
      <c r="I360" s="22" t="n"/>
      <c r="J360" s="22" t="n"/>
      <c r="K360" s="23">
        <f>IF($A360="","",IF($J360&lt;&gt;"",$J360,$S360))</f>
        <v/>
      </c>
      <c r="L360" s="24">
        <f>IF(OR($A360="",$E360=""),"",IF($J360&lt;&gt;"","Manual",IF($S360="","-","Auto")))</f>
        <v/>
      </c>
      <c r="M360" s="22" t="n"/>
      <c r="N360" s="25">
        <f>IF($T360=0,"",IF($U360=1,IF($M360="","",$M360-$K360),IF($K360="","",TODAY()-$K360)))</f>
        <v/>
      </c>
      <c r="O360" s="24">
        <f>IF(OR($A360="",$E360=""),"",IF($V360=1,S_INACT,IF(ISNA(MATCH($A360,TYP_TYPE,0)),S_TYPEKO,IF($U360=1,S_DONE,IF(AND($K360="",$R360=""),S_NOSCOPE,IF($K360="",S_NOTARGET,IF($N360&gt;0,S_LATE,IF($I360&lt;&gt;"",S_WIP,IF(-$N360&lt;=FEN_DOC,S_RISK,IF(-$N360&lt;=HORIZON,S_COMING,S_NOTYET))))))))))</f>
        <v/>
      </c>
      <c r="P360" s="24">
        <f>IF(OR($A360="",$E360=""),"",IF($V360=1,"",IF(ISNA(MATCH($A360,TYP_TYPE,0)),"Type not in the library",IF($B360="","Scope not set",IF(AND($B360="System",$C360=""),"System not set",IF(AND($B360="Equipment",$D360=""),"Equipment not set",IF($F360="","Responsible not set",IF($K360="","No target date",IF(AND($B360="Equipment",$C360&lt;&gt;"",IFERROR(INDEX(EQP_SYS,MATCH($D360,EQP_NOM,0)),"")&lt;&gt;$C360),"Equipment not in that system",IF(AND($U360=1,$M360=""),"Approved with no approval date",""))))))))))</f>
        <v/>
      </c>
      <c r="Q360" s="21" t="n"/>
      <c r="R360" s="23">
        <f>IF(OR($A360="",$B360=""),"",IF($B360="Equipment",IFERROR(INDEX(EQP_START,MATCH($D360,EQP_NOM,0)),""),IF($B360="System",IFERROR(INDEX(SYS_EARLIEST,MATCH($C360,SYS_ID,0)),""),IF($B360="All",CTR_EARLIEST,""))))</f>
        <v/>
      </c>
      <c r="S360" s="23">
        <f>IF(OR($A360="",$E360=""),"",IFERROR(IF(INDEX(TYP_ANCHOR,MATCH($A360,TYP_TYPE,0))="Commissioning Start",IF($R360="","",$R360-INDEX(TYP_LEAD,MATCH($A360,TYP_TYPE,0))),IF(INDEX(MS_PLAN,MATCH(INDEX(TYP_ANCHOR,MATCH($A360,TYP_TYPE,0)),MS_NOM,0))="","",INDEX(MS_PLAN,MATCH(INDEX(TYP_ANCHOR,MATCH($A360,TYP_TYPE,0)),MS_NOM,0))-INDEX(TYP_LEAD,MATCH($A360,TYP_TYPE,0)))),""))</f>
        <v/>
      </c>
      <c r="T360" s="26">
        <f>IF(OR($A360="",$E360=""),0,IF($V360=1,0,1))</f>
        <v/>
      </c>
      <c r="U360" s="26">
        <f>IF($T360=0,0,IF($M360&lt;&gt;"",1,IF(IFERROR(INDEX(WF_CLASS,MATCH($H360,WF_CODE,0)),"")="Done",1,0)))</f>
        <v/>
      </c>
      <c r="V360" s="26">
        <f>IF(OR($A360="",$E360=""),0,IF(IFERROR(INDEX(WF_CLASS,MATCH($H360,WF_CODE,0)),"")="Inactive",1,0))</f>
        <v/>
      </c>
      <c r="W360" s="24">
        <f>IF($A360="","",IFERROR(INDEX(TYP_PHASE,MATCH($A360,TYP_TYPE,0)),"-"))</f>
        <v/>
      </c>
      <c r="X360" s="24">
        <f>IF(AND($T360=1,$U360=0,N($N360)&gt;0),$N360+ROW()/1000000,"")</f>
        <v/>
      </c>
      <c r="Y360" s="24">
        <f>IF(AND($T360=1,$U360=0,OR($I360&lt;&gt;"",N($N360)&gt;0)),N($N360)+ROW()/1000000,"")</f>
        <v/>
      </c>
      <c r="Z360" s="24">
        <f>IF(AND($T360=1,$U360=0,$I360="",N($N360)&lt;=0,-N($N360)&lt;=HORIZON),N($N360)+ROW()/1000000,"")</f>
        <v/>
      </c>
    </row>
    <row r="361">
      <c r="A361" s="21" t="n"/>
      <c r="B361" s="21" t="n"/>
      <c r="C361" s="21" t="n"/>
      <c r="D361" s="21" t="n"/>
      <c r="E361" s="21" t="n"/>
      <c r="F361" s="21" t="n"/>
      <c r="G361" s="21" t="n"/>
      <c r="H361" s="21" t="n"/>
      <c r="I361" s="22" t="n"/>
      <c r="J361" s="22" t="n"/>
      <c r="K361" s="23">
        <f>IF($A361="","",IF($J361&lt;&gt;"",$J361,$S361))</f>
        <v/>
      </c>
      <c r="L361" s="24">
        <f>IF(OR($A361="",$E361=""),"",IF($J361&lt;&gt;"","Manual",IF($S361="","-","Auto")))</f>
        <v/>
      </c>
      <c r="M361" s="22" t="n"/>
      <c r="N361" s="25">
        <f>IF($T361=0,"",IF($U361=1,IF($M361="","",$M361-$K361),IF($K361="","",TODAY()-$K361)))</f>
        <v/>
      </c>
      <c r="O361" s="24">
        <f>IF(OR($A361="",$E361=""),"",IF($V361=1,S_INACT,IF(ISNA(MATCH($A361,TYP_TYPE,0)),S_TYPEKO,IF($U361=1,S_DONE,IF(AND($K361="",$R361=""),S_NOSCOPE,IF($K361="",S_NOTARGET,IF($N361&gt;0,S_LATE,IF($I361&lt;&gt;"",S_WIP,IF(-$N361&lt;=FEN_DOC,S_RISK,IF(-$N361&lt;=HORIZON,S_COMING,S_NOTYET))))))))))</f>
        <v/>
      </c>
      <c r="P361" s="24">
        <f>IF(OR($A361="",$E361=""),"",IF($V361=1,"",IF(ISNA(MATCH($A361,TYP_TYPE,0)),"Type not in the library",IF($B361="","Scope not set",IF(AND($B361="System",$C361=""),"System not set",IF(AND($B361="Equipment",$D361=""),"Equipment not set",IF($F361="","Responsible not set",IF($K361="","No target date",IF(AND($B361="Equipment",$C361&lt;&gt;"",IFERROR(INDEX(EQP_SYS,MATCH($D361,EQP_NOM,0)),"")&lt;&gt;$C361),"Equipment not in that system",IF(AND($U361=1,$M361=""),"Approved with no approval date",""))))))))))</f>
        <v/>
      </c>
      <c r="Q361" s="21" t="n"/>
      <c r="R361" s="23">
        <f>IF(OR($A361="",$B361=""),"",IF($B361="Equipment",IFERROR(INDEX(EQP_START,MATCH($D361,EQP_NOM,0)),""),IF($B361="System",IFERROR(INDEX(SYS_EARLIEST,MATCH($C361,SYS_ID,0)),""),IF($B361="All",CTR_EARLIEST,""))))</f>
        <v/>
      </c>
      <c r="S361" s="23">
        <f>IF(OR($A361="",$E361=""),"",IFERROR(IF(INDEX(TYP_ANCHOR,MATCH($A361,TYP_TYPE,0))="Commissioning Start",IF($R361="","",$R361-INDEX(TYP_LEAD,MATCH($A361,TYP_TYPE,0))),IF(INDEX(MS_PLAN,MATCH(INDEX(TYP_ANCHOR,MATCH($A361,TYP_TYPE,0)),MS_NOM,0))="","",INDEX(MS_PLAN,MATCH(INDEX(TYP_ANCHOR,MATCH($A361,TYP_TYPE,0)),MS_NOM,0))-INDEX(TYP_LEAD,MATCH($A361,TYP_TYPE,0)))),""))</f>
        <v/>
      </c>
      <c r="T361" s="26">
        <f>IF(OR($A361="",$E361=""),0,IF($V361=1,0,1))</f>
        <v/>
      </c>
      <c r="U361" s="26">
        <f>IF($T361=0,0,IF($M361&lt;&gt;"",1,IF(IFERROR(INDEX(WF_CLASS,MATCH($H361,WF_CODE,0)),"")="Done",1,0)))</f>
        <v/>
      </c>
      <c r="V361" s="26">
        <f>IF(OR($A361="",$E361=""),0,IF(IFERROR(INDEX(WF_CLASS,MATCH($H361,WF_CODE,0)),"")="Inactive",1,0))</f>
        <v/>
      </c>
      <c r="W361" s="24">
        <f>IF($A361="","",IFERROR(INDEX(TYP_PHASE,MATCH($A361,TYP_TYPE,0)),"-"))</f>
        <v/>
      </c>
      <c r="X361" s="24">
        <f>IF(AND($T361=1,$U361=0,N($N361)&gt;0),$N361+ROW()/1000000,"")</f>
        <v/>
      </c>
      <c r="Y361" s="24">
        <f>IF(AND($T361=1,$U361=0,OR($I361&lt;&gt;"",N($N361)&gt;0)),N($N361)+ROW()/1000000,"")</f>
        <v/>
      </c>
      <c r="Z361" s="24">
        <f>IF(AND($T361=1,$U361=0,$I361="",N($N361)&lt;=0,-N($N361)&lt;=HORIZON),N($N361)+ROW()/1000000,"")</f>
        <v/>
      </c>
    </row>
    <row r="362">
      <c r="A362" s="21" t="n"/>
      <c r="B362" s="21" t="n"/>
      <c r="C362" s="21" t="n"/>
      <c r="D362" s="21" t="n"/>
      <c r="E362" s="21" t="n"/>
      <c r="F362" s="21" t="n"/>
      <c r="G362" s="21" t="n"/>
      <c r="H362" s="21" t="n"/>
      <c r="I362" s="22" t="n"/>
      <c r="J362" s="22" t="n"/>
      <c r="K362" s="23">
        <f>IF($A362="","",IF($J362&lt;&gt;"",$J362,$S362))</f>
        <v/>
      </c>
      <c r="L362" s="24">
        <f>IF(OR($A362="",$E362=""),"",IF($J362&lt;&gt;"","Manual",IF($S362="","-","Auto")))</f>
        <v/>
      </c>
      <c r="M362" s="22" t="n"/>
      <c r="N362" s="25">
        <f>IF($T362=0,"",IF($U362=1,IF($M362="","",$M362-$K362),IF($K362="","",TODAY()-$K362)))</f>
        <v/>
      </c>
      <c r="O362" s="24">
        <f>IF(OR($A362="",$E362=""),"",IF($V362=1,S_INACT,IF(ISNA(MATCH($A362,TYP_TYPE,0)),S_TYPEKO,IF($U362=1,S_DONE,IF(AND($K362="",$R362=""),S_NOSCOPE,IF($K362="",S_NOTARGET,IF($N362&gt;0,S_LATE,IF($I362&lt;&gt;"",S_WIP,IF(-$N362&lt;=FEN_DOC,S_RISK,IF(-$N362&lt;=HORIZON,S_COMING,S_NOTYET))))))))))</f>
        <v/>
      </c>
      <c r="P362" s="24">
        <f>IF(OR($A362="",$E362=""),"",IF($V362=1,"",IF(ISNA(MATCH($A362,TYP_TYPE,0)),"Type not in the library",IF($B362="","Scope not set",IF(AND($B362="System",$C362=""),"System not set",IF(AND($B362="Equipment",$D362=""),"Equipment not set",IF($F362="","Responsible not set",IF($K362="","No target date",IF(AND($B362="Equipment",$C362&lt;&gt;"",IFERROR(INDEX(EQP_SYS,MATCH($D362,EQP_NOM,0)),"")&lt;&gt;$C362),"Equipment not in that system",IF(AND($U362=1,$M362=""),"Approved with no approval date",""))))))))))</f>
        <v/>
      </c>
      <c r="Q362" s="21" t="n"/>
      <c r="R362" s="23">
        <f>IF(OR($A362="",$B362=""),"",IF($B362="Equipment",IFERROR(INDEX(EQP_START,MATCH($D362,EQP_NOM,0)),""),IF($B362="System",IFERROR(INDEX(SYS_EARLIEST,MATCH($C362,SYS_ID,0)),""),IF($B362="All",CTR_EARLIEST,""))))</f>
        <v/>
      </c>
      <c r="S362" s="23">
        <f>IF(OR($A362="",$E362=""),"",IFERROR(IF(INDEX(TYP_ANCHOR,MATCH($A362,TYP_TYPE,0))="Commissioning Start",IF($R362="","",$R362-INDEX(TYP_LEAD,MATCH($A362,TYP_TYPE,0))),IF(INDEX(MS_PLAN,MATCH(INDEX(TYP_ANCHOR,MATCH($A362,TYP_TYPE,0)),MS_NOM,0))="","",INDEX(MS_PLAN,MATCH(INDEX(TYP_ANCHOR,MATCH($A362,TYP_TYPE,0)),MS_NOM,0))-INDEX(TYP_LEAD,MATCH($A362,TYP_TYPE,0)))),""))</f>
        <v/>
      </c>
      <c r="T362" s="26">
        <f>IF(OR($A362="",$E362=""),0,IF($V362=1,0,1))</f>
        <v/>
      </c>
      <c r="U362" s="26">
        <f>IF($T362=0,0,IF($M362&lt;&gt;"",1,IF(IFERROR(INDEX(WF_CLASS,MATCH($H362,WF_CODE,0)),"")="Done",1,0)))</f>
        <v/>
      </c>
      <c r="V362" s="26">
        <f>IF(OR($A362="",$E362=""),0,IF(IFERROR(INDEX(WF_CLASS,MATCH($H362,WF_CODE,0)),"")="Inactive",1,0))</f>
        <v/>
      </c>
      <c r="W362" s="24">
        <f>IF($A362="","",IFERROR(INDEX(TYP_PHASE,MATCH($A362,TYP_TYPE,0)),"-"))</f>
        <v/>
      </c>
      <c r="X362" s="24">
        <f>IF(AND($T362=1,$U362=0,N($N362)&gt;0),$N362+ROW()/1000000,"")</f>
        <v/>
      </c>
      <c r="Y362" s="24">
        <f>IF(AND($T362=1,$U362=0,OR($I362&lt;&gt;"",N($N362)&gt;0)),N($N362)+ROW()/1000000,"")</f>
        <v/>
      </c>
      <c r="Z362" s="24">
        <f>IF(AND($T362=1,$U362=0,$I362="",N($N362)&lt;=0,-N($N362)&lt;=HORIZON),N($N362)+ROW()/1000000,"")</f>
        <v/>
      </c>
    </row>
    <row r="363">
      <c r="A363" s="21" t="n"/>
      <c r="B363" s="21" t="n"/>
      <c r="C363" s="21" t="n"/>
      <c r="D363" s="21" t="n"/>
      <c r="E363" s="21" t="n"/>
      <c r="F363" s="21" t="n"/>
      <c r="G363" s="21" t="n"/>
      <c r="H363" s="21" t="n"/>
      <c r="I363" s="22" t="n"/>
      <c r="J363" s="22" t="n"/>
      <c r="K363" s="23">
        <f>IF($A363="","",IF($J363&lt;&gt;"",$J363,$S363))</f>
        <v/>
      </c>
      <c r="L363" s="24">
        <f>IF(OR($A363="",$E363=""),"",IF($J363&lt;&gt;"","Manual",IF($S363="","-","Auto")))</f>
        <v/>
      </c>
      <c r="M363" s="22" t="n"/>
      <c r="N363" s="25">
        <f>IF($T363=0,"",IF($U363=1,IF($M363="","",$M363-$K363),IF($K363="","",TODAY()-$K363)))</f>
        <v/>
      </c>
      <c r="O363" s="24">
        <f>IF(OR($A363="",$E363=""),"",IF($V363=1,S_INACT,IF(ISNA(MATCH($A363,TYP_TYPE,0)),S_TYPEKO,IF($U363=1,S_DONE,IF(AND($K363="",$R363=""),S_NOSCOPE,IF($K363="",S_NOTARGET,IF($N363&gt;0,S_LATE,IF($I363&lt;&gt;"",S_WIP,IF(-$N363&lt;=FEN_DOC,S_RISK,IF(-$N363&lt;=HORIZON,S_COMING,S_NOTYET))))))))))</f>
        <v/>
      </c>
      <c r="P363" s="24">
        <f>IF(OR($A363="",$E363=""),"",IF($V363=1,"",IF(ISNA(MATCH($A363,TYP_TYPE,0)),"Type not in the library",IF($B363="","Scope not set",IF(AND($B363="System",$C363=""),"System not set",IF(AND($B363="Equipment",$D363=""),"Equipment not set",IF($F363="","Responsible not set",IF($K363="","No target date",IF(AND($B363="Equipment",$C363&lt;&gt;"",IFERROR(INDEX(EQP_SYS,MATCH($D363,EQP_NOM,0)),"")&lt;&gt;$C363),"Equipment not in that system",IF(AND($U363=1,$M363=""),"Approved with no approval date",""))))))))))</f>
        <v/>
      </c>
      <c r="Q363" s="21" t="n"/>
      <c r="R363" s="23">
        <f>IF(OR($A363="",$B363=""),"",IF($B363="Equipment",IFERROR(INDEX(EQP_START,MATCH($D363,EQP_NOM,0)),""),IF($B363="System",IFERROR(INDEX(SYS_EARLIEST,MATCH($C363,SYS_ID,0)),""),IF($B363="All",CTR_EARLIEST,""))))</f>
        <v/>
      </c>
      <c r="S363" s="23">
        <f>IF(OR($A363="",$E363=""),"",IFERROR(IF(INDEX(TYP_ANCHOR,MATCH($A363,TYP_TYPE,0))="Commissioning Start",IF($R363="","",$R363-INDEX(TYP_LEAD,MATCH($A363,TYP_TYPE,0))),IF(INDEX(MS_PLAN,MATCH(INDEX(TYP_ANCHOR,MATCH($A363,TYP_TYPE,0)),MS_NOM,0))="","",INDEX(MS_PLAN,MATCH(INDEX(TYP_ANCHOR,MATCH($A363,TYP_TYPE,0)),MS_NOM,0))-INDEX(TYP_LEAD,MATCH($A363,TYP_TYPE,0)))),""))</f>
        <v/>
      </c>
      <c r="T363" s="26">
        <f>IF(OR($A363="",$E363=""),0,IF($V363=1,0,1))</f>
        <v/>
      </c>
      <c r="U363" s="26">
        <f>IF($T363=0,0,IF($M363&lt;&gt;"",1,IF(IFERROR(INDEX(WF_CLASS,MATCH($H363,WF_CODE,0)),"")="Done",1,0)))</f>
        <v/>
      </c>
      <c r="V363" s="26">
        <f>IF(OR($A363="",$E363=""),0,IF(IFERROR(INDEX(WF_CLASS,MATCH($H363,WF_CODE,0)),"")="Inactive",1,0))</f>
        <v/>
      </c>
      <c r="W363" s="24">
        <f>IF($A363="","",IFERROR(INDEX(TYP_PHASE,MATCH($A363,TYP_TYPE,0)),"-"))</f>
        <v/>
      </c>
      <c r="X363" s="24">
        <f>IF(AND($T363=1,$U363=0,N($N363)&gt;0),$N363+ROW()/1000000,"")</f>
        <v/>
      </c>
      <c r="Y363" s="24">
        <f>IF(AND($T363=1,$U363=0,OR($I363&lt;&gt;"",N($N363)&gt;0)),N($N363)+ROW()/1000000,"")</f>
        <v/>
      </c>
      <c r="Z363" s="24">
        <f>IF(AND($T363=1,$U363=0,$I363="",N($N363)&lt;=0,-N($N363)&lt;=HORIZON),N($N363)+ROW()/1000000,"")</f>
        <v/>
      </c>
    </row>
    <row r="364">
      <c r="A364" s="21" t="n"/>
      <c r="B364" s="21" t="n"/>
      <c r="C364" s="21" t="n"/>
      <c r="D364" s="21" t="n"/>
      <c r="E364" s="21" t="n"/>
      <c r="F364" s="21" t="n"/>
      <c r="G364" s="21" t="n"/>
      <c r="H364" s="21" t="n"/>
      <c r="I364" s="22" t="n"/>
      <c r="J364" s="22" t="n"/>
      <c r="K364" s="23">
        <f>IF($A364="","",IF($J364&lt;&gt;"",$J364,$S364))</f>
        <v/>
      </c>
      <c r="L364" s="24">
        <f>IF(OR($A364="",$E364=""),"",IF($J364&lt;&gt;"","Manual",IF($S364="","-","Auto")))</f>
        <v/>
      </c>
      <c r="M364" s="22" t="n"/>
      <c r="N364" s="25">
        <f>IF($T364=0,"",IF($U364=1,IF($M364="","",$M364-$K364),IF($K364="","",TODAY()-$K364)))</f>
        <v/>
      </c>
      <c r="O364" s="24">
        <f>IF(OR($A364="",$E364=""),"",IF($V364=1,S_INACT,IF(ISNA(MATCH($A364,TYP_TYPE,0)),S_TYPEKO,IF($U364=1,S_DONE,IF(AND($K364="",$R364=""),S_NOSCOPE,IF($K364="",S_NOTARGET,IF($N364&gt;0,S_LATE,IF($I364&lt;&gt;"",S_WIP,IF(-$N364&lt;=FEN_DOC,S_RISK,IF(-$N364&lt;=HORIZON,S_COMING,S_NOTYET))))))))))</f>
        <v/>
      </c>
      <c r="P364" s="24">
        <f>IF(OR($A364="",$E364=""),"",IF($V364=1,"",IF(ISNA(MATCH($A364,TYP_TYPE,0)),"Type not in the library",IF($B364="","Scope not set",IF(AND($B364="System",$C364=""),"System not set",IF(AND($B364="Equipment",$D364=""),"Equipment not set",IF($F364="","Responsible not set",IF($K364="","No target date",IF(AND($B364="Equipment",$C364&lt;&gt;"",IFERROR(INDEX(EQP_SYS,MATCH($D364,EQP_NOM,0)),"")&lt;&gt;$C364),"Equipment not in that system",IF(AND($U364=1,$M364=""),"Approved with no approval date",""))))))))))</f>
        <v/>
      </c>
      <c r="Q364" s="21" t="n"/>
      <c r="R364" s="23">
        <f>IF(OR($A364="",$B364=""),"",IF($B364="Equipment",IFERROR(INDEX(EQP_START,MATCH($D364,EQP_NOM,0)),""),IF($B364="System",IFERROR(INDEX(SYS_EARLIEST,MATCH($C364,SYS_ID,0)),""),IF($B364="All",CTR_EARLIEST,""))))</f>
        <v/>
      </c>
      <c r="S364" s="23">
        <f>IF(OR($A364="",$E364=""),"",IFERROR(IF(INDEX(TYP_ANCHOR,MATCH($A364,TYP_TYPE,0))="Commissioning Start",IF($R364="","",$R364-INDEX(TYP_LEAD,MATCH($A364,TYP_TYPE,0))),IF(INDEX(MS_PLAN,MATCH(INDEX(TYP_ANCHOR,MATCH($A364,TYP_TYPE,0)),MS_NOM,0))="","",INDEX(MS_PLAN,MATCH(INDEX(TYP_ANCHOR,MATCH($A364,TYP_TYPE,0)),MS_NOM,0))-INDEX(TYP_LEAD,MATCH($A364,TYP_TYPE,0)))),""))</f>
        <v/>
      </c>
      <c r="T364" s="26">
        <f>IF(OR($A364="",$E364=""),0,IF($V364=1,0,1))</f>
        <v/>
      </c>
      <c r="U364" s="26">
        <f>IF($T364=0,0,IF($M364&lt;&gt;"",1,IF(IFERROR(INDEX(WF_CLASS,MATCH($H364,WF_CODE,0)),"")="Done",1,0)))</f>
        <v/>
      </c>
      <c r="V364" s="26">
        <f>IF(OR($A364="",$E364=""),0,IF(IFERROR(INDEX(WF_CLASS,MATCH($H364,WF_CODE,0)),"")="Inactive",1,0))</f>
        <v/>
      </c>
      <c r="W364" s="24">
        <f>IF($A364="","",IFERROR(INDEX(TYP_PHASE,MATCH($A364,TYP_TYPE,0)),"-"))</f>
        <v/>
      </c>
      <c r="X364" s="24">
        <f>IF(AND($T364=1,$U364=0,N($N364)&gt;0),$N364+ROW()/1000000,"")</f>
        <v/>
      </c>
      <c r="Y364" s="24">
        <f>IF(AND($T364=1,$U364=0,OR($I364&lt;&gt;"",N($N364)&gt;0)),N($N364)+ROW()/1000000,"")</f>
        <v/>
      </c>
      <c r="Z364" s="24">
        <f>IF(AND($T364=1,$U364=0,$I364="",N($N364)&lt;=0,-N($N364)&lt;=HORIZON),N($N364)+ROW()/1000000,"")</f>
        <v/>
      </c>
    </row>
    <row r="365">
      <c r="A365" s="21" t="n"/>
      <c r="B365" s="21" t="n"/>
      <c r="C365" s="21" t="n"/>
      <c r="D365" s="21" t="n"/>
      <c r="E365" s="21" t="n"/>
      <c r="F365" s="21" t="n"/>
      <c r="G365" s="21" t="n"/>
      <c r="H365" s="21" t="n"/>
      <c r="I365" s="22" t="n"/>
      <c r="J365" s="22" t="n"/>
      <c r="K365" s="23">
        <f>IF($A365="","",IF($J365&lt;&gt;"",$J365,$S365))</f>
        <v/>
      </c>
      <c r="L365" s="24">
        <f>IF(OR($A365="",$E365=""),"",IF($J365&lt;&gt;"","Manual",IF($S365="","-","Auto")))</f>
        <v/>
      </c>
      <c r="M365" s="22" t="n"/>
      <c r="N365" s="25">
        <f>IF($T365=0,"",IF($U365=1,IF($M365="","",$M365-$K365),IF($K365="","",TODAY()-$K365)))</f>
        <v/>
      </c>
      <c r="O365" s="24">
        <f>IF(OR($A365="",$E365=""),"",IF($V365=1,S_INACT,IF(ISNA(MATCH($A365,TYP_TYPE,0)),S_TYPEKO,IF($U365=1,S_DONE,IF(AND($K365="",$R365=""),S_NOSCOPE,IF($K365="",S_NOTARGET,IF($N365&gt;0,S_LATE,IF($I365&lt;&gt;"",S_WIP,IF(-$N365&lt;=FEN_DOC,S_RISK,IF(-$N365&lt;=HORIZON,S_COMING,S_NOTYET))))))))))</f>
        <v/>
      </c>
      <c r="P365" s="24">
        <f>IF(OR($A365="",$E365=""),"",IF($V365=1,"",IF(ISNA(MATCH($A365,TYP_TYPE,0)),"Type not in the library",IF($B365="","Scope not set",IF(AND($B365="System",$C365=""),"System not set",IF(AND($B365="Equipment",$D365=""),"Equipment not set",IF($F365="","Responsible not set",IF($K365="","No target date",IF(AND($B365="Equipment",$C365&lt;&gt;"",IFERROR(INDEX(EQP_SYS,MATCH($D365,EQP_NOM,0)),"")&lt;&gt;$C365),"Equipment not in that system",IF(AND($U365=1,$M365=""),"Approved with no approval date",""))))))))))</f>
        <v/>
      </c>
      <c r="Q365" s="21" t="n"/>
      <c r="R365" s="23">
        <f>IF(OR($A365="",$B365=""),"",IF($B365="Equipment",IFERROR(INDEX(EQP_START,MATCH($D365,EQP_NOM,0)),""),IF($B365="System",IFERROR(INDEX(SYS_EARLIEST,MATCH($C365,SYS_ID,0)),""),IF($B365="All",CTR_EARLIEST,""))))</f>
        <v/>
      </c>
      <c r="S365" s="23">
        <f>IF(OR($A365="",$E365=""),"",IFERROR(IF(INDEX(TYP_ANCHOR,MATCH($A365,TYP_TYPE,0))="Commissioning Start",IF($R365="","",$R365-INDEX(TYP_LEAD,MATCH($A365,TYP_TYPE,0))),IF(INDEX(MS_PLAN,MATCH(INDEX(TYP_ANCHOR,MATCH($A365,TYP_TYPE,0)),MS_NOM,0))="","",INDEX(MS_PLAN,MATCH(INDEX(TYP_ANCHOR,MATCH($A365,TYP_TYPE,0)),MS_NOM,0))-INDEX(TYP_LEAD,MATCH($A365,TYP_TYPE,0)))),""))</f>
        <v/>
      </c>
      <c r="T365" s="26">
        <f>IF(OR($A365="",$E365=""),0,IF($V365=1,0,1))</f>
        <v/>
      </c>
      <c r="U365" s="26">
        <f>IF($T365=0,0,IF($M365&lt;&gt;"",1,IF(IFERROR(INDEX(WF_CLASS,MATCH($H365,WF_CODE,0)),"")="Done",1,0)))</f>
        <v/>
      </c>
      <c r="V365" s="26">
        <f>IF(OR($A365="",$E365=""),0,IF(IFERROR(INDEX(WF_CLASS,MATCH($H365,WF_CODE,0)),"")="Inactive",1,0))</f>
        <v/>
      </c>
      <c r="W365" s="24">
        <f>IF($A365="","",IFERROR(INDEX(TYP_PHASE,MATCH($A365,TYP_TYPE,0)),"-"))</f>
        <v/>
      </c>
      <c r="X365" s="24">
        <f>IF(AND($T365=1,$U365=0,N($N365)&gt;0),$N365+ROW()/1000000,"")</f>
        <v/>
      </c>
      <c r="Y365" s="24">
        <f>IF(AND($T365=1,$U365=0,OR($I365&lt;&gt;"",N($N365)&gt;0)),N($N365)+ROW()/1000000,"")</f>
        <v/>
      </c>
      <c r="Z365" s="24">
        <f>IF(AND($T365=1,$U365=0,$I365="",N($N365)&lt;=0,-N($N365)&lt;=HORIZON),N($N365)+ROW()/1000000,"")</f>
        <v/>
      </c>
    </row>
    <row r="366">
      <c r="A366" s="21" t="n"/>
      <c r="B366" s="21" t="n"/>
      <c r="C366" s="21" t="n"/>
      <c r="D366" s="21" t="n"/>
      <c r="E366" s="21" t="n"/>
      <c r="F366" s="21" t="n"/>
      <c r="G366" s="21" t="n"/>
      <c r="H366" s="21" t="n"/>
      <c r="I366" s="22" t="n"/>
      <c r="J366" s="22" t="n"/>
      <c r="K366" s="23">
        <f>IF($A366="","",IF($J366&lt;&gt;"",$J366,$S366))</f>
        <v/>
      </c>
      <c r="L366" s="24">
        <f>IF(OR($A366="",$E366=""),"",IF($J366&lt;&gt;"","Manual",IF($S366="","-","Auto")))</f>
        <v/>
      </c>
      <c r="M366" s="22" t="n"/>
      <c r="N366" s="25">
        <f>IF($T366=0,"",IF($U366=1,IF($M366="","",$M366-$K366),IF($K366="","",TODAY()-$K366)))</f>
        <v/>
      </c>
      <c r="O366" s="24">
        <f>IF(OR($A366="",$E366=""),"",IF($V366=1,S_INACT,IF(ISNA(MATCH($A366,TYP_TYPE,0)),S_TYPEKO,IF($U366=1,S_DONE,IF(AND($K366="",$R366=""),S_NOSCOPE,IF($K366="",S_NOTARGET,IF($N366&gt;0,S_LATE,IF($I366&lt;&gt;"",S_WIP,IF(-$N366&lt;=FEN_DOC,S_RISK,IF(-$N366&lt;=HORIZON,S_COMING,S_NOTYET))))))))))</f>
        <v/>
      </c>
      <c r="P366" s="24">
        <f>IF(OR($A366="",$E366=""),"",IF($V366=1,"",IF(ISNA(MATCH($A366,TYP_TYPE,0)),"Type not in the library",IF($B366="","Scope not set",IF(AND($B366="System",$C366=""),"System not set",IF(AND($B366="Equipment",$D366=""),"Equipment not set",IF($F366="","Responsible not set",IF($K366="","No target date",IF(AND($B366="Equipment",$C366&lt;&gt;"",IFERROR(INDEX(EQP_SYS,MATCH($D366,EQP_NOM,0)),"")&lt;&gt;$C366),"Equipment not in that system",IF(AND($U366=1,$M366=""),"Approved with no approval date",""))))))))))</f>
        <v/>
      </c>
      <c r="Q366" s="21" t="n"/>
      <c r="R366" s="23">
        <f>IF(OR($A366="",$B366=""),"",IF($B366="Equipment",IFERROR(INDEX(EQP_START,MATCH($D366,EQP_NOM,0)),""),IF($B366="System",IFERROR(INDEX(SYS_EARLIEST,MATCH($C366,SYS_ID,0)),""),IF($B366="All",CTR_EARLIEST,""))))</f>
        <v/>
      </c>
      <c r="S366" s="23">
        <f>IF(OR($A366="",$E366=""),"",IFERROR(IF(INDEX(TYP_ANCHOR,MATCH($A366,TYP_TYPE,0))="Commissioning Start",IF($R366="","",$R366-INDEX(TYP_LEAD,MATCH($A366,TYP_TYPE,0))),IF(INDEX(MS_PLAN,MATCH(INDEX(TYP_ANCHOR,MATCH($A366,TYP_TYPE,0)),MS_NOM,0))="","",INDEX(MS_PLAN,MATCH(INDEX(TYP_ANCHOR,MATCH($A366,TYP_TYPE,0)),MS_NOM,0))-INDEX(TYP_LEAD,MATCH($A366,TYP_TYPE,0)))),""))</f>
        <v/>
      </c>
      <c r="T366" s="26">
        <f>IF(OR($A366="",$E366=""),0,IF($V366=1,0,1))</f>
        <v/>
      </c>
      <c r="U366" s="26">
        <f>IF($T366=0,0,IF($M366&lt;&gt;"",1,IF(IFERROR(INDEX(WF_CLASS,MATCH($H366,WF_CODE,0)),"")="Done",1,0)))</f>
        <v/>
      </c>
      <c r="V366" s="26">
        <f>IF(OR($A366="",$E366=""),0,IF(IFERROR(INDEX(WF_CLASS,MATCH($H366,WF_CODE,0)),"")="Inactive",1,0))</f>
        <v/>
      </c>
      <c r="W366" s="24">
        <f>IF($A366="","",IFERROR(INDEX(TYP_PHASE,MATCH($A366,TYP_TYPE,0)),"-"))</f>
        <v/>
      </c>
      <c r="X366" s="24">
        <f>IF(AND($T366=1,$U366=0,N($N366)&gt;0),$N366+ROW()/1000000,"")</f>
        <v/>
      </c>
      <c r="Y366" s="24">
        <f>IF(AND($T366=1,$U366=0,OR($I366&lt;&gt;"",N($N366)&gt;0)),N($N366)+ROW()/1000000,"")</f>
        <v/>
      </c>
      <c r="Z366" s="24">
        <f>IF(AND($T366=1,$U366=0,$I366="",N($N366)&lt;=0,-N($N366)&lt;=HORIZON),N($N366)+ROW()/1000000,"")</f>
        <v/>
      </c>
    </row>
    <row r="367">
      <c r="A367" s="21" t="n"/>
      <c r="B367" s="21" t="n"/>
      <c r="C367" s="21" t="n"/>
      <c r="D367" s="21" t="n"/>
      <c r="E367" s="21" t="n"/>
      <c r="F367" s="21" t="n"/>
      <c r="G367" s="21" t="n"/>
      <c r="H367" s="21" t="n"/>
      <c r="I367" s="22" t="n"/>
      <c r="J367" s="22" t="n"/>
      <c r="K367" s="23">
        <f>IF($A367="","",IF($J367&lt;&gt;"",$J367,$S367))</f>
        <v/>
      </c>
      <c r="L367" s="24">
        <f>IF(OR($A367="",$E367=""),"",IF($J367&lt;&gt;"","Manual",IF($S367="","-","Auto")))</f>
        <v/>
      </c>
      <c r="M367" s="22" t="n"/>
      <c r="N367" s="25">
        <f>IF($T367=0,"",IF($U367=1,IF($M367="","",$M367-$K367),IF($K367="","",TODAY()-$K367)))</f>
        <v/>
      </c>
      <c r="O367" s="24">
        <f>IF(OR($A367="",$E367=""),"",IF($V367=1,S_INACT,IF(ISNA(MATCH($A367,TYP_TYPE,0)),S_TYPEKO,IF($U367=1,S_DONE,IF(AND($K367="",$R367=""),S_NOSCOPE,IF($K367="",S_NOTARGET,IF($N367&gt;0,S_LATE,IF($I367&lt;&gt;"",S_WIP,IF(-$N367&lt;=FEN_DOC,S_RISK,IF(-$N367&lt;=HORIZON,S_COMING,S_NOTYET))))))))))</f>
        <v/>
      </c>
      <c r="P367" s="24">
        <f>IF(OR($A367="",$E367=""),"",IF($V367=1,"",IF(ISNA(MATCH($A367,TYP_TYPE,0)),"Type not in the library",IF($B367="","Scope not set",IF(AND($B367="System",$C367=""),"System not set",IF(AND($B367="Equipment",$D367=""),"Equipment not set",IF($F367="","Responsible not set",IF($K367="","No target date",IF(AND($B367="Equipment",$C367&lt;&gt;"",IFERROR(INDEX(EQP_SYS,MATCH($D367,EQP_NOM,0)),"")&lt;&gt;$C367),"Equipment not in that system",IF(AND($U367=1,$M367=""),"Approved with no approval date",""))))))))))</f>
        <v/>
      </c>
      <c r="Q367" s="21" t="n"/>
      <c r="R367" s="23">
        <f>IF(OR($A367="",$B367=""),"",IF($B367="Equipment",IFERROR(INDEX(EQP_START,MATCH($D367,EQP_NOM,0)),""),IF($B367="System",IFERROR(INDEX(SYS_EARLIEST,MATCH($C367,SYS_ID,0)),""),IF($B367="All",CTR_EARLIEST,""))))</f>
        <v/>
      </c>
      <c r="S367" s="23">
        <f>IF(OR($A367="",$E367=""),"",IFERROR(IF(INDEX(TYP_ANCHOR,MATCH($A367,TYP_TYPE,0))="Commissioning Start",IF($R367="","",$R367-INDEX(TYP_LEAD,MATCH($A367,TYP_TYPE,0))),IF(INDEX(MS_PLAN,MATCH(INDEX(TYP_ANCHOR,MATCH($A367,TYP_TYPE,0)),MS_NOM,0))="","",INDEX(MS_PLAN,MATCH(INDEX(TYP_ANCHOR,MATCH($A367,TYP_TYPE,0)),MS_NOM,0))-INDEX(TYP_LEAD,MATCH($A367,TYP_TYPE,0)))),""))</f>
        <v/>
      </c>
      <c r="T367" s="26">
        <f>IF(OR($A367="",$E367=""),0,IF($V367=1,0,1))</f>
        <v/>
      </c>
      <c r="U367" s="26">
        <f>IF($T367=0,0,IF($M367&lt;&gt;"",1,IF(IFERROR(INDEX(WF_CLASS,MATCH($H367,WF_CODE,0)),"")="Done",1,0)))</f>
        <v/>
      </c>
      <c r="V367" s="26">
        <f>IF(OR($A367="",$E367=""),0,IF(IFERROR(INDEX(WF_CLASS,MATCH($H367,WF_CODE,0)),"")="Inactive",1,0))</f>
        <v/>
      </c>
      <c r="W367" s="24">
        <f>IF($A367="","",IFERROR(INDEX(TYP_PHASE,MATCH($A367,TYP_TYPE,0)),"-"))</f>
        <v/>
      </c>
      <c r="X367" s="24">
        <f>IF(AND($T367=1,$U367=0,N($N367)&gt;0),$N367+ROW()/1000000,"")</f>
        <v/>
      </c>
      <c r="Y367" s="24">
        <f>IF(AND($T367=1,$U367=0,OR($I367&lt;&gt;"",N($N367)&gt;0)),N($N367)+ROW()/1000000,"")</f>
        <v/>
      </c>
      <c r="Z367" s="24">
        <f>IF(AND($T367=1,$U367=0,$I367="",N($N367)&lt;=0,-N($N367)&lt;=HORIZON),N($N367)+ROW()/1000000,"")</f>
        <v/>
      </c>
    </row>
    <row r="368">
      <c r="A368" s="21" t="n"/>
      <c r="B368" s="21" t="n"/>
      <c r="C368" s="21" t="n"/>
      <c r="D368" s="21" t="n"/>
      <c r="E368" s="21" t="n"/>
      <c r="F368" s="21" t="n"/>
      <c r="G368" s="21" t="n"/>
      <c r="H368" s="21" t="n"/>
      <c r="I368" s="22" t="n"/>
      <c r="J368" s="22" t="n"/>
      <c r="K368" s="23">
        <f>IF($A368="","",IF($J368&lt;&gt;"",$J368,$S368))</f>
        <v/>
      </c>
      <c r="L368" s="24">
        <f>IF(OR($A368="",$E368=""),"",IF($J368&lt;&gt;"","Manual",IF($S368="","-","Auto")))</f>
        <v/>
      </c>
      <c r="M368" s="22" t="n"/>
      <c r="N368" s="25">
        <f>IF($T368=0,"",IF($U368=1,IF($M368="","",$M368-$K368),IF($K368="","",TODAY()-$K368)))</f>
        <v/>
      </c>
      <c r="O368" s="24">
        <f>IF(OR($A368="",$E368=""),"",IF($V368=1,S_INACT,IF(ISNA(MATCH($A368,TYP_TYPE,0)),S_TYPEKO,IF($U368=1,S_DONE,IF(AND($K368="",$R368=""),S_NOSCOPE,IF($K368="",S_NOTARGET,IF($N368&gt;0,S_LATE,IF($I368&lt;&gt;"",S_WIP,IF(-$N368&lt;=FEN_DOC,S_RISK,IF(-$N368&lt;=HORIZON,S_COMING,S_NOTYET))))))))))</f>
        <v/>
      </c>
      <c r="P368" s="24">
        <f>IF(OR($A368="",$E368=""),"",IF($V368=1,"",IF(ISNA(MATCH($A368,TYP_TYPE,0)),"Type not in the library",IF($B368="","Scope not set",IF(AND($B368="System",$C368=""),"System not set",IF(AND($B368="Equipment",$D368=""),"Equipment not set",IF($F368="","Responsible not set",IF($K368="","No target date",IF(AND($B368="Equipment",$C368&lt;&gt;"",IFERROR(INDEX(EQP_SYS,MATCH($D368,EQP_NOM,0)),"")&lt;&gt;$C368),"Equipment not in that system",IF(AND($U368=1,$M368=""),"Approved with no approval date",""))))))))))</f>
        <v/>
      </c>
      <c r="Q368" s="21" t="n"/>
      <c r="R368" s="23">
        <f>IF(OR($A368="",$B368=""),"",IF($B368="Equipment",IFERROR(INDEX(EQP_START,MATCH($D368,EQP_NOM,0)),""),IF($B368="System",IFERROR(INDEX(SYS_EARLIEST,MATCH($C368,SYS_ID,0)),""),IF($B368="All",CTR_EARLIEST,""))))</f>
        <v/>
      </c>
      <c r="S368" s="23">
        <f>IF(OR($A368="",$E368=""),"",IFERROR(IF(INDEX(TYP_ANCHOR,MATCH($A368,TYP_TYPE,0))="Commissioning Start",IF($R368="","",$R368-INDEX(TYP_LEAD,MATCH($A368,TYP_TYPE,0))),IF(INDEX(MS_PLAN,MATCH(INDEX(TYP_ANCHOR,MATCH($A368,TYP_TYPE,0)),MS_NOM,0))="","",INDEX(MS_PLAN,MATCH(INDEX(TYP_ANCHOR,MATCH($A368,TYP_TYPE,0)),MS_NOM,0))-INDEX(TYP_LEAD,MATCH($A368,TYP_TYPE,0)))),""))</f>
        <v/>
      </c>
      <c r="T368" s="26">
        <f>IF(OR($A368="",$E368=""),0,IF($V368=1,0,1))</f>
        <v/>
      </c>
      <c r="U368" s="26">
        <f>IF($T368=0,0,IF($M368&lt;&gt;"",1,IF(IFERROR(INDEX(WF_CLASS,MATCH($H368,WF_CODE,0)),"")="Done",1,0)))</f>
        <v/>
      </c>
      <c r="V368" s="26">
        <f>IF(OR($A368="",$E368=""),0,IF(IFERROR(INDEX(WF_CLASS,MATCH($H368,WF_CODE,0)),"")="Inactive",1,0))</f>
        <v/>
      </c>
      <c r="W368" s="24">
        <f>IF($A368="","",IFERROR(INDEX(TYP_PHASE,MATCH($A368,TYP_TYPE,0)),"-"))</f>
        <v/>
      </c>
      <c r="X368" s="24">
        <f>IF(AND($T368=1,$U368=0,N($N368)&gt;0),$N368+ROW()/1000000,"")</f>
        <v/>
      </c>
      <c r="Y368" s="24">
        <f>IF(AND($T368=1,$U368=0,OR($I368&lt;&gt;"",N($N368)&gt;0)),N($N368)+ROW()/1000000,"")</f>
        <v/>
      </c>
      <c r="Z368" s="24">
        <f>IF(AND($T368=1,$U368=0,$I368="",N($N368)&lt;=0,-N($N368)&lt;=HORIZON),N($N368)+ROW()/1000000,"")</f>
        <v/>
      </c>
    </row>
    <row r="369">
      <c r="A369" s="21" t="n"/>
      <c r="B369" s="21" t="n"/>
      <c r="C369" s="21" t="n"/>
      <c r="D369" s="21" t="n"/>
      <c r="E369" s="21" t="n"/>
      <c r="F369" s="21" t="n"/>
      <c r="G369" s="21" t="n"/>
      <c r="H369" s="21" t="n"/>
      <c r="I369" s="22" t="n"/>
      <c r="J369" s="22" t="n"/>
      <c r="K369" s="23">
        <f>IF($A369="","",IF($J369&lt;&gt;"",$J369,$S369))</f>
        <v/>
      </c>
      <c r="L369" s="24">
        <f>IF(OR($A369="",$E369=""),"",IF($J369&lt;&gt;"","Manual",IF($S369="","-","Auto")))</f>
        <v/>
      </c>
      <c r="M369" s="22" t="n"/>
      <c r="N369" s="25">
        <f>IF($T369=0,"",IF($U369=1,IF($M369="","",$M369-$K369),IF($K369="","",TODAY()-$K369)))</f>
        <v/>
      </c>
      <c r="O369" s="24">
        <f>IF(OR($A369="",$E369=""),"",IF($V369=1,S_INACT,IF(ISNA(MATCH($A369,TYP_TYPE,0)),S_TYPEKO,IF($U369=1,S_DONE,IF(AND($K369="",$R369=""),S_NOSCOPE,IF($K369="",S_NOTARGET,IF($N369&gt;0,S_LATE,IF($I369&lt;&gt;"",S_WIP,IF(-$N369&lt;=FEN_DOC,S_RISK,IF(-$N369&lt;=HORIZON,S_COMING,S_NOTYET))))))))))</f>
        <v/>
      </c>
      <c r="P369" s="24">
        <f>IF(OR($A369="",$E369=""),"",IF($V369=1,"",IF(ISNA(MATCH($A369,TYP_TYPE,0)),"Type not in the library",IF($B369="","Scope not set",IF(AND($B369="System",$C369=""),"System not set",IF(AND($B369="Equipment",$D369=""),"Equipment not set",IF($F369="","Responsible not set",IF($K369="","No target date",IF(AND($B369="Equipment",$C369&lt;&gt;"",IFERROR(INDEX(EQP_SYS,MATCH($D369,EQP_NOM,0)),"")&lt;&gt;$C369),"Equipment not in that system",IF(AND($U369=1,$M369=""),"Approved with no approval date",""))))))))))</f>
        <v/>
      </c>
      <c r="Q369" s="21" t="n"/>
      <c r="R369" s="23">
        <f>IF(OR($A369="",$B369=""),"",IF($B369="Equipment",IFERROR(INDEX(EQP_START,MATCH($D369,EQP_NOM,0)),""),IF($B369="System",IFERROR(INDEX(SYS_EARLIEST,MATCH($C369,SYS_ID,0)),""),IF($B369="All",CTR_EARLIEST,""))))</f>
        <v/>
      </c>
      <c r="S369" s="23">
        <f>IF(OR($A369="",$E369=""),"",IFERROR(IF(INDEX(TYP_ANCHOR,MATCH($A369,TYP_TYPE,0))="Commissioning Start",IF($R369="","",$R369-INDEX(TYP_LEAD,MATCH($A369,TYP_TYPE,0))),IF(INDEX(MS_PLAN,MATCH(INDEX(TYP_ANCHOR,MATCH($A369,TYP_TYPE,0)),MS_NOM,0))="","",INDEX(MS_PLAN,MATCH(INDEX(TYP_ANCHOR,MATCH($A369,TYP_TYPE,0)),MS_NOM,0))-INDEX(TYP_LEAD,MATCH($A369,TYP_TYPE,0)))),""))</f>
        <v/>
      </c>
      <c r="T369" s="26">
        <f>IF(OR($A369="",$E369=""),0,IF($V369=1,0,1))</f>
        <v/>
      </c>
      <c r="U369" s="26">
        <f>IF($T369=0,0,IF($M369&lt;&gt;"",1,IF(IFERROR(INDEX(WF_CLASS,MATCH($H369,WF_CODE,0)),"")="Done",1,0)))</f>
        <v/>
      </c>
      <c r="V369" s="26">
        <f>IF(OR($A369="",$E369=""),0,IF(IFERROR(INDEX(WF_CLASS,MATCH($H369,WF_CODE,0)),"")="Inactive",1,0))</f>
        <v/>
      </c>
      <c r="W369" s="24">
        <f>IF($A369="","",IFERROR(INDEX(TYP_PHASE,MATCH($A369,TYP_TYPE,0)),"-"))</f>
        <v/>
      </c>
      <c r="X369" s="24">
        <f>IF(AND($T369=1,$U369=0,N($N369)&gt;0),$N369+ROW()/1000000,"")</f>
        <v/>
      </c>
      <c r="Y369" s="24">
        <f>IF(AND($T369=1,$U369=0,OR($I369&lt;&gt;"",N($N369)&gt;0)),N($N369)+ROW()/1000000,"")</f>
        <v/>
      </c>
      <c r="Z369" s="24">
        <f>IF(AND($T369=1,$U369=0,$I369="",N($N369)&lt;=0,-N($N369)&lt;=HORIZON),N($N369)+ROW()/1000000,"")</f>
        <v/>
      </c>
    </row>
    <row r="370">
      <c r="A370" s="21" t="n"/>
      <c r="B370" s="21" t="n"/>
      <c r="C370" s="21" t="n"/>
      <c r="D370" s="21" t="n"/>
      <c r="E370" s="21" t="n"/>
      <c r="F370" s="21" t="n"/>
      <c r="G370" s="21" t="n"/>
      <c r="H370" s="21" t="n"/>
      <c r="I370" s="22" t="n"/>
      <c r="J370" s="22" t="n"/>
      <c r="K370" s="23">
        <f>IF($A370="","",IF($J370&lt;&gt;"",$J370,$S370))</f>
        <v/>
      </c>
      <c r="L370" s="24">
        <f>IF(OR($A370="",$E370=""),"",IF($J370&lt;&gt;"","Manual",IF($S370="","-","Auto")))</f>
        <v/>
      </c>
      <c r="M370" s="22" t="n"/>
      <c r="N370" s="25">
        <f>IF($T370=0,"",IF($U370=1,IF($M370="","",$M370-$K370),IF($K370="","",TODAY()-$K370)))</f>
        <v/>
      </c>
      <c r="O370" s="24">
        <f>IF(OR($A370="",$E370=""),"",IF($V370=1,S_INACT,IF(ISNA(MATCH($A370,TYP_TYPE,0)),S_TYPEKO,IF($U370=1,S_DONE,IF(AND($K370="",$R370=""),S_NOSCOPE,IF($K370="",S_NOTARGET,IF($N370&gt;0,S_LATE,IF($I370&lt;&gt;"",S_WIP,IF(-$N370&lt;=FEN_DOC,S_RISK,IF(-$N370&lt;=HORIZON,S_COMING,S_NOTYET))))))))))</f>
        <v/>
      </c>
      <c r="P370" s="24">
        <f>IF(OR($A370="",$E370=""),"",IF($V370=1,"",IF(ISNA(MATCH($A370,TYP_TYPE,0)),"Type not in the library",IF($B370="","Scope not set",IF(AND($B370="System",$C370=""),"System not set",IF(AND($B370="Equipment",$D370=""),"Equipment not set",IF($F370="","Responsible not set",IF($K370="","No target date",IF(AND($B370="Equipment",$C370&lt;&gt;"",IFERROR(INDEX(EQP_SYS,MATCH($D370,EQP_NOM,0)),"")&lt;&gt;$C370),"Equipment not in that system",IF(AND($U370=1,$M370=""),"Approved with no approval date",""))))))))))</f>
        <v/>
      </c>
      <c r="Q370" s="21" t="n"/>
      <c r="R370" s="23">
        <f>IF(OR($A370="",$B370=""),"",IF($B370="Equipment",IFERROR(INDEX(EQP_START,MATCH($D370,EQP_NOM,0)),""),IF($B370="System",IFERROR(INDEX(SYS_EARLIEST,MATCH($C370,SYS_ID,0)),""),IF($B370="All",CTR_EARLIEST,""))))</f>
        <v/>
      </c>
      <c r="S370" s="23">
        <f>IF(OR($A370="",$E370=""),"",IFERROR(IF(INDEX(TYP_ANCHOR,MATCH($A370,TYP_TYPE,0))="Commissioning Start",IF($R370="","",$R370-INDEX(TYP_LEAD,MATCH($A370,TYP_TYPE,0))),IF(INDEX(MS_PLAN,MATCH(INDEX(TYP_ANCHOR,MATCH($A370,TYP_TYPE,0)),MS_NOM,0))="","",INDEX(MS_PLAN,MATCH(INDEX(TYP_ANCHOR,MATCH($A370,TYP_TYPE,0)),MS_NOM,0))-INDEX(TYP_LEAD,MATCH($A370,TYP_TYPE,0)))),""))</f>
        <v/>
      </c>
      <c r="T370" s="26">
        <f>IF(OR($A370="",$E370=""),0,IF($V370=1,0,1))</f>
        <v/>
      </c>
      <c r="U370" s="26">
        <f>IF($T370=0,0,IF($M370&lt;&gt;"",1,IF(IFERROR(INDEX(WF_CLASS,MATCH($H370,WF_CODE,0)),"")="Done",1,0)))</f>
        <v/>
      </c>
      <c r="V370" s="26">
        <f>IF(OR($A370="",$E370=""),0,IF(IFERROR(INDEX(WF_CLASS,MATCH($H370,WF_CODE,0)),"")="Inactive",1,0))</f>
        <v/>
      </c>
      <c r="W370" s="24">
        <f>IF($A370="","",IFERROR(INDEX(TYP_PHASE,MATCH($A370,TYP_TYPE,0)),"-"))</f>
        <v/>
      </c>
      <c r="X370" s="24">
        <f>IF(AND($T370=1,$U370=0,N($N370)&gt;0),$N370+ROW()/1000000,"")</f>
        <v/>
      </c>
      <c r="Y370" s="24">
        <f>IF(AND($T370=1,$U370=0,OR($I370&lt;&gt;"",N($N370)&gt;0)),N($N370)+ROW()/1000000,"")</f>
        <v/>
      </c>
      <c r="Z370" s="24">
        <f>IF(AND($T370=1,$U370=0,$I370="",N($N370)&lt;=0,-N($N370)&lt;=HORIZON),N($N370)+ROW()/1000000,"")</f>
        <v/>
      </c>
    </row>
    <row r="371">
      <c r="A371" s="21" t="n"/>
      <c r="B371" s="21" t="n"/>
      <c r="C371" s="21" t="n"/>
      <c r="D371" s="21" t="n"/>
      <c r="E371" s="21" t="n"/>
      <c r="F371" s="21" t="n"/>
      <c r="G371" s="21" t="n"/>
      <c r="H371" s="21" t="n"/>
      <c r="I371" s="22" t="n"/>
      <c r="J371" s="22" t="n"/>
      <c r="K371" s="23">
        <f>IF($A371="","",IF($J371&lt;&gt;"",$J371,$S371))</f>
        <v/>
      </c>
      <c r="L371" s="24">
        <f>IF(OR($A371="",$E371=""),"",IF($J371&lt;&gt;"","Manual",IF($S371="","-","Auto")))</f>
        <v/>
      </c>
      <c r="M371" s="22" t="n"/>
      <c r="N371" s="25">
        <f>IF($T371=0,"",IF($U371=1,IF($M371="","",$M371-$K371),IF($K371="","",TODAY()-$K371)))</f>
        <v/>
      </c>
      <c r="O371" s="24">
        <f>IF(OR($A371="",$E371=""),"",IF($V371=1,S_INACT,IF(ISNA(MATCH($A371,TYP_TYPE,0)),S_TYPEKO,IF($U371=1,S_DONE,IF(AND($K371="",$R371=""),S_NOSCOPE,IF($K371="",S_NOTARGET,IF($N371&gt;0,S_LATE,IF($I371&lt;&gt;"",S_WIP,IF(-$N371&lt;=FEN_DOC,S_RISK,IF(-$N371&lt;=HORIZON,S_COMING,S_NOTYET))))))))))</f>
        <v/>
      </c>
      <c r="P371" s="24">
        <f>IF(OR($A371="",$E371=""),"",IF($V371=1,"",IF(ISNA(MATCH($A371,TYP_TYPE,0)),"Type not in the library",IF($B371="","Scope not set",IF(AND($B371="System",$C371=""),"System not set",IF(AND($B371="Equipment",$D371=""),"Equipment not set",IF($F371="","Responsible not set",IF($K371="","No target date",IF(AND($B371="Equipment",$C371&lt;&gt;"",IFERROR(INDEX(EQP_SYS,MATCH($D371,EQP_NOM,0)),"")&lt;&gt;$C371),"Equipment not in that system",IF(AND($U371=1,$M371=""),"Approved with no approval date",""))))))))))</f>
        <v/>
      </c>
      <c r="Q371" s="21" t="n"/>
      <c r="R371" s="23">
        <f>IF(OR($A371="",$B371=""),"",IF($B371="Equipment",IFERROR(INDEX(EQP_START,MATCH($D371,EQP_NOM,0)),""),IF($B371="System",IFERROR(INDEX(SYS_EARLIEST,MATCH($C371,SYS_ID,0)),""),IF($B371="All",CTR_EARLIEST,""))))</f>
        <v/>
      </c>
      <c r="S371" s="23">
        <f>IF(OR($A371="",$E371=""),"",IFERROR(IF(INDEX(TYP_ANCHOR,MATCH($A371,TYP_TYPE,0))="Commissioning Start",IF($R371="","",$R371-INDEX(TYP_LEAD,MATCH($A371,TYP_TYPE,0))),IF(INDEX(MS_PLAN,MATCH(INDEX(TYP_ANCHOR,MATCH($A371,TYP_TYPE,0)),MS_NOM,0))="","",INDEX(MS_PLAN,MATCH(INDEX(TYP_ANCHOR,MATCH($A371,TYP_TYPE,0)),MS_NOM,0))-INDEX(TYP_LEAD,MATCH($A371,TYP_TYPE,0)))),""))</f>
        <v/>
      </c>
      <c r="T371" s="26">
        <f>IF(OR($A371="",$E371=""),0,IF($V371=1,0,1))</f>
        <v/>
      </c>
      <c r="U371" s="26">
        <f>IF($T371=0,0,IF($M371&lt;&gt;"",1,IF(IFERROR(INDEX(WF_CLASS,MATCH($H371,WF_CODE,0)),"")="Done",1,0)))</f>
        <v/>
      </c>
      <c r="V371" s="26">
        <f>IF(OR($A371="",$E371=""),0,IF(IFERROR(INDEX(WF_CLASS,MATCH($H371,WF_CODE,0)),"")="Inactive",1,0))</f>
        <v/>
      </c>
      <c r="W371" s="24">
        <f>IF($A371="","",IFERROR(INDEX(TYP_PHASE,MATCH($A371,TYP_TYPE,0)),"-"))</f>
        <v/>
      </c>
      <c r="X371" s="24">
        <f>IF(AND($T371=1,$U371=0,N($N371)&gt;0),$N371+ROW()/1000000,"")</f>
        <v/>
      </c>
      <c r="Y371" s="24">
        <f>IF(AND($T371=1,$U371=0,OR($I371&lt;&gt;"",N($N371)&gt;0)),N($N371)+ROW()/1000000,"")</f>
        <v/>
      </c>
      <c r="Z371" s="24">
        <f>IF(AND($T371=1,$U371=0,$I371="",N($N371)&lt;=0,-N($N371)&lt;=HORIZON),N($N371)+ROW()/1000000,"")</f>
        <v/>
      </c>
    </row>
    <row r="372">
      <c r="A372" s="21" t="n"/>
      <c r="B372" s="21" t="n"/>
      <c r="C372" s="21" t="n"/>
      <c r="D372" s="21" t="n"/>
      <c r="E372" s="21" t="n"/>
      <c r="F372" s="21" t="n"/>
      <c r="G372" s="21" t="n"/>
      <c r="H372" s="21" t="n"/>
      <c r="I372" s="22" t="n"/>
      <c r="J372" s="22" t="n"/>
      <c r="K372" s="23">
        <f>IF($A372="","",IF($J372&lt;&gt;"",$J372,$S372))</f>
        <v/>
      </c>
      <c r="L372" s="24">
        <f>IF(OR($A372="",$E372=""),"",IF($J372&lt;&gt;"","Manual",IF($S372="","-","Auto")))</f>
        <v/>
      </c>
      <c r="M372" s="22" t="n"/>
      <c r="N372" s="25">
        <f>IF($T372=0,"",IF($U372=1,IF($M372="","",$M372-$K372),IF($K372="","",TODAY()-$K372)))</f>
        <v/>
      </c>
      <c r="O372" s="24">
        <f>IF(OR($A372="",$E372=""),"",IF($V372=1,S_INACT,IF(ISNA(MATCH($A372,TYP_TYPE,0)),S_TYPEKO,IF($U372=1,S_DONE,IF(AND($K372="",$R372=""),S_NOSCOPE,IF($K372="",S_NOTARGET,IF($N372&gt;0,S_LATE,IF($I372&lt;&gt;"",S_WIP,IF(-$N372&lt;=FEN_DOC,S_RISK,IF(-$N372&lt;=HORIZON,S_COMING,S_NOTYET))))))))))</f>
        <v/>
      </c>
      <c r="P372" s="24">
        <f>IF(OR($A372="",$E372=""),"",IF($V372=1,"",IF(ISNA(MATCH($A372,TYP_TYPE,0)),"Type not in the library",IF($B372="","Scope not set",IF(AND($B372="System",$C372=""),"System not set",IF(AND($B372="Equipment",$D372=""),"Equipment not set",IF($F372="","Responsible not set",IF($K372="","No target date",IF(AND($B372="Equipment",$C372&lt;&gt;"",IFERROR(INDEX(EQP_SYS,MATCH($D372,EQP_NOM,0)),"")&lt;&gt;$C372),"Equipment not in that system",IF(AND($U372=1,$M372=""),"Approved with no approval date",""))))))))))</f>
        <v/>
      </c>
      <c r="Q372" s="21" t="n"/>
      <c r="R372" s="23">
        <f>IF(OR($A372="",$B372=""),"",IF($B372="Equipment",IFERROR(INDEX(EQP_START,MATCH($D372,EQP_NOM,0)),""),IF($B372="System",IFERROR(INDEX(SYS_EARLIEST,MATCH($C372,SYS_ID,0)),""),IF($B372="All",CTR_EARLIEST,""))))</f>
        <v/>
      </c>
      <c r="S372" s="23">
        <f>IF(OR($A372="",$E372=""),"",IFERROR(IF(INDEX(TYP_ANCHOR,MATCH($A372,TYP_TYPE,0))="Commissioning Start",IF($R372="","",$R372-INDEX(TYP_LEAD,MATCH($A372,TYP_TYPE,0))),IF(INDEX(MS_PLAN,MATCH(INDEX(TYP_ANCHOR,MATCH($A372,TYP_TYPE,0)),MS_NOM,0))="","",INDEX(MS_PLAN,MATCH(INDEX(TYP_ANCHOR,MATCH($A372,TYP_TYPE,0)),MS_NOM,0))-INDEX(TYP_LEAD,MATCH($A372,TYP_TYPE,0)))),""))</f>
        <v/>
      </c>
      <c r="T372" s="26">
        <f>IF(OR($A372="",$E372=""),0,IF($V372=1,0,1))</f>
        <v/>
      </c>
      <c r="U372" s="26">
        <f>IF($T372=0,0,IF($M372&lt;&gt;"",1,IF(IFERROR(INDEX(WF_CLASS,MATCH($H372,WF_CODE,0)),"")="Done",1,0)))</f>
        <v/>
      </c>
      <c r="V372" s="26">
        <f>IF(OR($A372="",$E372=""),0,IF(IFERROR(INDEX(WF_CLASS,MATCH($H372,WF_CODE,0)),"")="Inactive",1,0))</f>
        <v/>
      </c>
      <c r="W372" s="24">
        <f>IF($A372="","",IFERROR(INDEX(TYP_PHASE,MATCH($A372,TYP_TYPE,0)),"-"))</f>
        <v/>
      </c>
      <c r="X372" s="24">
        <f>IF(AND($T372=1,$U372=0,N($N372)&gt;0),$N372+ROW()/1000000,"")</f>
        <v/>
      </c>
      <c r="Y372" s="24">
        <f>IF(AND($T372=1,$U372=0,OR($I372&lt;&gt;"",N($N372)&gt;0)),N($N372)+ROW()/1000000,"")</f>
        <v/>
      </c>
      <c r="Z372" s="24">
        <f>IF(AND($T372=1,$U372=0,$I372="",N($N372)&lt;=0,-N($N372)&lt;=HORIZON),N($N372)+ROW()/1000000,"")</f>
        <v/>
      </c>
    </row>
    <row r="373">
      <c r="A373" s="21" t="n"/>
      <c r="B373" s="21" t="n"/>
      <c r="C373" s="21" t="n"/>
      <c r="D373" s="21" t="n"/>
      <c r="E373" s="21" t="n"/>
      <c r="F373" s="21" t="n"/>
      <c r="G373" s="21" t="n"/>
      <c r="H373" s="21" t="n"/>
      <c r="I373" s="22" t="n"/>
      <c r="J373" s="22" t="n"/>
      <c r="K373" s="23">
        <f>IF($A373="","",IF($J373&lt;&gt;"",$J373,$S373))</f>
        <v/>
      </c>
      <c r="L373" s="24">
        <f>IF(OR($A373="",$E373=""),"",IF($J373&lt;&gt;"","Manual",IF($S373="","-","Auto")))</f>
        <v/>
      </c>
      <c r="M373" s="22" t="n"/>
      <c r="N373" s="25">
        <f>IF($T373=0,"",IF($U373=1,IF($M373="","",$M373-$K373),IF($K373="","",TODAY()-$K373)))</f>
        <v/>
      </c>
      <c r="O373" s="24">
        <f>IF(OR($A373="",$E373=""),"",IF($V373=1,S_INACT,IF(ISNA(MATCH($A373,TYP_TYPE,0)),S_TYPEKO,IF($U373=1,S_DONE,IF(AND($K373="",$R373=""),S_NOSCOPE,IF($K373="",S_NOTARGET,IF($N373&gt;0,S_LATE,IF($I373&lt;&gt;"",S_WIP,IF(-$N373&lt;=FEN_DOC,S_RISK,IF(-$N373&lt;=HORIZON,S_COMING,S_NOTYET))))))))))</f>
        <v/>
      </c>
      <c r="P373" s="24">
        <f>IF(OR($A373="",$E373=""),"",IF($V373=1,"",IF(ISNA(MATCH($A373,TYP_TYPE,0)),"Type not in the library",IF($B373="","Scope not set",IF(AND($B373="System",$C373=""),"System not set",IF(AND($B373="Equipment",$D373=""),"Equipment not set",IF($F373="","Responsible not set",IF($K373="","No target date",IF(AND($B373="Equipment",$C373&lt;&gt;"",IFERROR(INDEX(EQP_SYS,MATCH($D373,EQP_NOM,0)),"")&lt;&gt;$C373),"Equipment not in that system",IF(AND($U373=1,$M373=""),"Approved with no approval date",""))))))))))</f>
        <v/>
      </c>
      <c r="Q373" s="21" t="n"/>
      <c r="R373" s="23">
        <f>IF(OR($A373="",$B373=""),"",IF($B373="Equipment",IFERROR(INDEX(EQP_START,MATCH($D373,EQP_NOM,0)),""),IF($B373="System",IFERROR(INDEX(SYS_EARLIEST,MATCH($C373,SYS_ID,0)),""),IF($B373="All",CTR_EARLIEST,""))))</f>
        <v/>
      </c>
      <c r="S373" s="23">
        <f>IF(OR($A373="",$E373=""),"",IFERROR(IF(INDEX(TYP_ANCHOR,MATCH($A373,TYP_TYPE,0))="Commissioning Start",IF($R373="","",$R373-INDEX(TYP_LEAD,MATCH($A373,TYP_TYPE,0))),IF(INDEX(MS_PLAN,MATCH(INDEX(TYP_ANCHOR,MATCH($A373,TYP_TYPE,0)),MS_NOM,0))="","",INDEX(MS_PLAN,MATCH(INDEX(TYP_ANCHOR,MATCH($A373,TYP_TYPE,0)),MS_NOM,0))-INDEX(TYP_LEAD,MATCH($A373,TYP_TYPE,0)))),""))</f>
        <v/>
      </c>
      <c r="T373" s="26">
        <f>IF(OR($A373="",$E373=""),0,IF($V373=1,0,1))</f>
        <v/>
      </c>
      <c r="U373" s="26">
        <f>IF($T373=0,0,IF($M373&lt;&gt;"",1,IF(IFERROR(INDEX(WF_CLASS,MATCH($H373,WF_CODE,0)),"")="Done",1,0)))</f>
        <v/>
      </c>
      <c r="V373" s="26">
        <f>IF(OR($A373="",$E373=""),0,IF(IFERROR(INDEX(WF_CLASS,MATCH($H373,WF_CODE,0)),"")="Inactive",1,0))</f>
        <v/>
      </c>
      <c r="W373" s="24">
        <f>IF($A373="","",IFERROR(INDEX(TYP_PHASE,MATCH($A373,TYP_TYPE,0)),"-"))</f>
        <v/>
      </c>
      <c r="X373" s="24">
        <f>IF(AND($T373=1,$U373=0,N($N373)&gt;0),$N373+ROW()/1000000,"")</f>
        <v/>
      </c>
      <c r="Y373" s="24">
        <f>IF(AND($T373=1,$U373=0,OR($I373&lt;&gt;"",N($N373)&gt;0)),N($N373)+ROW()/1000000,"")</f>
        <v/>
      </c>
      <c r="Z373" s="24">
        <f>IF(AND($T373=1,$U373=0,$I373="",N($N373)&lt;=0,-N($N373)&lt;=HORIZON),N($N373)+ROW()/1000000,"")</f>
        <v/>
      </c>
    </row>
    <row r="374">
      <c r="A374" s="21" t="n"/>
      <c r="B374" s="21" t="n"/>
      <c r="C374" s="21" t="n"/>
      <c r="D374" s="21" t="n"/>
      <c r="E374" s="21" t="n"/>
      <c r="F374" s="21" t="n"/>
      <c r="G374" s="21" t="n"/>
      <c r="H374" s="21" t="n"/>
      <c r="I374" s="22" t="n"/>
      <c r="J374" s="22" t="n"/>
      <c r="K374" s="23">
        <f>IF($A374="","",IF($J374&lt;&gt;"",$J374,$S374))</f>
        <v/>
      </c>
      <c r="L374" s="24">
        <f>IF(OR($A374="",$E374=""),"",IF($J374&lt;&gt;"","Manual",IF($S374="","-","Auto")))</f>
        <v/>
      </c>
      <c r="M374" s="22" t="n"/>
      <c r="N374" s="25">
        <f>IF($T374=0,"",IF($U374=1,IF($M374="","",$M374-$K374),IF($K374="","",TODAY()-$K374)))</f>
        <v/>
      </c>
      <c r="O374" s="24">
        <f>IF(OR($A374="",$E374=""),"",IF($V374=1,S_INACT,IF(ISNA(MATCH($A374,TYP_TYPE,0)),S_TYPEKO,IF($U374=1,S_DONE,IF(AND($K374="",$R374=""),S_NOSCOPE,IF($K374="",S_NOTARGET,IF($N374&gt;0,S_LATE,IF($I374&lt;&gt;"",S_WIP,IF(-$N374&lt;=FEN_DOC,S_RISK,IF(-$N374&lt;=HORIZON,S_COMING,S_NOTYET))))))))))</f>
        <v/>
      </c>
      <c r="P374" s="24">
        <f>IF(OR($A374="",$E374=""),"",IF($V374=1,"",IF(ISNA(MATCH($A374,TYP_TYPE,0)),"Type not in the library",IF($B374="","Scope not set",IF(AND($B374="System",$C374=""),"System not set",IF(AND($B374="Equipment",$D374=""),"Equipment not set",IF($F374="","Responsible not set",IF($K374="","No target date",IF(AND($B374="Equipment",$C374&lt;&gt;"",IFERROR(INDEX(EQP_SYS,MATCH($D374,EQP_NOM,0)),"")&lt;&gt;$C374),"Equipment not in that system",IF(AND($U374=1,$M374=""),"Approved with no approval date",""))))))))))</f>
        <v/>
      </c>
      <c r="Q374" s="21" t="n"/>
      <c r="R374" s="23">
        <f>IF(OR($A374="",$B374=""),"",IF($B374="Equipment",IFERROR(INDEX(EQP_START,MATCH($D374,EQP_NOM,0)),""),IF($B374="System",IFERROR(INDEX(SYS_EARLIEST,MATCH($C374,SYS_ID,0)),""),IF($B374="All",CTR_EARLIEST,""))))</f>
        <v/>
      </c>
      <c r="S374" s="23">
        <f>IF(OR($A374="",$E374=""),"",IFERROR(IF(INDEX(TYP_ANCHOR,MATCH($A374,TYP_TYPE,0))="Commissioning Start",IF($R374="","",$R374-INDEX(TYP_LEAD,MATCH($A374,TYP_TYPE,0))),IF(INDEX(MS_PLAN,MATCH(INDEX(TYP_ANCHOR,MATCH($A374,TYP_TYPE,0)),MS_NOM,0))="","",INDEX(MS_PLAN,MATCH(INDEX(TYP_ANCHOR,MATCH($A374,TYP_TYPE,0)),MS_NOM,0))-INDEX(TYP_LEAD,MATCH($A374,TYP_TYPE,0)))),""))</f>
        <v/>
      </c>
      <c r="T374" s="26">
        <f>IF(OR($A374="",$E374=""),0,IF($V374=1,0,1))</f>
        <v/>
      </c>
      <c r="U374" s="26">
        <f>IF($T374=0,0,IF($M374&lt;&gt;"",1,IF(IFERROR(INDEX(WF_CLASS,MATCH($H374,WF_CODE,0)),"")="Done",1,0)))</f>
        <v/>
      </c>
      <c r="V374" s="26">
        <f>IF(OR($A374="",$E374=""),0,IF(IFERROR(INDEX(WF_CLASS,MATCH($H374,WF_CODE,0)),"")="Inactive",1,0))</f>
        <v/>
      </c>
      <c r="W374" s="24">
        <f>IF($A374="","",IFERROR(INDEX(TYP_PHASE,MATCH($A374,TYP_TYPE,0)),"-"))</f>
        <v/>
      </c>
      <c r="X374" s="24">
        <f>IF(AND($T374=1,$U374=0,N($N374)&gt;0),$N374+ROW()/1000000,"")</f>
        <v/>
      </c>
      <c r="Y374" s="24">
        <f>IF(AND($T374=1,$U374=0,OR($I374&lt;&gt;"",N($N374)&gt;0)),N($N374)+ROW()/1000000,"")</f>
        <v/>
      </c>
      <c r="Z374" s="24">
        <f>IF(AND($T374=1,$U374=0,$I374="",N($N374)&lt;=0,-N($N374)&lt;=HORIZON),N($N374)+ROW()/1000000,"")</f>
        <v/>
      </c>
    </row>
    <row r="375">
      <c r="A375" s="21" t="n"/>
      <c r="B375" s="21" t="n"/>
      <c r="C375" s="21" t="n"/>
      <c r="D375" s="21" t="n"/>
      <c r="E375" s="21" t="n"/>
      <c r="F375" s="21" t="n"/>
      <c r="G375" s="21" t="n"/>
      <c r="H375" s="21" t="n"/>
      <c r="I375" s="22" t="n"/>
      <c r="J375" s="22" t="n"/>
      <c r="K375" s="23">
        <f>IF($A375="","",IF($J375&lt;&gt;"",$J375,$S375))</f>
        <v/>
      </c>
      <c r="L375" s="24">
        <f>IF(OR($A375="",$E375=""),"",IF($J375&lt;&gt;"","Manual",IF($S375="","-","Auto")))</f>
        <v/>
      </c>
      <c r="M375" s="22" t="n"/>
      <c r="N375" s="25">
        <f>IF($T375=0,"",IF($U375=1,IF($M375="","",$M375-$K375),IF($K375="","",TODAY()-$K375)))</f>
        <v/>
      </c>
      <c r="O375" s="24">
        <f>IF(OR($A375="",$E375=""),"",IF($V375=1,S_INACT,IF(ISNA(MATCH($A375,TYP_TYPE,0)),S_TYPEKO,IF($U375=1,S_DONE,IF(AND($K375="",$R375=""),S_NOSCOPE,IF($K375="",S_NOTARGET,IF($N375&gt;0,S_LATE,IF($I375&lt;&gt;"",S_WIP,IF(-$N375&lt;=FEN_DOC,S_RISK,IF(-$N375&lt;=HORIZON,S_COMING,S_NOTYET))))))))))</f>
        <v/>
      </c>
      <c r="P375" s="24">
        <f>IF(OR($A375="",$E375=""),"",IF($V375=1,"",IF(ISNA(MATCH($A375,TYP_TYPE,0)),"Type not in the library",IF($B375="","Scope not set",IF(AND($B375="System",$C375=""),"System not set",IF(AND($B375="Equipment",$D375=""),"Equipment not set",IF($F375="","Responsible not set",IF($K375="","No target date",IF(AND($B375="Equipment",$C375&lt;&gt;"",IFERROR(INDEX(EQP_SYS,MATCH($D375,EQP_NOM,0)),"")&lt;&gt;$C375),"Equipment not in that system",IF(AND($U375=1,$M375=""),"Approved with no approval date",""))))))))))</f>
        <v/>
      </c>
      <c r="Q375" s="21" t="n"/>
      <c r="R375" s="23">
        <f>IF(OR($A375="",$B375=""),"",IF($B375="Equipment",IFERROR(INDEX(EQP_START,MATCH($D375,EQP_NOM,0)),""),IF($B375="System",IFERROR(INDEX(SYS_EARLIEST,MATCH($C375,SYS_ID,0)),""),IF($B375="All",CTR_EARLIEST,""))))</f>
        <v/>
      </c>
      <c r="S375" s="23">
        <f>IF(OR($A375="",$E375=""),"",IFERROR(IF(INDEX(TYP_ANCHOR,MATCH($A375,TYP_TYPE,0))="Commissioning Start",IF($R375="","",$R375-INDEX(TYP_LEAD,MATCH($A375,TYP_TYPE,0))),IF(INDEX(MS_PLAN,MATCH(INDEX(TYP_ANCHOR,MATCH($A375,TYP_TYPE,0)),MS_NOM,0))="","",INDEX(MS_PLAN,MATCH(INDEX(TYP_ANCHOR,MATCH($A375,TYP_TYPE,0)),MS_NOM,0))-INDEX(TYP_LEAD,MATCH($A375,TYP_TYPE,0)))),""))</f>
        <v/>
      </c>
      <c r="T375" s="26">
        <f>IF(OR($A375="",$E375=""),0,IF($V375=1,0,1))</f>
        <v/>
      </c>
      <c r="U375" s="26">
        <f>IF($T375=0,0,IF($M375&lt;&gt;"",1,IF(IFERROR(INDEX(WF_CLASS,MATCH($H375,WF_CODE,0)),"")="Done",1,0)))</f>
        <v/>
      </c>
      <c r="V375" s="26">
        <f>IF(OR($A375="",$E375=""),0,IF(IFERROR(INDEX(WF_CLASS,MATCH($H375,WF_CODE,0)),"")="Inactive",1,0))</f>
        <v/>
      </c>
      <c r="W375" s="24">
        <f>IF($A375="","",IFERROR(INDEX(TYP_PHASE,MATCH($A375,TYP_TYPE,0)),"-"))</f>
        <v/>
      </c>
      <c r="X375" s="24">
        <f>IF(AND($T375=1,$U375=0,N($N375)&gt;0),$N375+ROW()/1000000,"")</f>
        <v/>
      </c>
      <c r="Y375" s="24">
        <f>IF(AND($T375=1,$U375=0,OR($I375&lt;&gt;"",N($N375)&gt;0)),N($N375)+ROW()/1000000,"")</f>
        <v/>
      </c>
      <c r="Z375" s="24">
        <f>IF(AND($T375=1,$U375=0,$I375="",N($N375)&lt;=0,-N($N375)&lt;=HORIZON),N($N375)+ROW()/1000000,"")</f>
        <v/>
      </c>
    </row>
    <row r="376">
      <c r="A376" s="21" t="n"/>
      <c r="B376" s="21" t="n"/>
      <c r="C376" s="21" t="n"/>
      <c r="D376" s="21" t="n"/>
      <c r="E376" s="21" t="n"/>
      <c r="F376" s="21" t="n"/>
      <c r="G376" s="21" t="n"/>
      <c r="H376" s="21" t="n"/>
      <c r="I376" s="22" t="n"/>
      <c r="J376" s="22" t="n"/>
      <c r="K376" s="23">
        <f>IF($A376="","",IF($J376&lt;&gt;"",$J376,$S376))</f>
        <v/>
      </c>
      <c r="L376" s="24">
        <f>IF(OR($A376="",$E376=""),"",IF($J376&lt;&gt;"","Manual",IF($S376="","-","Auto")))</f>
        <v/>
      </c>
      <c r="M376" s="22" t="n"/>
      <c r="N376" s="25">
        <f>IF($T376=0,"",IF($U376=1,IF($M376="","",$M376-$K376),IF($K376="","",TODAY()-$K376)))</f>
        <v/>
      </c>
      <c r="O376" s="24">
        <f>IF(OR($A376="",$E376=""),"",IF($V376=1,S_INACT,IF(ISNA(MATCH($A376,TYP_TYPE,0)),S_TYPEKO,IF($U376=1,S_DONE,IF(AND($K376="",$R376=""),S_NOSCOPE,IF($K376="",S_NOTARGET,IF($N376&gt;0,S_LATE,IF($I376&lt;&gt;"",S_WIP,IF(-$N376&lt;=FEN_DOC,S_RISK,IF(-$N376&lt;=HORIZON,S_COMING,S_NOTYET))))))))))</f>
        <v/>
      </c>
      <c r="P376" s="24">
        <f>IF(OR($A376="",$E376=""),"",IF($V376=1,"",IF(ISNA(MATCH($A376,TYP_TYPE,0)),"Type not in the library",IF($B376="","Scope not set",IF(AND($B376="System",$C376=""),"System not set",IF(AND($B376="Equipment",$D376=""),"Equipment not set",IF($F376="","Responsible not set",IF($K376="","No target date",IF(AND($B376="Equipment",$C376&lt;&gt;"",IFERROR(INDEX(EQP_SYS,MATCH($D376,EQP_NOM,0)),"")&lt;&gt;$C376),"Equipment not in that system",IF(AND($U376=1,$M376=""),"Approved with no approval date",""))))))))))</f>
        <v/>
      </c>
      <c r="Q376" s="21" t="n"/>
      <c r="R376" s="23">
        <f>IF(OR($A376="",$B376=""),"",IF($B376="Equipment",IFERROR(INDEX(EQP_START,MATCH($D376,EQP_NOM,0)),""),IF($B376="System",IFERROR(INDEX(SYS_EARLIEST,MATCH($C376,SYS_ID,0)),""),IF($B376="All",CTR_EARLIEST,""))))</f>
        <v/>
      </c>
      <c r="S376" s="23">
        <f>IF(OR($A376="",$E376=""),"",IFERROR(IF(INDEX(TYP_ANCHOR,MATCH($A376,TYP_TYPE,0))="Commissioning Start",IF($R376="","",$R376-INDEX(TYP_LEAD,MATCH($A376,TYP_TYPE,0))),IF(INDEX(MS_PLAN,MATCH(INDEX(TYP_ANCHOR,MATCH($A376,TYP_TYPE,0)),MS_NOM,0))="","",INDEX(MS_PLAN,MATCH(INDEX(TYP_ANCHOR,MATCH($A376,TYP_TYPE,0)),MS_NOM,0))-INDEX(TYP_LEAD,MATCH($A376,TYP_TYPE,0)))),""))</f>
        <v/>
      </c>
      <c r="T376" s="26">
        <f>IF(OR($A376="",$E376=""),0,IF($V376=1,0,1))</f>
        <v/>
      </c>
      <c r="U376" s="26">
        <f>IF($T376=0,0,IF($M376&lt;&gt;"",1,IF(IFERROR(INDEX(WF_CLASS,MATCH($H376,WF_CODE,0)),"")="Done",1,0)))</f>
        <v/>
      </c>
      <c r="V376" s="26">
        <f>IF(OR($A376="",$E376=""),0,IF(IFERROR(INDEX(WF_CLASS,MATCH($H376,WF_CODE,0)),"")="Inactive",1,0))</f>
        <v/>
      </c>
      <c r="W376" s="24">
        <f>IF($A376="","",IFERROR(INDEX(TYP_PHASE,MATCH($A376,TYP_TYPE,0)),"-"))</f>
        <v/>
      </c>
      <c r="X376" s="24">
        <f>IF(AND($T376=1,$U376=0,N($N376)&gt;0),$N376+ROW()/1000000,"")</f>
        <v/>
      </c>
      <c r="Y376" s="24">
        <f>IF(AND($T376=1,$U376=0,OR($I376&lt;&gt;"",N($N376)&gt;0)),N($N376)+ROW()/1000000,"")</f>
        <v/>
      </c>
      <c r="Z376" s="24">
        <f>IF(AND($T376=1,$U376=0,$I376="",N($N376)&lt;=0,-N($N376)&lt;=HORIZON),N($N376)+ROW()/1000000,"")</f>
        <v/>
      </c>
    </row>
    <row r="377">
      <c r="A377" s="21" t="n"/>
      <c r="B377" s="21" t="n"/>
      <c r="C377" s="21" t="n"/>
      <c r="D377" s="21" t="n"/>
      <c r="E377" s="21" t="n"/>
      <c r="F377" s="21" t="n"/>
      <c r="G377" s="21" t="n"/>
      <c r="H377" s="21" t="n"/>
      <c r="I377" s="22" t="n"/>
      <c r="J377" s="22" t="n"/>
      <c r="K377" s="23">
        <f>IF($A377="","",IF($J377&lt;&gt;"",$J377,$S377))</f>
        <v/>
      </c>
      <c r="L377" s="24">
        <f>IF(OR($A377="",$E377=""),"",IF($J377&lt;&gt;"","Manual",IF($S377="","-","Auto")))</f>
        <v/>
      </c>
      <c r="M377" s="22" t="n"/>
      <c r="N377" s="25">
        <f>IF($T377=0,"",IF($U377=1,IF($M377="","",$M377-$K377),IF($K377="","",TODAY()-$K377)))</f>
        <v/>
      </c>
      <c r="O377" s="24">
        <f>IF(OR($A377="",$E377=""),"",IF($V377=1,S_INACT,IF(ISNA(MATCH($A377,TYP_TYPE,0)),S_TYPEKO,IF($U377=1,S_DONE,IF(AND($K377="",$R377=""),S_NOSCOPE,IF($K377="",S_NOTARGET,IF($N377&gt;0,S_LATE,IF($I377&lt;&gt;"",S_WIP,IF(-$N377&lt;=FEN_DOC,S_RISK,IF(-$N377&lt;=HORIZON,S_COMING,S_NOTYET))))))))))</f>
        <v/>
      </c>
      <c r="P377" s="24">
        <f>IF(OR($A377="",$E377=""),"",IF($V377=1,"",IF(ISNA(MATCH($A377,TYP_TYPE,0)),"Type not in the library",IF($B377="","Scope not set",IF(AND($B377="System",$C377=""),"System not set",IF(AND($B377="Equipment",$D377=""),"Equipment not set",IF($F377="","Responsible not set",IF($K377="","No target date",IF(AND($B377="Equipment",$C377&lt;&gt;"",IFERROR(INDEX(EQP_SYS,MATCH($D377,EQP_NOM,0)),"")&lt;&gt;$C377),"Equipment not in that system",IF(AND($U377=1,$M377=""),"Approved with no approval date",""))))))))))</f>
        <v/>
      </c>
      <c r="Q377" s="21" t="n"/>
      <c r="R377" s="23">
        <f>IF(OR($A377="",$B377=""),"",IF($B377="Equipment",IFERROR(INDEX(EQP_START,MATCH($D377,EQP_NOM,0)),""),IF($B377="System",IFERROR(INDEX(SYS_EARLIEST,MATCH($C377,SYS_ID,0)),""),IF($B377="All",CTR_EARLIEST,""))))</f>
        <v/>
      </c>
      <c r="S377" s="23">
        <f>IF(OR($A377="",$E377=""),"",IFERROR(IF(INDEX(TYP_ANCHOR,MATCH($A377,TYP_TYPE,0))="Commissioning Start",IF($R377="","",$R377-INDEX(TYP_LEAD,MATCH($A377,TYP_TYPE,0))),IF(INDEX(MS_PLAN,MATCH(INDEX(TYP_ANCHOR,MATCH($A377,TYP_TYPE,0)),MS_NOM,0))="","",INDEX(MS_PLAN,MATCH(INDEX(TYP_ANCHOR,MATCH($A377,TYP_TYPE,0)),MS_NOM,0))-INDEX(TYP_LEAD,MATCH($A377,TYP_TYPE,0)))),""))</f>
        <v/>
      </c>
      <c r="T377" s="26">
        <f>IF(OR($A377="",$E377=""),0,IF($V377=1,0,1))</f>
        <v/>
      </c>
      <c r="U377" s="26">
        <f>IF($T377=0,0,IF($M377&lt;&gt;"",1,IF(IFERROR(INDEX(WF_CLASS,MATCH($H377,WF_CODE,0)),"")="Done",1,0)))</f>
        <v/>
      </c>
      <c r="V377" s="26">
        <f>IF(OR($A377="",$E377=""),0,IF(IFERROR(INDEX(WF_CLASS,MATCH($H377,WF_CODE,0)),"")="Inactive",1,0))</f>
        <v/>
      </c>
      <c r="W377" s="24">
        <f>IF($A377="","",IFERROR(INDEX(TYP_PHASE,MATCH($A377,TYP_TYPE,0)),"-"))</f>
        <v/>
      </c>
      <c r="X377" s="24">
        <f>IF(AND($T377=1,$U377=0,N($N377)&gt;0),$N377+ROW()/1000000,"")</f>
        <v/>
      </c>
      <c r="Y377" s="24">
        <f>IF(AND($T377=1,$U377=0,OR($I377&lt;&gt;"",N($N377)&gt;0)),N($N377)+ROW()/1000000,"")</f>
        <v/>
      </c>
      <c r="Z377" s="24">
        <f>IF(AND($T377=1,$U377=0,$I377="",N($N377)&lt;=0,-N($N377)&lt;=HORIZON),N($N377)+ROW()/1000000,"")</f>
        <v/>
      </c>
    </row>
    <row r="378">
      <c r="A378" s="21" t="n"/>
      <c r="B378" s="21" t="n"/>
      <c r="C378" s="21" t="n"/>
      <c r="D378" s="21" t="n"/>
      <c r="E378" s="21" t="n"/>
      <c r="F378" s="21" t="n"/>
      <c r="G378" s="21" t="n"/>
      <c r="H378" s="21" t="n"/>
      <c r="I378" s="22" t="n"/>
      <c r="J378" s="22" t="n"/>
      <c r="K378" s="23">
        <f>IF($A378="","",IF($J378&lt;&gt;"",$J378,$S378))</f>
        <v/>
      </c>
      <c r="L378" s="24">
        <f>IF(OR($A378="",$E378=""),"",IF($J378&lt;&gt;"","Manual",IF($S378="","-","Auto")))</f>
        <v/>
      </c>
      <c r="M378" s="22" t="n"/>
      <c r="N378" s="25">
        <f>IF($T378=0,"",IF($U378=1,IF($M378="","",$M378-$K378),IF($K378="","",TODAY()-$K378)))</f>
        <v/>
      </c>
      <c r="O378" s="24">
        <f>IF(OR($A378="",$E378=""),"",IF($V378=1,S_INACT,IF(ISNA(MATCH($A378,TYP_TYPE,0)),S_TYPEKO,IF($U378=1,S_DONE,IF(AND($K378="",$R378=""),S_NOSCOPE,IF($K378="",S_NOTARGET,IF($N378&gt;0,S_LATE,IF($I378&lt;&gt;"",S_WIP,IF(-$N378&lt;=FEN_DOC,S_RISK,IF(-$N378&lt;=HORIZON,S_COMING,S_NOTYET))))))))))</f>
        <v/>
      </c>
      <c r="P378" s="24">
        <f>IF(OR($A378="",$E378=""),"",IF($V378=1,"",IF(ISNA(MATCH($A378,TYP_TYPE,0)),"Type not in the library",IF($B378="","Scope not set",IF(AND($B378="System",$C378=""),"System not set",IF(AND($B378="Equipment",$D378=""),"Equipment not set",IF($F378="","Responsible not set",IF($K378="","No target date",IF(AND($B378="Equipment",$C378&lt;&gt;"",IFERROR(INDEX(EQP_SYS,MATCH($D378,EQP_NOM,0)),"")&lt;&gt;$C378),"Equipment not in that system",IF(AND($U378=1,$M378=""),"Approved with no approval date",""))))))))))</f>
        <v/>
      </c>
      <c r="Q378" s="21" t="n"/>
      <c r="R378" s="23">
        <f>IF(OR($A378="",$B378=""),"",IF($B378="Equipment",IFERROR(INDEX(EQP_START,MATCH($D378,EQP_NOM,0)),""),IF($B378="System",IFERROR(INDEX(SYS_EARLIEST,MATCH($C378,SYS_ID,0)),""),IF($B378="All",CTR_EARLIEST,""))))</f>
        <v/>
      </c>
      <c r="S378" s="23">
        <f>IF(OR($A378="",$E378=""),"",IFERROR(IF(INDEX(TYP_ANCHOR,MATCH($A378,TYP_TYPE,0))="Commissioning Start",IF($R378="","",$R378-INDEX(TYP_LEAD,MATCH($A378,TYP_TYPE,0))),IF(INDEX(MS_PLAN,MATCH(INDEX(TYP_ANCHOR,MATCH($A378,TYP_TYPE,0)),MS_NOM,0))="","",INDEX(MS_PLAN,MATCH(INDEX(TYP_ANCHOR,MATCH($A378,TYP_TYPE,0)),MS_NOM,0))-INDEX(TYP_LEAD,MATCH($A378,TYP_TYPE,0)))),""))</f>
        <v/>
      </c>
      <c r="T378" s="26">
        <f>IF(OR($A378="",$E378=""),0,IF($V378=1,0,1))</f>
        <v/>
      </c>
      <c r="U378" s="26">
        <f>IF($T378=0,0,IF($M378&lt;&gt;"",1,IF(IFERROR(INDEX(WF_CLASS,MATCH($H378,WF_CODE,0)),"")="Done",1,0)))</f>
        <v/>
      </c>
      <c r="V378" s="26">
        <f>IF(OR($A378="",$E378=""),0,IF(IFERROR(INDEX(WF_CLASS,MATCH($H378,WF_CODE,0)),"")="Inactive",1,0))</f>
        <v/>
      </c>
      <c r="W378" s="24">
        <f>IF($A378="","",IFERROR(INDEX(TYP_PHASE,MATCH($A378,TYP_TYPE,0)),"-"))</f>
        <v/>
      </c>
      <c r="X378" s="24">
        <f>IF(AND($T378=1,$U378=0,N($N378)&gt;0),$N378+ROW()/1000000,"")</f>
        <v/>
      </c>
      <c r="Y378" s="24">
        <f>IF(AND($T378=1,$U378=0,OR($I378&lt;&gt;"",N($N378)&gt;0)),N($N378)+ROW()/1000000,"")</f>
        <v/>
      </c>
      <c r="Z378" s="24">
        <f>IF(AND($T378=1,$U378=0,$I378="",N($N378)&lt;=0,-N($N378)&lt;=HORIZON),N($N378)+ROW()/1000000,"")</f>
        <v/>
      </c>
    </row>
    <row r="379">
      <c r="A379" s="21" t="n"/>
      <c r="B379" s="21" t="n"/>
      <c r="C379" s="21" t="n"/>
      <c r="D379" s="21" t="n"/>
      <c r="E379" s="21" t="n"/>
      <c r="F379" s="21" t="n"/>
      <c r="G379" s="21" t="n"/>
      <c r="H379" s="21" t="n"/>
      <c r="I379" s="22" t="n"/>
      <c r="J379" s="22" t="n"/>
      <c r="K379" s="23">
        <f>IF($A379="","",IF($J379&lt;&gt;"",$J379,$S379))</f>
        <v/>
      </c>
      <c r="L379" s="24">
        <f>IF(OR($A379="",$E379=""),"",IF($J379&lt;&gt;"","Manual",IF($S379="","-","Auto")))</f>
        <v/>
      </c>
      <c r="M379" s="22" t="n"/>
      <c r="N379" s="25">
        <f>IF($T379=0,"",IF($U379=1,IF($M379="","",$M379-$K379),IF($K379="","",TODAY()-$K379)))</f>
        <v/>
      </c>
      <c r="O379" s="24">
        <f>IF(OR($A379="",$E379=""),"",IF($V379=1,S_INACT,IF(ISNA(MATCH($A379,TYP_TYPE,0)),S_TYPEKO,IF($U379=1,S_DONE,IF(AND($K379="",$R379=""),S_NOSCOPE,IF($K379="",S_NOTARGET,IF($N379&gt;0,S_LATE,IF($I379&lt;&gt;"",S_WIP,IF(-$N379&lt;=FEN_DOC,S_RISK,IF(-$N379&lt;=HORIZON,S_COMING,S_NOTYET))))))))))</f>
        <v/>
      </c>
      <c r="P379" s="24">
        <f>IF(OR($A379="",$E379=""),"",IF($V379=1,"",IF(ISNA(MATCH($A379,TYP_TYPE,0)),"Type not in the library",IF($B379="","Scope not set",IF(AND($B379="System",$C379=""),"System not set",IF(AND($B379="Equipment",$D379=""),"Equipment not set",IF($F379="","Responsible not set",IF($K379="","No target date",IF(AND($B379="Equipment",$C379&lt;&gt;"",IFERROR(INDEX(EQP_SYS,MATCH($D379,EQP_NOM,0)),"")&lt;&gt;$C379),"Equipment not in that system",IF(AND($U379=1,$M379=""),"Approved with no approval date",""))))))))))</f>
        <v/>
      </c>
      <c r="Q379" s="21" t="n"/>
      <c r="R379" s="23">
        <f>IF(OR($A379="",$B379=""),"",IF($B379="Equipment",IFERROR(INDEX(EQP_START,MATCH($D379,EQP_NOM,0)),""),IF($B379="System",IFERROR(INDEX(SYS_EARLIEST,MATCH($C379,SYS_ID,0)),""),IF($B379="All",CTR_EARLIEST,""))))</f>
        <v/>
      </c>
      <c r="S379" s="23">
        <f>IF(OR($A379="",$E379=""),"",IFERROR(IF(INDEX(TYP_ANCHOR,MATCH($A379,TYP_TYPE,0))="Commissioning Start",IF($R379="","",$R379-INDEX(TYP_LEAD,MATCH($A379,TYP_TYPE,0))),IF(INDEX(MS_PLAN,MATCH(INDEX(TYP_ANCHOR,MATCH($A379,TYP_TYPE,0)),MS_NOM,0))="","",INDEX(MS_PLAN,MATCH(INDEX(TYP_ANCHOR,MATCH($A379,TYP_TYPE,0)),MS_NOM,0))-INDEX(TYP_LEAD,MATCH($A379,TYP_TYPE,0)))),""))</f>
        <v/>
      </c>
      <c r="T379" s="26">
        <f>IF(OR($A379="",$E379=""),0,IF($V379=1,0,1))</f>
        <v/>
      </c>
      <c r="U379" s="26">
        <f>IF($T379=0,0,IF($M379&lt;&gt;"",1,IF(IFERROR(INDEX(WF_CLASS,MATCH($H379,WF_CODE,0)),"")="Done",1,0)))</f>
        <v/>
      </c>
      <c r="V379" s="26">
        <f>IF(OR($A379="",$E379=""),0,IF(IFERROR(INDEX(WF_CLASS,MATCH($H379,WF_CODE,0)),"")="Inactive",1,0))</f>
        <v/>
      </c>
      <c r="W379" s="24">
        <f>IF($A379="","",IFERROR(INDEX(TYP_PHASE,MATCH($A379,TYP_TYPE,0)),"-"))</f>
        <v/>
      </c>
      <c r="X379" s="24">
        <f>IF(AND($T379=1,$U379=0,N($N379)&gt;0),$N379+ROW()/1000000,"")</f>
        <v/>
      </c>
      <c r="Y379" s="24">
        <f>IF(AND($T379=1,$U379=0,OR($I379&lt;&gt;"",N($N379)&gt;0)),N($N379)+ROW()/1000000,"")</f>
        <v/>
      </c>
      <c r="Z379" s="24">
        <f>IF(AND($T379=1,$U379=0,$I379="",N($N379)&lt;=0,-N($N379)&lt;=HORIZON),N($N379)+ROW()/1000000,"")</f>
        <v/>
      </c>
    </row>
    <row r="380">
      <c r="A380" s="21" t="n"/>
      <c r="B380" s="21" t="n"/>
      <c r="C380" s="21" t="n"/>
      <c r="D380" s="21" t="n"/>
      <c r="E380" s="21" t="n"/>
      <c r="F380" s="21" t="n"/>
      <c r="G380" s="21" t="n"/>
      <c r="H380" s="21" t="n"/>
      <c r="I380" s="22" t="n"/>
      <c r="J380" s="22" t="n"/>
      <c r="K380" s="23">
        <f>IF($A380="","",IF($J380&lt;&gt;"",$J380,$S380))</f>
        <v/>
      </c>
      <c r="L380" s="24">
        <f>IF(OR($A380="",$E380=""),"",IF($J380&lt;&gt;"","Manual",IF($S380="","-","Auto")))</f>
        <v/>
      </c>
      <c r="M380" s="22" t="n"/>
      <c r="N380" s="25">
        <f>IF($T380=0,"",IF($U380=1,IF($M380="","",$M380-$K380),IF($K380="","",TODAY()-$K380)))</f>
        <v/>
      </c>
      <c r="O380" s="24">
        <f>IF(OR($A380="",$E380=""),"",IF($V380=1,S_INACT,IF(ISNA(MATCH($A380,TYP_TYPE,0)),S_TYPEKO,IF($U380=1,S_DONE,IF(AND($K380="",$R380=""),S_NOSCOPE,IF($K380="",S_NOTARGET,IF($N380&gt;0,S_LATE,IF($I380&lt;&gt;"",S_WIP,IF(-$N380&lt;=FEN_DOC,S_RISK,IF(-$N380&lt;=HORIZON,S_COMING,S_NOTYET))))))))))</f>
        <v/>
      </c>
      <c r="P380" s="24">
        <f>IF(OR($A380="",$E380=""),"",IF($V380=1,"",IF(ISNA(MATCH($A380,TYP_TYPE,0)),"Type not in the library",IF($B380="","Scope not set",IF(AND($B380="System",$C380=""),"System not set",IF(AND($B380="Equipment",$D380=""),"Equipment not set",IF($F380="","Responsible not set",IF($K380="","No target date",IF(AND($B380="Equipment",$C380&lt;&gt;"",IFERROR(INDEX(EQP_SYS,MATCH($D380,EQP_NOM,0)),"")&lt;&gt;$C380),"Equipment not in that system",IF(AND($U380=1,$M380=""),"Approved with no approval date",""))))))))))</f>
        <v/>
      </c>
      <c r="Q380" s="21" t="n"/>
      <c r="R380" s="23">
        <f>IF(OR($A380="",$B380=""),"",IF($B380="Equipment",IFERROR(INDEX(EQP_START,MATCH($D380,EQP_NOM,0)),""),IF($B380="System",IFERROR(INDEX(SYS_EARLIEST,MATCH($C380,SYS_ID,0)),""),IF($B380="All",CTR_EARLIEST,""))))</f>
        <v/>
      </c>
      <c r="S380" s="23">
        <f>IF(OR($A380="",$E380=""),"",IFERROR(IF(INDEX(TYP_ANCHOR,MATCH($A380,TYP_TYPE,0))="Commissioning Start",IF($R380="","",$R380-INDEX(TYP_LEAD,MATCH($A380,TYP_TYPE,0))),IF(INDEX(MS_PLAN,MATCH(INDEX(TYP_ANCHOR,MATCH($A380,TYP_TYPE,0)),MS_NOM,0))="","",INDEX(MS_PLAN,MATCH(INDEX(TYP_ANCHOR,MATCH($A380,TYP_TYPE,0)),MS_NOM,0))-INDEX(TYP_LEAD,MATCH($A380,TYP_TYPE,0)))),""))</f>
        <v/>
      </c>
      <c r="T380" s="26">
        <f>IF(OR($A380="",$E380=""),0,IF($V380=1,0,1))</f>
        <v/>
      </c>
      <c r="U380" s="26">
        <f>IF($T380=0,0,IF($M380&lt;&gt;"",1,IF(IFERROR(INDEX(WF_CLASS,MATCH($H380,WF_CODE,0)),"")="Done",1,0)))</f>
        <v/>
      </c>
      <c r="V380" s="26">
        <f>IF(OR($A380="",$E380=""),0,IF(IFERROR(INDEX(WF_CLASS,MATCH($H380,WF_CODE,0)),"")="Inactive",1,0))</f>
        <v/>
      </c>
      <c r="W380" s="24">
        <f>IF($A380="","",IFERROR(INDEX(TYP_PHASE,MATCH($A380,TYP_TYPE,0)),"-"))</f>
        <v/>
      </c>
      <c r="X380" s="24">
        <f>IF(AND($T380=1,$U380=0,N($N380)&gt;0),$N380+ROW()/1000000,"")</f>
        <v/>
      </c>
      <c r="Y380" s="24">
        <f>IF(AND($T380=1,$U380=0,OR($I380&lt;&gt;"",N($N380)&gt;0)),N($N380)+ROW()/1000000,"")</f>
        <v/>
      </c>
      <c r="Z380" s="24">
        <f>IF(AND($T380=1,$U380=0,$I380="",N($N380)&lt;=0,-N($N380)&lt;=HORIZON),N($N380)+ROW()/1000000,"")</f>
        <v/>
      </c>
    </row>
    <row r="381">
      <c r="A381" s="21" t="n"/>
      <c r="B381" s="21" t="n"/>
      <c r="C381" s="21" t="n"/>
      <c r="D381" s="21" t="n"/>
      <c r="E381" s="21" t="n"/>
      <c r="F381" s="21" t="n"/>
      <c r="G381" s="21" t="n"/>
      <c r="H381" s="21" t="n"/>
      <c r="I381" s="22" t="n"/>
      <c r="J381" s="22" t="n"/>
      <c r="K381" s="23">
        <f>IF($A381="","",IF($J381&lt;&gt;"",$J381,$S381))</f>
        <v/>
      </c>
      <c r="L381" s="24">
        <f>IF(OR($A381="",$E381=""),"",IF($J381&lt;&gt;"","Manual",IF($S381="","-","Auto")))</f>
        <v/>
      </c>
      <c r="M381" s="22" t="n"/>
      <c r="N381" s="25">
        <f>IF($T381=0,"",IF($U381=1,IF($M381="","",$M381-$K381),IF($K381="","",TODAY()-$K381)))</f>
        <v/>
      </c>
      <c r="O381" s="24">
        <f>IF(OR($A381="",$E381=""),"",IF($V381=1,S_INACT,IF(ISNA(MATCH($A381,TYP_TYPE,0)),S_TYPEKO,IF($U381=1,S_DONE,IF(AND($K381="",$R381=""),S_NOSCOPE,IF($K381="",S_NOTARGET,IF($N381&gt;0,S_LATE,IF($I381&lt;&gt;"",S_WIP,IF(-$N381&lt;=FEN_DOC,S_RISK,IF(-$N381&lt;=HORIZON,S_COMING,S_NOTYET))))))))))</f>
        <v/>
      </c>
      <c r="P381" s="24">
        <f>IF(OR($A381="",$E381=""),"",IF($V381=1,"",IF(ISNA(MATCH($A381,TYP_TYPE,0)),"Type not in the library",IF($B381="","Scope not set",IF(AND($B381="System",$C381=""),"System not set",IF(AND($B381="Equipment",$D381=""),"Equipment not set",IF($F381="","Responsible not set",IF($K381="","No target date",IF(AND($B381="Equipment",$C381&lt;&gt;"",IFERROR(INDEX(EQP_SYS,MATCH($D381,EQP_NOM,0)),"")&lt;&gt;$C381),"Equipment not in that system",IF(AND($U381=1,$M381=""),"Approved with no approval date",""))))))))))</f>
        <v/>
      </c>
      <c r="Q381" s="21" t="n"/>
      <c r="R381" s="23">
        <f>IF(OR($A381="",$B381=""),"",IF($B381="Equipment",IFERROR(INDEX(EQP_START,MATCH($D381,EQP_NOM,0)),""),IF($B381="System",IFERROR(INDEX(SYS_EARLIEST,MATCH($C381,SYS_ID,0)),""),IF($B381="All",CTR_EARLIEST,""))))</f>
        <v/>
      </c>
      <c r="S381" s="23">
        <f>IF(OR($A381="",$E381=""),"",IFERROR(IF(INDEX(TYP_ANCHOR,MATCH($A381,TYP_TYPE,0))="Commissioning Start",IF($R381="","",$R381-INDEX(TYP_LEAD,MATCH($A381,TYP_TYPE,0))),IF(INDEX(MS_PLAN,MATCH(INDEX(TYP_ANCHOR,MATCH($A381,TYP_TYPE,0)),MS_NOM,0))="","",INDEX(MS_PLAN,MATCH(INDEX(TYP_ANCHOR,MATCH($A381,TYP_TYPE,0)),MS_NOM,0))-INDEX(TYP_LEAD,MATCH($A381,TYP_TYPE,0)))),""))</f>
        <v/>
      </c>
      <c r="T381" s="26">
        <f>IF(OR($A381="",$E381=""),0,IF($V381=1,0,1))</f>
        <v/>
      </c>
      <c r="U381" s="26">
        <f>IF($T381=0,0,IF($M381&lt;&gt;"",1,IF(IFERROR(INDEX(WF_CLASS,MATCH($H381,WF_CODE,0)),"")="Done",1,0)))</f>
        <v/>
      </c>
      <c r="V381" s="26">
        <f>IF(OR($A381="",$E381=""),0,IF(IFERROR(INDEX(WF_CLASS,MATCH($H381,WF_CODE,0)),"")="Inactive",1,0))</f>
        <v/>
      </c>
      <c r="W381" s="24">
        <f>IF($A381="","",IFERROR(INDEX(TYP_PHASE,MATCH($A381,TYP_TYPE,0)),"-"))</f>
        <v/>
      </c>
      <c r="X381" s="24">
        <f>IF(AND($T381=1,$U381=0,N($N381)&gt;0),$N381+ROW()/1000000,"")</f>
        <v/>
      </c>
      <c r="Y381" s="24">
        <f>IF(AND($T381=1,$U381=0,OR($I381&lt;&gt;"",N($N381)&gt;0)),N($N381)+ROW()/1000000,"")</f>
        <v/>
      </c>
      <c r="Z381" s="24">
        <f>IF(AND($T381=1,$U381=0,$I381="",N($N381)&lt;=0,-N($N381)&lt;=HORIZON),N($N381)+ROW()/1000000,"")</f>
        <v/>
      </c>
    </row>
    <row r="382">
      <c r="A382" s="21" t="n"/>
      <c r="B382" s="21" t="n"/>
      <c r="C382" s="21" t="n"/>
      <c r="D382" s="21" t="n"/>
      <c r="E382" s="21" t="n"/>
      <c r="F382" s="21" t="n"/>
      <c r="G382" s="21" t="n"/>
      <c r="H382" s="21" t="n"/>
      <c r="I382" s="22" t="n"/>
      <c r="J382" s="22" t="n"/>
      <c r="K382" s="23">
        <f>IF($A382="","",IF($J382&lt;&gt;"",$J382,$S382))</f>
        <v/>
      </c>
      <c r="L382" s="24">
        <f>IF(OR($A382="",$E382=""),"",IF($J382&lt;&gt;"","Manual",IF($S382="","-","Auto")))</f>
        <v/>
      </c>
      <c r="M382" s="22" t="n"/>
      <c r="N382" s="25">
        <f>IF($T382=0,"",IF($U382=1,IF($M382="","",$M382-$K382),IF($K382="","",TODAY()-$K382)))</f>
        <v/>
      </c>
      <c r="O382" s="24">
        <f>IF(OR($A382="",$E382=""),"",IF($V382=1,S_INACT,IF(ISNA(MATCH($A382,TYP_TYPE,0)),S_TYPEKO,IF($U382=1,S_DONE,IF(AND($K382="",$R382=""),S_NOSCOPE,IF($K382="",S_NOTARGET,IF($N382&gt;0,S_LATE,IF($I382&lt;&gt;"",S_WIP,IF(-$N382&lt;=FEN_DOC,S_RISK,IF(-$N382&lt;=HORIZON,S_COMING,S_NOTYET))))))))))</f>
        <v/>
      </c>
      <c r="P382" s="24">
        <f>IF(OR($A382="",$E382=""),"",IF($V382=1,"",IF(ISNA(MATCH($A382,TYP_TYPE,0)),"Type not in the library",IF($B382="","Scope not set",IF(AND($B382="System",$C382=""),"System not set",IF(AND($B382="Equipment",$D382=""),"Equipment not set",IF($F382="","Responsible not set",IF($K382="","No target date",IF(AND($B382="Equipment",$C382&lt;&gt;"",IFERROR(INDEX(EQP_SYS,MATCH($D382,EQP_NOM,0)),"")&lt;&gt;$C382),"Equipment not in that system",IF(AND($U382=1,$M382=""),"Approved with no approval date",""))))))))))</f>
        <v/>
      </c>
      <c r="Q382" s="21" t="n"/>
      <c r="R382" s="23">
        <f>IF(OR($A382="",$B382=""),"",IF($B382="Equipment",IFERROR(INDEX(EQP_START,MATCH($D382,EQP_NOM,0)),""),IF($B382="System",IFERROR(INDEX(SYS_EARLIEST,MATCH($C382,SYS_ID,0)),""),IF($B382="All",CTR_EARLIEST,""))))</f>
        <v/>
      </c>
      <c r="S382" s="23">
        <f>IF(OR($A382="",$E382=""),"",IFERROR(IF(INDEX(TYP_ANCHOR,MATCH($A382,TYP_TYPE,0))="Commissioning Start",IF($R382="","",$R382-INDEX(TYP_LEAD,MATCH($A382,TYP_TYPE,0))),IF(INDEX(MS_PLAN,MATCH(INDEX(TYP_ANCHOR,MATCH($A382,TYP_TYPE,0)),MS_NOM,0))="","",INDEX(MS_PLAN,MATCH(INDEX(TYP_ANCHOR,MATCH($A382,TYP_TYPE,0)),MS_NOM,0))-INDEX(TYP_LEAD,MATCH($A382,TYP_TYPE,0)))),""))</f>
        <v/>
      </c>
      <c r="T382" s="26">
        <f>IF(OR($A382="",$E382=""),0,IF($V382=1,0,1))</f>
        <v/>
      </c>
      <c r="U382" s="26">
        <f>IF($T382=0,0,IF($M382&lt;&gt;"",1,IF(IFERROR(INDEX(WF_CLASS,MATCH($H382,WF_CODE,0)),"")="Done",1,0)))</f>
        <v/>
      </c>
      <c r="V382" s="26">
        <f>IF(OR($A382="",$E382=""),0,IF(IFERROR(INDEX(WF_CLASS,MATCH($H382,WF_CODE,0)),"")="Inactive",1,0))</f>
        <v/>
      </c>
      <c r="W382" s="24">
        <f>IF($A382="","",IFERROR(INDEX(TYP_PHASE,MATCH($A382,TYP_TYPE,0)),"-"))</f>
        <v/>
      </c>
      <c r="X382" s="24">
        <f>IF(AND($T382=1,$U382=0,N($N382)&gt;0),$N382+ROW()/1000000,"")</f>
        <v/>
      </c>
      <c r="Y382" s="24">
        <f>IF(AND($T382=1,$U382=0,OR($I382&lt;&gt;"",N($N382)&gt;0)),N($N382)+ROW()/1000000,"")</f>
        <v/>
      </c>
      <c r="Z382" s="24">
        <f>IF(AND($T382=1,$U382=0,$I382="",N($N382)&lt;=0,-N($N382)&lt;=HORIZON),N($N382)+ROW()/1000000,"")</f>
        <v/>
      </c>
    </row>
    <row r="383">
      <c r="A383" s="21" t="n"/>
      <c r="B383" s="21" t="n"/>
      <c r="C383" s="21" t="n"/>
      <c r="D383" s="21" t="n"/>
      <c r="E383" s="21" t="n"/>
      <c r="F383" s="21" t="n"/>
      <c r="G383" s="21" t="n"/>
      <c r="H383" s="21" t="n"/>
      <c r="I383" s="22" t="n"/>
      <c r="J383" s="22" t="n"/>
      <c r="K383" s="23">
        <f>IF($A383="","",IF($J383&lt;&gt;"",$J383,$S383))</f>
        <v/>
      </c>
      <c r="L383" s="24">
        <f>IF(OR($A383="",$E383=""),"",IF($J383&lt;&gt;"","Manual",IF($S383="","-","Auto")))</f>
        <v/>
      </c>
      <c r="M383" s="22" t="n"/>
      <c r="N383" s="25">
        <f>IF($T383=0,"",IF($U383=1,IF($M383="","",$M383-$K383),IF($K383="","",TODAY()-$K383)))</f>
        <v/>
      </c>
      <c r="O383" s="24">
        <f>IF(OR($A383="",$E383=""),"",IF($V383=1,S_INACT,IF(ISNA(MATCH($A383,TYP_TYPE,0)),S_TYPEKO,IF($U383=1,S_DONE,IF(AND($K383="",$R383=""),S_NOSCOPE,IF($K383="",S_NOTARGET,IF($N383&gt;0,S_LATE,IF($I383&lt;&gt;"",S_WIP,IF(-$N383&lt;=FEN_DOC,S_RISK,IF(-$N383&lt;=HORIZON,S_COMING,S_NOTYET))))))))))</f>
        <v/>
      </c>
      <c r="P383" s="24">
        <f>IF(OR($A383="",$E383=""),"",IF($V383=1,"",IF(ISNA(MATCH($A383,TYP_TYPE,0)),"Type not in the library",IF($B383="","Scope not set",IF(AND($B383="System",$C383=""),"System not set",IF(AND($B383="Equipment",$D383=""),"Equipment not set",IF($F383="","Responsible not set",IF($K383="","No target date",IF(AND($B383="Equipment",$C383&lt;&gt;"",IFERROR(INDEX(EQP_SYS,MATCH($D383,EQP_NOM,0)),"")&lt;&gt;$C383),"Equipment not in that system",IF(AND($U383=1,$M383=""),"Approved with no approval date",""))))))))))</f>
        <v/>
      </c>
      <c r="Q383" s="21" t="n"/>
      <c r="R383" s="23">
        <f>IF(OR($A383="",$B383=""),"",IF($B383="Equipment",IFERROR(INDEX(EQP_START,MATCH($D383,EQP_NOM,0)),""),IF($B383="System",IFERROR(INDEX(SYS_EARLIEST,MATCH($C383,SYS_ID,0)),""),IF($B383="All",CTR_EARLIEST,""))))</f>
        <v/>
      </c>
      <c r="S383" s="23">
        <f>IF(OR($A383="",$E383=""),"",IFERROR(IF(INDEX(TYP_ANCHOR,MATCH($A383,TYP_TYPE,0))="Commissioning Start",IF($R383="","",$R383-INDEX(TYP_LEAD,MATCH($A383,TYP_TYPE,0))),IF(INDEX(MS_PLAN,MATCH(INDEX(TYP_ANCHOR,MATCH($A383,TYP_TYPE,0)),MS_NOM,0))="","",INDEX(MS_PLAN,MATCH(INDEX(TYP_ANCHOR,MATCH($A383,TYP_TYPE,0)),MS_NOM,0))-INDEX(TYP_LEAD,MATCH($A383,TYP_TYPE,0)))),""))</f>
        <v/>
      </c>
      <c r="T383" s="26">
        <f>IF(OR($A383="",$E383=""),0,IF($V383=1,0,1))</f>
        <v/>
      </c>
      <c r="U383" s="26">
        <f>IF($T383=0,0,IF($M383&lt;&gt;"",1,IF(IFERROR(INDEX(WF_CLASS,MATCH($H383,WF_CODE,0)),"")="Done",1,0)))</f>
        <v/>
      </c>
      <c r="V383" s="26">
        <f>IF(OR($A383="",$E383=""),0,IF(IFERROR(INDEX(WF_CLASS,MATCH($H383,WF_CODE,0)),"")="Inactive",1,0))</f>
        <v/>
      </c>
      <c r="W383" s="24">
        <f>IF($A383="","",IFERROR(INDEX(TYP_PHASE,MATCH($A383,TYP_TYPE,0)),"-"))</f>
        <v/>
      </c>
      <c r="X383" s="24">
        <f>IF(AND($T383=1,$U383=0,N($N383)&gt;0),$N383+ROW()/1000000,"")</f>
        <v/>
      </c>
      <c r="Y383" s="24">
        <f>IF(AND($T383=1,$U383=0,OR($I383&lt;&gt;"",N($N383)&gt;0)),N($N383)+ROW()/1000000,"")</f>
        <v/>
      </c>
      <c r="Z383" s="24">
        <f>IF(AND($T383=1,$U383=0,$I383="",N($N383)&lt;=0,-N($N383)&lt;=HORIZON),N($N383)+ROW()/1000000,"")</f>
        <v/>
      </c>
    </row>
    <row r="384">
      <c r="A384" s="21" t="n"/>
      <c r="B384" s="21" t="n"/>
      <c r="C384" s="21" t="n"/>
      <c r="D384" s="21" t="n"/>
      <c r="E384" s="21" t="n"/>
      <c r="F384" s="21" t="n"/>
      <c r="G384" s="21" t="n"/>
      <c r="H384" s="21" t="n"/>
      <c r="I384" s="22" t="n"/>
      <c r="J384" s="22" t="n"/>
      <c r="K384" s="23">
        <f>IF($A384="","",IF($J384&lt;&gt;"",$J384,$S384))</f>
        <v/>
      </c>
      <c r="L384" s="24">
        <f>IF(OR($A384="",$E384=""),"",IF($J384&lt;&gt;"","Manual",IF($S384="","-","Auto")))</f>
        <v/>
      </c>
      <c r="M384" s="22" t="n"/>
      <c r="N384" s="25">
        <f>IF($T384=0,"",IF($U384=1,IF($M384="","",$M384-$K384),IF($K384="","",TODAY()-$K384)))</f>
        <v/>
      </c>
      <c r="O384" s="24">
        <f>IF(OR($A384="",$E384=""),"",IF($V384=1,S_INACT,IF(ISNA(MATCH($A384,TYP_TYPE,0)),S_TYPEKO,IF($U384=1,S_DONE,IF(AND($K384="",$R384=""),S_NOSCOPE,IF($K384="",S_NOTARGET,IF($N384&gt;0,S_LATE,IF($I384&lt;&gt;"",S_WIP,IF(-$N384&lt;=FEN_DOC,S_RISK,IF(-$N384&lt;=HORIZON,S_COMING,S_NOTYET))))))))))</f>
        <v/>
      </c>
      <c r="P384" s="24">
        <f>IF(OR($A384="",$E384=""),"",IF($V384=1,"",IF(ISNA(MATCH($A384,TYP_TYPE,0)),"Type not in the library",IF($B384="","Scope not set",IF(AND($B384="System",$C384=""),"System not set",IF(AND($B384="Equipment",$D384=""),"Equipment not set",IF($F384="","Responsible not set",IF($K384="","No target date",IF(AND($B384="Equipment",$C384&lt;&gt;"",IFERROR(INDEX(EQP_SYS,MATCH($D384,EQP_NOM,0)),"")&lt;&gt;$C384),"Equipment not in that system",IF(AND($U384=1,$M384=""),"Approved with no approval date",""))))))))))</f>
        <v/>
      </c>
      <c r="Q384" s="21" t="n"/>
      <c r="R384" s="23">
        <f>IF(OR($A384="",$B384=""),"",IF($B384="Equipment",IFERROR(INDEX(EQP_START,MATCH($D384,EQP_NOM,0)),""),IF($B384="System",IFERROR(INDEX(SYS_EARLIEST,MATCH($C384,SYS_ID,0)),""),IF($B384="All",CTR_EARLIEST,""))))</f>
        <v/>
      </c>
      <c r="S384" s="23">
        <f>IF(OR($A384="",$E384=""),"",IFERROR(IF(INDEX(TYP_ANCHOR,MATCH($A384,TYP_TYPE,0))="Commissioning Start",IF($R384="","",$R384-INDEX(TYP_LEAD,MATCH($A384,TYP_TYPE,0))),IF(INDEX(MS_PLAN,MATCH(INDEX(TYP_ANCHOR,MATCH($A384,TYP_TYPE,0)),MS_NOM,0))="","",INDEX(MS_PLAN,MATCH(INDEX(TYP_ANCHOR,MATCH($A384,TYP_TYPE,0)),MS_NOM,0))-INDEX(TYP_LEAD,MATCH($A384,TYP_TYPE,0)))),""))</f>
        <v/>
      </c>
      <c r="T384" s="26">
        <f>IF(OR($A384="",$E384=""),0,IF($V384=1,0,1))</f>
        <v/>
      </c>
      <c r="U384" s="26">
        <f>IF($T384=0,0,IF($M384&lt;&gt;"",1,IF(IFERROR(INDEX(WF_CLASS,MATCH($H384,WF_CODE,0)),"")="Done",1,0)))</f>
        <v/>
      </c>
      <c r="V384" s="26">
        <f>IF(OR($A384="",$E384=""),0,IF(IFERROR(INDEX(WF_CLASS,MATCH($H384,WF_CODE,0)),"")="Inactive",1,0))</f>
        <v/>
      </c>
      <c r="W384" s="24">
        <f>IF($A384="","",IFERROR(INDEX(TYP_PHASE,MATCH($A384,TYP_TYPE,0)),"-"))</f>
        <v/>
      </c>
      <c r="X384" s="24">
        <f>IF(AND($T384=1,$U384=0,N($N384)&gt;0),$N384+ROW()/1000000,"")</f>
        <v/>
      </c>
      <c r="Y384" s="24">
        <f>IF(AND($T384=1,$U384=0,OR($I384&lt;&gt;"",N($N384)&gt;0)),N($N384)+ROW()/1000000,"")</f>
        <v/>
      </c>
      <c r="Z384" s="24">
        <f>IF(AND($T384=1,$U384=0,$I384="",N($N384)&lt;=0,-N($N384)&lt;=HORIZON),N($N384)+ROW()/1000000,"")</f>
        <v/>
      </c>
    </row>
    <row r="385">
      <c r="A385" s="21" t="n"/>
      <c r="B385" s="21" t="n"/>
      <c r="C385" s="21" t="n"/>
      <c r="D385" s="21" t="n"/>
      <c r="E385" s="21" t="n"/>
      <c r="F385" s="21" t="n"/>
      <c r="G385" s="21" t="n"/>
      <c r="H385" s="21" t="n"/>
      <c r="I385" s="22" t="n"/>
      <c r="J385" s="22" t="n"/>
      <c r="K385" s="23">
        <f>IF($A385="","",IF($J385&lt;&gt;"",$J385,$S385))</f>
        <v/>
      </c>
      <c r="L385" s="24">
        <f>IF(OR($A385="",$E385=""),"",IF($J385&lt;&gt;"","Manual",IF($S385="","-","Auto")))</f>
        <v/>
      </c>
      <c r="M385" s="22" t="n"/>
      <c r="N385" s="25">
        <f>IF($T385=0,"",IF($U385=1,IF($M385="","",$M385-$K385),IF($K385="","",TODAY()-$K385)))</f>
        <v/>
      </c>
      <c r="O385" s="24">
        <f>IF(OR($A385="",$E385=""),"",IF($V385=1,S_INACT,IF(ISNA(MATCH($A385,TYP_TYPE,0)),S_TYPEKO,IF($U385=1,S_DONE,IF(AND($K385="",$R385=""),S_NOSCOPE,IF($K385="",S_NOTARGET,IF($N385&gt;0,S_LATE,IF($I385&lt;&gt;"",S_WIP,IF(-$N385&lt;=FEN_DOC,S_RISK,IF(-$N385&lt;=HORIZON,S_COMING,S_NOTYET))))))))))</f>
        <v/>
      </c>
      <c r="P385" s="24">
        <f>IF(OR($A385="",$E385=""),"",IF($V385=1,"",IF(ISNA(MATCH($A385,TYP_TYPE,0)),"Type not in the library",IF($B385="","Scope not set",IF(AND($B385="System",$C385=""),"System not set",IF(AND($B385="Equipment",$D385=""),"Equipment not set",IF($F385="","Responsible not set",IF($K385="","No target date",IF(AND($B385="Equipment",$C385&lt;&gt;"",IFERROR(INDEX(EQP_SYS,MATCH($D385,EQP_NOM,0)),"")&lt;&gt;$C385),"Equipment not in that system",IF(AND($U385=1,$M385=""),"Approved with no approval date",""))))))))))</f>
        <v/>
      </c>
      <c r="Q385" s="21" t="n"/>
      <c r="R385" s="23">
        <f>IF(OR($A385="",$B385=""),"",IF($B385="Equipment",IFERROR(INDEX(EQP_START,MATCH($D385,EQP_NOM,0)),""),IF($B385="System",IFERROR(INDEX(SYS_EARLIEST,MATCH($C385,SYS_ID,0)),""),IF($B385="All",CTR_EARLIEST,""))))</f>
        <v/>
      </c>
      <c r="S385" s="23">
        <f>IF(OR($A385="",$E385=""),"",IFERROR(IF(INDEX(TYP_ANCHOR,MATCH($A385,TYP_TYPE,0))="Commissioning Start",IF($R385="","",$R385-INDEX(TYP_LEAD,MATCH($A385,TYP_TYPE,0))),IF(INDEX(MS_PLAN,MATCH(INDEX(TYP_ANCHOR,MATCH($A385,TYP_TYPE,0)),MS_NOM,0))="","",INDEX(MS_PLAN,MATCH(INDEX(TYP_ANCHOR,MATCH($A385,TYP_TYPE,0)),MS_NOM,0))-INDEX(TYP_LEAD,MATCH($A385,TYP_TYPE,0)))),""))</f>
        <v/>
      </c>
      <c r="T385" s="26">
        <f>IF(OR($A385="",$E385=""),0,IF($V385=1,0,1))</f>
        <v/>
      </c>
      <c r="U385" s="26">
        <f>IF($T385=0,0,IF($M385&lt;&gt;"",1,IF(IFERROR(INDEX(WF_CLASS,MATCH($H385,WF_CODE,0)),"")="Done",1,0)))</f>
        <v/>
      </c>
      <c r="V385" s="26">
        <f>IF(OR($A385="",$E385=""),0,IF(IFERROR(INDEX(WF_CLASS,MATCH($H385,WF_CODE,0)),"")="Inactive",1,0))</f>
        <v/>
      </c>
      <c r="W385" s="24">
        <f>IF($A385="","",IFERROR(INDEX(TYP_PHASE,MATCH($A385,TYP_TYPE,0)),"-"))</f>
        <v/>
      </c>
      <c r="X385" s="24">
        <f>IF(AND($T385=1,$U385=0,N($N385)&gt;0),$N385+ROW()/1000000,"")</f>
        <v/>
      </c>
      <c r="Y385" s="24">
        <f>IF(AND($T385=1,$U385=0,OR($I385&lt;&gt;"",N($N385)&gt;0)),N($N385)+ROW()/1000000,"")</f>
        <v/>
      </c>
      <c r="Z385" s="24">
        <f>IF(AND($T385=1,$U385=0,$I385="",N($N385)&lt;=0,-N($N385)&lt;=HORIZON),N($N385)+ROW()/1000000,"")</f>
        <v/>
      </c>
    </row>
    <row r="386">
      <c r="A386" s="21" t="n"/>
      <c r="B386" s="21" t="n"/>
      <c r="C386" s="21" t="n"/>
      <c r="D386" s="21" t="n"/>
      <c r="E386" s="21" t="n"/>
      <c r="F386" s="21" t="n"/>
      <c r="G386" s="21" t="n"/>
      <c r="H386" s="21" t="n"/>
      <c r="I386" s="22" t="n"/>
      <c r="J386" s="22" t="n"/>
      <c r="K386" s="23">
        <f>IF($A386="","",IF($J386&lt;&gt;"",$J386,$S386))</f>
        <v/>
      </c>
      <c r="L386" s="24">
        <f>IF(OR($A386="",$E386=""),"",IF($J386&lt;&gt;"","Manual",IF($S386="","-","Auto")))</f>
        <v/>
      </c>
      <c r="M386" s="22" t="n"/>
      <c r="N386" s="25">
        <f>IF($T386=0,"",IF($U386=1,IF($M386="","",$M386-$K386),IF($K386="","",TODAY()-$K386)))</f>
        <v/>
      </c>
      <c r="O386" s="24">
        <f>IF(OR($A386="",$E386=""),"",IF($V386=1,S_INACT,IF(ISNA(MATCH($A386,TYP_TYPE,0)),S_TYPEKO,IF($U386=1,S_DONE,IF(AND($K386="",$R386=""),S_NOSCOPE,IF($K386="",S_NOTARGET,IF($N386&gt;0,S_LATE,IF($I386&lt;&gt;"",S_WIP,IF(-$N386&lt;=FEN_DOC,S_RISK,IF(-$N386&lt;=HORIZON,S_COMING,S_NOTYET))))))))))</f>
        <v/>
      </c>
      <c r="P386" s="24">
        <f>IF(OR($A386="",$E386=""),"",IF($V386=1,"",IF(ISNA(MATCH($A386,TYP_TYPE,0)),"Type not in the library",IF($B386="","Scope not set",IF(AND($B386="System",$C386=""),"System not set",IF(AND($B386="Equipment",$D386=""),"Equipment not set",IF($F386="","Responsible not set",IF($K386="","No target date",IF(AND($B386="Equipment",$C386&lt;&gt;"",IFERROR(INDEX(EQP_SYS,MATCH($D386,EQP_NOM,0)),"")&lt;&gt;$C386),"Equipment not in that system",IF(AND($U386=1,$M386=""),"Approved with no approval date",""))))))))))</f>
        <v/>
      </c>
      <c r="Q386" s="21" t="n"/>
      <c r="R386" s="23">
        <f>IF(OR($A386="",$B386=""),"",IF($B386="Equipment",IFERROR(INDEX(EQP_START,MATCH($D386,EQP_NOM,0)),""),IF($B386="System",IFERROR(INDEX(SYS_EARLIEST,MATCH($C386,SYS_ID,0)),""),IF($B386="All",CTR_EARLIEST,""))))</f>
        <v/>
      </c>
      <c r="S386" s="23">
        <f>IF(OR($A386="",$E386=""),"",IFERROR(IF(INDEX(TYP_ANCHOR,MATCH($A386,TYP_TYPE,0))="Commissioning Start",IF($R386="","",$R386-INDEX(TYP_LEAD,MATCH($A386,TYP_TYPE,0))),IF(INDEX(MS_PLAN,MATCH(INDEX(TYP_ANCHOR,MATCH($A386,TYP_TYPE,0)),MS_NOM,0))="","",INDEX(MS_PLAN,MATCH(INDEX(TYP_ANCHOR,MATCH($A386,TYP_TYPE,0)),MS_NOM,0))-INDEX(TYP_LEAD,MATCH($A386,TYP_TYPE,0)))),""))</f>
        <v/>
      </c>
      <c r="T386" s="26">
        <f>IF(OR($A386="",$E386=""),0,IF($V386=1,0,1))</f>
        <v/>
      </c>
      <c r="U386" s="26">
        <f>IF($T386=0,0,IF($M386&lt;&gt;"",1,IF(IFERROR(INDEX(WF_CLASS,MATCH($H386,WF_CODE,0)),"")="Done",1,0)))</f>
        <v/>
      </c>
      <c r="V386" s="26">
        <f>IF(OR($A386="",$E386=""),0,IF(IFERROR(INDEX(WF_CLASS,MATCH($H386,WF_CODE,0)),"")="Inactive",1,0))</f>
        <v/>
      </c>
      <c r="W386" s="24">
        <f>IF($A386="","",IFERROR(INDEX(TYP_PHASE,MATCH($A386,TYP_TYPE,0)),"-"))</f>
        <v/>
      </c>
      <c r="X386" s="24">
        <f>IF(AND($T386=1,$U386=0,N($N386)&gt;0),$N386+ROW()/1000000,"")</f>
        <v/>
      </c>
      <c r="Y386" s="24">
        <f>IF(AND($T386=1,$U386=0,OR($I386&lt;&gt;"",N($N386)&gt;0)),N($N386)+ROW()/1000000,"")</f>
        <v/>
      </c>
      <c r="Z386" s="24">
        <f>IF(AND($T386=1,$U386=0,$I386="",N($N386)&lt;=0,-N($N386)&lt;=HORIZON),N($N386)+ROW()/1000000,"")</f>
        <v/>
      </c>
    </row>
    <row r="387">
      <c r="A387" s="21" t="n"/>
      <c r="B387" s="21" t="n"/>
      <c r="C387" s="21" t="n"/>
      <c r="D387" s="21" t="n"/>
      <c r="E387" s="21" t="n"/>
      <c r="F387" s="21" t="n"/>
      <c r="G387" s="21" t="n"/>
      <c r="H387" s="21" t="n"/>
      <c r="I387" s="22" t="n"/>
      <c r="J387" s="22" t="n"/>
      <c r="K387" s="23">
        <f>IF($A387="","",IF($J387&lt;&gt;"",$J387,$S387))</f>
        <v/>
      </c>
      <c r="L387" s="24">
        <f>IF(OR($A387="",$E387=""),"",IF($J387&lt;&gt;"","Manual",IF($S387="","-","Auto")))</f>
        <v/>
      </c>
      <c r="M387" s="22" t="n"/>
      <c r="N387" s="25">
        <f>IF($T387=0,"",IF($U387=1,IF($M387="","",$M387-$K387),IF($K387="","",TODAY()-$K387)))</f>
        <v/>
      </c>
      <c r="O387" s="24">
        <f>IF(OR($A387="",$E387=""),"",IF($V387=1,S_INACT,IF(ISNA(MATCH($A387,TYP_TYPE,0)),S_TYPEKO,IF($U387=1,S_DONE,IF(AND($K387="",$R387=""),S_NOSCOPE,IF($K387="",S_NOTARGET,IF($N387&gt;0,S_LATE,IF($I387&lt;&gt;"",S_WIP,IF(-$N387&lt;=FEN_DOC,S_RISK,IF(-$N387&lt;=HORIZON,S_COMING,S_NOTYET))))))))))</f>
        <v/>
      </c>
      <c r="P387" s="24">
        <f>IF(OR($A387="",$E387=""),"",IF($V387=1,"",IF(ISNA(MATCH($A387,TYP_TYPE,0)),"Type not in the library",IF($B387="","Scope not set",IF(AND($B387="System",$C387=""),"System not set",IF(AND($B387="Equipment",$D387=""),"Equipment not set",IF($F387="","Responsible not set",IF($K387="","No target date",IF(AND($B387="Equipment",$C387&lt;&gt;"",IFERROR(INDEX(EQP_SYS,MATCH($D387,EQP_NOM,0)),"")&lt;&gt;$C387),"Equipment not in that system",IF(AND($U387=1,$M387=""),"Approved with no approval date",""))))))))))</f>
        <v/>
      </c>
      <c r="Q387" s="21" t="n"/>
      <c r="R387" s="23">
        <f>IF(OR($A387="",$B387=""),"",IF($B387="Equipment",IFERROR(INDEX(EQP_START,MATCH($D387,EQP_NOM,0)),""),IF($B387="System",IFERROR(INDEX(SYS_EARLIEST,MATCH($C387,SYS_ID,0)),""),IF($B387="All",CTR_EARLIEST,""))))</f>
        <v/>
      </c>
      <c r="S387" s="23">
        <f>IF(OR($A387="",$E387=""),"",IFERROR(IF(INDEX(TYP_ANCHOR,MATCH($A387,TYP_TYPE,0))="Commissioning Start",IF($R387="","",$R387-INDEX(TYP_LEAD,MATCH($A387,TYP_TYPE,0))),IF(INDEX(MS_PLAN,MATCH(INDEX(TYP_ANCHOR,MATCH($A387,TYP_TYPE,0)),MS_NOM,0))="","",INDEX(MS_PLAN,MATCH(INDEX(TYP_ANCHOR,MATCH($A387,TYP_TYPE,0)),MS_NOM,0))-INDEX(TYP_LEAD,MATCH($A387,TYP_TYPE,0)))),""))</f>
        <v/>
      </c>
      <c r="T387" s="26">
        <f>IF(OR($A387="",$E387=""),0,IF($V387=1,0,1))</f>
        <v/>
      </c>
      <c r="U387" s="26">
        <f>IF($T387=0,0,IF($M387&lt;&gt;"",1,IF(IFERROR(INDEX(WF_CLASS,MATCH($H387,WF_CODE,0)),"")="Done",1,0)))</f>
        <v/>
      </c>
      <c r="V387" s="26">
        <f>IF(OR($A387="",$E387=""),0,IF(IFERROR(INDEX(WF_CLASS,MATCH($H387,WF_CODE,0)),"")="Inactive",1,0))</f>
        <v/>
      </c>
      <c r="W387" s="24">
        <f>IF($A387="","",IFERROR(INDEX(TYP_PHASE,MATCH($A387,TYP_TYPE,0)),"-"))</f>
        <v/>
      </c>
      <c r="X387" s="24">
        <f>IF(AND($T387=1,$U387=0,N($N387)&gt;0),$N387+ROW()/1000000,"")</f>
        <v/>
      </c>
      <c r="Y387" s="24">
        <f>IF(AND($T387=1,$U387=0,OR($I387&lt;&gt;"",N($N387)&gt;0)),N($N387)+ROW()/1000000,"")</f>
        <v/>
      </c>
      <c r="Z387" s="24">
        <f>IF(AND($T387=1,$U387=0,$I387="",N($N387)&lt;=0,-N($N387)&lt;=HORIZON),N($N387)+ROW()/1000000,"")</f>
        <v/>
      </c>
    </row>
    <row r="388">
      <c r="A388" s="21" t="n"/>
      <c r="B388" s="21" t="n"/>
      <c r="C388" s="21" t="n"/>
      <c r="D388" s="21" t="n"/>
      <c r="E388" s="21" t="n"/>
      <c r="F388" s="21" t="n"/>
      <c r="G388" s="21" t="n"/>
      <c r="H388" s="21" t="n"/>
      <c r="I388" s="22" t="n"/>
      <c r="J388" s="22" t="n"/>
      <c r="K388" s="23">
        <f>IF($A388="","",IF($J388&lt;&gt;"",$J388,$S388))</f>
        <v/>
      </c>
      <c r="L388" s="24">
        <f>IF(OR($A388="",$E388=""),"",IF($J388&lt;&gt;"","Manual",IF($S388="","-","Auto")))</f>
        <v/>
      </c>
      <c r="M388" s="22" t="n"/>
      <c r="N388" s="25">
        <f>IF($T388=0,"",IF($U388=1,IF($M388="","",$M388-$K388),IF($K388="","",TODAY()-$K388)))</f>
        <v/>
      </c>
      <c r="O388" s="24">
        <f>IF(OR($A388="",$E388=""),"",IF($V388=1,S_INACT,IF(ISNA(MATCH($A388,TYP_TYPE,0)),S_TYPEKO,IF($U388=1,S_DONE,IF(AND($K388="",$R388=""),S_NOSCOPE,IF($K388="",S_NOTARGET,IF($N388&gt;0,S_LATE,IF($I388&lt;&gt;"",S_WIP,IF(-$N388&lt;=FEN_DOC,S_RISK,IF(-$N388&lt;=HORIZON,S_COMING,S_NOTYET))))))))))</f>
        <v/>
      </c>
      <c r="P388" s="24">
        <f>IF(OR($A388="",$E388=""),"",IF($V388=1,"",IF(ISNA(MATCH($A388,TYP_TYPE,0)),"Type not in the library",IF($B388="","Scope not set",IF(AND($B388="System",$C388=""),"System not set",IF(AND($B388="Equipment",$D388=""),"Equipment not set",IF($F388="","Responsible not set",IF($K388="","No target date",IF(AND($B388="Equipment",$C388&lt;&gt;"",IFERROR(INDEX(EQP_SYS,MATCH($D388,EQP_NOM,0)),"")&lt;&gt;$C388),"Equipment not in that system",IF(AND($U388=1,$M388=""),"Approved with no approval date",""))))))))))</f>
        <v/>
      </c>
      <c r="Q388" s="21" t="n"/>
      <c r="R388" s="23">
        <f>IF(OR($A388="",$B388=""),"",IF($B388="Equipment",IFERROR(INDEX(EQP_START,MATCH($D388,EQP_NOM,0)),""),IF($B388="System",IFERROR(INDEX(SYS_EARLIEST,MATCH($C388,SYS_ID,0)),""),IF($B388="All",CTR_EARLIEST,""))))</f>
        <v/>
      </c>
      <c r="S388" s="23">
        <f>IF(OR($A388="",$E388=""),"",IFERROR(IF(INDEX(TYP_ANCHOR,MATCH($A388,TYP_TYPE,0))="Commissioning Start",IF($R388="","",$R388-INDEX(TYP_LEAD,MATCH($A388,TYP_TYPE,0))),IF(INDEX(MS_PLAN,MATCH(INDEX(TYP_ANCHOR,MATCH($A388,TYP_TYPE,0)),MS_NOM,0))="","",INDEX(MS_PLAN,MATCH(INDEX(TYP_ANCHOR,MATCH($A388,TYP_TYPE,0)),MS_NOM,0))-INDEX(TYP_LEAD,MATCH($A388,TYP_TYPE,0)))),""))</f>
        <v/>
      </c>
      <c r="T388" s="26">
        <f>IF(OR($A388="",$E388=""),0,IF($V388=1,0,1))</f>
        <v/>
      </c>
      <c r="U388" s="26">
        <f>IF($T388=0,0,IF($M388&lt;&gt;"",1,IF(IFERROR(INDEX(WF_CLASS,MATCH($H388,WF_CODE,0)),"")="Done",1,0)))</f>
        <v/>
      </c>
      <c r="V388" s="26">
        <f>IF(OR($A388="",$E388=""),0,IF(IFERROR(INDEX(WF_CLASS,MATCH($H388,WF_CODE,0)),"")="Inactive",1,0))</f>
        <v/>
      </c>
      <c r="W388" s="24">
        <f>IF($A388="","",IFERROR(INDEX(TYP_PHASE,MATCH($A388,TYP_TYPE,0)),"-"))</f>
        <v/>
      </c>
      <c r="X388" s="24">
        <f>IF(AND($T388=1,$U388=0,N($N388)&gt;0),$N388+ROW()/1000000,"")</f>
        <v/>
      </c>
      <c r="Y388" s="24">
        <f>IF(AND($T388=1,$U388=0,OR($I388&lt;&gt;"",N($N388)&gt;0)),N($N388)+ROW()/1000000,"")</f>
        <v/>
      </c>
      <c r="Z388" s="24">
        <f>IF(AND($T388=1,$U388=0,$I388="",N($N388)&lt;=0,-N($N388)&lt;=HORIZON),N($N388)+ROW()/1000000,"")</f>
        <v/>
      </c>
    </row>
    <row r="389">
      <c r="A389" s="21" t="n"/>
      <c r="B389" s="21" t="n"/>
      <c r="C389" s="21" t="n"/>
      <c r="D389" s="21" t="n"/>
      <c r="E389" s="21" t="n"/>
      <c r="F389" s="21" t="n"/>
      <c r="G389" s="21" t="n"/>
      <c r="H389" s="21" t="n"/>
      <c r="I389" s="22" t="n"/>
      <c r="J389" s="22" t="n"/>
      <c r="K389" s="23">
        <f>IF($A389="","",IF($J389&lt;&gt;"",$J389,$S389))</f>
        <v/>
      </c>
      <c r="L389" s="24">
        <f>IF(OR($A389="",$E389=""),"",IF($J389&lt;&gt;"","Manual",IF($S389="","-","Auto")))</f>
        <v/>
      </c>
      <c r="M389" s="22" t="n"/>
      <c r="N389" s="25">
        <f>IF($T389=0,"",IF($U389=1,IF($M389="","",$M389-$K389),IF($K389="","",TODAY()-$K389)))</f>
        <v/>
      </c>
      <c r="O389" s="24">
        <f>IF(OR($A389="",$E389=""),"",IF($V389=1,S_INACT,IF(ISNA(MATCH($A389,TYP_TYPE,0)),S_TYPEKO,IF($U389=1,S_DONE,IF(AND($K389="",$R389=""),S_NOSCOPE,IF($K389="",S_NOTARGET,IF($N389&gt;0,S_LATE,IF($I389&lt;&gt;"",S_WIP,IF(-$N389&lt;=FEN_DOC,S_RISK,IF(-$N389&lt;=HORIZON,S_COMING,S_NOTYET))))))))))</f>
        <v/>
      </c>
      <c r="P389" s="24">
        <f>IF(OR($A389="",$E389=""),"",IF($V389=1,"",IF(ISNA(MATCH($A389,TYP_TYPE,0)),"Type not in the library",IF($B389="","Scope not set",IF(AND($B389="System",$C389=""),"System not set",IF(AND($B389="Equipment",$D389=""),"Equipment not set",IF($F389="","Responsible not set",IF($K389="","No target date",IF(AND($B389="Equipment",$C389&lt;&gt;"",IFERROR(INDEX(EQP_SYS,MATCH($D389,EQP_NOM,0)),"")&lt;&gt;$C389),"Equipment not in that system",IF(AND($U389=1,$M389=""),"Approved with no approval date",""))))))))))</f>
        <v/>
      </c>
      <c r="Q389" s="21" t="n"/>
      <c r="R389" s="23">
        <f>IF(OR($A389="",$B389=""),"",IF($B389="Equipment",IFERROR(INDEX(EQP_START,MATCH($D389,EQP_NOM,0)),""),IF($B389="System",IFERROR(INDEX(SYS_EARLIEST,MATCH($C389,SYS_ID,0)),""),IF($B389="All",CTR_EARLIEST,""))))</f>
        <v/>
      </c>
      <c r="S389" s="23">
        <f>IF(OR($A389="",$E389=""),"",IFERROR(IF(INDEX(TYP_ANCHOR,MATCH($A389,TYP_TYPE,0))="Commissioning Start",IF($R389="","",$R389-INDEX(TYP_LEAD,MATCH($A389,TYP_TYPE,0))),IF(INDEX(MS_PLAN,MATCH(INDEX(TYP_ANCHOR,MATCH($A389,TYP_TYPE,0)),MS_NOM,0))="","",INDEX(MS_PLAN,MATCH(INDEX(TYP_ANCHOR,MATCH($A389,TYP_TYPE,0)),MS_NOM,0))-INDEX(TYP_LEAD,MATCH($A389,TYP_TYPE,0)))),""))</f>
        <v/>
      </c>
      <c r="T389" s="26">
        <f>IF(OR($A389="",$E389=""),0,IF($V389=1,0,1))</f>
        <v/>
      </c>
      <c r="U389" s="26">
        <f>IF($T389=0,0,IF($M389&lt;&gt;"",1,IF(IFERROR(INDEX(WF_CLASS,MATCH($H389,WF_CODE,0)),"")="Done",1,0)))</f>
        <v/>
      </c>
      <c r="V389" s="26">
        <f>IF(OR($A389="",$E389=""),0,IF(IFERROR(INDEX(WF_CLASS,MATCH($H389,WF_CODE,0)),"")="Inactive",1,0))</f>
        <v/>
      </c>
      <c r="W389" s="24">
        <f>IF($A389="","",IFERROR(INDEX(TYP_PHASE,MATCH($A389,TYP_TYPE,0)),"-"))</f>
        <v/>
      </c>
      <c r="X389" s="24">
        <f>IF(AND($T389=1,$U389=0,N($N389)&gt;0),$N389+ROW()/1000000,"")</f>
        <v/>
      </c>
      <c r="Y389" s="24">
        <f>IF(AND($T389=1,$U389=0,OR($I389&lt;&gt;"",N($N389)&gt;0)),N($N389)+ROW()/1000000,"")</f>
        <v/>
      </c>
      <c r="Z389" s="24">
        <f>IF(AND($T389=1,$U389=0,$I389="",N($N389)&lt;=0,-N($N389)&lt;=HORIZON),N($N389)+ROW()/1000000,"")</f>
        <v/>
      </c>
    </row>
    <row r="390">
      <c r="A390" s="21" t="n"/>
      <c r="B390" s="21" t="n"/>
      <c r="C390" s="21" t="n"/>
      <c r="D390" s="21" t="n"/>
      <c r="E390" s="21" t="n"/>
      <c r="F390" s="21" t="n"/>
      <c r="G390" s="21" t="n"/>
      <c r="H390" s="21" t="n"/>
      <c r="I390" s="22" t="n"/>
      <c r="J390" s="22" t="n"/>
      <c r="K390" s="23">
        <f>IF($A390="","",IF($J390&lt;&gt;"",$J390,$S390))</f>
        <v/>
      </c>
      <c r="L390" s="24">
        <f>IF(OR($A390="",$E390=""),"",IF($J390&lt;&gt;"","Manual",IF($S390="","-","Auto")))</f>
        <v/>
      </c>
      <c r="M390" s="22" t="n"/>
      <c r="N390" s="25">
        <f>IF($T390=0,"",IF($U390=1,IF($M390="","",$M390-$K390),IF($K390="","",TODAY()-$K390)))</f>
        <v/>
      </c>
      <c r="O390" s="24">
        <f>IF(OR($A390="",$E390=""),"",IF($V390=1,S_INACT,IF(ISNA(MATCH($A390,TYP_TYPE,0)),S_TYPEKO,IF($U390=1,S_DONE,IF(AND($K390="",$R390=""),S_NOSCOPE,IF($K390="",S_NOTARGET,IF($N390&gt;0,S_LATE,IF($I390&lt;&gt;"",S_WIP,IF(-$N390&lt;=FEN_DOC,S_RISK,IF(-$N390&lt;=HORIZON,S_COMING,S_NOTYET))))))))))</f>
        <v/>
      </c>
      <c r="P390" s="24">
        <f>IF(OR($A390="",$E390=""),"",IF($V390=1,"",IF(ISNA(MATCH($A390,TYP_TYPE,0)),"Type not in the library",IF($B390="","Scope not set",IF(AND($B390="System",$C390=""),"System not set",IF(AND($B390="Equipment",$D390=""),"Equipment not set",IF($F390="","Responsible not set",IF($K390="","No target date",IF(AND($B390="Equipment",$C390&lt;&gt;"",IFERROR(INDEX(EQP_SYS,MATCH($D390,EQP_NOM,0)),"")&lt;&gt;$C390),"Equipment not in that system",IF(AND($U390=1,$M390=""),"Approved with no approval date",""))))))))))</f>
        <v/>
      </c>
      <c r="Q390" s="21" t="n"/>
      <c r="R390" s="23">
        <f>IF(OR($A390="",$B390=""),"",IF($B390="Equipment",IFERROR(INDEX(EQP_START,MATCH($D390,EQP_NOM,0)),""),IF($B390="System",IFERROR(INDEX(SYS_EARLIEST,MATCH($C390,SYS_ID,0)),""),IF($B390="All",CTR_EARLIEST,""))))</f>
        <v/>
      </c>
      <c r="S390" s="23">
        <f>IF(OR($A390="",$E390=""),"",IFERROR(IF(INDEX(TYP_ANCHOR,MATCH($A390,TYP_TYPE,0))="Commissioning Start",IF($R390="","",$R390-INDEX(TYP_LEAD,MATCH($A390,TYP_TYPE,0))),IF(INDEX(MS_PLAN,MATCH(INDEX(TYP_ANCHOR,MATCH($A390,TYP_TYPE,0)),MS_NOM,0))="","",INDEX(MS_PLAN,MATCH(INDEX(TYP_ANCHOR,MATCH($A390,TYP_TYPE,0)),MS_NOM,0))-INDEX(TYP_LEAD,MATCH($A390,TYP_TYPE,0)))),""))</f>
        <v/>
      </c>
      <c r="T390" s="26">
        <f>IF(OR($A390="",$E390=""),0,IF($V390=1,0,1))</f>
        <v/>
      </c>
      <c r="U390" s="26">
        <f>IF($T390=0,0,IF($M390&lt;&gt;"",1,IF(IFERROR(INDEX(WF_CLASS,MATCH($H390,WF_CODE,0)),"")="Done",1,0)))</f>
        <v/>
      </c>
      <c r="V390" s="26">
        <f>IF(OR($A390="",$E390=""),0,IF(IFERROR(INDEX(WF_CLASS,MATCH($H390,WF_CODE,0)),"")="Inactive",1,0))</f>
        <v/>
      </c>
      <c r="W390" s="24">
        <f>IF($A390="","",IFERROR(INDEX(TYP_PHASE,MATCH($A390,TYP_TYPE,0)),"-"))</f>
        <v/>
      </c>
      <c r="X390" s="24">
        <f>IF(AND($T390=1,$U390=0,N($N390)&gt;0),$N390+ROW()/1000000,"")</f>
        <v/>
      </c>
      <c r="Y390" s="24">
        <f>IF(AND($T390=1,$U390=0,OR($I390&lt;&gt;"",N($N390)&gt;0)),N($N390)+ROW()/1000000,"")</f>
        <v/>
      </c>
      <c r="Z390" s="24">
        <f>IF(AND($T390=1,$U390=0,$I390="",N($N390)&lt;=0,-N($N390)&lt;=HORIZON),N($N390)+ROW()/1000000,"")</f>
        <v/>
      </c>
    </row>
    <row r="391">
      <c r="A391" s="21" t="n"/>
      <c r="B391" s="21" t="n"/>
      <c r="C391" s="21" t="n"/>
      <c r="D391" s="21" t="n"/>
      <c r="E391" s="21" t="n"/>
      <c r="F391" s="21" t="n"/>
      <c r="G391" s="21" t="n"/>
      <c r="H391" s="21" t="n"/>
      <c r="I391" s="22" t="n"/>
      <c r="J391" s="22" t="n"/>
      <c r="K391" s="23">
        <f>IF($A391="","",IF($J391&lt;&gt;"",$J391,$S391))</f>
        <v/>
      </c>
      <c r="L391" s="24">
        <f>IF(OR($A391="",$E391=""),"",IF($J391&lt;&gt;"","Manual",IF($S391="","-","Auto")))</f>
        <v/>
      </c>
      <c r="M391" s="22" t="n"/>
      <c r="N391" s="25">
        <f>IF($T391=0,"",IF($U391=1,IF($M391="","",$M391-$K391),IF($K391="","",TODAY()-$K391)))</f>
        <v/>
      </c>
      <c r="O391" s="24">
        <f>IF(OR($A391="",$E391=""),"",IF($V391=1,S_INACT,IF(ISNA(MATCH($A391,TYP_TYPE,0)),S_TYPEKO,IF($U391=1,S_DONE,IF(AND($K391="",$R391=""),S_NOSCOPE,IF($K391="",S_NOTARGET,IF($N391&gt;0,S_LATE,IF($I391&lt;&gt;"",S_WIP,IF(-$N391&lt;=FEN_DOC,S_RISK,IF(-$N391&lt;=HORIZON,S_COMING,S_NOTYET))))))))))</f>
        <v/>
      </c>
      <c r="P391" s="24">
        <f>IF(OR($A391="",$E391=""),"",IF($V391=1,"",IF(ISNA(MATCH($A391,TYP_TYPE,0)),"Type not in the library",IF($B391="","Scope not set",IF(AND($B391="System",$C391=""),"System not set",IF(AND($B391="Equipment",$D391=""),"Equipment not set",IF($F391="","Responsible not set",IF($K391="","No target date",IF(AND($B391="Equipment",$C391&lt;&gt;"",IFERROR(INDEX(EQP_SYS,MATCH($D391,EQP_NOM,0)),"")&lt;&gt;$C391),"Equipment not in that system",IF(AND($U391=1,$M391=""),"Approved with no approval date",""))))))))))</f>
        <v/>
      </c>
      <c r="Q391" s="21" t="n"/>
      <c r="R391" s="23">
        <f>IF(OR($A391="",$B391=""),"",IF($B391="Equipment",IFERROR(INDEX(EQP_START,MATCH($D391,EQP_NOM,0)),""),IF($B391="System",IFERROR(INDEX(SYS_EARLIEST,MATCH($C391,SYS_ID,0)),""),IF($B391="All",CTR_EARLIEST,""))))</f>
        <v/>
      </c>
      <c r="S391" s="23">
        <f>IF(OR($A391="",$E391=""),"",IFERROR(IF(INDEX(TYP_ANCHOR,MATCH($A391,TYP_TYPE,0))="Commissioning Start",IF($R391="","",$R391-INDEX(TYP_LEAD,MATCH($A391,TYP_TYPE,0))),IF(INDEX(MS_PLAN,MATCH(INDEX(TYP_ANCHOR,MATCH($A391,TYP_TYPE,0)),MS_NOM,0))="","",INDEX(MS_PLAN,MATCH(INDEX(TYP_ANCHOR,MATCH($A391,TYP_TYPE,0)),MS_NOM,0))-INDEX(TYP_LEAD,MATCH($A391,TYP_TYPE,0)))),""))</f>
        <v/>
      </c>
      <c r="T391" s="26">
        <f>IF(OR($A391="",$E391=""),0,IF($V391=1,0,1))</f>
        <v/>
      </c>
      <c r="U391" s="26">
        <f>IF($T391=0,0,IF($M391&lt;&gt;"",1,IF(IFERROR(INDEX(WF_CLASS,MATCH($H391,WF_CODE,0)),"")="Done",1,0)))</f>
        <v/>
      </c>
      <c r="V391" s="26">
        <f>IF(OR($A391="",$E391=""),0,IF(IFERROR(INDEX(WF_CLASS,MATCH($H391,WF_CODE,0)),"")="Inactive",1,0))</f>
        <v/>
      </c>
      <c r="W391" s="24">
        <f>IF($A391="","",IFERROR(INDEX(TYP_PHASE,MATCH($A391,TYP_TYPE,0)),"-"))</f>
        <v/>
      </c>
      <c r="X391" s="24">
        <f>IF(AND($T391=1,$U391=0,N($N391)&gt;0),$N391+ROW()/1000000,"")</f>
        <v/>
      </c>
      <c r="Y391" s="24">
        <f>IF(AND($T391=1,$U391=0,OR($I391&lt;&gt;"",N($N391)&gt;0)),N($N391)+ROW()/1000000,"")</f>
        <v/>
      </c>
      <c r="Z391" s="24">
        <f>IF(AND($T391=1,$U391=0,$I391="",N($N391)&lt;=0,-N($N391)&lt;=HORIZON),N($N391)+ROW()/1000000,"")</f>
        <v/>
      </c>
    </row>
    <row r="392">
      <c r="A392" s="21" t="n"/>
      <c r="B392" s="21" t="n"/>
      <c r="C392" s="21" t="n"/>
      <c r="D392" s="21" t="n"/>
      <c r="E392" s="21" t="n"/>
      <c r="F392" s="21" t="n"/>
      <c r="G392" s="21" t="n"/>
      <c r="H392" s="21" t="n"/>
      <c r="I392" s="22" t="n"/>
      <c r="J392" s="22" t="n"/>
      <c r="K392" s="23">
        <f>IF($A392="","",IF($J392&lt;&gt;"",$J392,$S392))</f>
        <v/>
      </c>
      <c r="L392" s="24">
        <f>IF(OR($A392="",$E392=""),"",IF($J392&lt;&gt;"","Manual",IF($S392="","-","Auto")))</f>
        <v/>
      </c>
      <c r="M392" s="22" t="n"/>
      <c r="N392" s="25">
        <f>IF($T392=0,"",IF($U392=1,IF($M392="","",$M392-$K392),IF($K392="","",TODAY()-$K392)))</f>
        <v/>
      </c>
      <c r="O392" s="24">
        <f>IF(OR($A392="",$E392=""),"",IF($V392=1,S_INACT,IF(ISNA(MATCH($A392,TYP_TYPE,0)),S_TYPEKO,IF($U392=1,S_DONE,IF(AND($K392="",$R392=""),S_NOSCOPE,IF($K392="",S_NOTARGET,IF($N392&gt;0,S_LATE,IF($I392&lt;&gt;"",S_WIP,IF(-$N392&lt;=FEN_DOC,S_RISK,IF(-$N392&lt;=HORIZON,S_COMING,S_NOTYET))))))))))</f>
        <v/>
      </c>
      <c r="P392" s="24">
        <f>IF(OR($A392="",$E392=""),"",IF($V392=1,"",IF(ISNA(MATCH($A392,TYP_TYPE,0)),"Type not in the library",IF($B392="","Scope not set",IF(AND($B392="System",$C392=""),"System not set",IF(AND($B392="Equipment",$D392=""),"Equipment not set",IF($F392="","Responsible not set",IF($K392="","No target date",IF(AND($B392="Equipment",$C392&lt;&gt;"",IFERROR(INDEX(EQP_SYS,MATCH($D392,EQP_NOM,0)),"")&lt;&gt;$C392),"Equipment not in that system",IF(AND($U392=1,$M392=""),"Approved with no approval date",""))))))))))</f>
        <v/>
      </c>
      <c r="Q392" s="21" t="n"/>
      <c r="R392" s="23">
        <f>IF(OR($A392="",$B392=""),"",IF($B392="Equipment",IFERROR(INDEX(EQP_START,MATCH($D392,EQP_NOM,0)),""),IF($B392="System",IFERROR(INDEX(SYS_EARLIEST,MATCH($C392,SYS_ID,0)),""),IF($B392="All",CTR_EARLIEST,""))))</f>
        <v/>
      </c>
      <c r="S392" s="23">
        <f>IF(OR($A392="",$E392=""),"",IFERROR(IF(INDEX(TYP_ANCHOR,MATCH($A392,TYP_TYPE,0))="Commissioning Start",IF($R392="","",$R392-INDEX(TYP_LEAD,MATCH($A392,TYP_TYPE,0))),IF(INDEX(MS_PLAN,MATCH(INDEX(TYP_ANCHOR,MATCH($A392,TYP_TYPE,0)),MS_NOM,0))="","",INDEX(MS_PLAN,MATCH(INDEX(TYP_ANCHOR,MATCH($A392,TYP_TYPE,0)),MS_NOM,0))-INDEX(TYP_LEAD,MATCH($A392,TYP_TYPE,0)))),""))</f>
        <v/>
      </c>
      <c r="T392" s="26">
        <f>IF(OR($A392="",$E392=""),0,IF($V392=1,0,1))</f>
        <v/>
      </c>
      <c r="U392" s="26">
        <f>IF($T392=0,0,IF($M392&lt;&gt;"",1,IF(IFERROR(INDEX(WF_CLASS,MATCH($H392,WF_CODE,0)),"")="Done",1,0)))</f>
        <v/>
      </c>
      <c r="V392" s="26">
        <f>IF(OR($A392="",$E392=""),0,IF(IFERROR(INDEX(WF_CLASS,MATCH($H392,WF_CODE,0)),"")="Inactive",1,0))</f>
        <v/>
      </c>
      <c r="W392" s="24">
        <f>IF($A392="","",IFERROR(INDEX(TYP_PHASE,MATCH($A392,TYP_TYPE,0)),"-"))</f>
        <v/>
      </c>
      <c r="X392" s="24">
        <f>IF(AND($T392=1,$U392=0,N($N392)&gt;0),$N392+ROW()/1000000,"")</f>
        <v/>
      </c>
      <c r="Y392" s="24">
        <f>IF(AND($T392=1,$U392=0,OR($I392&lt;&gt;"",N($N392)&gt;0)),N($N392)+ROW()/1000000,"")</f>
        <v/>
      </c>
      <c r="Z392" s="24">
        <f>IF(AND($T392=1,$U392=0,$I392="",N($N392)&lt;=0,-N($N392)&lt;=HORIZON),N($N392)+ROW()/1000000,"")</f>
        <v/>
      </c>
    </row>
    <row r="393">
      <c r="A393" s="21" t="n"/>
      <c r="B393" s="21" t="n"/>
      <c r="C393" s="21" t="n"/>
      <c r="D393" s="21" t="n"/>
      <c r="E393" s="21" t="n"/>
      <c r="F393" s="21" t="n"/>
      <c r="G393" s="21" t="n"/>
      <c r="H393" s="21" t="n"/>
      <c r="I393" s="22" t="n"/>
      <c r="J393" s="22" t="n"/>
      <c r="K393" s="23">
        <f>IF($A393="","",IF($J393&lt;&gt;"",$J393,$S393))</f>
        <v/>
      </c>
      <c r="L393" s="24">
        <f>IF(OR($A393="",$E393=""),"",IF($J393&lt;&gt;"","Manual",IF($S393="","-","Auto")))</f>
        <v/>
      </c>
      <c r="M393" s="22" t="n"/>
      <c r="N393" s="25">
        <f>IF($T393=0,"",IF($U393=1,IF($M393="","",$M393-$K393),IF($K393="","",TODAY()-$K393)))</f>
        <v/>
      </c>
      <c r="O393" s="24">
        <f>IF(OR($A393="",$E393=""),"",IF($V393=1,S_INACT,IF(ISNA(MATCH($A393,TYP_TYPE,0)),S_TYPEKO,IF($U393=1,S_DONE,IF(AND($K393="",$R393=""),S_NOSCOPE,IF($K393="",S_NOTARGET,IF($N393&gt;0,S_LATE,IF($I393&lt;&gt;"",S_WIP,IF(-$N393&lt;=FEN_DOC,S_RISK,IF(-$N393&lt;=HORIZON,S_COMING,S_NOTYET))))))))))</f>
        <v/>
      </c>
      <c r="P393" s="24">
        <f>IF(OR($A393="",$E393=""),"",IF($V393=1,"",IF(ISNA(MATCH($A393,TYP_TYPE,0)),"Type not in the library",IF($B393="","Scope not set",IF(AND($B393="System",$C393=""),"System not set",IF(AND($B393="Equipment",$D393=""),"Equipment not set",IF($F393="","Responsible not set",IF($K393="","No target date",IF(AND($B393="Equipment",$C393&lt;&gt;"",IFERROR(INDEX(EQP_SYS,MATCH($D393,EQP_NOM,0)),"")&lt;&gt;$C393),"Equipment not in that system",IF(AND($U393=1,$M393=""),"Approved with no approval date",""))))))))))</f>
        <v/>
      </c>
      <c r="Q393" s="21" t="n"/>
      <c r="R393" s="23">
        <f>IF(OR($A393="",$B393=""),"",IF($B393="Equipment",IFERROR(INDEX(EQP_START,MATCH($D393,EQP_NOM,0)),""),IF($B393="System",IFERROR(INDEX(SYS_EARLIEST,MATCH($C393,SYS_ID,0)),""),IF($B393="All",CTR_EARLIEST,""))))</f>
        <v/>
      </c>
      <c r="S393" s="23">
        <f>IF(OR($A393="",$E393=""),"",IFERROR(IF(INDEX(TYP_ANCHOR,MATCH($A393,TYP_TYPE,0))="Commissioning Start",IF($R393="","",$R393-INDEX(TYP_LEAD,MATCH($A393,TYP_TYPE,0))),IF(INDEX(MS_PLAN,MATCH(INDEX(TYP_ANCHOR,MATCH($A393,TYP_TYPE,0)),MS_NOM,0))="","",INDEX(MS_PLAN,MATCH(INDEX(TYP_ANCHOR,MATCH($A393,TYP_TYPE,0)),MS_NOM,0))-INDEX(TYP_LEAD,MATCH($A393,TYP_TYPE,0)))),""))</f>
        <v/>
      </c>
      <c r="T393" s="26">
        <f>IF(OR($A393="",$E393=""),0,IF($V393=1,0,1))</f>
        <v/>
      </c>
      <c r="U393" s="26">
        <f>IF($T393=0,0,IF($M393&lt;&gt;"",1,IF(IFERROR(INDEX(WF_CLASS,MATCH($H393,WF_CODE,0)),"")="Done",1,0)))</f>
        <v/>
      </c>
      <c r="V393" s="26">
        <f>IF(OR($A393="",$E393=""),0,IF(IFERROR(INDEX(WF_CLASS,MATCH($H393,WF_CODE,0)),"")="Inactive",1,0))</f>
        <v/>
      </c>
      <c r="W393" s="24">
        <f>IF($A393="","",IFERROR(INDEX(TYP_PHASE,MATCH($A393,TYP_TYPE,0)),"-"))</f>
        <v/>
      </c>
      <c r="X393" s="24">
        <f>IF(AND($T393=1,$U393=0,N($N393)&gt;0),$N393+ROW()/1000000,"")</f>
        <v/>
      </c>
      <c r="Y393" s="24">
        <f>IF(AND($T393=1,$U393=0,OR($I393&lt;&gt;"",N($N393)&gt;0)),N($N393)+ROW()/1000000,"")</f>
        <v/>
      </c>
      <c r="Z393" s="24">
        <f>IF(AND($T393=1,$U393=0,$I393="",N($N393)&lt;=0,-N($N393)&lt;=HORIZON),N($N393)+ROW()/1000000,"")</f>
        <v/>
      </c>
    </row>
    <row r="394">
      <c r="A394" s="21" t="n"/>
      <c r="B394" s="21" t="n"/>
      <c r="C394" s="21" t="n"/>
      <c r="D394" s="21" t="n"/>
      <c r="E394" s="21" t="n"/>
      <c r="F394" s="21" t="n"/>
      <c r="G394" s="21" t="n"/>
      <c r="H394" s="21" t="n"/>
      <c r="I394" s="22" t="n"/>
      <c r="J394" s="22" t="n"/>
      <c r="K394" s="23">
        <f>IF($A394="","",IF($J394&lt;&gt;"",$J394,$S394))</f>
        <v/>
      </c>
      <c r="L394" s="24">
        <f>IF(OR($A394="",$E394=""),"",IF($J394&lt;&gt;"","Manual",IF($S394="","-","Auto")))</f>
        <v/>
      </c>
      <c r="M394" s="22" t="n"/>
      <c r="N394" s="25">
        <f>IF($T394=0,"",IF($U394=1,IF($M394="","",$M394-$K394),IF($K394="","",TODAY()-$K394)))</f>
        <v/>
      </c>
      <c r="O394" s="24">
        <f>IF(OR($A394="",$E394=""),"",IF($V394=1,S_INACT,IF(ISNA(MATCH($A394,TYP_TYPE,0)),S_TYPEKO,IF($U394=1,S_DONE,IF(AND($K394="",$R394=""),S_NOSCOPE,IF($K394="",S_NOTARGET,IF($N394&gt;0,S_LATE,IF($I394&lt;&gt;"",S_WIP,IF(-$N394&lt;=FEN_DOC,S_RISK,IF(-$N394&lt;=HORIZON,S_COMING,S_NOTYET))))))))))</f>
        <v/>
      </c>
      <c r="P394" s="24">
        <f>IF(OR($A394="",$E394=""),"",IF($V394=1,"",IF(ISNA(MATCH($A394,TYP_TYPE,0)),"Type not in the library",IF($B394="","Scope not set",IF(AND($B394="System",$C394=""),"System not set",IF(AND($B394="Equipment",$D394=""),"Equipment not set",IF($F394="","Responsible not set",IF($K394="","No target date",IF(AND($B394="Equipment",$C394&lt;&gt;"",IFERROR(INDEX(EQP_SYS,MATCH($D394,EQP_NOM,0)),"")&lt;&gt;$C394),"Equipment not in that system",IF(AND($U394=1,$M394=""),"Approved with no approval date",""))))))))))</f>
        <v/>
      </c>
      <c r="Q394" s="21" t="n"/>
      <c r="R394" s="23">
        <f>IF(OR($A394="",$B394=""),"",IF($B394="Equipment",IFERROR(INDEX(EQP_START,MATCH($D394,EQP_NOM,0)),""),IF($B394="System",IFERROR(INDEX(SYS_EARLIEST,MATCH($C394,SYS_ID,0)),""),IF($B394="All",CTR_EARLIEST,""))))</f>
        <v/>
      </c>
      <c r="S394" s="23">
        <f>IF(OR($A394="",$E394=""),"",IFERROR(IF(INDEX(TYP_ANCHOR,MATCH($A394,TYP_TYPE,0))="Commissioning Start",IF($R394="","",$R394-INDEX(TYP_LEAD,MATCH($A394,TYP_TYPE,0))),IF(INDEX(MS_PLAN,MATCH(INDEX(TYP_ANCHOR,MATCH($A394,TYP_TYPE,0)),MS_NOM,0))="","",INDEX(MS_PLAN,MATCH(INDEX(TYP_ANCHOR,MATCH($A394,TYP_TYPE,0)),MS_NOM,0))-INDEX(TYP_LEAD,MATCH($A394,TYP_TYPE,0)))),""))</f>
        <v/>
      </c>
      <c r="T394" s="26">
        <f>IF(OR($A394="",$E394=""),0,IF($V394=1,0,1))</f>
        <v/>
      </c>
      <c r="U394" s="26">
        <f>IF($T394=0,0,IF($M394&lt;&gt;"",1,IF(IFERROR(INDEX(WF_CLASS,MATCH($H394,WF_CODE,0)),"")="Done",1,0)))</f>
        <v/>
      </c>
      <c r="V394" s="26">
        <f>IF(OR($A394="",$E394=""),0,IF(IFERROR(INDEX(WF_CLASS,MATCH($H394,WF_CODE,0)),"")="Inactive",1,0))</f>
        <v/>
      </c>
      <c r="W394" s="24">
        <f>IF($A394="","",IFERROR(INDEX(TYP_PHASE,MATCH($A394,TYP_TYPE,0)),"-"))</f>
        <v/>
      </c>
      <c r="X394" s="24">
        <f>IF(AND($T394=1,$U394=0,N($N394)&gt;0),$N394+ROW()/1000000,"")</f>
        <v/>
      </c>
      <c r="Y394" s="24">
        <f>IF(AND($T394=1,$U394=0,OR($I394&lt;&gt;"",N($N394)&gt;0)),N($N394)+ROW()/1000000,"")</f>
        <v/>
      </c>
      <c r="Z394" s="24">
        <f>IF(AND($T394=1,$U394=0,$I394="",N($N394)&lt;=0,-N($N394)&lt;=HORIZON),N($N394)+ROW()/1000000,"")</f>
        <v/>
      </c>
    </row>
    <row r="395">
      <c r="A395" s="21" t="n"/>
      <c r="B395" s="21" t="n"/>
      <c r="C395" s="21" t="n"/>
      <c r="D395" s="21" t="n"/>
      <c r="E395" s="21" t="n"/>
      <c r="F395" s="21" t="n"/>
      <c r="G395" s="21" t="n"/>
      <c r="H395" s="21" t="n"/>
      <c r="I395" s="22" t="n"/>
      <c r="J395" s="22" t="n"/>
      <c r="K395" s="23">
        <f>IF($A395="","",IF($J395&lt;&gt;"",$J395,$S395))</f>
        <v/>
      </c>
      <c r="L395" s="24">
        <f>IF(OR($A395="",$E395=""),"",IF($J395&lt;&gt;"","Manual",IF($S395="","-","Auto")))</f>
        <v/>
      </c>
      <c r="M395" s="22" t="n"/>
      <c r="N395" s="25">
        <f>IF($T395=0,"",IF($U395=1,IF($M395="","",$M395-$K395),IF($K395="","",TODAY()-$K395)))</f>
        <v/>
      </c>
      <c r="O395" s="24">
        <f>IF(OR($A395="",$E395=""),"",IF($V395=1,S_INACT,IF(ISNA(MATCH($A395,TYP_TYPE,0)),S_TYPEKO,IF($U395=1,S_DONE,IF(AND($K395="",$R395=""),S_NOSCOPE,IF($K395="",S_NOTARGET,IF($N395&gt;0,S_LATE,IF($I395&lt;&gt;"",S_WIP,IF(-$N395&lt;=FEN_DOC,S_RISK,IF(-$N395&lt;=HORIZON,S_COMING,S_NOTYET))))))))))</f>
        <v/>
      </c>
      <c r="P395" s="24">
        <f>IF(OR($A395="",$E395=""),"",IF($V395=1,"",IF(ISNA(MATCH($A395,TYP_TYPE,0)),"Type not in the library",IF($B395="","Scope not set",IF(AND($B395="System",$C395=""),"System not set",IF(AND($B395="Equipment",$D395=""),"Equipment not set",IF($F395="","Responsible not set",IF($K395="","No target date",IF(AND($B395="Equipment",$C395&lt;&gt;"",IFERROR(INDEX(EQP_SYS,MATCH($D395,EQP_NOM,0)),"")&lt;&gt;$C395),"Equipment not in that system",IF(AND($U395=1,$M395=""),"Approved with no approval date",""))))))))))</f>
        <v/>
      </c>
      <c r="Q395" s="21" t="n"/>
      <c r="R395" s="23">
        <f>IF(OR($A395="",$B395=""),"",IF($B395="Equipment",IFERROR(INDEX(EQP_START,MATCH($D395,EQP_NOM,0)),""),IF($B395="System",IFERROR(INDEX(SYS_EARLIEST,MATCH($C395,SYS_ID,0)),""),IF($B395="All",CTR_EARLIEST,""))))</f>
        <v/>
      </c>
      <c r="S395" s="23">
        <f>IF(OR($A395="",$E395=""),"",IFERROR(IF(INDEX(TYP_ANCHOR,MATCH($A395,TYP_TYPE,0))="Commissioning Start",IF($R395="","",$R395-INDEX(TYP_LEAD,MATCH($A395,TYP_TYPE,0))),IF(INDEX(MS_PLAN,MATCH(INDEX(TYP_ANCHOR,MATCH($A395,TYP_TYPE,0)),MS_NOM,0))="","",INDEX(MS_PLAN,MATCH(INDEX(TYP_ANCHOR,MATCH($A395,TYP_TYPE,0)),MS_NOM,0))-INDEX(TYP_LEAD,MATCH($A395,TYP_TYPE,0)))),""))</f>
        <v/>
      </c>
      <c r="T395" s="26">
        <f>IF(OR($A395="",$E395=""),0,IF($V395=1,0,1))</f>
        <v/>
      </c>
      <c r="U395" s="26">
        <f>IF($T395=0,0,IF($M395&lt;&gt;"",1,IF(IFERROR(INDEX(WF_CLASS,MATCH($H395,WF_CODE,0)),"")="Done",1,0)))</f>
        <v/>
      </c>
      <c r="V395" s="26">
        <f>IF(OR($A395="",$E395=""),0,IF(IFERROR(INDEX(WF_CLASS,MATCH($H395,WF_CODE,0)),"")="Inactive",1,0))</f>
        <v/>
      </c>
      <c r="W395" s="24">
        <f>IF($A395="","",IFERROR(INDEX(TYP_PHASE,MATCH($A395,TYP_TYPE,0)),"-"))</f>
        <v/>
      </c>
      <c r="X395" s="24">
        <f>IF(AND($T395=1,$U395=0,N($N395)&gt;0),$N395+ROW()/1000000,"")</f>
        <v/>
      </c>
      <c r="Y395" s="24">
        <f>IF(AND($T395=1,$U395=0,OR($I395&lt;&gt;"",N($N395)&gt;0)),N($N395)+ROW()/1000000,"")</f>
        <v/>
      </c>
      <c r="Z395" s="24">
        <f>IF(AND($T395=1,$U395=0,$I395="",N($N395)&lt;=0,-N($N395)&lt;=HORIZON),N($N395)+ROW()/1000000,"")</f>
        <v/>
      </c>
    </row>
    <row r="396">
      <c r="A396" s="21" t="n"/>
      <c r="B396" s="21" t="n"/>
      <c r="C396" s="21" t="n"/>
      <c r="D396" s="21" t="n"/>
      <c r="E396" s="21" t="n"/>
      <c r="F396" s="21" t="n"/>
      <c r="G396" s="21" t="n"/>
      <c r="H396" s="21" t="n"/>
      <c r="I396" s="22" t="n"/>
      <c r="J396" s="22" t="n"/>
      <c r="K396" s="23">
        <f>IF($A396="","",IF($J396&lt;&gt;"",$J396,$S396))</f>
        <v/>
      </c>
      <c r="L396" s="24">
        <f>IF(OR($A396="",$E396=""),"",IF($J396&lt;&gt;"","Manual",IF($S396="","-","Auto")))</f>
        <v/>
      </c>
      <c r="M396" s="22" t="n"/>
      <c r="N396" s="25">
        <f>IF($T396=0,"",IF($U396=1,IF($M396="","",$M396-$K396),IF($K396="","",TODAY()-$K396)))</f>
        <v/>
      </c>
      <c r="O396" s="24">
        <f>IF(OR($A396="",$E396=""),"",IF($V396=1,S_INACT,IF(ISNA(MATCH($A396,TYP_TYPE,0)),S_TYPEKO,IF($U396=1,S_DONE,IF(AND($K396="",$R396=""),S_NOSCOPE,IF($K396="",S_NOTARGET,IF($N396&gt;0,S_LATE,IF($I396&lt;&gt;"",S_WIP,IF(-$N396&lt;=FEN_DOC,S_RISK,IF(-$N396&lt;=HORIZON,S_COMING,S_NOTYET))))))))))</f>
        <v/>
      </c>
      <c r="P396" s="24">
        <f>IF(OR($A396="",$E396=""),"",IF($V396=1,"",IF(ISNA(MATCH($A396,TYP_TYPE,0)),"Type not in the library",IF($B396="","Scope not set",IF(AND($B396="System",$C396=""),"System not set",IF(AND($B396="Equipment",$D396=""),"Equipment not set",IF($F396="","Responsible not set",IF($K396="","No target date",IF(AND($B396="Equipment",$C396&lt;&gt;"",IFERROR(INDEX(EQP_SYS,MATCH($D396,EQP_NOM,0)),"")&lt;&gt;$C396),"Equipment not in that system",IF(AND($U396=1,$M396=""),"Approved with no approval date",""))))))))))</f>
        <v/>
      </c>
      <c r="Q396" s="21" t="n"/>
      <c r="R396" s="23">
        <f>IF(OR($A396="",$B396=""),"",IF($B396="Equipment",IFERROR(INDEX(EQP_START,MATCH($D396,EQP_NOM,0)),""),IF($B396="System",IFERROR(INDEX(SYS_EARLIEST,MATCH($C396,SYS_ID,0)),""),IF($B396="All",CTR_EARLIEST,""))))</f>
        <v/>
      </c>
      <c r="S396" s="23">
        <f>IF(OR($A396="",$E396=""),"",IFERROR(IF(INDEX(TYP_ANCHOR,MATCH($A396,TYP_TYPE,0))="Commissioning Start",IF($R396="","",$R396-INDEX(TYP_LEAD,MATCH($A396,TYP_TYPE,0))),IF(INDEX(MS_PLAN,MATCH(INDEX(TYP_ANCHOR,MATCH($A396,TYP_TYPE,0)),MS_NOM,0))="","",INDEX(MS_PLAN,MATCH(INDEX(TYP_ANCHOR,MATCH($A396,TYP_TYPE,0)),MS_NOM,0))-INDEX(TYP_LEAD,MATCH($A396,TYP_TYPE,0)))),""))</f>
        <v/>
      </c>
      <c r="T396" s="26">
        <f>IF(OR($A396="",$E396=""),0,IF($V396=1,0,1))</f>
        <v/>
      </c>
      <c r="U396" s="26">
        <f>IF($T396=0,0,IF($M396&lt;&gt;"",1,IF(IFERROR(INDEX(WF_CLASS,MATCH($H396,WF_CODE,0)),"")="Done",1,0)))</f>
        <v/>
      </c>
      <c r="V396" s="26">
        <f>IF(OR($A396="",$E396=""),0,IF(IFERROR(INDEX(WF_CLASS,MATCH($H396,WF_CODE,0)),"")="Inactive",1,0))</f>
        <v/>
      </c>
      <c r="W396" s="24">
        <f>IF($A396="","",IFERROR(INDEX(TYP_PHASE,MATCH($A396,TYP_TYPE,0)),"-"))</f>
        <v/>
      </c>
      <c r="X396" s="24">
        <f>IF(AND($T396=1,$U396=0,N($N396)&gt;0),$N396+ROW()/1000000,"")</f>
        <v/>
      </c>
      <c r="Y396" s="24">
        <f>IF(AND($T396=1,$U396=0,OR($I396&lt;&gt;"",N($N396)&gt;0)),N($N396)+ROW()/1000000,"")</f>
        <v/>
      </c>
      <c r="Z396" s="24">
        <f>IF(AND($T396=1,$U396=0,$I396="",N($N396)&lt;=0,-N($N396)&lt;=HORIZON),N($N396)+ROW()/1000000,"")</f>
        <v/>
      </c>
    </row>
    <row r="397">
      <c r="A397" s="21" t="n"/>
      <c r="B397" s="21" t="n"/>
      <c r="C397" s="21" t="n"/>
      <c r="D397" s="21" t="n"/>
      <c r="E397" s="21" t="n"/>
      <c r="F397" s="21" t="n"/>
      <c r="G397" s="21" t="n"/>
      <c r="H397" s="21" t="n"/>
      <c r="I397" s="22" t="n"/>
      <c r="J397" s="22" t="n"/>
      <c r="K397" s="23">
        <f>IF($A397="","",IF($J397&lt;&gt;"",$J397,$S397))</f>
        <v/>
      </c>
      <c r="L397" s="24">
        <f>IF(OR($A397="",$E397=""),"",IF($J397&lt;&gt;"","Manual",IF($S397="","-","Auto")))</f>
        <v/>
      </c>
      <c r="M397" s="22" t="n"/>
      <c r="N397" s="25">
        <f>IF($T397=0,"",IF($U397=1,IF($M397="","",$M397-$K397),IF($K397="","",TODAY()-$K397)))</f>
        <v/>
      </c>
      <c r="O397" s="24">
        <f>IF(OR($A397="",$E397=""),"",IF($V397=1,S_INACT,IF(ISNA(MATCH($A397,TYP_TYPE,0)),S_TYPEKO,IF($U397=1,S_DONE,IF(AND($K397="",$R397=""),S_NOSCOPE,IF($K397="",S_NOTARGET,IF($N397&gt;0,S_LATE,IF($I397&lt;&gt;"",S_WIP,IF(-$N397&lt;=FEN_DOC,S_RISK,IF(-$N397&lt;=HORIZON,S_COMING,S_NOTYET))))))))))</f>
        <v/>
      </c>
      <c r="P397" s="24">
        <f>IF(OR($A397="",$E397=""),"",IF($V397=1,"",IF(ISNA(MATCH($A397,TYP_TYPE,0)),"Type not in the library",IF($B397="","Scope not set",IF(AND($B397="System",$C397=""),"System not set",IF(AND($B397="Equipment",$D397=""),"Equipment not set",IF($F397="","Responsible not set",IF($K397="","No target date",IF(AND($B397="Equipment",$C397&lt;&gt;"",IFERROR(INDEX(EQP_SYS,MATCH($D397,EQP_NOM,0)),"")&lt;&gt;$C397),"Equipment not in that system",IF(AND($U397=1,$M397=""),"Approved with no approval date",""))))))))))</f>
        <v/>
      </c>
      <c r="Q397" s="21" t="n"/>
      <c r="R397" s="23">
        <f>IF(OR($A397="",$B397=""),"",IF($B397="Equipment",IFERROR(INDEX(EQP_START,MATCH($D397,EQP_NOM,0)),""),IF($B397="System",IFERROR(INDEX(SYS_EARLIEST,MATCH($C397,SYS_ID,0)),""),IF($B397="All",CTR_EARLIEST,""))))</f>
        <v/>
      </c>
      <c r="S397" s="23">
        <f>IF(OR($A397="",$E397=""),"",IFERROR(IF(INDEX(TYP_ANCHOR,MATCH($A397,TYP_TYPE,0))="Commissioning Start",IF($R397="","",$R397-INDEX(TYP_LEAD,MATCH($A397,TYP_TYPE,0))),IF(INDEX(MS_PLAN,MATCH(INDEX(TYP_ANCHOR,MATCH($A397,TYP_TYPE,0)),MS_NOM,0))="","",INDEX(MS_PLAN,MATCH(INDEX(TYP_ANCHOR,MATCH($A397,TYP_TYPE,0)),MS_NOM,0))-INDEX(TYP_LEAD,MATCH($A397,TYP_TYPE,0)))),""))</f>
        <v/>
      </c>
      <c r="T397" s="26">
        <f>IF(OR($A397="",$E397=""),0,IF($V397=1,0,1))</f>
        <v/>
      </c>
      <c r="U397" s="26">
        <f>IF($T397=0,0,IF($M397&lt;&gt;"",1,IF(IFERROR(INDEX(WF_CLASS,MATCH($H397,WF_CODE,0)),"")="Done",1,0)))</f>
        <v/>
      </c>
      <c r="V397" s="26">
        <f>IF(OR($A397="",$E397=""),0,IF(IFERROR(INDEX(WF_CLASS,MATCH($H397,WF_CODE,0)),"")="Inactive",1,0))</f>
        <v/>
      </c>
      <c r="W397" s="24">
        <f>IF($A397="","",IFERROR(INDEX(TYP_PHASE,MATCH($A397,TYP_TYPE,0)),"-"))</f>
        <v/>
      </c>
      <c r="X397" s="24">
        <f>IF(AND($T397=1,$U397=0,N($N397)&gt;0),$N397+ROW()/1000000,"")</f>
        <v/>
      </c>
      <c r="Y397" s="24">
        <f>IF(AND($T397=1,$U397=0,OR($I397&lt;&gt;"",N($N397)&gt;0)),N($N397)+ROW()/1000000,"")</f>
        <v/>
      </c>
      <c r="Z397" s="24">
        <f>IF(AND($T397=1,$U397=0,$I397="",N($N397)&lt;=0,-N($N397)&lt;=HORIZON),N($N397)+ROW()/1000000,"")</f>
        <v/>
      </c>
    </row>
    <row r="398">
      <c r="A398" s="21" t="n"/>
      <c r="B398" s="21" t="n"/>
      <c r="C398" s="21" t="n"/>
      <c r="D398" s="21" t="n"/>
      <c r="E398" s="21" t="n"/>
      <c r="F398" s="21" t="n"/>
      <c r="G398" s="21" t="n"/>
      <c r="H398" s="21" t="n"/>
      <c r="I398" s="22" t="n"/>
      <c r="J398" s="22" t="n"/>
      <c r="K398" s="23">
        <f>IF($A398="","",IF($J398&lt;&gt;"",$J398,$S398))</f>
        <v/>
      </c>
      <c r="L398" s="24">
        <f>IF(OR($A398="",$E398=""),"",IF($J398&lt;&gt;"","Manual",IF($S398="","-","Auto")))</f>
        <v/>
      </c>
      <c r="M398" s="22" t="n"/>
      <c r="N398" s="25">
        <f>IF($T398=0,"",IF($U398=1,IF($M398="","",$M398-$K398),IF($K398="","",TODAY()-$K398)))</f>
        <v/>
      </c>
      <c r="O398" s="24">
        <f>IF(OR($A398="",$E398=""),"",IF($V398=1,S_INACT,IF(ISNA(MATCH($A398,TYP_TYPE,0)),S_TYPEKO,IF($U398=1,S_DONE,IF(AND($K398="",$R398=""),S_NOSCOPE,IF($K398="",S_NOTARGET,IF($N398&gt;0,S_LATE,IF($I398&lt;&gt;"",S_WIP,IF(-$N398&lt;=FEN_DOC,S_RISK,IF(-$N398&lt;=HORIZON,S_COMING,S_NOTYET))))))))))</f>
        <v/>
      </c>
      <c r="P398" s="24">
        <f>IF(OR($A398="",$E398=""),"",IF($V398=1,"",IF(ISNA(MATCH($A398,TYP_TYPE,0)),"Type not in the library",IF($B398="","Scope not set",IF(AND($B398="System",$C398=""),"System not set",IF(AND($B398="Equipment",$D398=""),"Equipment not set",IF($F398="","Responsible not set",IF($K398="","No target date",IF(AND($B398="Equipment",$C398&lt;&gt;"",IFERROR(INDEX(EQP_SYS,MATCH($D398,EQP_NOM,0)),"")&lt;&gt;$C398),"Equipment not in that system",IF(AND($U398=1,$M398=""),"Approved with no approval date",""))))))))))</f>
        <v/>
      </c>
      <c r="Q398" s="21" t="n"/>
      <c r="R398" s="23">
        <f>IF(OR($A398="",$B398=""),"",IF($B398="Equipment",IFERROR(INDEX(EQP_START,MATCH($D398,EQP_NOM,0)),""),IF($B398="System",IFERROR(INDEX(SYS_EARLIEST,MATCH($C398,SYS_ID,0)),""),IF($B398="All",CTR_EARLIEST,""))))</f>
        <v/>
      </c>
      <c r="S398" s="23">
        <f>IF(OR($A398="",$E398=""),"",IFERROR(IF(INDEX(TYP_ANCHOR,MATCH($A398,TYP_TYPE,0))="Commissioning Start",IF($R398="","",$R398-INDEX(TYP_LEAD,MATCH($A398,TYP_TYPE,0))),IF(INDEX(MS_PLAN,MATCH(INDEX(TYP_ANCHOR,MATCH($A398,TYP_TYPE,0)),MS_NOM,0))="","",INDEX(MS_PLAN,MATCH(INDEX(TYP_ANCHOR,MATCH($A398,TYP_TYPE,0)),MS_NOM,0))-INDEX(TYP_LEAD,MATCH($A398,TYP_TYPE,0)))),""))</f>
        <v/>
      </c>
      <c r="T398" s="26">
        <f>IF(OR($A398="",$E398=""),0,IF($V398=1,0,1))</f>
        <v/>
      </c>
      <c r="U398" s="26">
        <f>IF($T398=0,0,IF($M398&lt;&gt;"",1,IF(IFERROR(INDEX(WF_CLASS,MATCH($H398,WF_CODE,0)),"")="Done",1,0)))</f>
        <v/>
      </c>
      <c r="V398" s="26">
        <f>IF(OR($A398="",$E398=""),0,IF(IFERROR(INDEX(WF_CLASS,MATCH($H398,WF_CODE,0)),"")="Inactive",1,0))</f>
        <v/>
      </c>
      <c r="W398" s="24">
        <f>IF($A398="","",IFERROR(INDEX(TYP_PHASE,MATCH($A398,TYP_TYPE,0)),"-"))</f>
        <v/>
      </c>
      <c r="X398" s="24">
        <f>IF(AND($T398=1,$U398=0,N($N398)&gt;0),$N398+ROW()/1000000,"")</f>
        <v/>
      </c>
      <c r="Y398" s="24">
        <f>IF(AND($T398=1,$U398=0,OR($I398&lt;&gt;"",N($N398)&gt;0)),N($N398)+ROW()/1000000,"")</f>
        <v/>
      </c>
      <c r="Z398" s="24">
        <f>IF(AND($T398=1,$U398=0,$I398="",N($N398)&lt;=0,-N($N398)&lt;=HORIZON),N($N398)+ROW()/1000000,"")</f>
        <v/>
      </c>
    </row>
    <row r="399">
      <c r="A399" s="21" t="n"/>
      <c r="B399" s="21" t="n"/>
      <c r="C399" s="21" t="n"/>
      <c r="D399" s="21" t="n"/>
      <c r="E399" s="21" t="n"/>
      <c r="F399" s="21" t="n"/>
      <c r="G399" s="21" t="n"/>
      <c r="H399" s="21" t="n"/>
      <c r="I399" s="22" t="n"/>
      <c r="J399" s="22" t="n"/>
      <c r="K399" s="23">
        <f>IF($A399="","",IF($J399&lt;&gt;"",$J399,$S399))</f>
        <v/>
      </c>
      <c r="L399" s="24">
        <f>IF(OR($A399="",$E399=""),"",IF($J399&lt;&gt;"","Manual",IF($S399="","-","Auto")))</f>
        <v/>
      </c>
      <c r="M399" s="22" t="n"/>
      <c r="N399" s="25">
        <f>IF($T399=0,"",IF($U399=1,IF($M399="","",$M399-$K399),IF($K399="","",TODAY()-$K399)))</f>
        <v/>
      </c>
      <c r="O399" s="24">
        <f>IF(OR($A399="",$E399=""),"",IF($V399=1,S_INACT,IF(ISNA(MATCH($A399,TYP_TYPE,0)),S_TYPEKO,IF($U399=1,S_DONE,IF(AND($K399="",$R399=""),S_NOSCOPE,IF($K399="",S_NOTARGET,IF($N399&gt;0,S_LATE,IF($I399&lt;&gt;"",S_WIP,IF(-$N399&lt;=FEN_DOC,S_RISK,IF(-$N399&lt;=HORIZON,S_COMING,S_NOTYET))))))))))</f>
        <v/>
      </c>
      <c r="P399" s="24">
        <f>IF(OR($A399="",$E399=""),"",IF($V399=1,"",IF(ISNA(MATCH($A399,TYP_TYPE,0)),"Type not in the library",IF($B399="","Scope not set",IF(AND($B399="System",$C399=""),"System not set",IF(AND($B399="Equipment",$D399=""),"Equipment not set",IF($F399="","Responsible not set",IF($K399="","No target date",IF(AND($B399="Equipment",$C399&lt;&gt;"",IFERROR(INDEX(EQP_SYS,MATCH($D399,EQP_NOM,0)),"")&lt;&gt;$C399),"Equipment not in that system",IF(AND($U399=1,$M399=""),"Approved with no approval date",""))))))))))</f>
        <v/>
      </c>
      <c r="Q399" s="21" t="n"/>
      <c r="R399" s="23">
        <f>IF(OR($A399="",$B399=""),"",IF($B399="Equipment",IFERROR(INDEX(EQP_START,MATCH($D399,EQP_NOM,0)),""),IF($B399="System",IFERROR(INDEX(SYS_EARLIEST,MATCH($C399,SYS_ID,0)),""),IF($B399="All",CTR_EARLIEST,""))))</f>
        <v/>
      </c>
      <c r="S399" s="23">
        <f>IF(OR($A399="",$E399=""),"",IFERROR(IF(INDEX(TYP_ANCHOR,MATCH($A399,TYP_TYPE,0))="Commissioning Start",IF($R399="","",$R399-INDEX(TYP_LEAD,MATCH($A399,TYP_TYPE,0))),IF(INDEX(MS_PLAN,MATCH(INDEX(TYP_ANCHOR,MATCH($A399,TYP_TYPE,0)),MS_NOM,0))="","",INDEX(MS_PLAN,MATCH(INDEX(TYP_ANCHOR,MATCH($A399,TYP_TYPE,0)),MS_NOM,0))-INDEX(TYP_LEAD,MATCH($A399,TYP_TYPE,0)))),""))</f>
        <v/>
      </c>
      <c r="T399" s="26">
        <f>IF(OR($A399="",$E399=""),0,IF($V399=1,0,1))</f>
        <v/>
      </c>
      <c r="U399" s="26">
        <f>IF($T399=0,0,IF($M399&lt;&gt;"",1,IF(IFERROR(INDEX(WF_CLASS,MATCH($H399,WF_CODE,0)),"")="Done",1,0)))</f>
        <v/>
      </c>
      <c r="V399" s="26">
        <f>IF(OR($A399="",$E399=""),0,IF(IFERROR(INDEX(WF_CLASS,MATCH($H399,WF_CODE,0)),"")="Inactive",1,0))</f>
        <v/>
      </c>
      <c r="W399" s="24">
        <f>IF($A399="","",IFERROR(INDEX(TYP_PHASE,MATCH($A399,TYP_TYPE,0)),"-"))</f>
        <v/>
      </c>
      <c r="X399" s="24">
        <f>IF(AND($T399=1,$U399=0,N($N399)&gt;0),$N399+ROW()/1000000,"")</f>
        <v/>
      </c>
      <c r="Y399" s="24">
        <f>IF(AND($T399=1,$U399=0,OR($I399&lt;&gt;"",N($N399)&gt;0)),N($N399)+ROW()/1000000,"")</f>
        <v/>
      </c>
      <c r="Z399" s="24">
        <f>IF(AND($T399=1,$U399=0,$I399="",N($N399)&lt;=0,-N($N399)&lt;=HORIZON),N($N399)+ROW()/1000000,"")</f>
        <v/>
      </c>
    </row>
    <row r="400">
      <c r="A400" s="21" t="n"/>
      <c r="B400" s="21" t="n"/>
      <c r="C400" s="21" t="n"/>
      <c r="D400" s="21" t="n"/>
      <c r="E400" s="21" t="n"/>
      <c r="F400" s="21" t="n"/>
      <c r="G400" s="21" t="n"/>
      <c r="H400" s="21" t="n"/>
      <c r="I400" s="22" t="n"/>
      <c r="J400" s="22" t="n"/>
      <c r="K400" s="23">
        <f>IF($A400="","",IF($J400&lt;&gt;"",$J400,$S400))</f>
        <v/>
      </c>
      <c r="L400" s="24">
        <f>IF(OR($A400="",$E400=""),"",IF($J400&lt;&gt;"","Manual",IF($S400="","-","Auto")))</f>
        <v/>
      </c>
      <c r="M400" s="22" t="n"/>
      <c r="N400" s="25">
        <f>IF($T400=0,"",IF($U400=1,IF($M400="","",$M400-$K400),IF($K400="","",TODAY()-$K400)))</f>
        <v/>
      </c>
      <c r="O400" s="24">
        <f>IF(OR($A400="",$E400=""),"",IF($V400=1,S_INACT,IF(ISNA(MATCH($A400,TYP_TYPE,0)),S_TYPEKO,IF($U400=1,S_DONE,IF(AND($K400="",$R400=""),S_NOSCOPE,IF($K400="",S_NOTARGET,IF($N400&gt;0,S_LATE,IF($I400&lt;&gt;"",S_WIP,IF(-$N400&lt;=FEN_DOC,S_RISK,IF(-$N400&lt;=HORIZON,S_COMING,S_NOTYET))))))))))</f>
        <v/>
      </c>
      <c r="P400" s="24">
        <f>IF(OR($A400="",$E400=""),"",IF($V400=1,"",IF(ISNA(MATCH($A400,TYP_TYPE,0)),"Type not in the library",IF($B400="","Scope not set",IF(AND($B400="System",$C400=""),"System not set",IF(AND($B400="Equipment",$D400=""),"Equipment not set",IF($F400="","Responsible not set",IF($K400="","No target date",IF(AND($B400="Equipment",$C400&lt;&gt;"",IFERROR(INDEX(EQP_SYS,MATCH($D400,EQP_NOM,0)),"")&lt;&gt;$C400),"Equipment not in that system",IF(AND($U400=1,$M400=""),"Approved with no approval date",""))))))))))</f>
        <v/>
      </c>
      <c r="Q400" s="21" t="n"/>
      <c r="R400" s="23">
        <f>IF(OR($A400="",$B400=""),"",IF($B400="Equipment",IFERROR(INDEX(EQP_START,MATCH($D400,EQP_NOM,0)),""),IF($B400="System",IFERROR(INDEX(SYS_EARLIEST,MATCH($C400,SYS_ID,0)),""),IF($B400="All",CTR_EARLIEST,""))))</f>
        <v/>
      </c>
      <c r="S400" s="23">
        <f>IF(OR($A400="",$E400=""),"",IFERROR(IF(INDEX(TYP_ANCHOR,MATCH($A400,TYP_TYPE,0))="Commissioning Start",IF($R400="","",$R400-INDEX(TYP_LEAD,MATCH($A400,TYP_TYPE,0))),IF(INDEX(MS_PLAN,MATCH(INDEX(TYP_ANCHOR,MATCH($A400,TYP_TYPE,0)),MS_NOM,0))="","",INDEX(MS_PLAN,MATCH(INDEX(TYP_ANCHOR,MATCH($A400,TYP_TYPE,0)),MS_NOM,0))-INDEX(TYP_LEAD,MATCH($A400,TYP_TYPE,0)))),""))</f>
        <v/>
      </c>
      <c r="T400" s="26">
        <f>IF(OR($A400="",$E400=""),0,IF($V400=1,0,1))</f>
        <v/>
      </c>
      <c r="U400" s="26">
        <f>IF($T400=0,0,IF($M400&lt;&gt;"",1,IF(IFERROR(INDEX(WF_CLASS,MATCH($H400,WF_CODE,0)),"")="Done",1,0)))</f>
        <v/>
      </c>
      <c r="V400" s="26">
        <f>IF(OR($A400="",$E400=""),0,IF(IFERROR(INDEX(WF_CLASS,MATCH($H400,WF_CODE,0)),"")="Inactive",1,0))</f>
        <v/>
      </c>
      <c r="W400" s="24">
        <f>IF($A400="","",IFERROR(INDEX(TYP_PHASE,MATCH($A400,TYP_TYPE,0)),"-"))</f>
        <v/>
      </c>
      <c r="X400" s="24">
        <f>IF(AND($T400=1,$U400=0,N($N400)&gt;0),$N400+ROW()/1000000,"")</f>
        <v/>
      </c>
      <c r="Y400" s="24">
        <f>IF(AND($T400=1,$U400=0,OR($I400&lt;&gt;"",N($N400)&gt;0)),N($N400)+ROW()/1000000,"")</f>
        <v/>
      </c>
      <c r="Z400" s="24">
        <f>IF(AND($T400=1,$U400=0,$I400="",N($N400)&lt;=0,-N($N400)&lt;=HORIZON),N($N400)+ROW()/1000000,"")</f>
        <v/>
      </c>
    </row>
    <row r="401">
      <c r="A401" s="21" t="n"/>
      <c r="B401" s="21" t="n"/>
      <c r="C401" s="21" t="n"/>
      <c r="D401" s="21" t="n"/>
      <c r="E401" s="21" t="n"/>
      <c r="F401" s="21" t="n"/>
      <c r="G401" s="21" t="n"/>
      <c r="H401" s="21" t="n"/>
      <c r="I401" s="22" t="n"/>
      <c r="J401" s="22" t="n"/>
      <c r="K401" s="23">
        <f>IF($A401="","",IF($J401&lt;&gt;"",$J401,$S401))</f>
        <v/>
      </c>
      <c r="L401" s="24">
        <f>IF(OR($A401="",$E401=""),"",IF($J401&lt;&gt;"","Manual",IF($S401="","-","Auto")))</f>
        <v/>
      </c>
      <c r="M401" s="22" t="n"/>
      <c r="N401" s="25">
        <f>IF($T401=0,"",IF($U401=1,IF($M401="","",$M401-$K401),IF($K401="","",TODAY()-$K401)))</f>
        <v/>
      </c>
      <c r="O401" s="24">
        <f>IF(OR($A401="",$E401=""),"",IF($V401=1,S_INACT,IF(ISNA(MATCH($A401,TYP_TYPE,0)),S_TYPEKO,IF($U401=1,S_DONE,IF(AND($K401="",$R401=""),S_NOSCOPE,IF($K401="",S_NOTARGET,IF($N401&gt;0,S_LATE,IF($I401&lt;&gt;"",S_WIP,IF(-$N401&lt;=FEN_DOC,S_RISK,IF(-$N401&lt;=HORIZON,S_COMING,S_NOTYET))))))))))</f>
        <v/>
      </c>
      <c r="P401" s="24">
        <f>IF(OR($A401="",$E401=""),"",IF($V401=1,"",IF(ISNA(MATCH($A401,TYP_TYPE,0)),"Type not in the library",IF($B401="","Scope not set",IF(AND($B401="System",$C401=""),"System not set",IF(AND($B401="Equipment",$D401=""),"Equipment not set",IF($F401="","Responsible not set",IF($K401="","No target date",IF(AND($B401="Equipment",$C401&lt;&gt;"",IFERROR(INDEX(EQP_SYS,MATCH($D401,EQP_NOM,0)),"")&lt;&gt;$C401),"Equipment not in that system",IF(AND($U401=1,$M401=""),"Approved with no approval date",""))))))))))</f>
        <v/>
      </c>
      <c r="Q401" s="21" t="n"/>
      <c r="R401" s="23">
        <f>IF(OR($A401="",$B401=""),"",IF($B401="Equipment",IFERROR(INDEX(EQP_START,MATCH($D401,EQP_NOM,0)),""),IF($B401="System",IFERROR(INDEX(SYS_EARLIEST,MATCH($C401,SYS_ID,0)),""),IF($B401="All",CTR_EARLIEST,""))))</f>
        <v/>
      </c>
      <c r="S401" s="23">
        <f>IF(OR($A401="",$E401=""),"",IFERROR(IF(INDEX(TYP_ANCHOR,MATCH($A401,TYP_TYPE,0))="Commissioning Start",IF($R401="","",$R401-INDEX(TYP_LEAD,MATCH($A401,TYP_TYPE,0))),IF(INDEX(MS_PLAN,MATCH(INDEX(TYP_ANCHOR,MATCH($A401,TYP_TYPE,0)),MS_NOM,0))="","",INDEX(MS_PLAN,MATCH(INDEX(TYP_ANCHOR,MATCH($A401,TYP_TYPE,0)),MS_NOM,0))-INDEX(TYP_LEAD,MATCH($A401,TYP_TYPE,0)))),""))</f>
        <v/>
      </c>
      <c r="T401" s="26">
        <f>IF(OR($A401="",$E401=""),0,IF($V401=1,0,1))</f>
        <v/>
      </c>
      <c r="U401" s="26">
        <f>IF($T401=0,0,IF($M401&lt;&gt;"",1,IF(IFERROR(INDEX(WF_CLASS,MATCH($H401,WF_CODE,0)),"")="Done",1,0)))</f>
        <v/>
      </c>
      <c r="V401" s="26">
        <f>IF(OR($A401="",$E401=""),0,IF(IFERROR(INDEX(WF_CLASS,MATCH($H401,WF_CODE,0)),"")="Inactive",1,0))</f>
        <v/>
      </c>
      <c r="W401" s="24">
        <f>IF($A401="","",IFERROR(INDEX(TYP_PHASE,MATCH($A401,TYP_TYPE,0)),"-"))</f>
        <v/>
      </c>
      <c r="X401" s="24">
        <f>IF(AND($T401=1,$U401=0,N($N401)&gt;0),$N401+ROW()/1000000,"")</f>
        <v/>
      </c>
      <c r="Y401" s="24">
        <f>IF(AND($T401=1,$U401=0,OR($I401&lt;&gt;"",N($N401)&gt;0)),N($N401)+ROW()/1000000,"")</f>
        <v/>
      </c>
      <c r="Z401" s="24">
        <f>IF(AND($T401=1,$U401=0,$I401="",N($N401)&lt;=0,-N($N401)&lt;=HORIZON),N($N401)+ROW()/1000000,"")</f>
        <v/>
      </c>
    </row>
    <row r="402">
      <c r="A402" s="21" t="n"/>
      <c r="B402" s="21" t="n"/>
      <c r="C402" s="21" t="n"/>
      <c r="D402" s="21" t="n"/>
      <c r="E402" s="21" t="n"/>
      <c r="F402" s="21" t="n"/>
      <c r="G402" s="21" t="n"/>
      <c r="H402" s="21" t="n"/>
      <c r="I402" s="22" t="n"/>
      <c r="J402" s="22" t="n"/>
      <c r="K402" s="23">
        <f>IF($A402="","",IF($J402&lt;&gt;"",$J402,$S402))</f>
        <v/>
      </c>
      <c r="L402" s="24">
        <f>IF(OR($A402="",$E402=""),"",IF($J402&lt;&gt;"","Manual",IF($S402="","-","Auto")))</f>
        <v/>
      </c>
      <c r="M402" s="22" t="n"/>
      <c r="N402" s="25">
        <f>IF($T402=0,"",IF($U402=1,IF($M402="","",$M402-$K402),IF($K402="","",TODAY()-$K402)))</f>
        <v/>
      </c>
      <c r="O402" s="24">
        <f>IF(OR($A402="",$E402=""),"",IF($V402=1,S_INACT,IF(ISNA(MATCH($A402,TYP_TYPE,0)),S_TYPEKO,IF($U402=1,S_DONE,IF(AND($K402="",$R402=""),S_NOSCOPE,IF($K402="",S_NOTARGET,IF($N402&gt;0,S_LATE,IF($I402&lt;&gt;"",S_WIP,IF(-$N402&lt;=FEN_DOC,S_RISK,IF(-$N402&lt;=HORIZON,S_COMING,S_NOTYET))))))))))</f>
        <v/>
      </c>
      <c r="P402" s="24">
        <f>IF(OR($A402="",$E402=""),"",IF($V402=1,"",IF(ISNA(MATCH($A402,TYP_TYPE,0)),"Type not in the library",IF($B402="","Scope not set",IF(AND($B402="System",$C402=""),"System not set",IF(AND($B402="Equipment",$D402=""),"Equipment not set",IF($F402="","Responsible not set",IF($K402="","No target date",IF(AND($B402="Equipment",$C402&lt;&gt;"",IFERROR(INDEX(EQP_SYS,MATCH($D402,EQP_NOM,0)),"")&lt;&gt;$C402),"Equipment not in that system",IF(AND($U402=1,$M402=""),"Approved with no approval date",""))))))))))</f>
        <v/>
      </c>
      <c r="Q402" s="21" t="n"/>
      <c r="R402" s="23">
        <f>IF(OR($A402="",$B402=""),"",IF($B402="Equipment",IFERROR(INDEX(EQP_START,MATCH($D402,EQP_NOM,0)),""),IF($B402="System",IFERROR(INDEX(SYS_EARLIEST,MATCH($C402,SYS_ID,0)),""),IF($B402="All",CTR_EARLIEST,""))))</f>
        <v/>
      </c>
      <c r="S402" s="23">
        <f>IF(OR($A402="",$E402=""),"",IFERROR(IF(INDEX(TYP_ANCHOR,MATCH($A402,TYP_TYPE,0))="Commissioning Start",IF($R402="","",$R402-INDEX(TYP_LEAD,MATCH($A402,TYP_TYPE,0))),IF(INDEX(MS_PLAN,MATCH(INDEX(TYP_ANCHOR,MATCH($A402,TYP_TYPE,0)),MS_NOM,0))="","",INDEX(MS_PLAN,MATCH(INDEX(TYP_ANCHOR,MATCH($A402,TYP_TYPE,0)),MS_NOM,0))-INDEX(TYP_LEAD,MATCH($A402,TYP_TYPE,0)))),""))</f>
        <v/>
      </c>
      <c r="T402" s="26">
        <f>IF(OR($A402="",$E402=""),0,IF($V402=1,0,1))</f>
        <v/>
      </c>
      <c r="U402" s="26">
        <f>IF($T402=0,0,IF($M402&lt;&gt;"",1,IF(IFERROR(INDEX(WF_CLASS,MATCH($H402,WF_CODE,0)),"")="Done",1,0)))</f>
        <v/>
      </c>
      <c r="V402" s="26">
        <f>IF(OR($A402="",$E402=""),0,IF(IFERROR(INDEX(WF_CLASS,MATCH($H402,WF_CODE,0)),"")="Inactive",1,0))</f>
        <v/>
      </c>
      <c r="W402" s="24">
        <f>IF($A402="","",IFERROR(INDEX(TYP_PHASE,MATCH($A402,TYP_TYPE,0)),"-"))</f>
        <v/>
      </c>
      <c r="X402" s="24">
        <f>IF(AND($T402=1,$U402=0,N($N402)&gt;0),$N402+ROW()/1000000,"")</f>
        <v/>
      </c>
      <c r="Y402" s="24">
        <f>IF(AND($T402=1,$U402=0,OR($I402&lt;&gt;"",N($N402)&gt;0)),N($N402)+ROW()/1000000,"")</f>
        <v/>
      </c>
      <c r="Z402" s="24">
        <f>IF(AND($T402=1,$U402=0,$I402="",N($N402)&lt;=0,-N($N402)&lt;=HORIZON),N($N402)+ROW()/1000000,"")</f>
        <v/>
      </c>
    </row>
    <row r="403">
      <c r="A403" s="21" t="n"/>
      <c r="B403" s="21" t="n"/>
      <c r="C403" s="21" t="n"/>
      <c r="D403" s="21" t="n"/>
      <c r="E403" s="21" t="n"/>
      <c r="F403" s="21" t="n"/>
      <c r="G403" s="21" t="n"/>
      <c r="H403" s="21" t="n"/>
      <c r="I403" s="22" t="n"/>
      <c r="J403" s="22" t="n"/>
      <c r="K403" s="23">
        <f>IF($A403="","",IF($J403&lt;&gt;"",$J403,$S403))</f>
        <v/>
      </c>
      <c r="L403" s="24">
        <f>IF(OR($A403="",$E403=""),"",IF($J403&lt;&gt;"","Manual",IF($S403="","-","Auto")))</f>
        <v/>
      </c>
      <c r="M403" s="22" t="n"/>
      <c r="N403" s="25">
        <f>IF($T403=0,"",IF($U403=1,IF($M403="","",$M403-$K403),IF($K403="","",TODAY()-$K403)))</f>
        <v/>
      </c>
      <c r="O403" s="24">
        <f>IF(OR($A403="",$E403=""),"",IF($V403=1,S_INACT,IF(ISNA(MATCH($A403,TYP_TYPE,0)),S_TYPEKO,IF($U403=1,S_DONE,IF(AND($K403="",$R403=""),S_NOSCOPE,IF($K403="",S_NOTARGET,IF($N403&gt;0,S_LATE,IF($I403&lt;&gt;"",S_WIP,IF(-$N403&lt;=FEN_DOC,S_RISK,IF(-$N403&lt;=HORIZON,S_COMING,S_NOTYET))))))))))</f>
        <v/>
      </c>
      <c r="P403" s="24">
        <f>IF(OR($A403="",$E403=""),"",IF($V403=1,"",IF(ISNA(MATCH($A403,TYP_TYPE,0)),"Type not in the library",IF($B403="","Scope not set",IF(AND($B403="System",$C403=""),"System not set",IF(AND($B403="Equipment",$D403=""),"Equipment not set",IF($F403="","Responsible not set",IF($K403="","No target date",IF(AND($B403="Equipment",$C403&lt;&gt;"",IFERROR(INDEX(EQP_SYS,MATCH($D403,EQP_NOM,0)),"")&lt;&gt;$C403),"Equipment not in that system",IF(AND($U403=1,$M403=""),"Approved with no approval date",""))))))))))</f>
        <v/>
      </c>
      <c r="Q403" s="21" t="n"/>
      <c r="R403" s="23">
        <f>IF(OR($A403="",$B403=""),"",IF($B403="Equipment",IFERROR(INDEX(EQP_START,MATCH($D403,EQP_NOM,0)),""),IF($B403="System",IFERROR(INDEX(SYS_EARLIEST,MATCH($C403,SYS_ID,0)),""),IF($B403="All",CTR_EARLIEST,""))))</f>
        <v/>
      </c>
      <c r="S403" s="23">
        <f>IF(OR($A403="",$E403=""),"",IFERROR(IF(INDEX(TYP_ANCHOR,MATCH($A403,TYP_TYPE,0))="Commissioning Start",IF($R403="","",$R403-INDEX(TYP_LEAD,MATCH($A403,TYP_TYPE,0))),IF(INDEX(MS_PLAN,MATCH(INDEX(TYP_ANCHOR,MATCH($A403,TYP_TYPE,0)),MS_NOM,0))="","",INDEX(MS_PLAN,MATCH(INDEX(TYP_ANCHOR,MATCH($A403,TYP_TYPE,0)),MS_NOM,0))-INDEX(TYP_LEAD,MATCH($A403,TYP_TYPE,0)))),""))</f>
        <v/>
      </c>
      <c r="T403" s="26">
        <f>IF(OR($A403="",$E403=""),0,IF($V403=1,0,1))</f>
        <v/>
      </c>
      <c r="U403" s="26">
        <f>IF($T403=0,0,IF($M403&lt;&gt;"",1,IF(IFERROR(INDEX(WF_CLASS,MATCH($H403,WF_CODE,0)),"")="Done",1,0)))</f>
        <v/>
      </c>
      <c r="V403" s="26">
        <f>IF(OR($A403="",$E403=""),0,IF(IFERROR(INDEX(WF_CLASS,MATCH($H403,WF_CODE,0)),"")="Inactive",1,0))</f>
        <v/>
      </c>
      <c r="W403" s="24">
        <f>IF($A403="","",IFERROR(INDEX(TYP_PHASE,MATCH($A403,TYP_TYPE,0)),"-"))</f>
        <v/>
      </c>
      <c r="X403" s="24">
        <f>IF(AND($T403=1,$U403=0,N($N403)&gt;0),$N403+ROW()/1000000,"")</f>
        <v/>
      </c>
      <c r="Y403" s="24">
        <f>IF(AND($T403=1,$U403=0,OR($I403&lt;&gt;"",N($N403)&gt;0)),N($N403)+ROW()/1000000,"")</f>
        <v/>
      </c>
      <c r="Z403" s="24">
        <f>IF(AND($T403=1,$U403=0,$I403="",N($N403)&lt;=0,-N($N403)&lt;=HORIZON),N($N403)+ROW()/1000000,"")</f>
        <v/>
      </c>
    </row>
    <row r="404">
      <c r="A404" s="21" t="n"/>
      <c r="B404" s="21" t="n"/>
      <c r="C404" s="21" t="n"/>
      <c r="D404" s="21" t="n"/>
      <c r="E404" s="21" t="n"/>
      <c r="F404" s="21" t="n"/>
      <c r="G404" s="21" t="n"/>
      <c r="H404" s="21" t="n"/>
      <c r="I404" s="22" t="n"/>
      <c r="J404" s="22" t="n"/>
      <c r="K404" s="23">
        <f>IF($A404="","",IF($J404&lt;&gt;"",$J404,$S404))</f>
        <v/>
      </c>
      <c r="L404" s="24">
        <f>IF(OR($A404="",$E404=""),"",IF($J404&lt;&gt;"","Manual",IF($S404="","-","Auto")))</f>
        <v/>
      </c>
      <c r="M404" s="22" t="n"/>
      <c r="N404" s="25">
        <f>IF($T404=0,"",IF($U404=1,IF($M404="","",$M404-$K404),IF($K404="","",TODAY()-$K404)))</f>
        <v/>
      </c>
      <c r="O404" s="24">
        <f>IF(OR($A404="",$E404=""),"",IF($V404=1,S_INACT,IF(ISNA(MATCH($A404,TYP_TYPE,0)),S_TYPEKO,IF($U404=1,S_DONE,IF(AND($K404="",$R404=""),S_NOSCOPE,IF($K404="",S_NOTARGET,IF($N404&gt;0,S_LATE,IF($I404&lt;&gt;"",S_WIP,IF(-$N404&lt;=FEN_DOC,S_RISK,IF(-$N404&lt;=HORIZON,S_COMING,S_NOTYET))))))))))</f>
        <v/>
      </c>
      <c r="P404" s="24">
        <f>IF(OR($A404="",$E404=""),"",IF($V404=1,"",IF(ISNA(MATCH($A404,TYP_TYPE,0)),"Type not in the library",IF($B404="","Scope not set",IF(AND($B404="System",$C404=""),"System not set",IF(AND($B404="Equipment",$D404=""),"Equipment not set",IF($F404="","Responsible not set",IF($K404="","No target date",IF(AND($B404="Equipment",$C404&lt;&gt;"",IFERROR(INDEX(EQP_SYS,MATCH($D404,EQP_NOM,0)),"")&lt;&gt;$C404),"Equipment not in that system",IF(AND($U404=1,$M404=""),"Approved with no approval date",""))))))))))</f>
        <v/>
      </c>
      <c r="Q404" s="21" t="n"/>
      <c r="R404" s="23">
        <f>IF(OR($A404="",$B404=""),"",IF($B404="Equipment",IFERROR(INDEX(EQP_START,MATCH($D404,EQP_NOM,0)),""),IF($B404="System",IFERROR(INDEX(SYS_EARLIEST,MATCH($C404,SYS_ID,0)),""),IF($B404="All",CTR_EARLIEST,""))))</f>
        <v/>
      </c>
      <c r="S404" s="23">
        <f>IF(OR($A404="",$E404=""),"",IFERROR(IF(INDEX(TYP_ANCHOR,MATCH($A404,TYP_TYPE,0))="Commissioning Start",IF($R404="","",$R404-INDEX(TYP_LEAD,MATCH($A404,TYP_TYPE,0))),IF(INDEX(MS_PLAN,MATCH(INDEX(TYP_ANCHOR,MATCH($A404,TYP_TYPE,0)),MS_NOM,0))="","",INDEX(MS_PLAN,MATCH(INDEX(TYP_ANCHOR,MATCH($A404,TYP_TYPE,0)),MS_NOM,0))-INDEX(TYP_LEAD,MATCH($A404,TYP_TYPE,0)))),""))</f>
        <v/>
      </c>
      <c r="T404" s="26">
        <f>IF(OR($A404="",$E404=""),0,IF($V404=1,0,1))</f>
        <v/>
      </c>
      <c r="U404" s="26">
        <f>IF($T404=0,0,IF($M404&lt;&gt;"",1,IF(IFERROR(INDEX(WF_CLASS,MATCH($H404,WF_CODE,0)),"")="Done",1,0)))</f>
        <v/>
      </c>
      <c r="V404" s="26">
        <f>IF(OR($A404="",$E404=""),0,IF(IFERROR(INDEX(WF_CLASS,MATCH($H404,WF_CODE,0)),"")="Inactive",1,0))</f>
        <v/>
      </c>
      <c r="W404" s="24">
        <f>IF($A404="","",IFERROR(INDEX(TYP_PHASE,MATCH($A404,TYP_TYPE,0)),"-"))</f>
        <v/>
      </c>
      <c r="X404" s="24">
        <f>IF(AND($T404=1,$U404=0,N($N404)&gt;0),$N404+ROW()/1000000,"")</f>
        <v/>
      </c>
      <c r="Y404" s="24">
        <f>IF(AND($T404=1,$U404=0,OR($I404&lt;&gt;"",N($N404)&gt;0)),N($N404)+ROW()/1000000,"")</f>
        <v/>
      </c>
      <c r="Z404" s="24">
        <f>IF(AND($T404=1,$U404=0,$I404="",N($N404)&lt;=0,-N($N404)&lt;=HORIZON),N($N404)+ROW()/1000000,"")</f>
        <v/>
      </c>
    </row>
    <row r="405">
      <c r="A405" s="21" t="n"/>
      <c r="B405" s="21" t="n"/>
      <c r="C405" s="21" t="n"/>
      <c r="D405" s="21" t="n"/>
      <c r="E405" s="21" t="n"/>
      <c r="F405" s="21" t="n"/>
      <c r="G405" s="21" t="n"/>
      <c r="H405" s="21" t="n"/>
      <c r="I405" s="22" t="n"/>
      <c r="J405" s="22" t="n"/>
      <c r="K405" s="23">
        <f>IF($A405="","",IF($J405&lt;&gt;"",$J405,$S405))</f>
        <v/>
      </c>
      <c r="L405" s="24">
        <f>IF(OR($A405="",$E405=""),"",IF($J405&lt;&gt;"","Manual",IF($S405="","-","Auto")))</f>
        <v/>
      </c>
      <c r="M405" s="22" t="n"/>
      <c r="N405" s="25">
        <f>IF($T405=0,"",IF($U405=1,IF($M405="","",$M405-$K405),IF($K405="","",TODAY()-$K405)))</f>
        <v/>
      </c>
      <c r="O405" s="24">
        <f>IF(OR($A405="",$E405=""),"",IF($V405=1,S_INACT,IF(ISNA(MATCH($A405,TYP_TYPE,0)),S_TYPEKO,IF($U405=1,S_DONE,IF(AND($K405="",$R405=""),S_NOSCOPE,IF($K405="",S_NOTARGET,IF($N405&gt;0,S_LATE,IF($I405&lt;&gt;"",S_WIP,IF(-$N405&lt;=FEN_DOC,S_RISK,IF(-$N405&lt;=HORIZON,S_COMING,S_NOTYET))))))))))</f>
        <v/>
      </c>
      <c r="P405" s="24">
        <f>IF(OR($A405="",$E405=""),"",IF($V405=1,"",IF(ISNA(MATCH($A405,TYP_TYPE,0)),"Type not in the library",IF($B405="","Scope not set",IF(AND($B405="System",$C405=""),"System not set",IF(AND($B405="Equipment",$D405=""),"Equipment not set",IF($F405="","Responsible not set",IF($K405="","No target date",IF(AND($B405="Equipment",$C405&lt;&gt;"",IFERROR(INDEX(EQP_SYS,MATCH($D405,EQP_NOM,0)),"")&lt;&gt;$C405),"Equipment not in that system",IF(AND($U405=1,$M405=""),"Approved with no approval date",""))))))))))</f>
        <v/>
      </c>
      <c r="Q405" s="21" t="n"/>
      <c r="R405" s="23">
        <f>IF(OR($A405="",$B405=""),"",IF($B405="Equipment",IFERROR(INDEX(EQP_START,MATCH($D405,EQP_NOM,0)),""),IF($B405="System",IFERROR(INDEX(SYS_EARLIEST,MATCH($C405,SYS_ID,0)),""),IF($B405="All",CTR_EARLIEST,""))))</f>
        <v/>
      </c>
      <c r="S405" s="23">
        <f>IF(OR($A405="",$E405=""),"",IFERROR(IF(INDEX(TYP_ANCHOR,MATCH($A405,TYP_TYPE,0))="Commissioning Start",IF($R405="","",$R405-INDEX(TYP_LEAD,MATCH($A405,TYP_TYPE,0))),IF(INDEX(MS_PLAN,MATCH(INDEX(TYP_ANCHOR,MATCH($A405,TYP_TYPE,0)),MS_NOM,0))="","",INDEX(MS_PLAN,MATCH(INDEX(TYP_ANCHOR,MATCH($A405,TYP_TYPE,0)),MS_NOM,0))-INDEX(TYP_LEAD,MATCH($A405,TYP_TYPE,0)))),""))</f>
        <v/>
      </c>
      <c r="T405" s="26">
        <f>IF(OR($A405="",$E405=""),0,IF($V405=1,0,1))</f>
        <v/>
      </c>
      <c r="U405" s="26">
        <f>IF($T405=0,0,IF($M405&lt;&gt;"",1,IF(IFERROR(INDEX(WF_CLASS,MATCH($H405,WF_CODE,0)),"")="Done",1,0)))</f>
        <v/>
      </c>
      <c r="V405" s="26">
        <f>IF(OR($A405="",$E405=""),0,IF(IFERROR(INDEX(WF_CLASS,MATCH($H405,WF_CODE,0)),"")="Inactive",1,0))</f>
        <v/>
      </c>
      <c r="W405" s="24">
        <f>IF($A405="","",IFERROR(INDEX(TYP_PHASE,MATCH($A405,TYP_TYPE,0)),"-"))</f>
        <v/>
      </c>
      <c r="X405" s="24">
        <f>IF(AND($T405=1,$U405=0,N($N405)&gt;0),$N405+ROW()/1000000,"")</f>
        <v/>
      </c>
      <c r="Y405" s="24">
        <f>IF(AND($T405=1,$U405=0,OR($I405&lt;&gt;"",N($N405)&gt;0)),N($N405)+ROW()/1000000,"")</f>
        <v/>
      </c>
      <c r="Z405" s="24">
        <f>IF(AND($T405=1,$U405=0,$I405="",N($N405)&lt;=0,-N($N405)&lt;=HORIZON),N($N405)+ROW()/1000000,"")</f>
        <v/>
      </c>
    </row>
    <row r="406">
      <c r="A406" s="21" t="n"/>
      <c r="B406" s="21" t="n"/>
      <c r="C406" s="21" t="n"/>
      <c r="D406" s="21" t="n"/>
      <c r="E406" s="21" t="n"/>
      <c r="F406" s="21" t="n"/>
      <c r="G406" s="21" t="n"/>
      <c r="H406" s="21" t="n"/>
      <c r="I406" s="22" t="n"/>
      <c r="J406" s="22" t="n"/>
      <c r="K406" s="23">
        <f>IF($A406="","",IF($J406&lt;&gt;"",$J406,$S406))</f>
        <v/>
      </c>
      <c r="L406" s="24">
        <f>IF(OR($A406="",$E406=""),"",IF($J406&lt;&gt;"","Manual",IF($S406="","-","Auto")))</f>
        <v/>
      </c>
      <c r="M406" s="22" t="n"/>
      <c r="N406" s="25">
        <f>IF($T406=0,"",IF($U406=1,IF($M406="","",$M406-$K406),IF($K406="","",TODAY()-$K406)))</f>
        <v/>
      </c>
      <c r="O406" s="24">
        <f>IF(OR($A406="",$E406=""),"",IF($V406=1,S_INACT,IF(ISNA(MATCH($A406,TYP_TYPE,0)),S_TYPEKO,IF($U406=1,S_DONE,IF(AND($K406="",$R406=""),S_NOSCOPE,IF($K406="",S_NOTARGET,IF($N406&gt;0,S_LATE,IF($I406&lt;&gt;"",S_WIP,IF(-$N406&lt;=FEN_DOC,S_RISK,IF(-$N406&lt;=HORIZON,S_COMING,S_NOTYET))))))))))</f>
        <v/>
      </c>
      <c r="P406" s="24">
        <f>IF(OR($A406="",$E406=""),"",IF($V406=1,"",IF(ISNA(MATCH($A406,TYP_TYPE,0)),"Type not in the library",IF($B406="","Scope not set",IF(AND($B406="System",$C406=""),"System not set",IF(AND($B406="Equipment",$D406=""),"Equipment not set",IF($F406="","Responsible not set",IF($K406="","No target date",IF(AND($B406="Equipment",$C406&lt;&gt;"",IFERROR(INDEX(EQP_SYS,MATCH($D406,EQP_NOM,0)),"")&lt;&gt;$C406),"Equipment not in that system",IF(AND($U406=1,$M406=""),"Approved with no approval date",""))))))))))</f>
        <v/>
      </c>
      <c r="Q406" s="21" t="n"/>
      <c r="R406" s="23">
        <f>IF(OR($A406="",$B406=""),"",IF($B406="Equipment",IFERROR(INDEX(EQP_START,MATCH($D406,EQP_NOM,0)),""),IF($B406="System",IFERROR(INDEX(SYS_EARLIEST,MATCH($C406,SYS_ID,0)),""),IF($B406="All",CTR_EARLIEST,""))))</f>
        <v/>
      </c>
      <c r="S406" s="23">
        <f>IF(OR($A406="",$E406=""),"",IFERROR(IF(INDEX(TYP_ANCHOR,MATCH($A406,TYP_TYPE,0))="Commissioning Start",IF($R406="","",$R406-INDEX(TYP_LEAD,MATCH($A406,TYP_TYPE,0))),IF(INDEX(MS_PLAN,MATCH(INDEX(TYP_ANCHOR,MATCH($A406,TYP_TYPE,0)),MS_NOM,0))="","",INDEX(MS_PLAN,MATCH(INDEX(TYP_ANCHOR,MATCH($A406,TYP_TYPE,0)),MS_NOM,0))-INDEX(TYP_LEAD,MATCH($A406,TYP_TYPE,0)))),""))</f>
        <v/>
      </c>
      <c r="T406" s="26">
        <f>IF(OR($A406="",$E406=""),0,IF($V406=1,0,1))</f>
        <v/>
      </c>
      <c r="U406" s="26">
        <f>IF($T406=0,0,IF($M406&lt;&gt;"",1,IF(IFERROR(INDEX(WF_CLASS,MATCH($H406,WF_CODE,0)),"")="Done",1,0)))</f>
        <v/>
      </c>
      <c r="V406" s="26">
        <f>IF(OR($A406="",$E406=""),0,IF(IFERROR(INDEX(WF_CLASS,MATCH($H406,WF_CODE,0)),"")="Inactive",1,0))</f>
        <v/>
      </c>
      <c r="W406" s="24">
        <f>IF($A406="","",IFERROR(INDEX(TYP_PHASE,MATCH($A406,TYP_TYPE,0)),"-"))</f>
        <v/>
      </c>
      <c r="X406" s="24">
        <f>IF(AND($T406=1,$U406=0,N($N406)&gt;0),$N406+ROW()/1000000,"")</f>
        <v/>
      </c>
      <c r="Y406" s="24">
        <f>IF(AND($T406=1,$U406=0,OR($I406&lt;&gt;"",N($N406)&gt;0)),N($N406)+ROW()/1000000,"")</f>
        <v/>
      </c>
      <c r="Z406" s="24">
        <f>IF(AND($T406=1,$U406=0,$I406="",N($N406)&lt;=0,-N($N406)&lt;=HORIZON),N($N406)+ROW()/1000000,"")</f>
        <v/>
      </c>
    </row>
    <row r="407">
      <c r="A407" s="21" t="n"/>
      <c r="B407" s="21" t="n"/>
      <c r="C407" s="21" t="n"/>
      <c r="D407" s="21" t="n"/>
      <c r="E407" s="21" t="n"/>
      <c r="F407" s="21" t="n"/>
      <c r="G407" s="21" t="n"/>
      <c r="H407" s="21" t="n"/>
      <c r="I407" s="22" t="n"/>
      <c r="J407" s="22" t="n"/>
      <c r="K407" s="23">
        <f>IF($A407="","",IF($J407&lt;&gt;"",$J407,$S407))</f>
        <v/>
      </c>
      <c r="L407" s="24">
        <f>IF(OR($A407="",$E407=""),"",IF($J407&lt;&gt;"","Manual",IF($S407="","-","Auto")))</f>
        <v/>
      </c>
      <c r="M407" s="22" t="n"/>
      <c r="N407" s="25">
        <f>IF($T407=0,"",IF($U407=1,IF($M407="","",$M407-$K407),IF($K407="","",TODAY()-$K407)))</f>
        <v/>
      </c>
      <c r="O407" s="24">
        <f>IF(OR($A407="",$E407=""),"",IF($V407=1,S_INACT,IF(ISNA(MATCH($A407,TYP_TYPE,0)),S_TYPEKO,IF($U407=1,S_DONE,IF(AND($K407="",$R407=""),S_NOSCOPE,IF($K407="",S_NOTARGET,IF($N407&gt;0,S_LATE,IF($I407&lt;&gt;"",S_WIP,IF(-$N407&lt;=FEN_DOC,S_RISK,IF(-$N407&lt;=HORIZON,S_COMING,S_NOTYET))))))))))</f>
        <v/>
      </c>
      <c r="P407" s="24">
        <f>IF(OR($A407="",$E407=""),"",IF($V407=1,"",IF(ISNA(MATCH($A407,TYP_TYPE,0)),"Type not in the library",IF($B407="","Scope not set",IF(AND($B407="System",$C407=""),"System not set",IF(AND($B407="Equipment",$D407=""),"Equipment not set",IF($F407="","Responsible not set",IF($K407="","No target date",IF(AND($B407="Equipment",$C407&lt;&gt;"",IFERROR(INDEX(EQP_SYS,MATCH($D407,EQP_NOM,0)),"")&lt;&gt;$C407),"Equipment not in that system",IF(AND($U407=1,$M407=""),"Approved with no approval date",""))))))))))</f>
        <v/>
      </c>
      <c r="Q407" s="21" t="n"/>
      <c r="R407" s="23">
        <f>IF(OR($A407="",$B407=""),"",IF($B407="Equipment",IFERROR(INDEX(EQP_START,MATCH($D407,EQP_NOM,0)),""),IF($B407="System",IFERROR(INDEX(SYS_EARLIEST,MATCH($C407,SYS_ID,0)),""),IF($B407="All",CTR_EARLIEST,""))))</f>
        <v/>
      </c>
      <c r="S407" s="23">
        <f>IF(OR($A407="",$E407=""),"",IFERROR(IF(INDEX(TYP_ANCHOR,MATCH($A407,TYP_TYPE,0))="Commissioning Start",IF($R407="","",$R407-INDEX(TYP_LEAD,MATCH($A407,TYP_TYPE,0))),IF(INDEX(MS_PLAN,MATCH(INDEX(TYP_ANCHOR,MATCH($A407,TYP_TYPE,0)),MS_NOM,0))="","",INDEX(MS_PLAN,MATCH(INDEX(TYP_ANCHOR,MATCH($A407,TYP_TYPE,0)),MS_NOM,0))-INDEX(TYP_LEAD,MATCH($A407,TYP_TYPE,0)))),""))</f>
        <v/>
      </c>
      <c r="T407" s="26">
        <f>IF(OR($A407="",$E407=""),0,IF($V407=1,0,1))</f>
        <v/>
      </c>
      <c r="U407" s="26">
        <f>IF($T407=0,0,IF($M407&lt;&gt;"",1,IF(IFERROR(INDEX(WF_CLASS,MATCH($H407,WF_CODE,0)),"")="Done",1,0)))</f>
        <v/>
      </c>
      <c r="V407" s="26">
        <f>IF(OR($A407="",$E407=""),0,IF(IFERROR(INDEX(WF_CLASS,MATCH($H407,WF_CODE,0)),"")="Inactive",1,0))</f>
        <v/>
      </c>
      <c r="W407" s="24">
        <f>IF($A407="","",IFERROR(INDEX(TYP_PHASE,MATCH($A407,TYP_TYPE,0)),"-"))</f>
        <v/>
      </c>
      <c r="X407" s="24">
        <f>IF(AND($T407=1,$U407=0,N($N407)&gt;0),$N407+ROW()/1000000,"")</f>
        <v/>
      </c>
      <c r="Y407" s="24">
        <f>IF(AND($T407=1,$U407=0,OR($I407&lt;&gt;"",N($N407)&gt;0)),N($N407)+ROW()/1000000,"")</f>
        <v/>
      </c>
      <c r="Z407" s="24">
        <f>IF(AND($T407=1,$U407=0,$I407="",N($N407)&lt;=0,-N($N407)&lt;=HORIZON),N($N407)+ROW()/1000000,"")</f>
        <v/>
      </c>
    </row>
    <row r="408">
      <c r="A408" s="21" t="n"/>
      <c r="B408" s="21" t="n"/>
      <c r="C408" s="21" t="n"/>
      <c r="D408" s="21" t="n"/>
      <c r="E408" s="21" t="n"/>
      <c r="F408" s="21" t="n"/>
      <c r="G408" s="21" t="n"/>
      <c r="H408" s="21" t="n"/>
      <c r="I408" s="22" t="n"/>
      <c r="J408" s="22" t="n"/>
      <c r="K408" s="23">
        <f>IF($A408="","",IF($J408&lt;&gt;"",$J408,$S408))</f>
        <v/>
      </c>
      <c r="L408" s="24">
        <f>IF(OR($A408="",$E408=""),"",IF($J408&lt;&gt;"","Manual",IF($S408="","-","Auto")))</f>
        <v/>
      </c>
      <c r="M408" s="22" t="n"/>
      <c r="N408" s="25">
        <f>IF($T408=0,"",IF($U408=1,IF($M408="","",$M408-$K408),IF($K408="","",TODAY()-$K408)))</f>
        <v/>
      </c>
      <c r="O408" s="24">
        <f>IF(OR($A408="",$E408=""),"",IF($V408=1,S_INACT,IF(ISNA(MATCH($A408,TYP_TYPE,0)),S_TYPEKO,IF($U408=1,S_DONE,IF(AND($K408="",$R408=""),S_NOSCOPE,IF($K408="",S_NOTARGET,IF($N408&gt;0,S_LATE,IF($I408&lt;&gt;"",S_WIP,IF(-$N408&lt;=FEN_DOC,S_RISK,IF(-$N408&lt;=HORIZON,S_COMING,S_NOTYET))))))))))</f>
        <v/>
      </c>
      <c r="P408" s="24">
        <f>IF(OR($A408="",$E408=""),"",IF($V408=1,"",IF(ISNA(MATCH($A408,TYP_TYPE,0)),"Type not in the library",IF($B408="","Scope not set",IF(AND($B408="System",$C408=""),"System not set",IF(AND($B408="Equipment",$D408=""),"Equipment not set",IF($F408="","Responsible not set",IF($K408="","No target date",IF(AND($B408="Equipment",$C408&lt;&gt;"",IFERROR(INDEX(EQP_SYS,MATCH($D408,EQP_NOM,0)),"")&lt;&gt;$C408),"Equipment not in that system",IF(AND($U408=1,$M408=""),"Approved with no approval date",""))))))))))</f>
        <v/>
      </c>
      <c r="Q408" s="21" t="n"/>
      <c r="R408" s="23">
        <f>IF(OR($A408="",$B408=""),"",IF($B408="Equipment",IFERROR(INDEX(EQP_START,MATCH($D408,EQP_NOM,0)),""),IF($B408="System",IFERROR(INDEX(SYS_EARLIEST,MATCH($C408,SYS_ID,0)),""),IF($B408="All",CTR_EARLIEST,""))))</f>
        <v/>
      </c>
      <c r="S408" s="23">
        <f>IF(OR($A408="",$E408=""),"",IFERROR(IF(INDEX(TYP_ANCHOR,MATCH($A408,TYP_TYPE,0))="Commissioning Start",IF($R408="","",$R408-INDEX(TYP_LEAD,MATCH($A408,TYP_TYPE,0))),IF(INDEX(MS_PLAN,MATCH(INDEX(TYP_ANCHOR,MATCH($A408,TYP_TYPE,0)),MS_NOM,0))="","",INDEX(MS_PLAN,MATCH(INDEX(TYP_ANCHOR,MATCH($A408,TYP_TYPE,0)),MS_NOM,0))-INDEX(TYP_LEAD,MATCH($A408,TYP_TYPE,0)))),""))</f>
        <v/>
      </c>
      <c r="T408" s="26">
        <f>IF(OR($A408="",$E408=""),0,IF($V408=1,0,1))</f>
        <v/>
      </c>
      <c r="U408" s="26">
        <f>IF($T408=0,0,IF($M408&lt;&gt;"",1,IF(IFERROR(INDEX(WF_CLASS,MATCH($H408,WF_CODE,0)),"")="Done",1,0)))</f>
        <v/>
      </c>
      <c r="V408" s="26">
        <f>IF(OR($A408="",$E408=""),0,IF(IFERROR(INDEX(WF_CLASS,MATCH($H408,WF_CODE,0)),"")="Inactive",1,0))</f>
        <v/>
      </c>
      <c r="W408" s="24">
        <f>IF($A408="","",IFERROR(INDEX(TYP_PHASE,MATCH($A408,TYP_TYPE,0)),"-"))</f>
        <v/>
      </c>
      <c r="X408" s="24">
        <f>IF(AND($T408=1,$U408=0,N($N408)&gt;0),$N408+ROW()/1000000,"")</f>
        <v/>
      </c>
      <c r="Y408" s="24">
        <f>IF(AND($T408=1,$U408=0,OR($I408&lt;&gt;"",N($N408)&gt;0)),N($N408)+ROW()/1000000,"")</f>
        <v/>
      </c>
      <c r="Z408" s="24">
        <f>IF(AND($T408=1,$U408=0,$I408="",N($N408)&lt;=0,-N($N408)&lt;=HORIZON),N($N408)+ROW()/1000000,"")</f>
        <v/>
      </c>
    </row>
    <row r="409">
      <c r="A409" s="21" t="n"/>
      <c r="B409" s="21" t="n"/>
      <c r="C409" s="21" t="n"/>
      <c r="D409" s="21" t="n"/>
      <c r="E409" s="21" t="n"/>
      <c r="F409" s="21" t="n"/>
      <c r="G409" s="21" t="n"/>
      <c r="H409" s="21" t="n"/>
      <c r="I409" s="22" t="n"/>
      <c r="J409" s="22" t="n"/>
      <c r="K409" s="23">
        <f>IF($A409="","",IF($J409&lt;&gt;"",$J409,$S409))</f>
        <v/>
      </c>
      <c r="L409" s="24">
        <f>IF(OR($A409="",$E409=""),"",IF($J409&lt;&gt;"","Manual",IF($S409="","-","Auto")))</f>
        <v/>
      </c>
      <c r="M409" s="22" t="n"/>
      <c r="N409" s="25">
        <f>IF($T409=0,"",IF($U409=1,IF($M409="","",$M409-$K409),IF($K409="","",TODAY()-$K409)))</f>
        <v/>
      </c>
      <c r="O409" s="24">
        <f>IF(OR($A409="",$E409=""),"",IF($V409=1,S_INACT,IF(ISNA(MATCH($A409,TYP_TYPE,0)),S_TYPEKO,IF($U409=1,S_DONE,IF(AND($K409="",$R409=""),S_NOSCOPE,IF($K409="",S_NOTARGET,IF($N409&gt;0,S_LATE,IF($I409&lt;&gt;"",S_WIP,IF(-$N409&lt;=FEN_DOC,S_RISK,IF(-$N409&lt;=HORIZON,S_COMING,S_NOTYET))))))))))</f>
        <v/>
      </c>
      <c r="P409" s="24">
        <f>IF(OR($A409="",$E409=""),"",IF($V409=1,"",IF(ISNA(MATCH($A409,TYP_TYPE,0)),"Type not in the library",IF($B409="","Scope not set",IF(AND($B409="System",$C409=""),"System not set",IF(AND($B409="Equipment",$D409=""),"Equipment not set",IF($F409="","Responsible not set",IF($K409="","No target date",IF(AND($B409="Equipment",$C409&lt;&gt;"",IFERROR(INDEX(EQP_SYS,MATCH($D409,EQP_NOM,0)),"")&lt;&gt;$C409),"Equipment not in that system",IF(AND($U409=1,$M409=""),"Approved with no approval date",""))))))))))</f>
        <v/>
      </c>
      <c r="Q409" s="21" t="n"/>
      <c r="R409" s="23">
        <f>IF(OR($A409="",$B409=""),"",IF($B409="Equipment",IFERROR(INDEX(EQP_START,MATCH($D409,EQP_NOM,0)),""),IF($B409="System",IFERROR(INDEX(SYS_EARLIEST,MATCH($C409,SYS_ID,0)),""),IF($B409="All",CTR_EARLIEST,""))))</f>
        <v/>
      </c>
      <c r="S409" s="23">
        <f>IF(OR($A409="",$E409=""),"",IFERROR(IF(INDEX(TYP_ANCHOR,MATCH($A409,TYP_TYPE,0))="Commissioning Start",IF($R409="","",$R409-INDEX(TYP_LEAD,MATCH($A409,TYP_TYPE,0))),IF(INDEX(MS_PLAN,MATCH(INDEX(TYP_ANCHOR,MATCH($A409,TYP_TYPE,0)),MS_NOM,0))="","",INDEX(MS_PLAN,MATCH(INDEX(TYP_ANCHOR,MATCH($A409,TYP_TYPE,0)),MS_NOM,0))-INDEX(TYP_LEAD,MATCH($A409,TYP_TYPE,0)))),""))</f>
        <v/>
      </c>
      <c r="T409" s="26">
        <f>IF(OR($A409="",$E409=""),0,IF($V409=1,0,1))</f>
        <v/>
      </c>
      <c r="U409" s="26">
        <f>IF($T409=0,0,IF($M409&lt;&gt;"",1,IF(IFERROR(INDEX(WF_CLASS,MATCH($H409,WF_CODE,0)),"")="Done",1,0)))</f>
        <v/>
      </c>
      <c r="V409" s="26">
        <f>IF(OR($A409="",$E409=""),0,IF(IFERROR(INDEX(WF_CLASS,MATCH($H409,WF_CODE,0)),"")="Inactive",1,0))</f>
        <v/>
      </c>
      <c r="W409" s="24">
        <f>IF($A409="","",IFERROR(INDEX(TYP_PHASE,MATCH($A409,TYP_TYPE,0)),"-"))</f>
        <v/>
      </c>
      <c r="X409" s="24">
        <f>IF(AND($T409=1,$U409=0,N($N409)&gt;0),$N409+ROW()/1000000,"")</f>
        <v/>
      </c>
      <c r="Y409" s="24">
        <f>IF(AND($T409=1,$U409=0,OR($I409&lt;&gt;"",N($N409)&gt;0)),N($N409)+ROW()/1000000,"")</f>
        <v/>
      </c>
      <c r="Z409" s="24">
        <f>IF(AND($T409=1,$U409=0,$I409="",N($N409)&lt;=0,-N($N409)&lt;=HORIZON),N($N409)+ROW()/1000000,"")</f>
        <v/>
      </c>
    </row>
    <row r="410">
      <c r="A410" s="21" t="n"/>
      <c r="B410" s="21" t="n"/>
      <c r="C410" s="21" t="n"/>
      <c r="D410" s="21" t="n"/>
      <c r="E410" s="21" t="n"/>
      <c r="F410" s="21" t="n"/>
      <c r="G410" s="21" t="n"/>
      <c r="H410" s="21" t="n"/>
      <c r="I410" s="22" t="n"/>
      <c r="J410" s="22" t="n"/>
      <c r="K410" s="23">
        <f>IF($A410="","",IF($J410&lt;&gt;"",$J410,$S410))</f>
        <v/>
      </c>
      <c r="L410" s="24">
        <f>IF(OR($A410="",$E410=""),"",IF($J410&lt;&gt;"","Manual",IF($S410="","-","Auto")))</f>
        <v/>
      </c>
      <c r="M410" s="22" t="n"/>
      <c r="N410" s="25">
        <f>IF($T410=0,"",IF($U410=1,IF($M410="","",$M410-$K410),IF($K410="","",TODAY()-$K410)))</f>
        <v/>
      </c>
      <c r="O410" s="24">
        <f>IF(OR($A410="",$E410=""),"",IF($V410=1,S_INACT,IF(ISNA(MATCH($A410,TYP_TYPE,0)),S_TYPEKO,IF($U410=1,S_DONE,IF(AND($K410="",$R410=""),S_NOSCOPE,IF($K410="",S_NOTARGET,IF($N410&gt;0,S_LATE,IF($I410&lt;&gt;"",S_WIP,IF(-$N410&lt;=FEN_DOC,S_RISK,IF(-$N410&lt;=HORIZON,S_COMING,S_NOTYET))))))))))</f>
        <v/>
      </c>
      <c r="P410" s="24">
        <f>IF(OR($A410="",$E410=""),"",IF($V410=1,"",IF(ISNA(MATCH($A410,TYP_TYPE,0)),"Type not in the library",IF($B410="","Scope not set",IF(AND($B410="System",$C410=""),"System not set",IF(AND($B410="Equipment",$D410=""),"Equipment not set",IF($F410="","Responsible not set",IF($K410="","No target date",IF(AND($B410="Equipment",$C410&lt;&gt;"",IFERROR(INDEX(EQP_SYS,MATCH($D410,EQP_NOM,0)),"")&lt;&gt;$C410),"Equipment not in that system",IF(AND($U410=1,$M410=""),"Approved with no approval date",""))))))))))</f>
        <v/>
      </c>
      <c r="Q410" s="21" t="n"/>
      <c r="R410" s="23">
        <f>IF(OR($A410="",$B410=""),"",IF($B410="Equipment",IFERROR(INDEX(EQP_START,MATCH($D410,EQP_NOM,0)),""),IF($B410="System",IFERROR(INDEX(SYS_EARLIEST,MATCH($C410,SYS_ID,0)),""),IF($B410="All",CTR_EARLIEST,""))))</f>
        <v/>
      </c>
      <c r="S410" s="23">
        <f>IF(OR($A410="",$E410=""),"",IFERROR(IF(INDEX(TYP_ANCHOR,MATCH($A410,TYP_TYPE,0))="Commissioning Start",IF($R410="","",$R410-INDEX(TYP_LEAD,MATCH($A410,TYP_TYPE,0))),IF(INDEX(MS_PLAN,MATCH(INDEX(TYP_ANCHOR,MATCH($A410,TYP_TYPE,0)),MS_NOM,0))="","",INDEX(MS_PLAN,MATCH(INDEX(TYP_ANCHOR,MATCH($A410,TYP_TYPE,0)),MS_NOM,0))-INDEX(TYP_LEAD,MATCH($A410,TYP_TYPE,0)))),""))</f>
        <v/>
      </c>
      <c r="T410" s="26">
        <f>IF(OR($A410="",$E410=""),0,IF($V410=1,0,1))</f>
        <v/>
      </c>
      <c r="U410" s="26">
        <f>IF($T410=0,0,IF($M410&lt;&gt;"",1,IF(IFERROR(INDEX(WF_CLASS,MATCH($H410,WF_CODE,0)),"")="Done",1,0)))</f>
        <v/>
      </c>
      <c r="V410" s="26">
        <f>IF(OR($A410="",$E410=""),0,IF(IFERROR(INDEX(WF_CLASS,MATCH($H410,WF_CODE,0)),"")="Inactive",1,0))</f>
        <v/>
      </c>
      <c r="W410" s="24">
        <f>IF($A410="","",IFERROR(INDEX(TYP_PHASE,MATCH($A410,TYP_TYPE,0)),"-"))</f>
        <v/>
      </c>
      <c r="X410" s="24">
        <f>IF(AND($T410=1,$U410=0,N($N410)&gt;0),$N410+ROW()/1000000,"")</f>
        <v/>
      </c>
      <c r="Y410" s="24">
        <f>IF(AND($T410=1,$U410=0,OR($I410&lt;&gt;"",N($N410)&gt;0)),N($N410)+ROW()/1000000,"")</f>
        <v/>
      </c>
      <c r="Z410" s="24">
        <f>IF(AND($T410=1,$U410=0,$I410="",N($N410)&lt;=0,-N($N410)&lt;=HORIZON),N($N410)+ROW()/1000000,"")</f>
        <v/>
      </c>
    </row>
    <row r="411">
      <c r="A411" s="21" t="n"/>
      <c r="B411" s="21" t="n"/>
      <c r="C411" s="21" t="n"/>
      <c r="D411" s="21" t="n"/>
      <c r="E411" s="21" t="n"/>
      <c r="F411" s="21" t="n"/>
      <c r="G411" s="21" t="n"/>
      <c r="H411" s="21" t="n"/>
      <c r="I411" s="22" t="n"/>
      <c r="J411" s="22" t="n"/>
      <c r="K411" s="23">
        <f>IF($A411="","",IF($J411&lt;&gt;"",$J411,$S411))</f>
        <v/>
      </c>
      <c r="L411" s="24">
        <f>IF(OR($A411="",$E411=""),"",IF($J411&lt;&gt;"","Manual",IF($S411="","-","Auto")))</f>
        <v/>
      </c>
      <c r="M411" s="22" t="n"/>
      <c r="N411" s="25">
        <f>IF($T411=0,"",IF($U411=1,IF($M411="","",$M411-$K411),IF($K411="","",TODAY()-$K411)))</f>
        <v/>
      </c>
      <c r="O411" s="24">
        <f>IF(OR($A411="",$E411=""),"",IF($V411=1,S_INACT,IF(ISNA(MATCH($A411,TYP_TYPE,0)),S_TYPEKO,IF($U411=1,S_DONE,IF(AND($K411="",$R411=""),S_NOSCOPE,IF($K411="",S_NOTARGET,IF($N411&gt;0,S_LATE,IF($I411&lt;&gt;"",S_WIP,IF(-$N411&lt;=FEN_DOC,S_RISK,IF(-$N411&lt;=HORIZON,S_COMING,S_NOTYET))))))))))</f>
        <v/>
      </c>
      <c r="P411" s="24">
        <f>IF(OR($A411="",$E411=""),"",IF($V411=1,"",IF(ISNA(MATCH($A411,TYP_TYPE,0)),"Type not in the library",IF($B411="","Scope not set",IF(AND($B411="System",$C411=""),"System not set",IF(AND($B411="Equipment",$D411=""),"Equipment not set",IF($F411="","Responsible not set",IF($K411="","No target date",IF(AND($B411="Equipment",$C411&lt;&gt;"",IFERROR(INDEX(EQP_SYS,MATCH($D411,EQP_NOM,0)),"")&lt;&gt;$C411),"Equipment not in that system",IF(AND($U411=1,$M411=""),"Approved with no approval date",""))))))))))</f>
        <v/>
      </c>
      <c r="Q411" s="21" t="n"/>
      <c r="R411" s="23">
        <f>IF(OR($A411="",$B411=""),"",IF($B411="Equipment",IFERROR(INDEX(EQP_START,MATCH($D411,EQP_NOM,0)),""),IF($B411="System",IFERROR(INDEX(SYS_EARLIEST,MATCH($C411,SYS_ID,0)),""),IF($B411="All",CTR_EARLIEST,""))))</f>
        <v/>
      </c>
      <c r="S411" s="23">
        <f>IF(OR($A411="",$E411=""),"",IFERROR(IF(INDEX(TYP_ANCHOR,MATCH($A411,TYP_TYPE,0))="Commissioning Start",IF($R411="","",$R411-INDEX(TYP_LEAD,MATCH($A411,TYP_TYPE,0))),IF(INDEX(MS_PLAN,MATCH(INDEX(TYP_ANCHOR,MATCH($A411,TYP_TYPE,0)),MS_NOM,0))="","",INDEX(MS_PLAN,MATCH(INDEX(TYP_ANCHOR,MATCH($A411,TYP_TYPE,0)),MS_NOM,0))-INDEX(TYP_LEAD,MATCH($A411,TYP_TYPE,0)))),""))</f>
        <v/>
      </c>
      <c r="T411" s="26">
        <f>IF(OR($A411="",$E411=""),0,IF($V411=1,0,1))</f>
        <v/>
      </c>
      <c r="U411" s="26">
        <f>IF($T411=0,0,IF($M411&lt;&gt;"",1,IF(IFERROR(INDEX(WF_CLASS,MATCH($H411,WF_CODE,0)),"")="Done",1,0)))</f>
        <v/>
      </c>
      <c r="V411" s="26">
        <f>IF(OR($A411="",$E411=""),0,IF(IFERROR(INDEX(WF_CLASS,MATCH($H411,WF_CODE,0)),"")="Inactive",1,0))</f>
        <v/>
      </c>
      <c r="W411" s="24">
        <f>IF($A411="","",IFERROR(INDEX(TYP_PHASE,MATCH($A411,TYP_TYPE,0)),"-"))</f>
        <v/>
      </c>
      <c r="X411" s="24">
        <f>IF(AND($T411=1,$U411=0,N($N411)&gt;0),$N411+ROW()/1000000,"")</f>
        <v/>
      </c>
      <c r="Y411" s="24">
        <f>IF(AND($T411=1,$U411=0,OR($I411&lt;&gt;"",N($N411)&gt;0)),N($N411)+ROW()/1000000,"")</f>
        <v/>
      </c>
      <c r="Z411" s="24">
        <f>IF(AND($T411=1,$U411=0,$I411="",N($N411)&lt;=0,-N($N411)&lt;=HORIZON),N($N411)+ROW()/1000000,"")</f>
        <v/>
      </c>
    </row>
    <row r="412">
      <c r="A412" s="21" t="n"/>
      <c r="B412" s="21" t="n"/>
      <c r="C412" s="21" t="n"/>
      <c r="D412" s="21" t="n"/>
      <c r="E412" s="21" t="n"/>
      <c r="F412" s="21" t="n"/>
      <c r="G412" s="21" t="n"/>
      <c r="H412" s="21" t="n"/>
      <c r="I412" s="22" t="n"/>
      <c r="J412" s="22" t="n"/>
      <c r="K412" s="23">
        <f>IF($A412="","",IF($J412&lt;&gt;"",$J412,$S412))</f>
        <v/>
      </c>
      <c r="L412" s="24">
        <f>IF(OR($A412="",$E412=""),"",IF($J412&lt;&gt;"","Manual",IF($S412="","-","Auto")))</f>
        <v/>
      </c>
      <c r="M412" s="22" t="n"/>
      <c r="N412" s="25">
        <f>IF($T412=0,"",IF($U412=1,IF($M412="","",$M412-$K412),IF($K412="","",TODAY()-$K412)))</f>
        <v/>
      </c>
      <c r="O412" s="24">
        <f>IF(OR($A412="",$E412=""),"",IF($V412=1,S_INACT,IF(ISNA(MATCH($A412,TYP_TYPE,0)),S_TYPEKO,IF($U412=1,S_DONE,IF(AND($K412="",$R412=""),S_NOSCOPE,IF($K412="",S_NOTARGET,IF($N412&gt;0,S_LATE,IF($I412&lt;&gt;"",S_WIP,IF(-$N412&lt;=FEN_DOC,S_RISK,IF(-$N412&lt;=HORIZON,S_COMING,S_NOTYET))))))))))</f>
        <v/>
      </c>
      <c r="P412" s="24">
        <f>IF(OR($A412="",$E412=""),"",IF($V412=1,"",IF(ISNA(MATCH($A412,TYP_TYPE,0)),"Type not in the library",IF($B412="","Scope not set",IF(AND($B412="System",$C412=""),"System not set",IF(AND($B412="Equipment",$D412=""),"Equipment not set",IF($F412="","Responsible not set",IF($K412="","No target date",IF(AND($B412="Equipment",$C412&lt;&gt;"",IFERROR(INDEX(EQP_SYS,MATCH($D412,EQP_NOM,0)),"")&lt;&gt;$C412),"Equipment not in that system",IF(AND($U412=1,$M412=""),"Approved with no approval date",""))))))))))</f>
        <v/>
      </c>
      <c r="Q412" s="21" t="n"/>
      <c r="R412" s="23">
        <f>IF(OR($A412="",$B412=""),"",IF($B412="Equipment",IFERROR(INDEX(EQP_START,MATCH($D412,EQP_NOM,0)),""),IF($B412="System",IFERROR(INDEX(SYS_EARLIEST,MATCH($C412,SYS_ID,0)),""),IF($B412="All",CTR_EARLIEST,""))))</f>
        <v/>
      </c>
      <c r="S412" s="23">
        <f>IF(OR($A412="",$E412=""),"",IFERROR(IF(INDEX(TYP_ANCHOR,MATCH($A412,TYP_TYPE,0))="Commissioning Start",IF($R412="","",$R412-INDEX(TYP_LEAD,MATCH($A412,TYP_TYPE,0))),IF(INDEX(MS_PLAN,MATCH(INDEX(TYP_ANCHOR,MATCH($A412,TYP_TYPE,0)),MS_NOM,0))="","",INDEX(MS_PLAN,MATCH(INDEX(TYP_ANCHOR,MATCH($A412,TYP_TYPE,0)),MS_NOM,0))-INDEX(TYP_LEAD,MATCH($A412,TYP_TYPE,0)))),""))</f>
        <v/>
      </c>
      <c r="T412" s="26">
        <f>IF(OR($A412="",$E412=""),0,IF($V412=1,0,1))</f>
        <v/>
      </c>
      <c r="U412" s="26">
        <f>IF($T412=0,0,IF($M412&lt;&gt;"",1,IF(IFERROR(INDEX(WF_CLASS,MATCH($H412,WF_CODE,0)),"")="Done",1,0)))</f>
        <v/>
      </c>
      <c r="V412" s="26">
        <f>IF(OR($A412="",$E412=""),0,IF(IFERROR(INDEX(WF_CLASS,MATCH($H412,WF_CODE,0)),"")="Inactive",1,0))</f>
        <v/>
      </c>
      <c r="W412" s="24">
        <f>IF($A412="","",IFERROR(INDEX(TYP_PHASE,MATCH($A412,TYP_TYPE,0)),"-"))</f>
        <v/>
      </c>
      <c r="X412" s="24">
        <f>IF(AND($T412=1,$U412=0,N($N412)&gt;0),$N412+ROW()/1000000,"")</f>
        <v/>
      </c>
      <c r="Y412" s="24">
        <f>IF(AND($T412=1,$U412=0,OR($I412&lt;&gt;"",N($N412)&gt;0)),N($N412)+ROW()/1000000,"")</f>
        <v/>
      </c>
      <c r="Z412" s="24">
        <f>IF(AND($T412=1,$U412=0,$I412="",N($N412)&lt;=0,-N($N412)&lt;=HORIZON),N($N412)+ROW()/1000000,"")</f>
        <v/>
      </c>
    </row>
    <row r="413">
      <c r="A413" s="21" t="n"/>
      <c r="B413" s="21" t="n"/>
      <c r="C413" s="21" t="n"/>
      <c r="D413" s="21" t="n"/>
      <c r="E413" s="21" t="n"/>
      <c r="F413" s="21" t="n"/>
      <c r="G413" s="21" t="n"/>
      <c r="H413" s="21" t="n"/>
      <c r="I413" s="22" t="n"/>
      <c r="J413" s="22" t="n"/>
      <c r="K413" s="23">
        <f>IF($A413="","",IF($J413&lt;&gt;"",$J413,$S413))</f>
        <v/>
      </c>
      <c r="L413" s="24">
        <f>IF(OR($A413="",$E413=""),"",IF($J413&lt;&gt;"","Manual",IF($S413="","-","Auto")))</f>
        <v/>
      </c>
      <c r="M413" s="22" t="n"/>
      <c r="N413" s="25">
        <f>IF($T413=0,"",IF($U413=1,IF($M413="","",$M413-$K413),IF($K413="","",TODAY()-$K413)))</f>
        <v/>
      </c>
      <c r="O413" s="24">
        <f>IF(OR($A413="",$E413=""),"",IF($V413=1,S_INACT,IF(ISNA(MATCH($A413,TYP_TYPE,0)),S_TYPEKO,IF($U413=1,S_DONE,IF(AND($K413="",$R413=""),S_NOSCOPE,IF($K413="",S_NOTARGET,IF($N413&gt;0,S_LATE,IF($I413&lt;&gt;"",S_WIP,IF(-$N413&lt;=FEN_DOC,S_RISK,IF(-$N413&lt;=HORIZON,S_COMING,S_NOTYET))))))))))</f>
        <v/>
      </c>
      <c r="P413" s="24">
        <f>IF(OR($A413="",$E413=""),"",IF($V413=1,"",IF(ISNA(MATCH($A413,TYP_TYPE,0)),"Type not in the library",IF($B413="","Scope not set",IF(AND($B413="System",$C413=""),"System not set",IF(AND($B413="Equipment",$D413=""),"Equipment not set",IF($F413="","Responsible not set",IF($K413="","No target date",IF(AND($B413="Equipment",$C413&lt;&gt;"",IFERROR(INDEX(EQP_SYS,MATCH($D413,EQP_NOM,0)),"")&lt;&gt;$C413),"Equipment not in that system",IF(AND($U413=1,$M413=""),"Approved with no approval date",""))))))))))</f>
        <v/>
      </c>
      <c r="Q413" s="21" t="n"/>
      <c r="R413" s="23">
        <f>IF(OR($A413="",$B413=""),"",IF($B413="Equipment",IFERROR(INDEX(EQP_START,MATCH($D413,EQP_NOM,0)),""),IF($B413="System",IFERROR(INDEX(SYS_EARLIEST,MATCH($C413,SYS_ID,0)),""),IF($B413="All",CTR_EARLIEST,""))))</f>
        <v/>
      </c>
      <c r="S413" s="23">
        <f>IF(OR($A413="",$E413=""),"",IFERROR(IF(INDEX(TYP_ANCHOR,MATCH($A413,TYP_TYPE,0))="Commissioning Start",IF($R413="","",$R413-INDEX(TYP_LEAD,MATCH($A413,TYP_TYPE,0))),IF(INDEX(MS_PLAN,MATCH(INDEX(TYP_ANCHOR,MATCH($A413,TYP_TYPE,0)),MS_NOM,0))="","",INDEX(MS_PLAN,MATCH(INDEX(TYP_ANCHOR,MATCH($A413,TYP_TYPE,0)),MS_NOM,0))-INDEX(TYP_LEAD,MATCH($A413,TYP_TYPE,0)))),""))</f>
        <v/>
      </c>
      <c r="T413" s="26">
        <f>IF(OR($A413="",$E413=""),0,IF($V413=1,0,1))</f>
        <v/>
      </c>
      <c r="U413" s="26">
        <f>IF($T413=0,0,IF($M413&lt;&gt;"",1,IF(IFERROR(INDEX(WF_CLASS,MATCH($H413,WF_CODE,0)),"")="Done",1,0)))</f>
        <v/>
      </c>
      <c r="V413" s="26">
        <f>IF(OR($A413="",$E413=""),0,IF(IFERROR(INDEX(WF_CLASS,MATCH($H413,WF_CODE,0)),"")="Inactive",1,0))</f>
        <v/>
      </c>
      <c r="W413" s="24">
        <f>IF($A413="","",IFERROR(INDEX(TYP_PHASE,MATCH($A413,TYP_TYPE,0)),"-"))</f>
        <v/>
      </c>
      <c r="X413" s="24">
        <f>IF(AND($T413=1,$U413=0,N($N413)&gt;0),$N413+ROW()/1000000,"")</f>
        <v/>
      </c>
      <c r="Y413" s="24">
        <f>IF(AND($T413=1,$U413=0,OR($I413&lt;&gt;"",N($N413)&gt;0)),N($N413)+ROW()/1000000,"")</f>
        <v/>
      </c>
      <c r="Z413" s="24">
        <f>IF(AND($T413=1,$U413=0,$I413="",N($N413)&lt;=0,-N($N413)&lt;=HORIZON),N($N413)+ROW()/1000000,"")</f>
        <v/>
      </c>
    </row>
    <row r="414">
      <c r="A414" s="21" t="n"/>
      <c r="B414" s="21" t="n"/>
      <c r="C414" s="21" t="n"/>
      <c r="D414" s="21" t="n"/>
      <c r="E414" s="21" t="n"/>
      <c r="F414" s="21" t="n"/>
      <c r="G414" s="21" t="n"/>
      <c r="H414" s="21" t="n"/>
      <c r="I414" s="22" t="n"/>
      <c r="J414" s="22" t="n"/>
      <c r="K414" s="23">
        <f>IF($A414="","",IF($J414&lt;&gt;"",$J414,$S414))</f>
        <v/>
      </c>
      <c r="L414" s="24">
        <f>IF(OR($A414="",$E414=""),"",IF($J414&lt;&gt;"","Manual",IF($S414="","-","Auto")))</f>
        <v/>
      </c>
      <c r="M414" s="22" t="n"/>
      <c r="N414" s="25">
        <f>IF($T414=0,"",IF($U414=1,IF($M414="","",$M414-$K414),IF($K414="","",TODAY()-$K414)))</f>
        <v/>
      </c>
      <c r="O414" s="24">
        <f>IF(OR($A414="",$E414=""),"",IF($V414=1,S_INACT,IF(ISNA(MATCH($A414,TYP_TYPE,0)),S_TYPEKO,IF($U414=1,S_DONE,IF(AND($K414="",$R414=""),S_NOSCOPE,IF($K414="",S_NOTARGET,IF($N414&gt;0,S_LATE,IF($I414&lt;&gt;"",S_WIP,IF(-$N414&lt;=FEN_DOC,S_RISK,IF(-$N414&lt;=HORIZON,S_COMING,S_NOTYET))))))))))</f>
        <v/>
      </c>
      <c r="P414" s="24">
        <f>IF(OR($A414="",$E414=""),"",IF($V414=1,"",IF(ISNA(MATCH($A414,TYP_TYPE,0)),"Type not in the library",IF($B414="","Scope not set",IF(AND($B414="System",$C414=""),"System not set",IF(AND($B414="Equipment",$D414=""),"Equipment not set",IF($F414="","Responsible not set",IF($K414="","No target date",IF(AND($B414="Equipment",$C414&lt;&gt;"",IFERROR(INDEX(EQP_SYS,MATCH($D414,EQP_NOM,0)),"")&lt;&gt;$C414),"Equipment not in that system",IF(AND($U414=1,$M414=""),"Approved with no approval date",""))))))))))</f>
        <v/>
      </c>
      <c r="Q414" s="21" t="n"/>
      <c r="R414" s="23">
        <f>IF(OR($A414="",$B414=""),"",IF($B414="Equipment",IFERROR(INDEX(EQP_START,MATCH($D414,EQP_NOM,0)),""),IF($B414="System",IFERROR(INDEX(SYS_EARLIEST,MATCH($C414,SYS_ID,0)),""),IF($B414="All",CTR_EARLIEST,""))))</f>
        <v/>
      </c>
      <c r="S414" s="23">
        <f>IF(OR($A414="",$E414=""),"",IFERROR(IF(INDEX(TYP_ANCHOR,MATCH($A414,TYP_TYPE,0))="Commissioning Start",IF($R414="","",$R414-INDEX(TYP_LEAD,MATCH($A414,TYP_TYPE,0))),IF(INDEX(MS_PLAN,MATCH(INDEX(TYP_ANCHOR,MATCH($A414,TYP_TYPE,0)),MS_NOM,0))="","",INDEX(MS_PLAN,MATCH(INDEX(TYP_ANCHOR,MATCH($A414,TYP_TYPE,0)),MS_NOM,0))-INDEX(TYP_LEAD,MATCH($A414,TYP_TYPE,0)))),""))</f>
        <v/>
      </c>
      <c r="T414" s="26">
        <f>IF(OR($A414="",$E414=""),0,IF($V414=1,0,1))</f>
        <v/>
      </c>
      <c r="U414" s="26">
        <f>IF($T414=0,0,IF($M414&lt;&gt;"",1,IF(IFERROR(INDEX(WF_CLASS,MATCH($H414,WF_CODE,0)),"")="Done",1,0)))</f>
        <v/>
      </c>
      <c r="V414" s="26">
        <f>IF(OR($A414="",$E414=""),0,IF(IFERROR(INDEX(WF_CLASS,MATCH($H414,WF_CODE,0)),"")="Inactive",1,0))</f>
        <v/>
      </c>
      <c r="W414" s="24">
        <f>IF($A414="","",IFERROR(INDEX(TYP_PHASE,MATCH($A414,TYP_TYPE,0)),"-"))</f>
        <v/>
      </c>
      <c r="X414" s="24">
        <f>IF(AND($T414=1,$U414=0,N($N414)&gt;0),$N414+ROW()/1000000,"")</f>
        <v/>
      </c>
      <c r="Y414" s="24">
        <f>IF(AND($T414=1,$U414=0,OR($I414&lt;&gt;"",N($N414)&gt;0)),N($N414)+ROW()/1000000,"")</f>
        <v/>
      </c>
      <c r="Z414" s="24">
        <f>IF(AND($T414=1,$U414=0,$I414="",N($N414)&lt;=0,-N($N414)&lt;=HORIZON),N($N414)+ROW()/1000000,"")</f>
        <v/>
      </c>
    </row>
    <row r="415">
      <c r="A415" s="21" t="n"/>
      <c r="B415" s="21" t="n"/>
      <c r="C415" s="21" t="n"/>
      <c r="D415" s="21" t="n"/>
      <c r="E415" s="21" t="n"/>
      <c r="F415" s="21" t="n"/>
      <c r="G415" s="21" t="n"/>
      <c r="H415" s="21" t="n"/>
      <c r="I415" s="22" t="n"/>
      <c r="J415" s="22" t="n"/>
      <c r="K415" s="23">
        <f>IF($A415="","",IF($J415&lt;&gt;"",$J415,$S415))</f>
        <v/>
      </c>
      <c r="L415" s="24">
        <f>IF(OR($A415="",$E415=""),"",IF($J415&lt;&gt;"","Manual",IF($S415="","-","Auto")))</f>
        <v/>
      </c>
      <c r="M415" s="22" t="n"/>
      <c r="N415" s="25">
        <f>IF($T415=0,"",IF($U415=1,IF($M415="","",$M415-$K415),IF($K415="","",TODAY()-$K415)))</f>
        <v/>
      </c>
      <c r="O415" s="24">
        <f>IF(OR($A415="",$E415=""),"",IF($V415=1,S_INACT,IF(ISNA(MATCH($A415,TYP_TYPE,0)),S_TYPEKO,IF($U415=1,S_DONE,IF(AND($K415="",$R415=""),S_NOSCOPE,IF($K415="",S_NOTARGET,IF($N415&gt;0,S_LATE,IF($I415&lt;&gt;"",S_WIP,IF(-$N415&lt;=FEN_DOC,S_RISK,IF(-$N415&lt;=HORIZON,S_COMING,S_NOTYET))))))))))</f>
        <v/>
      </c>
      <c r="P415" s="24">
        <f>IF(OR($A415="",$E415=""),"",IF($V415=1,"",IF(ISNA(MATCH($A415,TYP_TYPE,0)),"Type not in the library",IF($B415="","Scope not set",IF(AND($B415="System",$C415=""),"System not set",IF(AND($B415="Equipment",$D415=""),"Equipment not set",IF($F415="","Responsible not set",IF($K415="","No target date",IF(AND($B415="Equipment",$C415&lt;&gt;"",IFERROR(INDEX(EQP_SYS,MATCH($D415,EQP_NOM,0)),"")&lt;&gt;$C415),"Equipment not in that system",IF(AND($U415=1,$M415=""),"Approved with no approval date",""))))))))))</f>
        <v/>
      </c>
      <c r="Q415" s="21" t="n"/>
      <c r="R415" s="23">
        <f>IF(OR($A415="",$B415=""),"",IF($B415="Equipment",IFERROR(INDEX(EQP_START,MATCH($D415,EQP_NOM,0)),""),IF($B415="System",IFERROR(INDEX(SYS_EARLIEST,MATCH($C415,SYS_ID,0)),""),IF($B415="All",CTR_EARLIEST,""))))</f>
        <v/>
      </c>
      <c r="S415" s="23">
        <f>IF(OR($A415="",$E415=""),"",IFERROR(IF(INDEX(TYP_ANCHOR,MATCH($A415,TYP_TYPE,0))="Commissioning Start",IF($R415="","",$R415-INDEX(TYP_LEAD,MATCH($A415,TYP_TYPE,0))),IF(INDEX(MS_PLAN,MATCH(INDEX(TYP_ANCHOR,MATCH($A415,TYP_TYPE,0)),MS_NOM,0))="","",INDEX(MS_PLAN,MATCH(INDEX(TYP_ANCHOR,MATCH($A415,TYP_TYPE,0)),MS_NOM,0))-INDEX(TYP_LEAD,MATCH($A415,TYP_TYPE,0)))),""))</f>
        <v/>
      </c>
      <c r="T415" s="26">
        <f>IF(OR($A415="",$E415=""),0,IF($V415=1,0,1))</f>
        <v/>
      </c>
      <c r="U415" s="26">
        <f>IF($T415=0,0,IF($M415&lt;&gt;"",1,IF(IFERROR(INDEX(WF_CLASS,MATCH($H415,WF_CODE,0)),"")="Done",1,0)))</f>
        <v/>
      </c>
      <c r="V415" s="26">
        <f>IF(OR($A415="",$E415=""),0,IF(IFERROR(INDEX(WF_CLASS,MATCH($H415,WF_CODE,0)),"")="Inactive",1,0))</f>
        <v/>
      </c>
      <c r="W415" s="24">
        <f>IF($A415="","",IFERROR(INDEX(TYP_PHASE,MATCH($A415,TYP_TYPE,0)),"-"))</f>
        <v/>
      </c>
      <c r="X415" s="24">
        <f>IF(AND($T415=1,$U415=0,N($N415)&gt;0),$N415+ROW()/1000000,"")</f>
        <v/>
      </c>
      <c r="Y415" s="24">
        <f>IF(AND($T415=1,$U415=0,OR($I415&lt;&gt;"",N($N415)&gt;0)),N($N415)+ROW()/1000000,"")</f>
        <v/>
      </c>
      <c r="Z415" s="24">
        <f>IF(AND($T415=1,$U415=0,$I415="",N($N415)&lt;=0,-N($N415)&lt;=HORIZON),N($N415)+ROW()/1000000,"")</f>
        <v/>
      </c>
    </row>
    <row r="416">
      <c r="A416" s="21" t="n"/>
      <c r="B416" s="21" t="n"/>
      <c r="C416" s="21" t="n"/>
      <c r="D416" s="21" t="n"/>
      <c r="E416" s="21" t="n"/>
      <c r="F416" s="21" t="n"/>
      <c r="G416" s="21" t="n"/>
      <c r="H416" s="21" t="n"/>
      <c r="I416" s="22" t="n"/>
      <c r="J416" s="22" t="n"/>
      <c r="K416" s="23">
        <f>IF($A416="","",IF($J416&lt;&gt;"",$J416,$S416))</f>
        <v/>
      </c>
      <c r="L416" s="24">
        <f>IF(OR($A416="",$E416=""),"",IF($J416&lt;&gt;"","Manual",IF($S416="","-","Auto")))</f>
        <v/>
      </c>
      <c r="M416" s="22" t="n"/>
      <c r="N416" s="25">
        <f>IF($T416=0,"",IF($U416=1,IF($M416="","",$M416-$K416),IF($K416="","",TODAY()-$K416)))</f>
        <v/>
      </c>
      <c r="O416" s="24">
        <f>IF(OR($A416="",$E416=""),"",IF($V416=1,S_INACT,IF(ISNA(MATCH($A416,TYP_TYPE,0)),S_TYPEKO,IF($U416=1,S_DONE,IF(AND($K416="",$R416=""),S_NOSCOPE,IF($K416="",S_NOTARGET,IF($N416&gt;0,S_LATE,IF($I416&lt;&gt;"",S_WIP,IF(-$N416&lt;=FEN_DOC,S_RISK,IF(-$N416&lt;=HORIZON,S_COMING,S_NOTYET))))))))))</f>
        <v/>
      </c>
      <c r="P416" s="24">
        <f>IF(OR($A416="",$E416=""),"",IF($V416=1,"",IF(ISNA(MATCH($A416,TYP_TYPE,0)),"Type not in the library",IF($B416="","Scope not set",IF(AND($B416="System",$C416=""),"System not set",IF(AND($B416="Equipment",$D416=""),"Equipment not set",IF($F416="","Responsible not set",IF($K416="","No target date",IF(AND($B416="Equipment",$C416&lt;&gt;"",IFERROR(INDEX(EQP_SYS,MATCH($D416,EQP_NOM,0)),"")&lt;&gt;$C416),"Equipment not in that system",IF(AND($U416=1,$M416=""),"Approved with no approval date",""))))))))))</f>
        <v/>
      </c>
      <c r="Q416" s="21" t="n"/>
      <c r="R416" s="23">
        <f>IF(OR($A416="",$B416=""),"",IF($B416="Equipment",IFERROR(INDEX(EQP_START,MATCH($D416,EQP_NOM,0)),""),IF($B416="System",IFERROR(INDEX(SYS_EARLIEST,MATCH($C416,SYS_ID,0)),""),IF($B416="All",CTR_EARLIEST,""))))</f>
        <v/>
      </c>
      <c r="S416" s="23">
        <f>IF(OR($A416="",$E416=""),"",IFERROR(IF(INDEX(TYP_ANCHOR,MATCH($A416,TYP_TYPE,0))="Commissioning Start",IF($R416="","",$R416-INDEX(TYP_LEAD,MATCH($A416,TYP_TYPE,0))),IF(INDEX(MS_PLAN,MATCH(INDEX(TYP_ANCHOR,MATCH($A416,TYP_TYPE,0)),MS_NOM,0))="","",INDEX(MS_PLAN,MATCH(INDEX(TYP_ANCHOR,MATCH($A416,TYP_TYPE,0)),MS_NOM,0))-INDEX(TYP_LEAD,MATCH($A416,TYP_TYPE,0)))),""))</f>
        <v/>
      </c>
      <c r="T416" s="26">
        <f>IF(OR($A416="",$E416=""),0,IF($V416=1,0,1))</f>
        <v/>
      </c>
      <c r="U416" s="26">
        <f>IF($T416=0,0,IF($M416&lt;&gt;"",1,IF(IFERROR(INDEX(WF_CLASS,MATCH($H416,WF_CODE,0)),"")="Done",1,0)))</f>
        <v/>
      </c>
      <c r="V416" s="26">
        <f>IF(OR($A416="",$E416=""),0,IF(IFERROR(INDEX(WF_CLASS,MATCH($H416,WF_CODE,0)),"")="Inactive",1,0))</f>
        <v/>
      </c>
      <c r="W416" s="24">
        <f>IF($A416="","",IFERROR(INDEX(TYP_PHASE,MATCH($A416,TYP_TYPE,0)),"-"))</f>
        <v/>
      </c>
      <c r="X416" s="24">
        <f>IF(AND($T416=1,$U416=0,N($N416)&gt;0),$N416+ROW()/1000000,"")</f>
        <v/>
      </c>
      <c r="Y416" s="24">
        <f>IF(AND($T416=1,$U416=0,OR($I416&lt;&gt;"",N($N416)&gt;0)),N($N416)+ROW()/1000000,"")</f>
        <v/>
      </c>
      <c r="Z416" s="24">
        <f>IF(AND($T416=1,$U416=0,$I416="",N($N416)&lt;=0,-N($N416)&lt;=HORIZON),N($N416)+ROW()/1000000,"")</f>
        <v/>
      </c>
    </row>
    <row r="417">
      <c r="A417" s="21" t="n"/>
      <c r="B417" s="21" t="n"/>
      <c r="C417" s="21" t="n"/>
      <c r="D417" s="21" t="n"/>
      <c r="E417" s="21" t="n"/>
      <c r="F417" s="21" t="n"/>
      <c r="G417" s="21" t="n"/>
      <c r="H417" s="21" t="n"/>
      <c r="I417" s="22" t="n"/>
      <c r="J417" s="22" t="n"/>
      <c r="K417" s="23">
        <f>IF($A417="","",IF($J417&lt;&gt;"",$J417,$S417))</f>
        <v/>
      </c>
      <c r="L417" s="24">
        <f>IF(OR($A417="",$E417=""),"",IF($J417&lt;&gt;"","Manual",IF($S417="","-","Auto")))</f>
        <v/>
      </c>
      <c r="M417" s="22" t="n"/>
      <c r="N417" s="25">
        <f>IF($T417=0,"",IF($U417=1,IF($M417="","",$M417-$K417),IF($K417="","",TODAY()-$K417)))</f>
        <v/>
      </c>
      <c r="O417" s="24">
        <f>IF(OR($A417="",$E417=""),"",IF($V417=1,S_INACT,IF(ISNA(MATCH($A417,TYP_TYPE,0)),S_TYPEKO,IF($U417=1,S_DONE,IF(AND($K417="",$R417=""),S_NOSCOPE,IF($K417="",S_NOTARGET,IF($N417&gt;0,S_LATE,IF($I417&lt;&gt;"",S_WIP,IF(-$N417&lt;=FEN_DOC,S_RISK,IF(-$N417&lt;=HORIZON,S_COMING,S_NOTYET))))))))))</f>
        <v/>
      </c>
      <c r="P417" s="24">
        <f>IF(OR($A417="",$E417=""),"",IF($V417=1,"",IF(ISNA(MATCH($A417,TYP_TYPE,0)),"Type not in the library",IF($B417="","Scope not set",IF(AND($B417="System",$C417=""),"System not set",IF(AND($B417="Equipment",$D417=""),"Equipment not set",IF($F417="","Responsible not set",IF($K417="","No target date",IF(AND($B417="Equipment",$C417&lt;&gt;"",IFERROR(INDEX(EQP_SYS,MATCH($D417,EQP_NOM,0)),"")&lt;&gt;$C417),"Equipment not in that system",IF(AND($U417=1,$M417=""),"Approved with no approval date",""))))))))))</f>
        <v/>
      </c>
      <c r="Q417" s="21" t="n"/>
      <c r="R417" s="23">
        <f>IF(OR($A417="",$B417=""),"",IF($B417="Equipment",IFERROR(INDEX(EQP_START,MATCH($D417,EQP_NOM,0)),""),IF($B417="System",IFERROR(INDEX(SYS_EARLIEST,MATCH($C417,SYS_ID,0)),""),IF($B417="All",CTR_EARLIEST,""))))</f>
        <v/>
      </c>
      <c r="S417" s="23">
        <f>IF(OR($A417="",$E417=""),"",IFERROR(IF(INDEX(TYP_ANCHOR,MATCH($A417,TYP_TYPE,0))="Commissioning Start",IF($R417="","",$R417-INDEX(TYP_LEAD,MATCH($A417,TYP_TYPE,0))),IF(INDEX(MS_PLAN,MATCH(INDEX(TYP_ANCHOR,MATCH($A417,TYP_TYPE,0)),MS_NOM,0))="","",INDEX(MS_PLAN,MATCH(INDEX(TYP_ANCHOR,MATCH($A417,TYP_TYPE,0)),MS_NOM,0))-INDEX(TYP_LEAD,MATCH($A417,TYP_TYPE,0)))),""))</f>
        <v/>
      </c>
      <c r="T417" s="26">
        <f>IF(OR($A417="",$E417=""),0,IF($V417=1,0,1))</f>
        <v/>
      </c>
      <c r="U417" s="26">
        <f>IF($T417=0,0,IF($M417&lt;&gt;"",1,IF(IFERROR(INDEX(WF_CLASS,MATCH($H417,WF_CODE,0)),"")="Done",1,0)))</f>
        <v/>
      </c>
      <c r="V417" s="26">
        <f>IF(OR($A417="",$E417=""),0,IF(IFERROR(INDEX(WF_CLASS,MATCH($H417,WF_CODE,0)),"")="Inactive",1,0))</f>
        <v/>
      </c>
      <c r="W417" s="24">
        <f>IF($A417="","",IFERROR(INDEX(TYP_PHASE,MATCH($A417,TYP_TYPE,0)),"-"))</f>
        <v/>
      </c>
      <c r="X417" s="24">
        <f>IF(AND($T417=1,$U417=0,N($N417)&gt;0),$N417+ROW()/1000000,"")</f>
        <v/>
      </c>
      <c r="Y417" s="24">
        <f>IF(AND($T417=1,$U417=0,OR($I417&lt;&gt;"",N($N417)&gt;0)),N($N417)+ROW()/1000000,"")</f>
        <v/>
      </c>
      <c r="Z417" s="24">
        <f>IF(AND($T417=1,$U417=0,$I417="",N($N417)&lt;=0,-N($N417)&lt;=HORIZON),N($N417)+ROW()/1000000,"")</f>
        <v/>
      </c>
    </row>
    <row r="418">
      <c r="A418" s="21" t="n"/>
      <c r="B418" s="21" t="n"/>
      <c r="C418" s="21" t="n"/>
      <c r="D418" s="21" t="n"/>
      <c r="E418" s="21" t="n"/>
      <c r="F418" s="21" t="n"/>
      <c r="G418" s="21" t="n"/>
      <c r="H418" s="21" t="n"/>
      <c r="I418" s="22" t="n"/>
      <c r="J418" s="22" t="n"/>
      <c r="K418" s="23">
        <f>IF($A418="","",IF($J418&lt;&gt;"",$J418,$S418))</f>
        <v/>
      </c>
      <c r="L418" s="24">
        <f>IF(OR($A418="",$E418=""),"",IF($J418&lt;&gt;"","Manual",IF($S418="","-","Auto")))</f>
        <v/>
      </c>
      <c r="M418" s="22" t="n"/>
      <c r="N418" s="25">
        <f>IF($T418=0,"",IF($U418=1,IF($M418="","",$M418-$K418),IF($K418="","",TODAY()-$K418)))</f>
        <v/>
      </c>
      <c r="O418" s="24">
        <f>IF(OR($A418="",$E418=""),"",IF($V418=1,S_INACT,IF(ISNA(MATCH($A418,TYP_TYPE,0)),S_TYPEKO,IF($U418=1,S_DONE,IF(AND($K418="",$R418=""),S_NOSCOPE,IF($K418="",S_NOTARGET,IF($N418&gt;0,S_LATE,IF($I418&lt;&gt;"",S_WIP,IF(-$N418&lt;=FEN_DOC,S_RISK,IF(-$N418&lt;=HORIZON,S_COMING,S_NOTYET))))))))))</f>
        <v/>
      </c>
      <c r="P418" s="24">
        <f>IF(OR($A418="",$E418=""),"",IF($V418=1,"",IF(ISNA(MATCH($A418,TYP_TYPE,0)),"Type not in the library",IF($B418="","Scope not set",IF(AND($B418="System",$C418=""),"System not set",IF(AND($B418="Equipment",$D418=""),"Equipment not set",IF($F418="","Responsible not set",IF($K418="","No target date",IF(AND($B418="Equipment",$C418&lt;&gt;"",IFERROR(INDEX(EQP_SYS,MATCH($D418,EQP_NOM,0)),"")&lt;&gt;$C418),"Equipment not in that system",IF(AND($U418=1,$M418=""),"Approved with no approval date",""))))))))))</f>
        <v/>
      </c>
      <c r="Q418" s="21" t="n"/>
      <c r="R418" s="23">
        <f>IF(OR($A418="",$B418=""),"",IF($B418="Equipment",IFERROR(INDEX(EQP_START,MATCH($D418,EQP_NOM,0)),""),IF($B418="System",IFERROR(INDEX(SYS_EARLIEST,MATCH($C418,SYS_ID,0)),""),IF($B418="All",CTR_EARLIEST,""))))</f>
        <v/>
      </c>
      <c r="S418" s="23">
        <f>IF(OR($A418="",$E418=""),"",IFERROR(IF(INDEX(TYP_ANCHOR,MATCH($A418,TYP_TYPE,0))="Commissioning Start",IF($R418="","",$R418-INDEX(TYP_LEAD,MATCH($A418,TYP_TYPE,0))),IF(INDEX(MS_PLAN,MATCH(INDEX(TYP_ANCHOR,MATCH($A418,TYP_TYPE,0)),MS_NOM,0))="","",INDEX(MS_PLAN,MATCH(INDEX(TYP_ANCHOR,MATCH($A418,TYP_TYPE,0)),MS_NOM,0))-INDEX(TYP_LEAD,MATCH($A418,TYP_TYPE,0)))),""))</f>
        <v/>
      </c>
      <c r="T418" s="26">
        <f>IF(OR($A418="",$E418=""),0,IF($V418=1,0,1))</f>
        <v/>
      </c>
      <c r="U418" s="26">
        <f>IF($T418=0,0,IF($M418&lt;&gt;"",1,IF(IFERROR(INDEX(WF_CLASS,MATCH($H418,WF_CODE,0)),"")="Done",1,0)))</f>
        <v/>
      </c>
      <c r="V418" s="26">
        <f>IF(OR($A418="",$E418=""),0,IF(IFERROR(INDEX(WF_CLASS,MATCH($H418,WF_CODE,0)),"")="Inactive",1,0))</f>
        <v/>
      </c>
      <c r="W418" s="24">
        <f>IF($A418="","",IFERROR(INDEX(TYP_PHASE,MATCH($A418,TYP_TYPE,0)),"-"))</f>
        <v/>
      </c>
      <c r="X418" s="24">
        <f>IF(AND($T418=1,$U418=0,N($N418)&gt;0),$N418+ROW()/1000000,"")</f>
        <v/>
      </c>
      <c r="Y418" s="24">
        <f>IF(AND($T418=1,$U418=0,OR($I418&lt;&gt;"",N($N418)&gt;0)),N($N418)+ROW()/1000000,"")</f>
        <v/>
      </c>
      <c r="Z418" s="24">
        <f>IF(AND($T418=1,$U418=0,$I418="",N($N418)&lt;=0,-N($N418)&lt;=HORIZON),N($N418)+ROW()/1000000,"")</f>
        <v/>
      </c>
    </row>
    <row r="419">
      <c r="A419" s="21" t="n"/>
      <c r="B419" s="21" t="n"/>
      <c r="C419" s="21" t="n"/>
      <c r="D419" s="21" t="n"/>
      <c r="E419" s="21" t="n"/>
      <c r="F419" s="21" t="n"/>
      <c r="G419" s="21" t="n"/>
      <c r="H419" s="21" t="n"/>
      <c r="I419" s="22" t="n"/>
      <c r="J419" s="22" t="n"/>
      <c r="K419" s="23">
        <f>IF($A419="","",IF($J419&lt;&gt;"",$J419,$S419))</f>
        <v/>
      </c>
      <c r="L419" s="24">
        <f>IF(OR($A419="",$E419=""),"",IF($J419&lt;&gt;"","Manual",IF($S419="","-","Auto")))</f>
        <v/>
      </c>
      <c r="M419" s="22" t="n"/>
      <c r="N419" s="25">
        <f>IF($T419=0,"",IF($U419=1,IF($M419="","",$M419-$K419),IF($K419="","",TODAY()-$K419)))</f>
        <v/>
      </c>
      <c r="O419" s="24">
        <f>IF(OR($A419="",$E419=""),"",IF($V419=1,S_INACT,IF(ISNA(MATCH($A419,TYP_TYPE,0)),S_TYPEKO,IF($U419=1,S_DONE,IF(AND($K419="",$R419=""),S_NOSCOPE,IF($K419="",S_NOTARGET,IF($N419&gt;0,S_LATE,IF($I419&lt;&gt;"",S_WIP,IF(-$N419&lt;=FEN_DOC,S_RISK,IF(-$N419&lt;=HORIZON,S_COMING,S_NOTYET))))))))))</f>
        <v/>
      </c>
      <c r="P419" s="24">
        <f>IF(OR($A419="",$E419=""),"",IF($V419=1,"",IF(ISNA(MATCH($A419,TYP_TYPE,0)),"Type not in the library",IF($B419="","Scope not set",IF(AND($B419="System",$C419=""),"System not set",IF(AND($B419="Equipment",$D419=""),"Equipment not set",IF($F419="","Responsible not set",IF($K419="","No target date",IF(AND($B419="Equipment",$C419&lt;&gt;"",IFERROR(INDEX(EQP_SYS,MATCH($D419,EQP_NOM,0)),"")&lt;&gt;$C419),"Equipment not in that system",IF(AND($U419=1,$M419=""),"Approved with no approval date",""))))))))))</f>
        <v/>
      </c>
      <c r="Q419" s="21" t="n"/>
      <c r="R419" s="23">
        <f>IF(OR($A419="",$B419=""),"",IF($B419="Equipment",IFERROR(INDEX(EQP_START,MATCH($D419,EQP_NOM,0)),""),IF($B419="System",IFERROR(INDEX(SYS_EARLIEST,MATCH($C419,SYS_ID,0)),""),IF($B419="All",CTR_EARLIEST,""))))</f>
        <v/>
      </c>
      <c r="S419" s="23">
        <f>IF(OR($A419="",$E419=""),"",IFERROR(IF(INDEX(TYP_ANCHOR,MATCH($A419,TYP_TYPE,0))="Commissioning Start",IF($R419="","",$R419-INDEX(TYP_LEAD,MATCH($A419,TYP_TYPE,0))),IF(INDEX(MS_PLAN,MATCH(INDEX(TYP_ANCHOR,MATCH($A419,TYP_TYPE,0)),MS_NOM,0))="","",INDEX(MS_PLAN,MATCH(INDEX(TYP_ANCHOR,MATCH($A419,TYP_TYPE,0)),MS_NOM,0))-INDEX(TYP_LEAD,MATCH($A419,TYP_TYPE,0)))),""))</f>
        <v/>
      </c>
      <c r="T419" s="26">
        <f>IF(OR($A419="",$E419=""),0,IF($V419=1,0,1))</f>
        <v/>
      </c>
      <c r="U419" s="26">
        <f>IF($T419=0,0,IF($M419&lt;&gt;"",1,IF(IFERROR(INDEX(WF_CLASS,MATCH($H419,WF_CODE,0)),"")="Done",1,0)))</f>
        <v/>
      </c>
      <c r="V419" s="26">
        <f>IF(OR($A419="",$E419=""),0,IF(IFERROR(INDEX(WF_CLASS,MATCH($H419,WF_CODE,0)),"")="Inactive",1,0))</f>
        <v/>
      </c>
      <c r="W419" s="24">
        <f>IF($A419="","",IFERROR(INDEX(TYP_PHASE,MATCH($A419,TYP_TYPE,0)),"-"))</f>
        <v/>
      </c>
      <c r="X419" s="24">
        <f>IF(AND($T419=1,$U419=0,N($N419)&gt;0),$N419+ROW()/1000000,"")</f>
        <v/>
      </c>
      <c r="Y419" s="24">
        <f>IF(AND($T419=1,$U419=0,OR($I419&lt;&gt;"",N($N419)&gt;0)),N($N419)+ROW()/1000000,"")</f>
        <v/>
      </c>
      <c r="Z419" s="24">
        <f>IF(AND($T419=1,$U419=0,$I419="",N($N419)&lt;=0,-N($N419)&lt;=HORIZON),N($N419)+ROW()/1000000,"")</f>
        <v/>
      </c>
    </row>
    <row r="420">
      <c r="A420" s="21" t="n"/>
      <c r="B420" s="21" t="n"/>
      <c r="C420" s="21" t="n"/>
      <c r="D420" s="21" t="n"/>
      <c r="E420" s="21" t="n"/>
      <c r="F420" s="21" t="n"/>
      <c r="G420" s="21" t="n"/>
      <c r="H420" s="21" t="n"/>
      <c r="I420" s="22" t="n"/>
      <c r="J420" s="22" t="n"/>
      <c r="K420" s="23">
        <f>IF($A420="","",IF($J420&lt;&gt;"",$J420,$S420))</f>
        <v/>
      </c>
      <c r="L420" s="24">
        <f>IF(OR($A420="",$E420=""),"",IF($J420&lt;&gt;"","Manual",IF($S420="","-","Auto")))</f>
        <v/>
      </c>
      <c r="M420" s="22" t="n"/>
      <c r="N420" s="25">
        <f>IF($T420=0,"",IF($U420=1,IF($M420="","",$M420-$K420),IF($K420="","",TODAY()-$K420)))</f>
        <v/>
      </c>
      <c r="O420" s="24">
        <f>IF(OR($A420="",$E420=""),"",IF($V420=1,S_INACT,IF(ISNA(MATCH($A420,TYP_TYPE,0)),S_TYPEKO,IF($U420=1,S_DONE,IF(AND($K420="",$R420=""),S_NOSCOPE,IF($K420="",S_NOTARGET,IF($N420&gt;0,S_LATE,IF($I420&lt;&gt;"",S_WIP,IF(-$N420&lt;=FEN_DOC,S_RISK,IF(-$N420&lt;=HORIZON,S_COMING,S_NOTYET))))))))))</f>
        <v/>
      </c>
      <c r="P420" s="24">
        <f>IF(OR($A420="",$E420=""),"",IF($V420=1,"",IF(ISNA(MATCH($A420,TYP_TYPE,0)),"Type not in the library",IF($B420="","Scope not set",IF(AND($B420="System",$C420=""),"System not set",IF(AND($B420="Equipment",$D420=""),"Equipment not set",IF($F420="","Responsible not set",IF($K420="","No target date",IF(AND($B420="Equipment",$C420&lt;&gt;"",IFERROR(INDEX(EQP_SYS,MATCH($D420,EQP_NOM,0)),"")&lt;&gt;$C420),"Equipment not in that system",IF(AND($U420=1,$M420=""),"Approved with no approval date",""))))))))))</f>
        <v/>
      </c>
      <c r="Q420" s="21" t="n"/>
      <c r="R420" s="23">
        <f>IF(OR($A420="",$B420=""),"",IF($B420="Equipment",IFERROR(INDEX(EQP_START,MATCH($D420,EQP_NOM,0)),""),IF($B420="System",IFERROR(INDEX(SYS_EARLIEST,MATCH($C420,SYS_ID,0)),""),IF($B420="All",CTR_EARLIEST,""))))</f>
        <v/>
      </c>
      <c r="S420" s="23">
        <f>IF(OR($A420="",$E420=""),"",IFERROR(IF(INDEX(TYP_ANCHOR,MATCH($A420,TYP_TYPE,0))="Commissioning Start",IF($R420="","",$R420-INDEX(TYP_LEAD,MATCH($A420,TYP_TYPE,0))),IF(INDEX(MS_PLAN,MATCH(INDEX(TYP_ANCHOR,MATCH($A420,TYP_TYPE,0)),MS_NOM,0))="","",INDEX(MS_PLAN,MATCH(INDEX(TYP_ANCHOR,MATCH($A420,TYP_TYPE,0)),MS_NOM,0))-INDEX(TYP_LEAD,MATCH($A420,TYP_TYPE,0)))),""))</f>
        <v/>
      </c>
      <c r="T420" s="26">
        <f>IF(OR($A420="",$E420=""),0,IF($V420=1,0,1))</f>
        <v/>
      </c>
      <c r="U420" s="26">
        <f>IF($T420=0,0,IF($M420&lt;&gt;"",1,IF(IFERROR(INDEX(WF_CLASS,MATCH($H420,WF_CODE,0)),"")="Done",1,0)))</f>
        <v/>
      </c>
      <c r="V420" s="26">
        <f>IF(OR($A420="",$E420=""),0,IF(IFERROR(INDEX(WF_CLASS,MATCH($H420,WF_CODE,0)),"")="Inactive",1,0))</f>
        <v/>
      </c>
      <c r="W420" s="24">
        <f>IF($A420="","",IFERROR(INDEX(TYP_PHASE,MATCH($A420,TYP_TYPE,0)),"-"))</f>
        <v/>
      </c>
      <c r="X420" s="24">
        <f>IF(AND($T420=1,$U420=0,N($N420)&gt;0),$N420+ROW()/1000000,"")</f>
        <v/>
      </c>
      <c r="Y420" s="24">
        <f>IF(AND($T420=1,$U420=0,OR($I420&lt;&gt;"",N($N420)&gt;0)),N($N420)+ROW()/1000000,"")</f>
        <v/>
      </c>
      <c r="Z420" s="24">
        <f>IF(AND($T420=1,$U420=0,$I420="",N($N420)&lt;=0,-N($N420)&lt;=HORIZON),N($N420)+ROW()/1000000,"")</f>
        <v/>
      </c>
    </row>
    <row r="421">
      <c r="A421" s="21" t="n"/>
      <c r="B421" s="21" t="n"/>
      <c r="C421" s="21" t="n"/>
      <c r="D421" s="21" t="n"/>
      <c r="E421" s="21" t="n"/>
      <c r="F421" s="21" t="n"/>
      <c r="G421" s="21" t="n"/>
      <c r="H421" s="21" t="n"/>
      <c r="I421" s="22" t="n"/>
      <c r="J421" s="22" t="n"/>
      <c r="K421" s="23">
        <f>IF($A421="","",IF($J421&lt;&gt;"",$J421,$S421))</f>
        <v/>
      </c>
      <c r="L421" s="24">
        <f>IF(OR($A421="",$E421=""),"",IF($J421&lt;&gt;"","Manual",IF($S421="","-","Auto")))</f>
        <v/>
      </c>
      <c r="M421" s="22" t="n"/>
      <c r="N421" s="25">
        <f>IF($T421=0,"",IF($U421=1,IF($M421="","",$M421-$K421),IF($K421="","",TODAY()-$K421)))</f>
        <v/>
      </c>
      <c r="O421" s="24">
        <f>IF(OR($A421="",$E421=""),"",IF($V421=1,S_INACT,IF(ISNA(MATCH($A421,TYP_TYPE,0)),S_TYPEKO,IF($U421=1,S_DONE,IF(AND($K421="",$R421=""),S_NOSCOPE,IF($K421="",S_NOTARGET,IF($N421&gt;0,S_LATE,IF($I421&lt;&gt;"",S_WIP,IF(-$N421&lt;=FEN_DOC,S_RISK,IF(-$N421&lt;=HORIZON,S_COMING,S_NOTYET))))))))))</f>
        <v/>
      </c>
      <c r="P421" s="24">
        <f>IF(OR($A421="",$E421=""),"",IF($V421=1,"",IF(ISNA(MATCH($A421,TYP_TYPE,0)),"Type not in the library",IF($B421="","Scope not set",IF(AND($B421="System",$C421=""),"System not set",IF(AND($B421="Equipment",$D421=""),"Equipment not set",IF($F421="","Responsible not set",IF($K421="","No target date",IF(AND($B421="Equipment",$C421&lt;&gt;"",IFERROR(INDEX(EQP_SYS,MATCH($D421,EQP_NOM,0)),"")&lt;&gt;$C421),"Equipment not in that system",IF(AND($U421=1,$M421=""),"Approved with no approval date",""))))))))))</f>
        <v/>
      </c>
      <c r="Q421" s="21" t="n"/>
      <c r="R421" s="23">
        <f>IF(OR($A421="",$B421=""),"",IF($B421="Equipment",IFERROR(INDEX(EQP_START,MATCH($D421,EQP_NOM,0)),""),IF($B421="System",IFERROR(INDEX(SYS_EARLIEST,MATCH($C421,SYS_ID,0)),""),IF($B421="All",CTR_EARLIEST,""))))</f>
        <v/>
      </c>
      <c r="S421" s="23">
        <f>IF(OR($A421="",$E421=""),"",IFERROR(IF(INDEX(TYP_ANCHOR,MATCH($A421,TYP_TYPE,0))="Commissioning Start",IF($R421="","",$R421-INDEX(TYP_LEAD,MATCH($A421,TYP_TYPE,0))),IF(INDEX(MS_PLAN,MATCH(INDEX(TYP_ANCHOR,MATCH($A421,TYP_TYPE,0)),MS_NOM,0))="","",INDEX(MS_PLAN,MATCH(INDEX(TYP_ANCHOR,MATCH($A421,TYP_TYPE,0)),MS_NOM,0))-INDEX(TYP_LEAD,MATCH($A421,TYP_TYPE,0)))),""))</f>
        <v/>
      </c>
      <c r="T421" s="26">
        <f>IF(OR($A421="",$E421=""),0,IF($V421=1,0,1))</f>
        <v/>
      </c>
      <c r="U421" s="26">
        <f>IF($T421=0,0,IF($M421&lt;&gt;"",1,IF(IFERROR(INDEX(WF_CLASS,MATCH($H421,WF_CODE,0)),"")="Done",1,0)))</f>
        <v/>
      </c>
      <c r="V421" s="26">
        <f>IF(OR($A421="",$E421=""),0,IF(IFERROR(INDEX(WF_CLASS,MATCH($H421,WF_CODE,0)),"")="Inactive",1,0))</f>
        <v/>
      </c>
      <c r="W421" s="24">
        <f>IF($A421="","",IFERROR(INDEX(TYP_PHASE,MATCH($A421,TYP_TYPE,0)),"-"))</f>
        <v/>
      </c>
      <c r="X421" s="24">
        <f>IF(AND($T421=1,$U421=0,N($N421)&gt;0),$N421+ROW()/1000000,"")</f>
        <v/>
      </c>
      <c r="Y421" s="24">
        <f>IF(AND($T421=1,$U421=0,OR($I421&lt;&gt;"",N($N421)&gt;0)),N($N421)+ROW()/1000000,"")</f>
        <v/>
      </c>
      <c r="Z421" s="24">
        <f>IF(AND($T421=1,$U421=0,$I421="",N($N421)&lt;=0,-N($N421)&lt;=HORIZON),N($N421)+ROW()/1000000,"")</f>
        <v/>
      </c>
    </row>
    <row r="422">
      <c r="A422" s="21" t="n"/>
      <c r="B422" s="21" t="n"/>
      <c r="C422" s="21" t="n"/>
      <c r="D422" s="21" t="n"/>
      <c r="E422" s="21" t="n"/>
      <c r="F422" s="21" t="n"/>
      <c r="G422" s="21" t="n"/>
      <c r="H422" s="21" t="n"/>
      <c r="I422" s="22" t="n"/>
      <c r="J422" s="22" t="n"/>
      <c r="K422" s="23">
        <f>IF($A422="","",IF($J422&lt;&gt;"",$J422,$S422))</f>
        <v/>
      </c>
      <c r="L422" s="24">
        <f>IF(OR($A422="",$E422=""),"",IF($J422&lt;&gt;"","Manual",IF($S422="","-","Auto")))</f>
        <v/>
      </c>
      <c r="M422" s="22" t="n"/>
      <c r="N422" s="25">
        <f>IF($T422=0,"",IF($U422=1,IF($M422="","",$M422-$K422),IF($K422="","",TODAY()-$K422)))</f>
        <v/>
      </c>
      <c r="O422" s="24">
        <f>IF(OR($A422="",$E422=""),"",IF($V422=1,S_INACT,IF(ISNA(MATCH($A422,TYP_TYPE,0)),S_TYPEKO,IF($U422=1,S_DONE,IF(AND($K422="",$R422=""),S_NOSCOPE,IF($K422="",S_NOTARGET,IF($N422&gt;0,S_LATE,IF($I422&lt;&gt;"",S_WIP,IF(-$N422&lt;=FEN_DOC,S_RISK,IF(-$N422&lt;=HORIZON,S_COMING,S_NOTYET))))))))))</f>
        <v/>
      </c>
      <c r="P422" s="24">
        <f>IF(OR($A422="",$E422=""),"",IF($V422=1,"",IF(ISNA(MATCH($A422,TYP_TYPE,0)),"Type not in the library",IF($B422="","Scope not set",IF(AND($B422="System",$C422=""),"System not set",IF(AND($B422="Equipment",$D422=""),"Equipment not set",IF($F422="","Responsible not set",IF($K422="","No target date",IF(AND($B422="Equipment",$C422&lt;&gt;"",IFERROR(INDEX(EQP_SYS,MATCH($D422,EQP_NOM,0)),"")&lt;&gt;$C422),"Equipment not in that system",IF(AND($U422=1,$M422=""),"Approved with no approval date",""))))))))))</f>
        <v/>
      </c>
      <c r="Q422" s="21" t="n"/>
      <c r="R422" s="23">
        <f>IF(OR($A422="",$B422=""),"",IF($B422="Equipment",IFERROR(INDEX(EQP_START,MATCH($D422,EQP_NOM,0)),""),IF($B422="System",IFERROR(INDEX(SYS_EARLIEST,MATCH($C422,SYS_ID,0)),""),IF($B422="All",CTR_EARLIEST,""))))</f>
        <v/>
      </c>
      <c r="S422" s="23">
        <f>IF(OR($A422="",$E422=""),"",IFERROR(IF(INDEX(TYP_ANCHOR,MATCH($A422,TYP_TYPE,0))="Commissioning Start",IF($R422="","",$R422-INDEX(TYP_LEAD,MATCH($A422,TYP_TYPE,0))),IF(INDEX(MS_PLAN,MATCH(INDEX(TYP_ANCHOR,MATCH($A422,TYP_TYPE,0)),MS_NOM,0))="","",INDEX(MS_PLAN,MATCH(INDEX(TYP_ANCHOR,MATCH($A422,TYP_TYPE,0)),MS_NOM,0))-INDEX(TYP_LEAD,MATCH($A422,TYP_TYPE,0)))),""))</f>
        <v/>
      </c>
      <c r="T422" s="26">
        <f>IF(OR($A422="",$E422=""),0,IF($V422=1,0,1))</f>
        <v/>
      </c>
      <c r="U422" s="26">
        <f>IF($T422=0,0,IF($M422&lt;&gt;"",1,IF(IFERROR(INDEX(WF_CLASS,MATCH($H422,WF_CODE,0)),"")="Done",1,0)))</f>
        <v/>
      </c>
      <c r="V422" s="26">
        <f>IF(OR($A422="",$E422=""),0,IF(IFERROR(INDEX(WF_CLASS,MATCH($H422,WF_CODE,0)),"")="Inactive",1,0))</f>
        <v/>
      </c>
      <c r="W422" s="24">
        <f>IF($A422="","",IFERROR(INDEX(TYP_PHASE,MATCH($A422,TYP_TYPE,0)),"-"))</f>
        <v/>
      </c>
      <c r="X422" s="24">
        <f>IF(AND($T422=1,$U422=0,N($N422)&gt;0),$N422+ROW()/1000000,"")</f>
        <v/>
      </c>
      <c r="Y422" s="24">
        <f>IF(AND($T422=1,$U422=0,OR($I422&lt;&gt;"",N($N422)&gt;0)),N($N422)+ROW()/1000000,"")</f>
        <v/>
      </c>
      <c r="Z422" s="24">
        <f>IF(AND($T422=1,$U422=0,$I422="",N($N422)&lt;=0,-N($N422)&lt;=HORIZON),N($N422)+ROW()/1000000,"")</f>
        <v/>
      </c>
    </row>
    <row r="423">
      <c r="A423" s="21" t="n"/>
      <c r="B423" s="21" t="n"/>
      <c r="C423" s="21" t="n"/>
      <c r="D423" s="21" t="n"/>
      <c r="E423" s="21" t="n"/>
      <c r="F423" s="21" t="n"/>
      <c r="G423" s="21" t="n"/>
      <c r="H423" s="21" t="n"/>
      <c r="I423" s="22" t="n"/>
      <c r="J423" s="22" t="n"/>
      <c r="K423" s="23">
        <f>IF($A423="","",IF($J423&lt;&gt;"",$J423,$S423))</f>
        <v/>
      </c>
      <c r="L423" s="24">
        <f>IF(OR($A423="",$E423=""),"",IF($J423&lt;&gt;"","Manual",IF($S423="","-","Auto")))</f>
        <v/>
      </c>
      <c r="M423" s="22" t="n"/>
      <c r="N423" s="25">
        <f>IF($T423=0,"",IF($U423=1,IF($M423="","",$M423-$K423),IF($K423="","",TODAY()-$K423)))</f>
        <v/>
      </c>
      <c r="O423" s="24">
        <f>IF(OR($A423="",$E423=""),"",IF($V423=1,S_INACT,IF(ISNA(MATCH($A423,TYP_TYPE,0)),S_TYPEKO,IF($U423=1,S_DONE,IF(AND($K423="",$R423=""),S_NOSCOPE,IF($K423="",S_NOTARGET,IF($N423&gt;0,S_LATE,IF($I423&lt;&gt;"",S_WIP,IF(-$N423&lt;=FEN_DOC,S_RISK,IF(-$N423&lt;=HORIZON,S_COMING,S_NOTYET))))))))))</f>
        <v/>
      </c>
      <c r="P423" s="24">
        <f>IF(OR($A423="",$E423=""),"",IF($V423=1,"",IF(ISNA(MATCH($A423,TYP_TYPE,0)),"Type not in the library",IF($B423="","Scope not set",IF(AND($B423="System",$C423=""),"System not set",IF(AND($B423="Equipment",$D423=""),"Equipment not set",IF($F423="","Responsible not set",IF($K423="","No target date",IF(AND($B423="Equipment",$C423&lt;&gt;"",IFERROR(INDEX(EQP_SYS,MATCH($D423,EQP_NOM,0)),"")&lt;&gt;$C423),"Equipment not in that system",IF(AND($U423=1,$M423=""),"Approved with no approval date",""))))))))))</f>
        <v/>
      </c>
      <c r="Q423" s="21" t="n"/>
      <c r="R423" s="23">
        <f>IF(OR($A423="",$B423=""),"",IF($B423="Equipment",IFERROR(INDEX(EQP_START,MATCH($D423,EQP_NOM,0)),""),IF($B423="System",IFERROR(INDEX(SYS_EARLIEST,MATCH($C423,SYS_ID,0)),""),IF($B423="All",CTR_EARLIEST,""))))</f>
        <v/>
      </c>
      <c r="S423" s="23">
        <f>IF(OR($A423="",$E423=""),"",IFERROR(IF(INDEX(TYP_ANCHOR,MATCH($A423,TYP_TYPE,0))="Commissioning Start",IF($R423="","",$R423-INDEX(TYP_LEAD,MATCH($A423,TYP_TYPE,0))),IF(INDEX(MS_PLAN,MATCH(INDEX(TYP_ANCHOR,MATCH($A423,TYP_TYPE,0)),MS_NOM,0))="","",INDEX(MS_PLAN,MATCH(INDEX(TYP_ANCHOR,MATCH($A423,TYP_TYPE,0)),MS_NOM,0))-INDEX(TYP_LEAD,MATCH($A423,TYP_TYPE,0)))),""))</f>
        <v/>
      </c>
      <c r="T423" s="26">
        <f>IF(OR($A423="",$E423=""),0,IF($V423=1,0,1))</f>
        <v/>
      </c>
      <c r="U423" s="26">
        <f>IF($T423=0,0,IF($M423&lt;&gt;"",1,IF(IFERROR(INDEX(WF_CLASS,MATCH($H423,WF_CODE,0)),"")="Done",1,0)))</f>
        <v/>
      </c>
      <c r="V423" s="26">
        <f>IF(OR($A423="",$E423=""),0,IF(IFERROR(INDEX(WF_CLASS,MATCH($H423,WF_CODE,0)),"")="Inactive",1,0))</f>
        <v/>
      </c>
      <c r="W423" s="24">
        <f>IF($A423="","",IFERROR(INDEX(TYP_PHASE,MATCH($A423,TYP_TYPE,0)),"-"))</f>
        <v/>
      </c>
      <c r="X423" s="24">
        <f>IF(AND($T423=1,$U423=0,N($N423)&gt;0),$N423+ROW()/1000000,"")</f>
        <v/>
      </c>
      <c r="Y423" s="24">
        <f>IF(AND($T423=1,$U423=0,OR($I423&lt;&gt;"",N($N423)&gt;0)),N($N423)+ROW()/1000000,"")</f>
        <v/>
      </c>
      <c r="Z423" s="24">
        <f>IF(AND($T423=1,$U423=0,$I423="",N($N423)&lt;=0,-N($N423)&lt;=HORIZON),N($N423)+ROW()/1000000,"")</f>
        <v/>
      </c>
    </row>
    <row r="424">
      <c r="A424" s="21" t="n"/>
      <c r="B424" s="21" t="n"/>
      <c r="C424" s="21" t="n"/>
      <c r="D424" s="21" t="n"/>
      <c r="E424" s="21" t="n"/>
      <c r="F424" s="21" t="n"/>
      <c r="G424" s="21" t="n"/>
      <c r="H424" s="21" t="n"/>
      <c r="I424" s="22" t="n"/>
      <c r="J424" s="22" t="n"/>
      <c r="K424" s="23">
        <f>IF($A424="","",IF($J424&lt;&gt;"",$J424,$S424))</f>
        <v/>
      </c>
      <c r="L424" s="24">
        <f>IF(OR($A424="",$E424=""),"",IF($J424&lt;&gt;"","Manual",IF($S424="","-","Auto")))</f>
        <v/>
      </c>
      <c r="M424" s="22" t="n"/>
      <c r="N424" s="25">
        <f>IF($T424=0,"",IF($U424=1,IF($M424="","",$M424-$K424),IF($K424="","",TODAY()-$K424)))</f>
        <v/>
      </c>
      <c r="O424" s="24">
        <f>IF(OR($A424="",$E424=""),"",IF($V424=1,S_INACT,IF(ISNA(MATCH($A424,TYP_TYPE,0)),S_TYPEKO,IF($U424=1,S_DONE,IF(AND($K424="",$R424=""),S_NOSCOPE,IF($K424="",S_NOTARGET,IF($N424&gt;0,S_LATE,IF($I424&lt;&gt;"",S_WIP,IF(-$N424&lt;=FEN_DOC,S_RISK,IF(-$N424&lt;=HORIZON,S_COMING,S_NOTYET))))))))))</f>
        <v/>
      </c>
      <c r="P424" s="24">
        <f>IF(OR($A424="",$E424=""),"",IF($V424=1,"",IF(ISNA(MATCH($A424,TYP_TYPE,0)),"Type not in the library",IF($B424="","Scope not set",IF(AND($B424="System",$C424=""),"System not set",IF(AND($B424="Equipment",$D424=""),"Equipment not set",IF($F424="","Responsible not set",IF($K424="","No target date",IF(AND($B424="Equipment",$C424&lt;&gt;"",IFERROR(INDEX(EQP_SYS,MATCH($D424,EQP_NOM,0)),"")&lt;&gt;$C424),"Equipment not in that system",IF(AND($U424=1,$M424=""),"Approved with no approval date",""))))))))))</f>
        <v/>
      </c>
      <c r="Q424" s="21" t="n"/>
      <c r="R424" s="23">
        <f>IF(OR($A424="",$B424=""),"",IF($B424="Equipment",IFERROR(INDEX(EQP_START,MATCH($D424,EQP_NOM,0)),""),IF($B424="System",IFERROR(INDEX(SYS_EARLIEST,MATCH($C424,SYS_ID,0)),""),IF($B424="All",CTR_EARLIEST,""))))</f>
        <v/>
      </c>
      <c r="S424" s="23">
        <f>IF(OR($A424="",$E424=""),"",IFERROR(IF(INDEX(TYP_ANCHOR,MATCH($A424,TYP_TYPE,0))="Commissioning Start",IF($R424="","",$R424-INDEX(TYP_LEAD,MATCH($A424,TYP_TYPE,0))),IF(INDEX(MS_PLAN,MATCH(INDEX(TYP_ANCHOR,MATCH($A424,TYP_TYPE,0)),MS_NOM,0))="","",INDEX(MS_PLAN,MATCH(INDEX(TYP_ANCHOR,MATCH($A424,TYP_TYPE,0)),MS_NOM,0))-INDEX(TYP_LEAD,MATCH($A424,TYP_TYPE,0)))),""))</f>
        <v/>
      </c>
      <c r="T424" s="26">
        <f>IF(OR($A424="",$E424=""),0,IF($V424=1,0,1))</f>
        <v/>
      </c>
      <c r="U424" s="26">
        <f>IF($T424=0,0,IF($M424&lt;&gt;"",1,IF(IFERROR(INDEX(WF_CLASS,MATCH($H424,WF_CODE,0)),"")="Done",1,0)))</f>
        <v/>
      </c>
      <c r="V424" s="26">
        <f>IF(OR($A424="",$E424=""),0,IF(IFERROR(INDEX(WF_CLASS,MATCH($H424,WF_CODE,0)),"")="Inactive",1,0))</f>
        <v/>
      </c>
      <c r="W424" s="24">
        <f>IF($A424="","",IFERROR(INDEX(TYP_PHASE,MATCH($A424,TYP_TYPE,0)),"-"))</f>
        <v/>
      </c>
      <c r="X424" s="24">
        <f>IF(AND($T424=1,$U424=0,N($N424)&gt;0),$N424+ROW()/1000000,"")</f>
        <v/>
      </c>
      <c r="Y424" s="24">
        <f>IF(AND($T424=1,$U424=0,OR($I424&lt;&gt;"",N($N424)&gt;0)),N($N424)+ROW()/1000000,"")</f>
        <v/>
      </c>
      <c r="Z424" s="24">
        <f>IF(AND($T424=1,$U424=0,$I424="",N($N424)&lt;=0,-N($N424)&lt;=HORIZON),N($N424)+ROW()/1000000,"")</f>
        <v/>
      </c>
    </row>
    <row r="425">
      <c r="A425" s="21" t="n"/>
      <c r="B425" s="21" t="n"/>
      <c r="C425" s="21" t="n"/>
      <c r="D425" s="21" t="n"/>
      <c r="E425" s="21" t="n"/>
      <c r="F425" s="21" t="n"/>
      <c r="G425" s="21" t="n"/>
      <c r="H425" s="21" t="n"/>
      <c r="I425" s="22" t="n"/>
      <c r="J425" s="22" t="n"/>
      <c r="K425" s="23">
        <f>IF($A425="","",IF($J425&lt;&gt;"",$J425,$S425))</f>
        <v/>
      </c>
      <c r="L425" s="24">
        <f>IF(OR($A425="",$E425=""),"",IF($J425&lt;&gt;"","Manual",IF($S425="","-","Auto")))</f>
        <v/>
      </c>
      <c r="M425" s="22" t="n"/>
      <c r="N425" s="25">
        <f>IF($T425=0,"",IF($U425=1,IF($M425="","",$M425-$K425),IF($K425="","",TODAY()-$K425)))</f>
        <v/>
      </c>
      <c r="O425" s="24">
        <f>IF(OR($A425="",$E425=""),"",IF($V425=1,S_INACT,IF(ISNA(MATCH($A425,TYP_TYPE,0)),S_TYPEKO,IF($U425=1,S_DONE,IF(AND($K425="",$R425=""),S_NOSCOPE,IF($K425="",S_NOTARGET,IF($N425&gt;0,S_LATE,IF($I425&lt;&gt;"",S_WIP,IF(-$N425&lt;=FEN_DOC,S_RISK,IF(-$N425&lt;=HORIZON,S_COMING,S_NOTYET))))))))))</f>
        <v/>
      </c>
      <c r="P425" s="24">
        <f>IF(OR($A425="",$E425=""),"",IF($V425=1,"",IF(ISNA(MATCH($A425,TYP_TYPE,0)),"Type not in the library",IF($B425="","Scope not set",IF(AND($B425="System",$C425=""),"System not set",IF(AND($B425="Equipment",$D425=""),"Equipment not set",IF($F425="","Responsible not set",IF($K425="","No target date",IF(AND($B425="Equipment",$C425&lt;&gt;"",IFERROR(INDEX(EQP_SYS,MATCH($D425,EQP_NOM,0)),"")&lt;&gt;$C425),"Equipment not in that system",IF(AND($U425=1,$M425=""),"Approved with no approval date",""))))))))))</f>
        <v/>
      </c>
      <c r="Q425" s="21" t="n"/>
      <c r="R425" s="23">
        <f>IF(OR($A425="",$B425=""),"",IF($B425="Equipment",IFERROR(INDEX(EQP_START,MATCH($D425,EQP_NOM,0)),""),IF($B425="System",IFERROR(INDEX(SYS_EARLIEST,MATCH($C425,SYS_ID,0)),""),IF($B425="All",CTR_EARLIEST,""))))</f>
        <v/>
      </c>
      <c r="S425" s="23">
        <f>IF(OR($A425="",$E425=""),"",IFERROR(IF(INDEX(TYP_ANCHOR,MATCH($A425,TYP_TYPE,0))="Commissioning Start",IF($R425="","",$R425-INDEX(TYP_LEAD,MATCH($A425,TYP_TYPE,0))),IF(INDEX(MS_PLAN,MATCH(INDEX(TYP_ANCHOR,MATCH($A425,TYP_TYPE,0)),MS_NOM,0))="","",INDEX(MS_PLAN,MATCH(INDEX(TYP_ANCHOR,MATCH($A425,TYP_TYPE,0)),MS_NOM,0))-INDEX(TYP_LEAD,MATCH($A425,TYP_TYPE,0)))),""))</f>
        <v/>
      </c>
      <c r="T425" s="26">
        <f>IF(OR($A425="",$E425=""),0,IF($V425=1,0,1))</f>
        <v/>
      </c>
      <c r="U425" s="26">
        <f>IF($T425=0,0,IF($M425&lt;&gt;"",1,IF(IFERROR(INDEX(WF_CLASS,MATCH($H425,WF_CODE,0)),"")="Done",1,0)))</f>
        <v/>
      </c>
      <c r="V425" s="26">
        <f>IF(OR($A425="",$E425=""),0,IF(IFERROR(INDEX(WF_CLASS,MATCH($H425,WF_CODE,0)),"")="Inactive",1,0))</f>
        <v/>
      </c>
      <c r="W425" s="24">
        <f>IF($A425="","",IFERROR(INDEX(TYP_PHASE,MATCH($A425,TYP_TYPE,0)),"-"))</f>
        <v/>
      </c>
      <c r="X425" s="24">
        <f>IF(AND($T425=1,$U425=0,N($N425)&gt;0),$N425+ROW()/1000000,"")</f>
        <v/>
      </c>
      <c r="Y425" s="24">
        <f>IF(AND($T425=1,$U425=0,OR($I425&lt;&gt;"",N($N425)&gt;0)),N($N425)+ROW()/1000000,"")</f>
        <v/>
      </c>
      <c r="Z425" s="24">
        <f>IF(AND($T425=1,$U425=0,$I425="",N($N425)&lt;=0,-N($N425)&lt;=HORIZON),N($N425)+ROW()/1000000,"")</f>
        <v/>
      </c>
    </row>
    <row r="426">
      <c r="A426" s="21" t="n"/>
      <c r="B426" s="21" t="n"/>
      <c r="C426" s="21" t="n"/>
      <c r="D426" s="21" t="n"/>
      <c r="E426" s="21" t="n"/>
      <c r="F426" s="21" t="n"/>
      <c r="G426" s="21" t="n"/>
      <c r="H426" s="21" t="n"/>
      <c r="I426" s="22" t="n"/>
      <c r="J426" s="22" t="n"/>
      <c r="K426" s="23">
        <f>IF($A426="","",IF($J426&lt;&gt;"",$J426,$S426))</f>
        <v/>
      </c>
      <c r="L426" s="24">
        <f>IF(OR($A426="",$E426=""),"",IF($J426&lt;&gt;"","Manual",IF($S426="","-","Auto")))</f>
        <v/>
      </c>
      <c r="M426" s="22" t="n"/>
      <c r="N426" s="25">
        <f>IF($T426=0,"",IF($U426=1,IF($M426="","",$M426-$K426),IF($K426="","",TODAY()-$K426)))</f>
        <v/>
      </c>
      <c r="O426" s="24">
        <f>IF(OR($A426="",$E426=""),"",IF($V426=1,S_INACT,IF(ISNA(MATCH($A426,TYP_TYPE,0)),S_TYPEKO,IF($U426=1,S_DONE,IF(AND($K426="",$R426=""),S_NOSCOPE,IF($K426="",S_NOTARGET,IF($N426&gt;0,S_LATE,IF($I426&lt;&gt;"",S_WIP,IF(-$N426&lt;=FEN_DOC,S_RISK,IF(-$N426&lt;=HORIZON,S_COMING,S_NOTYET))))))))))</f>
        <v/>
      </c>
      <c r="P426" s="24">
        <f>IF(OR($A426="",$E426=""),"",IF($V426=1,"",IF(ISNA(MATCH($A426,TYP_TYPE,0)),"Type not in the library",IF($B426="","Scope not set",IF(AND($B426="System",$C426=""),"System not set",IF(AND($B426="Equipment",$D426=""),"Equipment not set",IF($F426="","Responsible not set",IF($K426="","No target date",IF(AND($B426="Equipment",$C426&lt;&gt;"",IFERROR(INDEX(EQP_SYS,MATCH($D426,EQP_NOM,0)),"")&lt;&gt;$C426),"Equipment not in that system",IF(AND($U426=1,$M426=""),"Approved with no approval date",""))))))))))</f>
        <v/>
      </c>
      <c r="Q426" s="21" t="n"/>
      <c r="R426" s="23">
        <f>IF(OR($A426="",$B426=""),"",IF($B426="Equipment",IFERROR(INDEX(EQP_START,MATCH($D426,EQP_NOM,0)),""),IF($B426="System",IFERROR(INDEX(SYS_EARLIEST,MATCH($C426,SYS_ID,0)),""),IF($B426="All",CTR_EARLIEST,""))))</f>
        <v/>
      </c>
      <c r="S426" s="23">
        <f>IF(OR($A426="",$E426=""),"",IFERROR(IF(INDEX(TYP_ANCHOR,MATCH($A426,TYP_TYPE,0))="Commissioning Start",IF($R426="","",$R426-INDEX(TYP_LEAD,MATCH($A426,TYP_TYPE,0))),IF(INDEX(MS_PLAN,MATCH(INDEX(TYP_ANCHOR,MATCH($A426,TYP_TYPE,0)),MS_NOM,0))="","",INDEX(MS_PLAN,MATCH(INDEX(TYP_ANCHOR,MATCH($A426,TYP_TYPE,0)),MS_NOM,0))-INDEX(TYP_LEAD,MATCH($A426,TYP_TYPE,0)))),""))</f>
        <v/>
      </c>
      <c r="T426" s="26">
        <f>IF(OR($A426="",$E426=""),0,IF($V426=1,0,1))</f>
        <v/>
      </c>
      <c r="U426" s="26">
        <f>IF($T426=0,0,IF($M426&lt;&gt;"",1,IF(IFERROR(INDEX(WF_CLASS,MATCH($H426,WF_CODE,0)),"")="Done",1,0)))</f>
        <v/>
      </c>
      <c r="V426" s="26">
        <f>IF(OR($A426="",$E426=""),0,IF(IFERROR(INDEX(WF_CLASS,MATCH($H426,WF_CODE,0)),"")="Inactive",1,0))</f>
        <v/>
      </c>
      <c r="W426" s="24">
        <f>IF($A426="","",IFERROR(INDEX(TYP_PHASE,MATCH($A426,TYP_TYPE,0)),"-"))</f>
        <v/>
      </c>
      <c r="X426" s="24">
        <f>IF(AND($T426=1,$U426=0,N($N426)&gt;0),$N426+ROW()/1000000,"")</f>
        <v/>
      </c>
      <c r="Y426" s="24">
        <f>IF(AND($T426=1,$U426=0,OR($I426&lt;&gt;"",N($N426)&gt;0)),N($N426)+ROW()/1000000,"")</f>
        <v/>
      </c>
      <c r="Z426" s="24">
        <f>IF(AND($T426=1,$U426=0,$I426="",N($N426)&lt;=0,-N($N426)&lt;=HORIZON),N($N426)+ROW()/1000000,"")</f>
        <v/>
      </c>
    </row>
    <row r="427">
      <c r="A427" s="21" t="n"/>
      <c r="B427" s="21" t="n"/>
      <c r="C427" s="21" t="n"/>
      <c r="D427" s="21" t="n"/>
      <c r="E427" s="21" t="n"/>
      <c r="F427" s="21" t="n"/>
      <c r="G427" s="21" t="n"/>
      <c r="H427" s="21" t="n"/>
      <c r="I427" s="22" t="n"/>
      <c r="J427" s="22" t="n"/>
      <c r="K427" s="23">
        <f>IF($A427="","",IF($J427&lt;&gt;"",$J427,$S427))</f>
        <v/>
      </c>
      <c r="L427" s="24">
        <f>IF(OR($A427="",$E427=""),"",IF($J427&lt;&gt;"","Manual",IF($S427="","-","Auto")))</f>
        <v/>
      </c>
      <c r="M427" s="22" t="n"/>
      <c r="N427" s="25">
        <f>IF($T427=0,"",IF($U427=1,IF($M427="","",$M427-$K427),IF($K427="","",TODAY()-$K427)))</f>
        <v/>
      </c>
      <c r="O427" s="24">
        <f>IF(OR($A427="",$E427=""),"",IF($V427=1,S_INACT,IF(ISNA(MATCH($A427,TYP_TYPE,0)),S_TYPEKO,IF($U427=1,S_DONE,IF(AND($K427="",$R427=""),S_NOSCOPE,IF($K427="",S_NOTARGET,IF($N427&gt;0,S_LATE,IF($I427&lt;&gt;"",S_WIP,IF(-$N427&lt;=FEN_DOC,S_RISK,IF(-$N427&lt;=HORIZON,S_COMING,S_NOTYET))))))))))</f>
        <v/>
      </c>
      <c r="P427" s="24">
        <f>IF(OR($A427="",$E427=""),"",IF($V427=1,"",IF(ISNA(MATCH($A427,TYP_TYPE,0)),"Type not in the library",IF($B427="","Scope not set",IF(AND($B427="System",$C427=""),"System not set",IF(AND($B427="Equipment",$D427=""),"Equipment not set",IF($F427="","Responsible not set",IF($K427="","No target date",IF(AND($B427="Equipment",$C427&lt;&gt;"",IFERROR(INDEX(EQP_SYS,MATCH($D427,EQP_NOM,0)),"")&lt;&gt;$C427),"Equipment not in that system",IF(AND($U427=1,$M427=""),"Approved with no approval date",""))))))))))</f>
        <v/>
      </c>
      <c r="Q427" s="21" t="n"/>
      <c r="R427" s="23">
        <f>IF(OR($A427="",$B427=""),"",IF($B427="Equipment",IFERROR(INDEX(EQP_START,MATCH($D427,EQP_NOM,0)),""),IF($B427="System",IFERROR(INDEX(SYS_EARLIEST,MATCH($C427,SYS_ID,0)),""),IF($B427="All",CTR_EARLIEST,""))))</f>
        <v/>
      </c>
      <c r="S427" s="23">
        <f>IF(OR($A427="",$E427=""),"",IFERROR(IF(INDEX(TYP_ANCHOR,MATCH($A427,TYP_TYPE,0))="Commissioning Start",IF($R427="","",$R427-INDEX(TYP_LEAD,MATCH($A427,TYP_TYPE,0))),IF(INDEX(MS_PLAN,MATCH(INDEX(TYP_ANCHOR,MATCH($A427,TYP_TYPE,0)),MS_NOM,0))="","",INDEX(MS_PLAN,MATCH(INDEX(TYP_ANCHOR,MATCH($A427,TYP_TYPE,0)),MS_NOM,0))-INDEX(TYP_LEAD,MATCH($A427,TYP_TYPE,0)))),""))</f>
        <v/>
      </c>
      <c r="T427" s="26">
        <f>IF(OR($A427="",$E427=""),0,IF($V427=1,0,1))</f>
        <v/>
      </c>
      <c r="U427" s="26">
        <f>IF($T427=0,0,IF($M427&lt;&gt;"",1,IF(IFERROR(INDEX(WF_CLASS,MATCH($H427,WF_CODE,0)),"")="Done",1,0)))</f>
        <v/>
      </c>
      <c r="V427" s="26">
        <f>IF(OR($A427="",$E427=""),0,IF(IFERROR(INDEX(WF_CLASS,MATCH($H427,WF_CODE,0)),"")="Inactive",1,0))</f>
        <v/>
      </c>
      <c r="W427" s="24">
        <f>IF($A427="","",IFERROR(INDEX(TYP_PHASE,MATCH($A427,TYP_TYPE,0)),"-"))</f>
        <v/>
      </c>
      <c r="X427" s="24">
        <f>IF(AND($T427=1,$U427=0,N($N427)&gt;0),$N427+ROW()/1000000,"")</f>
        <v/>
      </c>
      <c r="Y427" s="24">
        <f>IF(AND($T427=1,$U427=0,OR($I427&lt;&gt;"",N($N427)&gt;0)),N($N427)+ROW()/1000000,"")</f>
        <v/>
      </c>
      <c r="Z427" s="24">
        <f>IF(AND($T427=1,$U427=0,$I427="",N($N427)&lt;=0,-N($N427)&lt;=HORIZON),N($N427)+ROW()/1000000,"")</f>
        <v/>
      </c>
    </row>
    <row r="428">
      <c r="A428" s="21" t="n"/>
      <c r="B428" s="21" t="n"/>
      <c r="C428" s="21" t="n"/>
      <c r="D428" s="21" t="n"/>
      <c r="E428" s="21" t="n"/>
      <c r="F428" s="21" t="n"/>
      <c r="G428" s="21" t="n"/>
      <c r="H428" s="21" t="n"/>
      <c r="I428" s="22" t="n"/>
      <c r="J428" s="22" t="n"/>
      <c r="K428" s="23">
        <f>IF($A428="","",IF($J428&lt;&gt;"",$J428,$S428))</f>
        <v/>
      </c>
      <c r="L428" s="24">
        <f>IF(OR($A428="",$E428=""),"",IF($J428&lt;&gt;"","Manual",IF($S428="","-","Auto")))</f>
        <v/>
      </c>
      <c r="M428" s="22" t="n"/>
      <c r="N428" s="25">
        <f>IF($T428=0,"",IF($U428=1,IF($M428="","",$M428-$K428),IF($K428="","",TODAY()-$K428)))</f>
        <v/>
      </c>
      <c r="O428" s="24">
        <f>IF(OR($A428="",$E428=""),"",IF($V428=1,S_INACT,IF(ISNA(MATCH($A428,TYP_TYPE,0)),S_TYPEKO,IF($U428=1,S_DONE,IF(AND($K428="",$R428=""),S_NOSCOPE,IF($K428="",S_NOTARGET,IF($N428&gt;0,S_LATE,IF($I428&lt;&gt;"",S_WIP,IF(-$N428&lt;=FEN_DOC,S_RISK,IF(-$N428&lt;=HORIZON,S_COMING,S_NOTYET))))))))))</f>
        <v/>
      </c>
      <c r="P428" s="24">
        <f>IF(OR($A428="",$E428=""),"",IF($V428=1,"",IF(ISNA(MATCH($A428,TYP_TYPE,0)),"Type not in the library",IF($B428="","Scope not set",IF(AND($B428="System",$C428=""),"System not set",IF(AND($B428="Equipment",$D428=""),"Equipment not set",IF($F428="","Responsible not set",IF($K428="","No target date",IF(AND($B428="Equipment",$C428&lt;&gt;"",IFERROR(INDEX(EQP_SYS,MATCH($D428,EQP_NOM,0)),"")&lt;&gt;$C428),"Equipment not in that system",IF(AND($U428=1,$M428=""),"Approved with no approval date",""))))))))))</f>
        <v/>
      </c>
      <c r="Q428" s="21" t="n"/>
      <c r="R428" s="23">
        <f>IF(OR($A428="",$B428=""),"",IF($B428="Equipment",IFERROR(INDEX(EQP_START,MATCH($D428,EQP_NOM,0)),""),IF($B428="System",IFERROR(INDEX(SYS_EARLIEST,MATCH($C428,SYS_ID,0)),""),IF($B428="All",CTR_EARLIEST,""))))</f>
        <v/>
      </c>
      <c r="S428" s="23">
        <f>IF(OR($A428="",$E428=""),"",IFERROR(IF(INDEX(TYP_ANCHOR,MATCH($A428,TYP_TYPE,0))="Commissioning Start",IF($R428="","",$R428-INDEX(TYP_LEAD,MATCH($A428,TYP_TYPE,0))),IF(INDEX(MS_PLAN,MATCH(INDEX(TYP_ANCHOR,MATCH($A428,TYP_TYPE,0)),MS_NOM,0))="","",INDEX(MS_PLAN,MATCH(INDEX(TYP_ANCHOR,MATCH($A428,TYP_TYPE,0)),MS_NOM,0))-INDEX(TYP_LEAD,MATCH($A428,TYP_TYPE,0)))),""))</f>
        <v/>
      </c>
      <c r="T428" s="26">
        <f>IF(OR($A428="",$E428=""),0,IF($V428=1,0,1))</f>
        <v/>
      </c>
      <c r="U428" s="26">
        <f>IF($T428=0,0,IF($M428&lt;&gt;"",1,IF(IFERROR(INDEX(WF_CLASS,MATCH($H428,WF_CODE,0)),"")="Done",1,0)))</f>
        <v/>
      </c>
      <c r="V428" s="26">
        <f>IF(OR($A428="",$E428=""),0,IF(IFERROR(INDEX(WF_CLASS,MATCH($H428,WF_CODE,0)),"")="Inactive",1,0))</f>
        <v/>
      </c>
      <c r="W428" s="24">
        <f>IF($A428="","",IFERROR(INDEX(TYP_PHASE,MATCH($A428,TYP_TYPE,0)),"-"))</f>
        <v/>
      </c>
      <c r="X428" s="24">
        <f>IF(AND($T428=1,$U428=0,N($N428)&gt;0),$N428+ROW()/1000000,"")</f>
        <v/>
      </c>
      <c r="Y428" s="24">
        <f>IF(AND($T428=1,$U428=0,OR($I428&lt;&gt;"",N($N428)&gt;0)),N($N428)+ROW()/1000000,"")</f>
        <v/>
      </c>
      <c r="Z428" s="24">
        <f>IF(AND($T428=1,$U428=0,$I428="",N($N428)&lt;=0,-N($N428)&lt;=HORIZON),N($N428)+ROW()/1000000,"")</f>
        <v/>
      </c>
    </row>
    <row r="429">
      <c r="A429" s="21" t="n"/>
      <c r="B429" s="21" t="n"/>
      <c r="C429" s="21" t="n"/>
      <c r="D429" s="21" t="n"/>
      <c r="E429" s="21" t="n"/>
      <c r="F429" s="21" t="n"/>
      <c r="G429" s="21" t="n"/>
      <c r="H429" s="21" t="n"/>
      <c r="I429" s="22" t="n"/>
      <c r="J429" s="22" t="n"/>
      <c r="K429" s="23">
        <f>IF($A429="","",IF($J429&lt;&gt;"",$J429,$S429))</f>
        <v/>
      </c>
      <c r="L429" s="24">
        <f>IF(OR($A429="",$E429=""),"",IF($J429&lt;&gt;"","Manual",IF($S429="","-","Auto")))</f>
        <v/>
      </c>
      <c r="M429" s="22" t="n"/>
      <c r="N429" s="25">
        <f>IF($T429=0,"",IF($U429=1,IF($M429="","",$M429-$K429),IF($K429="","",TODAY()-$K429)))</f>
        <v/>
      </c>
      <c r="O429" s="24">
        <f>IF(OR($A429="",$E429=""),"",IF($V429=1,S_INACT,IF(ISNA(MATCH($A429,TYP_TYPE,0)),S_TYPEKO,IF($U429=1,S_DONE,IF(AND($K429="",$R429=""),S_NOSCOPE,IF($K429="",S_NOTARGET,IF($N429&gt;0,S_LATE,IF($I429&lt;&gt;"",S_WIP,IF(-$N429&lt;=FEN_DOC,S_RISK,IF(-$N429&lt;=HORIZON,S_COMING,S_NOTYET))))))))))</f>
        <v/>
      </c>
      <c r="P429" s="24">
        <f>IF(OR($A429="",$E429=""),"",IF($V429=1,"",IF(ISNA(MATCH($A429,TYP_TYPE,0)),"Type not in the library",IF($B429="","Scope not set",IF(AND($B429="System",$C429=""),"System not set",IF(AND($B429="Equipment",$D429=""),"Equipment not set",IF($F429="","Responsible not set",IF($K429="","No target date",IF(AND($B429="Equipment",$C429&lt;&gt;"",IFERROR(INDEX(EQP_SYS,MATCH($D429,EQP_NOM,0)),"")&lt;&gt;$C429),"Equipment not in that system",IF(AND($U429=1,$M429=""),"Approved with no approval date",""))))))))))</f>
        <v/>
      </c>
      <c r="Q429" s="21" t="n"/>
      <c r="R429" s="23">
        <f>IF(OR($A429="",$B429=""),"",IF($B429="Equipment",IFERROR(INDEX(EQP_START,MATCH($D429,EQP_NOM,0)),""),IF($B429="System",IFERROR(INDEX(SYS_EARLIEST,MATCH($C429,SYS_ID,0)),""),IF($B429="All",CTR_EARLIEST,""))))</f>
        <v/>
      </c>
      <c r="S429" s="23">
        <f>IF(OR($A429="",$E429=""),"",IFERROR(IF(INDEX(TYP_ANCHOR,MATCH($A429,TYP_TYPE,0))="Commissioning Start",IF($R429="","",$R429-INDEX(TYP_LEAD,MATCH($A429,TYP_TYPE,0))),IF(INDEX(MS_PLAN,MATCH(INDEX(TYP_ANCHOR,MATCH($A429,TYP_TYPE,0)),MS_NOM,0))="","",INDEX(MS_PLAN,MATCH(INDEX(TYP_ANCHOR,MATCH($A429,TYP_TYPE,0)),MS_NOM,0))-INDEX(TYP_LEAD,MATCH($A429,TYP_TYPE,0)))),""))</f>
        <v/>
      </c>
      <c r="T429" s="26">
        <f>IF(OR($A429="",$E429=""),0,IF($V429=1,0,1))</f>
        <v/>
      </c>
      <c r="U429" s="26">
        <f>IF($T429=0,0,IF($M429&lt;&gt;"",1,IF(IFERROR(INDEX(WF_CLASS,MATCH($H429,WF_CODE,0)),"")="Done",1,0)))</f>
        <v/>
      </c>
      <c r="V429" s="26">
        <f>IF(OR($A429="",$E429=""),0,IF(IFERROR(INDEX(WF_CLASS,MATCH($H429,WF_CODE,0)),"")="Inactive",1,0))</f>
        <v/>
      </c>
      <c r="W429" s="24">
        <f>IF($A429="","",IFERROR(INDEX(TYP_PHASE,MATCH($A429,TYP_TYPE,0)),"-"))</f>
        <v/>
      </c>
      <c r="X429" s="24">
        <f>IF(AND($T429=1,$U429=0,N($N429)&gt;0),$N429+ROW()/1000000,"")</f>
        <v/>
      </c>
      <c r="Y429" s="24">
        <f>IF(AND($T429=1,$U429=0,OR($I429&lt;&gt;"",N($N429)&gt;0)),N($N429)+ROW()/1000000,"")</f>
        <v/>
      </c>
      <c r="Z429" s="24">
        <f>IF(AND($T429=1,$U429=0,$I429="",N($N429)&lt;=0,-N($N429)&lt;=HORIZON),N($N429)+ROW()/1000000,"")</f>
        <v/>
      </c>
    </row>
    <row r="430">
      <c r="A430" s="21" t="n"/>
      <c r="B430" s="21" t="n"/>
      <c r="C430" s="21" t="n"/>
      <c r="D430" s="21" t="n"/>
      <c r="E430" s="21" t="n"/>
      <c r="F430" s="21" t="n"/>
      <c r="G430" s="21" t="n"/>
      <c r="H430" s="21" t="n"/>
      <c r="I430" s="22" t="n"/>
      <c r="J430" s="22" t="n"/>
      <c r="K430" s="23">
        <f>IF($A430="","",IF($J430&lt;&gt;"",$J430,$S430))</f>
        <v/>
      </c>
      <c r="L430" s="24">
        <f>IF(OR($A430="",$E430=""),"",IF($J430&lt;&gt;"","Manual",IF($S430="","-","Auto")))</f>
        <v/>
      </c>
      <c r="M430" s="22" t="n"/>
      <c r="N430" s="25">
        <f>IF($T430=0,"",IF($U430=1,IF($M430="","",$M430-$K430),IF($K430="","",TODAY()-$K430)))</f>
        <v/>
      </c>
      <c r="O430" s="24">
        <f>IF(OR($A430="",$E430=""),"",IF($V430=1,S_INACT,IF(ISNA(MATCH($A430,TYP_TYPE,0)),S_TYPEKO,IF($U430=1,S_DONE,IF(AND($K430="",$R430=""),S_NOSCOPE,IF($K430="",S_NOTARGET,IF($N430&gt;0,S_LATE,IF($I430&lt;&gt;"",S_WIP,IF(-$N430&lt;=FEN_DOC,S_RISK,IF(-$N430&lt;=HORIZON,S_COMING,S_NOTYET))))))))))</f>
        <v/>
      </c>
      <c r="P430" s="24">
        <f>IF(OR($A430="",$E430=""),"",IF($V430=1,"",IF(ISNA(MATCH($A430,TYP_TYPE,0)),"Type not in the library",IF($B430="","Scope not set",IF(AND($B430="System",$C430=""),"System not set",IF(AND($B430="Equipment",$D430=""),"Equipment not set",IF($F430="","Responsible not set",IF($K430="","No target date",IF(AND($B430="Equipment",$C430&lt;&gt;"",IFERROR(INDEX(EQP_SYS,MATCH($D430,EQP_NOM,0)),"")&lt;&gt;$C430),"Equipment not in that system",IF(AND($U430=1,$M430=""),"Approved with no approval date",""))))))))))</f>
        <v/>
      </c>
      <c r="Q430" s="21" t="n"/>
      <c r="R430" s="23">
        <f>IF(OR($A430="",$B430=""),"",IF($B430="Equipment",IFERROR(INDEX(EQP_START,MATCH($D430,EQP_NOM,0)),""),IF($B430="System",IFERROR(INDEX(SYS_EARLIEST,MATCH($C430,SYS_ID,0)),""),IF($B430="All",CTR_EARLIEST,""))))</f>
        <v/>
      </c>
      <c r="S430" s="23">
        <f>IF(OR($A430="",$E430=""),"",IFERROR(IF(INDEX(TYP_ANCHOR,MATCH($A430,TYP_TYPE,0))="Commissioning Start",IF($R430="","",$R430-INDEX(TYP_LEAD,MATCH($A430,TYP_TYPE,0))),IF(INDEX(MS_PLAN,MATCH(INDEX(TYP_ANCHOR,MATCH($A430,TYP_TYPE,0)),MS_NOM,0))="","",INDEX(MS_PLAN,MATCH(INDEX(TYP_ANCHOR,MATCH($A430,TYP_TYPE,0)),MS_NOM,0))-INDEX(TYP_LEAD,MATCH($A430,TYP_TYPE,0)))),""))</f>
        <v/>
      </c>
      <c r="T430" s="26">
        <f>IF(OR($A430="",$E430=""),0,IF($V430=1,0,1))</f>
        <v/>
      </c>
      <c r="U430" s="26">
        <f>IF($T430=0,0,IF($M430&lt;&gt;"",1,IF(IFERROR(INDEX(WF_CLASS,MATCH($H430,WF_CODE,0)),"")="Done",1,0)))</f>
        <v/>
      </c>
      <c r="V430" s="26">
        <f>IF(OR($A430="",$E430=""),0,IF(IFERROR(INDEX(WF_CLASS,MATCH($H430,WF_CODE,0)),"")="Inactive",1,0))</f>
        <v/>
      </c>
      <c r="W430" s="24">
        <f>IF($A430="","",IFERROR(INDEX(TYP_PHASE,MATCH($A430,TYP_TYPE,0)),"-"))</f>
        <v/>
      </c>
      <c r="X430" s="24">
        <f>IF(AND($T430=1,$U430=0,N($N430)&gt;0),$N430+ROW()/1000000,"")</f>
        <v/>
      </c>
      <c r="Y430" s="24">
        <f>IF(AND($T430=1,$U430=0,OR($I430&lt;&gt;"",N($N430)&gt;0)),N($N430)+ROW()/1000000,"")</f>
        <v/>
      </c>
      <c r="Z430" s="24">
        <f>IF(AND($T430=1,$U430=0,$I430="",N($N430)&lt;=0,-N($N430)&lt;=HORIZON),N($N430)+ROW()/1000000,"")</f>
        <v/>
      </c>
    </row>
    <row r="431">
      <c r="A431" s="21" t="n"/>
      <c r="B431" s="21" t="n"/>
      <c r="C431" s="21" t="n"/>
      <c r="D431" s="21" t="n"/>
      <c r="E431" s="21" t="n"/>
      <c r="F431" s="21" t="n"/>
      <c r="G431" s="21" t="n"/>
      <c r="H431" s="21" t="n"/>
      <c r="I431" s="22" t="n"/>
      <c r="J431" s="22" t="n"/>
      <c r="K431" s="23">
        <f>IF($A431="","",IF($J431&lt;&gt;"",$J431,$S431))</f>
        <v/>
      </c>
      <c r="L431" s="24">
        <f>IF(OR($A431="",$E431=""),"",IF($J431&lt;&gt;"","Manual",IF($S431="","-","Auto")))</f>
        <v/>
      </c>
      <c r="M431" s="22" t="n"/>
      <c r="N431" s="25">
        <f>IF($T431=0,"",IF($U431=1,IF($M431="","",$M431-$K431),IF($K431="","",TODAY()-$K431)))</f>
        <v/>
      </c>
      <c r="O431" s="24">
        <f>IF(OR($A431="",$E431=""),"",IF($V431=1,S_INACT,IF(ISNA(MATCH($A431,TYP_TYPE,0)),S_TYPEKO,IF($U431=1,S_DONE,IF(AND($K431="",$R431=""),S_NOSCOPE,IF($K431="",S_NOTARGET,IF($N431&gt;0,S_LATE,IF($I431&lt;&gt;"",S_WIP,IF(-$N431&lt;=FEN_DOC,S_RISK,IF(-$N431&lt;=HORIZON,S_COMING,S_NOTYET))))))))))</f>
        <v/>
      </c>
      <c r="P431" s="24">
        <f>IF(OR($A431="",$E431=""),"",IF($V431=1,"",IF(ISNA(MATCH($A431,TYP_TYPE,0)),"Type not in the library",IF($B431="","Scope not set",IF(AND($B431="System",$C431=""),"System not set",IF(AND($B431="Equipment",$D431=""),"Equipment not set",IF($F431="","Responsible not set",IF($K431="","No target date",IF(AND($B431="Equipment",$C431&lt;&gt;"",IFERROR(INDEX(EQP_SYS,MATCH($D431,EQP_NOM,0)),"")&lt;&gt;$C431),"Equipment not in that system",IF(AND($U431=1,$M431=""),"Approved with no approval date",""))))))))))</f>
        <v/>
      </c>
      <c r="Q431" s="21" t="n"/>
      <c r="R431" s="23">
        <f>IF(OR($A431="",$B431=""),"",IF($B431="Equipment",IFERROR(INDEX(EQP_START,MATCH($D431,EQP_NOM,0)),""),IF($B431="System",IFERROR(INDEX(SYS_EARLIEST,MATCH($C431,SYS_ID,0)),""),IF($B431="All",CTR_EARLIEST,""))))</f>
        <v/>
      </c>
      <c r="S431" s="23">
        <f>IF(OR($A431="",$E431=""),"",IFERROR(IF(INDEX(TYP_ANCHOR,MATCH($A431,TYP_TYPE,0))="Commissioning Start",IF($R431="","",$R431-INDEX(TYP_LEAD,MATCH($A431,TYP_TYPE,0))),IF(INDEX(MS_PLAN,MATCH(INDEX(TYP_ANCHOR,MATCH($A431,TYP_TYPE,0)),MS_NOM,0))="","",INDEX(MS_PLAN,MATCH(INDEX(TYP_ANCHOR,MATCH($A431,TYP_TYPE,0)),MS_NOM,0))-INDEX(TYP_LEAD,MATCH($A431,TYP_TYPE,0)))),""))</f>
        <v/>
      </c>
      <c r="T431" s="26">
        <f>IF(OR($A431="",$E431=""),0,IF($V431=1,0,1))</f>
        <v/>
      </c>
      <c r="U431" s="26">
        <f>IF($T431=0,0,IF($M431&lt;&gt;"",1,IF(IFERROR(INDEX(WF_CLASS,MATCH($H431,WF_CODE,0)),"")="Done",1,0)))</f>
        <v/>
      </c>
      <c r="V431" s="26">
        <f>IF(OR($A431="",$E431=""),0,IF(IFERROR(INDEX(WF_CLASS,MATCH($H431,WF_CODE,0)),"")="Inactive",1,0))</f>
        <v/>
      </c>
      <c r="W431" s="24">
        <f>IF($A431="","",IFERROR(INDEX(TYP_PHASE,MATCH($A431,TYP_TYPE,0)),"-"))</f>
        <v/>
      </c>
      <c r="X431" s="24">
        <f>IF(AND($T431=1,$U431=0,N($N431)&gt;0),$N431+ROW()/1000000,"")</f>
        <v/>
      </c>
      <c r="Y431" s="24">
        <f>IF(AND($T431=1,$U431=0,OR($I431&lt;&gt;"",N($N431)&gt;0)),N($N431)+ROW()/1000000,"")</f>
        <v/>
      </c>
      <c r="Z431" s="24">
        <f>IF(AND($T431=1,$U431=0,$I431="",N($N431)&lt;=0,-N($N431)&lt;=HORIZON),N($N431)+ROW()/1000000,"")</f>
        <v/>
      </c>
    </row>
    <row r="432">
      <c r="A432" s="21" t="n"/>
      <c r="B432" s="21" t="n"/>
      <c r="C432" s="21" t="n"/>
      <c r="D432" s="21" t="n"/>
      <c r="E432" s="21" t="n"/>
      <c r="F432" s="21" t="n"/>
      <c r="G432" s="21" t="n"/>
      <c r="H432" s="21" t="n"/>
      <c r="I432" s="22" t="n"/>
      <c r="J432" s="22" t="n"/>
      <c r="K432" s="23">
        <f>IF($A432="","",IF($J432&lt;&gt;"",$J432,$S432))</f>
        <v/>
      </c>
      <c r="L432" s="24">
        <f>IF(OR($A432="",$E432=""),"",IF($J432&lt;&gt;"","Manual",IF($S432="","-","Auto")))</f>
        <v/>
      </c>
      <c r="M432" s="22" t="n"/>
      <c r="N432" s="25">
        <f>IF($T432=0,"",IF($U432=1,IF($M432="","",$M432-$K432),IF($K432="","",TODAY()-$K432)))</f>
        <v/>
      </c>
      <c r="O432" s="24">
        <f>IF(OR($A432="",$E432=""),"",IF($V432=1,S_INACT,IF(ISNA(MATCH($A432,TYP_TYPE,0)),S_TYPEKO,IF($U432=1,S_DONE,IF(AND($K432="",$R432=""),S_NOSCOPE,IF($K432="",S_NOTARGET,IF($N432&gt;0,S_LATE,IF($I432&lt;&gt;"",S_WIP,IF(-$N432&lt;=FEN_DOC,S_RISK,IF(-$N432&lt;=HORIZON,S_COMING,S_NOTYET))))))))))</f>
        <v/>
      </c>
      <c r="P432" s="24">
        <f>IF(OR($A432="",$E432=""),"",IF($V432=1,"",IF(ISNA(MATCH($A432,TYP_TYPE,0)),"Type not in the library",IF($B432="","Scope not set",IF(AND($B432="System",$C432=""),"System not set",IF(AND($B432="Equipment",$D432=""),"Equipment not set",IF($F432="","Responsible not set",IF($K432="","No target date",IF(AND($B432="Equipment",$C432&lt;&gt;"",IFERROR(INDEX(EQP_SYS,MATCH($D432,EQP_NOM,0)),"")&lt;&gt;$C432),"Equipment not in that system",IF(AND($U432=1,$M432=""),"Approved with no approval date",""))))))))))</f>
        <v/>
      </c>
      <c r="Q432" s="21" t="n"/>
      <c r="R432" s="23">
        <f>IF(OR($A432="",$B432=""),"",IF($B432="Equipment",IFERROR(INDEX(EQP_START,MATCH($D432,EQP_NOM,0)),""),IF($B432="System",IFERROR(INDEX(SYS_EARLIEST,MATCH($C432,SYS_ID,0)),""),IF($B432="All",CTR_EARLIEST,""))))</f>
        <v/>
      </c>
      <c r="S432" s="23">
        <f>IF(OR($A432="",$E432=""),"",IFERROR(IF(INDEX(TYP_ANCHOR,MATCH($A432,TYP_TYPE,0))="Commissioning Start",IF($R432="","",$R432-INDEX(TYP_LEAD,MATCH($A432,TYP_TYPE,0))),IF(INDEX(MS_PLAN,MATCH(INDEX(TYP_ANCHOR,MATCH($A432,TYP_TYPE,0)),MS_NOM,0))="","",INDEX(MS_PLAN,MATCH(INDEX(TYP_ANCHOR,MATCH($A432,TYP_TYPE,0)),MS_NOM,0))-INDEX(TYP_LEAD,MATCH($A432,TYP_TYPE,0)))),""))</f>
        <v/>
      </c>
      <c r="T432" s="26">
        <f>IF(OR($A432="",$E432=""),0,IF($V432=1,0,1))</f>
        <v/>
      </c>
      <c r="U432" s="26">
        <f>IF($T432=0,0,IF($M432&lt;&gt;"",1,IF(IFERROR(INDEX(WF_CLASS,MATCH($H432,WF_CODE,0)),"")="Done",1,0)))</f>
        <v/>
      </c>
      <c r="V432" s="26">
        <f>IF(OR($A432="",$E432=""),0,IF(IFERROR(INDEX(WF_CLASS,MATCH($H432,WF_CODE,0)),"")="Inactive",1,0))</f>
        <v/>
      </c>
      <c r="W432" s="24">
        <f>IF($A432="","",IFERROR(INDEX(TYP_PHASE,MATCH($A432,TYP_TYPE,0)),"-"))</f>
        <v/>
      </c>
      <c r="X432" s="24">
        <f>IF(AND($T432=1,$U432=0,N($N432)&gt;0),$N432+ROW()/1000000,"")</f>
        <v/>
      </c>
      <c r="Y432" s="24">
        <f>IF(AND($T432=1,$U432=0,OR($I432&lt;&gt;"",N($N432)&gt;0)),N($N432)+ROW()/1000000,"")</f>
        <v/>
      </c>
      <c r="Z432" s="24">
        <f>IF(AND($T432=1,$U432=0,$I432="",N($N432)&lt;=0,-N($N432)&lt;=HORIZON),N($N432)+ROW()/1000000,"")</f>
        <v/>
      </c>
    </row>
    <row r="433">
      <c r="A433" s="21" t="n"/>
      <c r="B433" s="21" t="n"/>
      <c r="C433" s="21" t="n"/>
      <c r="D433" s="21" t="n"/>
      <c r="E433" s="21" t="n"/>
      <c r="F433" s="21" t="n"/>
      <c r="G433" s="21" t="n"/>
      <c r="H433" s="21" t="n"/>
      <c r="I433" s="22" t="n"/>
      <c r="J433" s="22" t="n"/>
      <c r="K433" s="23">
        <f>IF($A433="","",IF($J433&lt;&gt;"",$J433,$S433))</f>
        <v/>
      </c>
      <c r="L433" s="24">
        <f>IF(OR($A433="",$E433=""),"",IF($J433&lt;&gt;"","Manual",IF($S433="","-","Auto")))</f>
        <v/>
      </c>
      <c r="M433" s="22" t="n"/>
      <c r="N433" s="25">
        <f>IF($T433=0,"",IF($U433=1,IF($M433="","",$M433-$K433),IF($K433="","",TODAY()-$K433)))</f>
        <v/>
      </c>
      <c r="O433" s="24">
        <f>IF(OR($A433="",$E433=""),"",IF($V433=1,S_INACT,IF(ISNA(MATCH($A433,TYP_TYPE,0)),S_TYPEKO,IF($U433=1,S_DONE,IF(AND($K433="",$R433=""),S_NOSCOPE,IF($K433="",S_NOTARGET,IF($N433&gt;0,S_LATE,IF($I433&lt;&gt;"",S_WIP,IF(-$N433&lt;=FEN_DOC,S_RISK,IF(-$N433&lt;=HORIZON,S_COMING,S_NOTYET))))))))))</f>
        <v/>
      </c>
      <c r="P433" s="24">
        <f>IF(OR($A433="",$E433=""),"",IF($V433=1,"",IF(ISNA(MATCH($A433,TYP_TYPE,0)),"Type not in the library",IF($B433="","Scope not set",IF(AND($B433="System",$C433=""),"System not set",IF(AND($B433="Equipment",$D433=""),"Equipment not set",IF($F433="","Responsible not set",IF($K433="","No target date",IF(AND($B433="Equipment",$C433&lt;&gt;"",IFERROR(INDEX(EQP_SYS,MATCH($D433,EQP_NOM,0)),"")&lt;&gt;$C433),"Equipment not in that system",IF(AND($U433=1,$M433=""),"Approved with no approval date",""))))))))))</f>
        <v/>
      </c>
      <c r="Q433" s="21" t="n"/>
      <c r="R433" s="23">
        <f>IF(OR($A433="",$B433=""),"",IF($B433="Equipment",IFERROR(INDEX(EQP_START,MATCH($D433,EQP_NOM,0)),""),IF($B433="System",IFERROR(INDEX(SYS_EARLIEST,MATCH($C433,SYS_ID,0)),""),IF($B433="All",CTR_EARLIEST,""))))</f>
        <v/>
      </c>
      <c r="S433" s="23">
        <f>IF(OR($A433="",$E433=""),"",IFERROR(IF(INDEX(TYP_ANCHOR,MATCH($A433,TYP_TYPE,0))="Commissioning Start",IF($R433="","",$R433-INDEX(TYP_LEAD,MATCH($A433,TYP_TYPE,0))),IF(INDEX(MS_PLAN,MATCH(INDEX(TYP_ANCHOR,MATCH($A433,TYP_TYPE,0)),MS_NOM,0))="","",INDEX(MS_PLAN,MATCH(INDEX(TYP_ANCHOR,MATCH($A433,TYP_TYPE,0)),MS_NOM,0))-INDEX(TYP_LEAD,MATCH($A433,TYP_TYPE,0)))),""))</f>
        <v/>
      </c>
      <c r="T433" s="26">
        <f>IF(OR($A433="",$E433=""),0,IF($V433=1,0,1))</f>
        <v/>
      </c>
      <c r="U433" s="26">
        <f>IF($T433=0,0,IF($M433&lt;&gt;"",1,IF(IFERROR(INDEX(WF_CLASS,MATCH($H433,WF_CODE,0)),"")="Done",1,0)))</f>
        <v/>
      </c>
      <c r="V433" s="26">
        <f>IF(OR($A433="",$E433=""),0,IF(IFERROR(INDEX(WF_CLASS,MATCH($H433,WF_CODE,0)),"")="Inactive",1,0))</f>
        <v/>
      </c>
      <c r="W433" s="24">
        <f>IF($A433="","",IFERROR(INDEX(TYP_PHASE,MATCH($A433,TYP_TYPE,0)),"-"))</f>
        <v/>
      </c>
      <c r="X433" s="24">
        <f>IF(AND($T433=1,$U433=0,N($N433)&gt;0),$N433+ROW()/1000000,"")</f>
        <v/>
      </c>
      <c r="Y433" s="24">
        <f>IF(AND($T433=1,$U433=0,OR($I433&lt;&gt;"",N($N433)&gt;0)),N($N433)+ROW()/1000000,"")</f>
        <v/>
      </c>
      <c r="Z433" s="24">
        <f>IF(AND($T433=1,$U433=0,$I433="",N($N433)&lt;=0,-N($N433)&lt;=HORIZON),N($N433)+ROW()/1000000,"")</f>
        <v/>
      </c>
    </row>
    <row r="434">
      <c r="A434" s="21" t="n"/>
      <c r="B434" s="21" t="n"/>
      <c r="C434" s="21" t="n"/>
      <c r="D434" s="21" t="n"/>
      <c r="E434" s="21" t="n"/>
      <c r="F434" s="21" t="n"/>
      <c r="G434" s="21" t="n"/>
      <c r="H434" s="21" t="n"/>
      <c r="I434" s="22" t="n"/>
      <c r="J434" s="22" t="n"/>
      <c r="K434" s="23">
        <f>IF($A434="","",IF($J434&lt;&gt;"",$J434,$S434))</f>
        <v/>
      </c>
      <c r="L434" s="24">
        <f>IF(OR($A434="",$E434=""),"",IF($J434&lt;&gt;"","Manual",IF($S434="","-","Auto")))</f>
        <v/>
      </c>
      <c r="M434" s="22" t="n"/>
      <c r="N434" s="25">
        <f>IF($T434=0,"",IF($U434=1,IF($M434="","",$M434-$K434),IF($K434="","",TODAY()-$K434)))</f>
        <v/>
      </c>
      <c r="O434" s="24">
        <f>IF(OR($A434="",$E434=""),"",IF($V434=1,S_INACT,IF(ISNA(MATCH($A434,TYP_TYPE,0)),S_TYPEKO,IF($U434=1,S_DONE,IF(AND($K434="",$R434=""),S_NOSCOPE,IF($K434="",S_NOTARGET,IF($N434&gt;0,S_LATE,IF($I434&lt;&gt;"",S_WIP,IF(-$N434&lt;=FEN_DOC,S_RISK,IF(-$N434&lt;=HORIZON,S_COMING,S_NOTYET))))))))))</f>
        <v/>
      </c>
      <c r="P434" s="24">
        <f>IF(OR($A434="",$E434=""),"",IF($V434=1,"",IF(ISNA(MATCH($A434,TYP_TYPE,0)),"Type not in the library",IF($B434="","Scope not set",IF(AND($B434="System",$C434=""),"System not set",IF(AND($B434="Equipment",$D434=""),"Equipment not set",IF($F434="","Responsible not set",IF($K434="","No target date",IF(AND($B434="Equipment",$C434&lt;&gt;"",IFERROR(INDEX(EQP_SYS,MATCH($D434,EQP_NOM,0)),"")&lt;&gt;$C434),"Equipment not in that system",IF(AND($U434=1,$M434=""),"Approved with no approval date",""))))))))))</f>
        <v/>
      </c>
      <c r="Q434" s="21" t="n"/>
      <c r="R434" s="23">
        <f>IF(OR($A434="",$B434=""),"",IF($B434="Equipment",IFERROR(INDEX(EQP_START,MATCH($D434,EQP_NOM,0)),""),IF($B434="System",IFERROR(INDEX(SYS_EARLIEST,MATCH($C434,SYS_ID,0)),""),IF($B434="All",CTR_EARLIEST,""))))</f>
        <v/>
      </c>
      <c r="S434" s="23">
        <f>IF(OR($A434="",$E434=""),"",IFERROR(IF(INDEX(TYP_ANCHOR,MATCH($A434,TYP_TYPE,0))="Commissioning Start",IF($R434="","",$R434-INDEX(TYP_LEAD,MATCH($A434,TYP_TYPE,0))),IF(INDEX(MS_PLAN,MATCH(INDEX(TYP_ANCHOR,MATCH($A434,TYP_TYPE,0)),MS_NOM,0))="","",INDEX(MS_PLAN,MATCH(INDEX(TYP_ANCHOR,MATCH($A434,TYP_TYPE,0)),MS_NOM,0))-INDEX(TYP_LEAD,MATCH($A434,TYP_TYPE,0)))),""))</f>
        <v/>
      </c>
      <c r="T434" s="26">
        <f>IF(OR($A434="",$E434=""),0,IF($V434=1,0,1))</f>
        <v/>
      </c>
      <c r="U434" s="26">
        <f>IF($T434=0,0,IF($M434&lt;&gt;"",1,IF(IFERROR(INDEX(WF_CLASS,MATCH($H434,WF_CODE,0)),"")="Done",1,0)))</f>
        <v/>
      </c>
      <c r="V434" s="26">
        <f>IF(OR($A434="",$E434=""),0,IF(IFERROR(INDEX(WF_CLASS,MATCH($H434,WF_CODE,0)),"")="Inactive",1,0))</f>
        <v/>
      </c>
      <c r="W434" s="24">
        <f>IF($A434="","",IFERROR(INDEX(TYP_PHASE,MATCH($A434,TYP_TYPE,0)),"-"))</f>
        <v/>
      </c>
      <c r="X434" s="24">
        <f>IF(AND($T434=1,$U434=0,N($N434)&gt;0),$N434+ROW()/1000000,"")</f>
        <v/>
      </c>
      <c r="Y434" s="24">
        <f>IF(AND($T434=1,$U434=0,OR($I434&lt;&gt;"",N($N434)&gt;0)),N($N434)+ROW()/1000000,"")</f>
        <v/>
      </c>
      <c r="Z434" s="24">
        <f>IF(AND($T434=1,$U434=0,$I434="",N($N434)&lt;=0,-N($N434)&lt;=HORIZON),N($N434)+ROW()/1000000,"")</f>
        <v/>
      </c>
    </row>
    <row r="435">
      <c r="A435" s="21" t="n"/>
      <c r="B435" s="21" t="n"/>
      <c r="C435" s="21" t="n"/>
      <c r="D435" s="21" t="n"/>
      <c r="E435" s="21" t="n"/>
      <c r="F435" s="21" t="n"/>
      <c r="G435" s="21" t="n"/>
      <c r="H435" s="21" t="n"/>
      <c r="I435" s="22" t="n"/>
      <c r="J435" s="22" t="n"/>
      <c r="K435" s="23">
        <f>IF($A435="","",IF($J435&lt;&gt;"",$J435,$S435))</f>
        <v/>
      </c>
      <c r="L435" s="24">
        <f>IF(OR($A435="",$E435=""),"",IF($J435&lt;&gt;"","Manual",IF($S435="","-","Auto")))</f>
        <v/>
      </c>
      <c r="M435" s="22" t="n"/>
      <c r="N435" s="25">
        <f>IF($T435=0,"",IF($U435=1,IF($M435="","",$M435-$K435),IF($K435="","",TODAY()-$K435)))</f>
        <v/>
      </c>
      <c r="O435" s="24">
        <f>IF(OR($A435="",$E435=""),"",IF($V435=1,S_INACT,IF(ISNA(MATCH($A435,TYP_TYPE,0)),S_TYPEKO,IF($U435=1,S_DONE,IF(AND($K435="",$R435=""),S_NOSCOPE,IF($K435="",S_NOTARGET,IF($N435&gt;0,S_LATE,IF($I435&lt;&gt;"",S_WIP,IF(-$N435&lt;=FEN_DOC,S_RISK,IF(-$N435&lt;=HORIZON,S_COMING,S_NOTYET))))))))))</f>
        <v/>
      </c>
      <c r="P435" s="24">
        <f>IF(OR($A435="",$E435=""),"",IF($V435=1,"",IF(ISNA(MATCH($A435,TYP_TYPE,0)),"Type not in the library",IF($B435="","Scope not set",IF(AND($B435="System",$C435=""),"System not set",IF(AND($B435="Equipment",$D435=""),"Equipment not set",IF($F435="","Responsible not set",IF($K435="","No target date",IF(AND($B435="Equipment",$C435&lt;&gt;"",IFERROR(INDEX(EQP_SYS,MATCH($D435,EQP_NOM,0)),"")&lt;&gt;$C435),"Equipment not in that system",IF(AND($U435=1,$M435=""),"Approved with no approval date",""))))))))))</f>
        <v/>
      </c>
      <c r="Q435" s="21" t="n"/>
      <c r="R435" s="23">
        <f>IF(OR($A435="",$B435=""),"",IF($B435="Equipment",IFERROR(INDEX(EQP_START,MATCH($D435,EQP_NOM,0)),""),IF($B435="System",IFERROR(INDEX(SYS_EARLIEST,MATCH($C435,SYS_ID,0)),""),IF($B435="All",CTR_EARLIEST,""))))</f>
        <v/>
      </c>
      <c r="S435" s="23">
        <f>IF(OR($A435="",$E435=""),"",IFERROR(IF(INDEX(TYP_ANCHOR,MATCH($A435,TYP_TYPE,0))="Commissioning Start",IF($R435="","",$R435-INDEX(TYP_LEAD,MATCH($A435,TYP_TYPE,0))),IF(INDEX(MS_PLAN,MATCH(INDEX(TYP_ANCHOR,MATCH($A435,TYP_TYPE,0)),MS_NOM,0))="","",INDEX(MS_PLAN,MATCH(INDEX(TYP_ANCHOR,MATCH($A435,TYP_TYPE,0)),MS_NOM,0))-INDEX(TYP_LEAD,MATCH($A435,TYP_TYPE,0)))),""))</f>
        <v/>
      </c>
      <c r="T435" s="26">
        <f>IF(OR($A435="",$E435=""),0,IF($V435=1,0,1))</f>
        <v/>
      </c>
      <c r="U435" s="26">
        <f>IF($T435=0,0,IF($M435&lt;&gt;"",1,IF(IFERROR(INDEX(WF_CLASS,MATCH($H435,WF_CODE,0)),"")="Done",1,0)))</f>
        <v/>
      </c>
      <c r="V435" s="26">
        <f>IF(OR($A435="",$E435=""),0,IF(IFERROR(INDEX(WF_CLASS,MATCH($H435,WF_CODE,0)),"")="Inactive",1,0))</f>
        <v/>
      </c>
      <c r="W435" s="24">
        <f>IF($A435="","",IFERROR(INDEX(TYP_PHASE,MATCH($A435,TYP_TYPE,0)),"-"))</f>
        <v/>
      </c>
      <c r="X435" s="24">
        <f>IF(AND($T435=1,$U435=0,N($N435)&gt;0),$N435+ROW()/1000000,"")</f>
        <v/>
      </c>
      <c r="Y435" s="24">
        <f>IF(AND($T435=1,$U435=0,OR($I435&lt;&gt;"",N($N435)&gt;0)),N($N435)+ROW()/1000000,"")</f>
        <v/>
      </c>
      <c r="Z435" s="24">
        <f>IF(AND($T435=1,$U435=0,$I435="",N($N435)&lt;=0,-N($N435)&lt;=HORIZON),N($N435)+ROW()/1000000,"")</f>
        <v/>
      </c>
    </row>
    <row r="436">
      <c r="A436" s="21" t="n"/>
      <c r="B436" s="21" t="n"/>
      <c r="C436" s="21" t="n"/>
      <c r="D436" s="21" t="n"/>
      <c r="E436" s="21" t="n"/>
      <c r="F436" s="21" t="n"/>
      <c r="G436" s="21" t="n"/>
      <c r="H436" s="21" t="n"/>
      <c r="I436" s="22" t="n"/>
      <c r="J436" s="22" t="n"/>
      <c r="K436" s="23">
        <f>IF($A436="","",IF($J436&lt;&gt;"",$J436,$S436))</f>
        <v/>
      </c>
      <c r="L436" s="24">
        <f>IF(OR($A436="",$E436=""),"",IF($J436&lt;&gt;"","Manual",IF($S436="","-","Auto")))</f>
        <v/>
      </c>
      <c r="M436" s="22" t="n"/>
      <c r="N436" s="25">
        <f>IF($T436=0,"",IF($U436=1,IF($M436="","",$M436-$K436),IF($K436="","",TODAY()-$K436)))</f>
        <v/>
      </c>
      <c r="O436" s="24">
        <f>IF(OR($A436="",$E436=""),"",IF($V436=1,S_INACT,IF(ISNA(MATCH($A436,TYP_TYPE,0)),S_TYPEKO,IF($U436=1,S_DONE,IF(AND($K436="",$R436=""),S_NOSCOPE,IF($K436="",S_NOTARGET,IF($N436&gt;0,S_LATE,IF($I436&lt;&gt;"",S_WIP,IF(-$N436&lt;=FEN_DOC,S_RISK,IF(-$N436&lt;=HORIZON,S_COMING,S_NOTYET))))))))))</f>
        <v/>
      </c>
      <c r="P436" s="24">
        <f>IF(OR($A436="",$E436=""),"",IF($V436=1,"",IF(ISNA(MATCH($A436,TYP_TYPE,0)),"Type not in the library",IF($B436="","Scope not set",IF(AND($B436="System",$C436=""),"System not set",IF(AND($B436="Equipment",$D436=""),"Equipment not set",IF($F436="","Responsible not set",IF($K436="","No target date",IF(AND($B436="Equipment",$C436&lt;&gt;"",IFERROR(INDEX(EQP_SYS,MATCH($D436,EQP_NOM,0)),"")&lt;&gt;$C436),"Equipment not in that system",IF(AND($U436=1,$M436=""),"Approved with no approval date",""))))))))))</f>
        <v/>
      </c>
      <c r="Q436" s="21" t="n"/>
      <c r="R436" s="23">
        <f>IF(OR($A436="",$B436=""),"",IF($B436="Equipment",IFERROR(INDEX(EQP_START,MATCH($D436,EQP_NOM,0)),""),IF($B436="System",IFERROR(INDEX(SYS_EARLIEST,MATCH($C436,SYS_ID,0)),""),IF($B436="All",CTR_EARLIEST,""))))</f>
        <v/>
      </c>
      <c r="S436" s="23">
        <f>IF(OR($A436="",$E436=""),"",IFERROR(IF(INDEX(TYP_ANCHOR,MATCH($A436,TYP_TYPE,0))="Commissioning Start",IF($R436="","",$R436-INDEX(TYP_LEAD,MATCH($A436,TYP_TYPE,0))),IF(INDEX(MS_PLAN,MATCH(INDEX(TYP_ANCHOR,MATCH($A436,TYP_TYPE,0)),MS_NOM,0))="","",INDEX(MS_PLAN,MATCH(INDEX(TYP_ANCHOR,MATCH($A436,TYP_TYPE,0)),MS_NOM,0))-INDEX(TYP_LEAD,MATCH($A436,TYP_TYPE,0)))),""))</f>
        <v/>
      </c>
      <c r="T436" s="26">
        <f>IF(OR($A436="",$E436=""),0,IF($V436=1,0,1))</f>
        <v/>
      </c>
      <c r="U436" s="26">
        <f>IF($T436=0,0,IF($M436&lt;&gt;"",1,IF(IFERROR(INDEX(WF_CLASS,MATCH($H436,WF_CODE,0)),"")="Done",1,0)))</f>
        <v/>
      </c>
      <c r="V436" s="26">
        <f>IF(OR($A436="",$E436=""),0,IF(IFERROR(INDEX(WF_CLASS,MATCH($H436,WF_CODE,0)),"")="Inactive",1,0))</f>
        <v/>
      </c>
      <c r="W436" s="24">
        <f>IF($A436="","",IFERROR(INDEX(TYP_PHASE,MATCH($A436,TYP_TYPE,0)),"-"))</f>
        <v/>
      </c>
      <c r="X436" s="24">
        <f>IF(AND($T436=1,$U436=0,N($N436)&gt;0),$N436+ROW()/1000000,"")</f>
        <v/>
      </c>
      <c r="Y436" s="24">
        <f>IF(AND($T436=1,$U436=0,OR($I436&lt;&gt;"",N($N436)&gt;0)),N($N436)+ROW()/1000000,"")</f>
        <v/>
      </c>
      <c r="Z436" s="24">
        <f>IF(AND($T436=1,$U436=0,$I436="",N($N436)&lt;=0,-N($N436)&lt;=HORIZON),N($N436)+ROW()/1000000,"")</f>
        <v/>
      </c>
    </row>
    <row r="437">
      <c r="A437" s="21" t="n"/>
      <c r="B437" s="21" t="n"/>
      <c r="C437" s="21" t="n"/>
      <c r="D437" s="21" t="n"/>
      <c r="E437" s="21" t="n"/>
      <c r="F437" s="21" t="n"/>
      <c r="G437" s="21" t="n"/>
      <c r="H437" s="21" t="n"/>
      <c r="I437" s="22" t="n"/>
      <c r="J437" s="22" t="n"/>
      <c r="K437" s="23">
        <f>IF($A437="","",IF($J437&lt;&gt;"",$J437,$S437))</f>
        <v/>
      </c>
      <c r="L437" s="24">
        <f>IF(OR($A437="",$E437=""),"",IF($J437&lt;&gt;"","Manual",IF($S437="","-","Auto")))</f>
        <v/>
      </c>
      <c r="M437" s="22" t="n"/>
      <c r="N437" s="25">
        <f>IF($T437=0,"",IF($U437=1,IF($M437="","",$M437-$K437),IF($K437="","",TODAY()-$K437)))</f>
        <v/>
      </c>
      <c r="O437" s="24">
        <f>IF(OR($A437="",$E437=""),"",IF($V437=1,S_INACT,IF(ISNA(MATCH($A437,TYP_TYPE,0)),S_TYPEKO,IF($U437=1,S_DONE,IF(AND($K437="",$R437=""),S_NOSCOPE,IF($K437="",S_NOTARGET,IF($N437&gt;0,S_LATE,IF($I437&lt;&gt;"",S_WIP,IF(-$N437&lt;=FEN_DOC,S_RISK,IF(-$N437&lt;=HORIZON,S_COMING,S_NOTYET))))))))))</f>
        <v/>
      </c>
      <c r="P437" s="24">
        <f>IF(OR($A437="",$E437=""),"",IF($V437=1,"",IF(ISNA(MATCH($A437,TYP_TYPE,0)),"Type not in the library",IF($B437="","Scope not set",IF(AND($B437="System",$C437=""),"System not set",IF(AND($B437="Equipment",$D437=""),"Equipment not set",IF($F437="","Responsible not set",IF($K437="","No target date",IF(AND($B437="Equipment",$C437&lt;&gt;"",IFERROR(INDEX(EQP_SYS,MATCH($D437,EQP_NOM,0)),"")&lt;&gt;$C437),"Equipment not in that system",IF(AND($U437=1,$M437=""),"Approved with no approval date",""))))))))))</f>
        <v/>
      </c>
      <c r="Q437" s="21" t="n"/>
      <c r="R437" s="23">
        <f>IF(OR($A437="",$B437=""),"",IF($B437="Equipment",IFERROR(INDEX(EQP_START,MATCH($D437,EQP_NOM,0)),""),IF($B437="System",IFERROR(INDEX(SYS_EARLIEST,MATCH($C437,SYS_ID,0)),""),IF($B437="All",CTR_EARLIEST,""))))</f>
        <v/>
      </c>
      <c r="S437" s="23">
        <f>IF(OR($A437="",$E437=""),"",IFERROR(IF(INDEX(TYP_ANCHOR,MATCH($A437,TYP_TYPE,0))="Commissioning Start",IF($R437="","",$R437-INDEX(TYP_LEAD,MATCH($A437,TYP_TYPE,0))),IF(INDEX(MS_PLAN,MATCH(INDEX(TYP_ANCHOR,MATCH($A437,TYP_TYPE,0)),MS_NOM,0))="","",INDEX(MS_PLAN,MATCH(INDEX(TYP_ANCHOR,MATCH($A437,TYP_TYPE,0)),MS_NOM,0))-INDEX(TYP_LEAD,MATCH($A437,TYP_TYPE,0)))),""))</f>
        <v/>
      </c>
      <c r="T437" s="26">
        <f>IF(OR($A437="",$E437=""),0,IF($V437=1,0,1))</f>
        <v/>
      </c>
      <c r="U437" s="26">
        <f>IF($T437=0,0,IF($M437&lt;&gt;"",1,IF(IFERROR(INDEX(WF_CLASS,MATCH($H437,WF_CODE,0)),"")="Done",1,0)))</f>
        <v/>
      </c>
      <c r="V437" s="26">
        <f>IF(OR($A437="",$E437=""),0,IF(IFERROR(INDEX(WF_CLASS,MATCH($H437,WF_CODE,0)),"")="Inactive",1,0))</f>
        <v/>
      </c>
      <c r="W437" s="24">
        <f>IF($A437="","",IFERROR(INDEX(TYP_PHASE,MATCH($A437,TYP_TYPE,0)),"-"))</f>
        <v/>
      </c>
      <c r="X437" s="24">
        <f>IF(AND($T437=1,$U437=0,N($N437)&gt;0),$N437+ROW()/1000000,"")</f>
        <v/>
      </c>
      <c r="Y437" s="24">
        <f>IF(AND($T437=1,$U437=0,OR($I437&lt;&gt;"",N($N437)&gt;0)),N($N437)+ROW()/1000000,"")</f>
        <v/>
      </c>
      <c r="Z437" s="24">
        <f>IF(AND($T437=1,$U437=0,$I437="",N($N437)&lt;=0,-N($N437)&lt;=HORIZON),N($N437)+ROW()/1000000,"")</f>
        <v/>
      </c>
    </row>
    <row r="438">
      <c r="A438" s="21" t="n"/>
      <c r="B438" s="21" t="n"/>
      <c r="C438" s="21" t="n"/>
      <c r="D438" s="21" t="n"/>
      <c r="E438" s="21" t="n"/>
      <c r="F438" s="21" t="n"/>
      <c r="G438" s="21" t="n"/>
      <c r="H438" s="21" t="n"/>
      <c r="I438" s="22" t="n"/>
      <c r="J438" s="22" t="n"/>
      <c r="K438" s="23">
        <f>IF($A438="","",IF($J438&lt;&gt;"",$J438,$S438))</f>
        <v/>
      </c>
      <c r="L438" s="24">
        <f>IF(OR($A438="",$E438=""),"",IF($J438&lt;&gt;"","Manual",IF($S438="","-","Auto")))</f>
        <v/>
      </c>
      <c r="M438" s="22" t="n"/>
      <c r="N438" s="25">
        <f>IF($T438=0,"",IF($U438=1,IF($M438="","",$M438-$K438),IF($K438="","",TODAY()-$K438)))</f>
        <v/>
      </c>
      <c r="O438" s="24">
        <f>IF(OR($A438="",$E438=""),"",IF($V438=1,S_INACT,IF(ISNA(MATCH($A438,TYP_TYPE,0)),S_TYPEKO,IF($U438=1,S_DONE,IF(AND($K438="",$R438=""),S_NOSCOPE,IF($K438="",S_NOTARGET,IF($N438&gt;0,S_LATE,IF($I438&lt;&gt;"",S_WIP,IF(-$N438&lt;=FEN_DOC,S_RISK,IF(-$N438&lt;=HORIZON,S_COMING,S_NOTYET))))))))))</f>
        <v/>
      </c>
      <c r="P438" s="24">
        <f>IF(OR($A438="",$E438=""),"",IF($V438=1,"",IF(ISNA(MATCH($A438,TYP_TYPE,0)),"Type not in the library",IF($B438="","Scope not set",IF(AND($B438="System",$C438=""),"System not set",IF(AND($B438="Equipment",$D438=""),"Equipment not set",IF($F438="","Responsible not set",IF($K438="","No target date",IF(AND($B438="Equipment",$C438&lt;&gt;"",IFERROR(INDEX(EQP_SYS,MATCH($D438,EQP_NOM,0)),"")&lt;&gt;$C438),"Equipment not in that system",IF(AND($U438=1,$M438=""),"Approved with no approval date",""))))))))))</f>
        <v/>
      </c>
      <c r="Q438" s="21" t="n"/>
      <c r="R438" s="23">
        <f>IF(OR($A438="",$B438=""),"",IF($B438="Equipment",IFERROR(INDEX(EQP_START,MATCH($D438,EQP_NOM,0)),""),IF($B438="System",IFERROR(INDEX(SYS_EARLIEST,MATCH($C438,SYS_ID,0)),""),IF($B438="All",CTR_EARLIEST,""))))</f>
        <v/>
      </c>
      <c r="S438" s="23">
        <f>IF(OR($A438="",$E438=""),"",IFERROR(IF(INDEX(TYP_ANCHOR,MATCH($A438,TYP_TYPE,0))="Commissioning Start",IF($R438="","",$R438-INDEX(TYP_LEAD,MATCH($A438,TYP_TYPE,0))),IF(INDEX(MS_PLAN,MATCH(INDEX(TYP_ANCHOR,MATCH($A438,TYP_TYPE,0)),MS_NOM,0))="","",INDEX(MS_PLAN,MATCH(INDEX(TYP_ANCHOR,MATCH($A438,TYP_TYPE,0)),MS_NOM,0))-INDEX(TYP_LEAD,MATCH($A438,TYP_TYPE,0)))),""))</f>
        <v/>
      </c>
      <c r="T438" s="26">
        <f>IF(OR($A438="",$E438=""),0,IF($V438=1,0,1))</f>
        <v/>
      </c>
      <c r="U438" s="26">
        <f>IF($T438=0,0,IF($M438&lt;&gt;"",1,IF(IFERROR(INDEX(WF_CLASS,MATCH($H438,WF_CODE,0)),"")="Done",1,0)))</f>
        <v/>
      </c>
      <c r="V438" s="26">
        <f>IF(OR($A438="",$E438=""),0,IF(IFERROR(INDEX(WF_CLASS,MATCH($H438,WF_CODE,0)),"")="Inactive",1,0))</f>
        <v/>
      </c>
      <c r="W438" s="24">
        <f>IF($A438="","",IFERROR(INDEX(TYP_PHASE,MATCH($A438,TYP_TYPE,0)),"-"))</f>
        <v/>
      </c>
      <c r="X438" s="24">
        <f>IF(AND($T438=1,$U438=0,N($N438)&gt;0),$N438+ROW()/1000000,"")</f>
        <v/>
      </c>
      <c r="Y438" s="24">
        <f>IF(AND($T438=1,$U438=0,OR($I438&lt;&gt;"",N($N438)&gt;0)),N($N438)+ROW()/1000000,"")</f>
        <v/>
      </c>
      <c r="Z438" s="24">
        <f>IF(AND($T438=1,$U438=0,$I438="",N($N438)&lt;=0,-N($N438)&lt;=HORIZON),N($N438)+ROW()/1000000,"")</f>
        <v/>
      </c>
    </row>
    <row r="439">
      <c r="A439" s="21" t="n"/>
      <c r="B439" s="21" t="n"/>
      <c r="C439" s="21" t="n"/>
      <c r="D439" s="21" t="n"/>
      <c r="E439" s="21" t="n"/>
      <c r="F439" s="21" t="n"/>
      <c r="G439" s="21" t="n"/>
      <c r="H439" s="21" t="n"/>
      <c r="I439" s="22" t="n"/>
      <c r="J439" s="22" t="n"/>
      <c r="K439" s="23">
        <f>IF($A439="","",IF($J439&lt;&gt;"",$J439,$S439))</f>
        <v/>
      </c>
      <c r="L439" s="24">
        <f>IF(OR($A439="",$E439=""),"",IF($J439&lt;&gt;"","Manual",IF($S439="","-","Auto")))</f>
        <v/>
      </c>
      <c r="M439" s="22" t="n"/>
      <c r="N439" s="25">
        <f>IF($T439=0,"",IF($U439=1,IF($M439="","",$M439-$K439),IF($K439="","",TODAY()-$K439)))</f>
        <v/>
      </c>
      <c r="O439" s="24">
        <f>IF(OR($A439="",$E439=""),"",IF($V439=1,S_INACT,IF(ISNA(MATCH($A439,TYP_TYPE,0)),S_TYPEKO,IF($U439=1,S_DONE,IF(AND($K439="",$R439=""),S_NOSCOPE,IF($K439="",S_NOTARGET,IF($N439&gt;0,S_LATE,IF($I439&lt;&gt;"",S_WIP,IF(-$N439&lt;=FEN_DOC,S_RISK,IF(-$N439&lt;=HORIZON,S_COMING,S_NOTYET))))))))))</f>
        <v/>
      </c>
      <c r="P439" s="24">
        <f>IF(OR($A439="",$E439=""),"",IF($V439=1,"",IF(ISNA(MATCH($A439,TYP_TYPE,0)),"Type not in the library",IF($B439="","Scope not set",IF(AND($B439="System",$C439=""),"System not set",IF(AND($B439="Equipment",$D439=""),"Equipment not set",IF($F439="","Responsible not set",IF($K439="","No target date",IF(AND($B439="Equipment",$C439&lt;&gt;"",IFERROR(INDEX(EQP_SYS,MATCH($D439,EQP_NOM,0)),"")&lt;&gt;$C439),"Equipment not in that system",IF(AND($U439=1,$M439=""),"Approved with no approval date",""))))))))))</f>
        <v/>
      </c>
      <c r="Q439" s="21" t="n"/>
      <c r="R439" s="23">
        <f>IF(OR($A439="",$B439=""),"",IF($B439="Equipment",IFERROR(INDEX(EQP_START,MATCH($D439,EQP_NOM,0)),""),IF($B439="System",IFERROR(INDEX(SYS_EARLIEST,MATCH($C439,SYS_ID,0)),""),IF($B439="All",CTR_EARLIEST,""))))</f>
        <v/>
      </c>
      <c r="S439" s="23">
        <f>IF(OR($A439="",$E439=""),"",IFERROR(IF(INDEX(TYP_ANCHOR,MATCH($A439,TYP_TYPE,0))="Commissioning Start",IF($R439="","",$R439-INDEX(TYP_LEAD,MATCH($A439,TYP_TYPE,0))),IF(INDEX(MS_PLAN,MATCH(INDEX(TYP_ANCHOR,MATCH($A439,TYP_TYPE,0)),MS_NOM,0))="","",INDEX(MS_PLAN,MATCH(INDEX(TYP_ANCHOR,MATCH($A439,TYP_TYPE,0)),MS_NOM,0))-INDEX(TYP_LEAD,MATCH($A439,TYP_TYPE,0)))),""))</f>
        <v/>
      </c>
      <c r="T439" s="26">
        <f>IF(OR($A439="",$E439=""),0,IF($V439=1,0,1))</f>
        <v/>
      </c>
      <c r="U439" s="26">
        <f>IF($T439=0,0,IF($M439&lt;&gt;"",1,IF(IFERROR(INDEX(WF_CLASS,MATCH($H439,WF_CODE,0)),"")="Done",1,0)))</f>
        <v/>
      </c>
      <c r="V439" s="26">
        <f>IF(OR($A439="",$E439=""),0,IF(IFERROR(INDEX(WF_CLASS,MATCH($H439,WF_CODE,0)),"")="Inactive",1,0))</f>
        <v/>
      </c>
      <c r="W439" s="24">
        <f>IF($A439="","",IFERROR(INDEX(TYP_PHASE,MATCH($A439,TYP_TYPE,0)),"-"))</f>
        <v/>
      </c>
      <c r="X439" s="24">
        <f>IF(AND($T439=1,$U439=0,N($N439)&gt;0),$N439+ROW()/1000000,"")</f>
        <v/>
      </c>
      <c r="Y439" s="24">
        <f>IF(AND($T439=1,$U439=0,OR($I439&lt;&gt;"",N($N439)&gt;0)),N($N439)+ROW()/1000000,"")</f>
        <v/>
      </c>
      <c r="Z439" s="24">
        <f>IF(AND($T439=1,$U439=0,$I439="",N($N439)&lt;=0,-N($N439)&lt;=HORIZON),N($N439)+ROW()/1000000,"")</f>
        <v/>
      </c>
    </row>
    <row r="440">
      <c r="A440" s="21" t="n"/>
      <c r="B440" s="21" t="n"/>
      <c r="C440" s="21" t="n"/>
      <c r="D440" s="21" t="n"/>
      <c r="E440" s="21" t="n"/>
      <c r="F440" s="21" t="n"/>
      <c r="G440" s="21" t="n"/>
      <c r="H440" s="21" t="n"/>
      <c r="I440" s="22" t="n"/>
      <c r="J440" s="22" t="n"/>
      <c r="K440" s="23">
        <f>IF($A440="","",IF($J440&lt;&gt;"",$J440,$S440))</f>
        <v/>
      </c>
      <c r="L440" s="24">
        <f>IF(OR($A440="",$E440=""),"",IF($J440&lt;&gt;"","Manual",IF($S440="","-","Auto")))</f>
        <v/>
      </c>
      <c r="M440" s="22" t="n"/>
      <c r="N440" s="25">
        <f>IF($T440=0,"",IF($U440=1,IF($M440="","",$M440-$K440),IF($K440="","",TODAY()-$K440)))</f>
        <v/>
      </c>
      <c r="O440" s="24">
        <f>IF(OR($A440="",$E440=""),"",IF($V440=1,S_INACT,IF(ISNA(MATCH($A440,TYP_TYPE,0)),S_TYPEKO,IF($U440=1,S_DONE,IF(AND($K440="",$R440=""),S_NOSCOPE,IF($K440="",S_NOTARGET,IF($N440&gt;0,S_LATE,IF($I440&lt;&gt;"",S_WIP,IF(-$N440&lt;=FEN_DOC,S_RISK,IF(-$N440&lt;=HORIZON,S_COMING,S_NOTYET))))))))))</f>
        <v/>
      </c>
      <c r="P440" s="24">
        <f>IF(OR($A440="",$E440=""),"",IF($V440=1,"",IF(ISNA(MATCH($A440,TYP_TYPE,0)),"Type not in the library",IF($B440="","Scope not set",IF(AND($B440="System",$C440=""),"System not set",IF(AND($B440="Equipment",$D440=""),"Equipment not set",IF($F440="","Responsible not set",IF($K440="","No target date",IF(AND($B440="Equipment",$C440&lt;&gt;"",IFERROR(INDEX(EQP_SYS,MATCH($D440,EQP_NOM,0)),"")&lt;&gt;$C440),"Equipment not in that system",IF(AND($U440=1,$M440=""),"Approved with no approval date",""))))))))))</f>
        <v/>
      </c>
      <c r="Q440" s="21" t="n"/>
      <c r="R440" s="23">
        <f>IF(OR($A440="",$B440=""),"",IF($B440="Equipment",IFERROR(INDEX(EQP_START,MATCH($D440,EQP_NOM,0)),""),IF($B440="System",IFERROR(INDEX(SYS_EARLIEST,MATCH($C440,SYS_ID,0)),""),IF($B440="All",CTR_EARLIEST,""))))</f>
        <v/>
      </c>
      <c r="S440" s="23">
        <f>IF(OR($A440="",$E440=""),"",IFERROR(IF(INDEX(TYP_ANCHOR,MATCH($A440,TYP_TYPE,0))="Commissioning Start",IF($R440="","",$R440-INDEX(TYP_LEAD,MATCH($A440,TYP_TYPE,0))),IF(INDEX(MS_PLAN,MATCH(INDEX(TYP_ANCHOR,MATCH($A440,TYP_TYPE,0)),MS_NOM,0))="","",INDEX(MS_PLAN,MATCH(INDEX(TYP_ANCHOR,MATCH($A440,TYP_TYPE,0)),MS_NOM,0))-INDEX(TYP_LEAD,MATCH($A440,TYP_TYPE,0)))),""))</f>
        <v/>
      </c>
      <c r="T440" s="26">
        <f>IF(OR($A440="",$E440=""),0,IF($V440=1,0,1))</f>
        <v/>
      </c>
      <c r="U440" s="26">
        <f>IF($T440=0,0,IF($M440&lt;&gt;"",1,IF(IFERROR(INDEX(WF_CLASS,MATCH($H440,WF_CODE,0)),"")="Done",1,0)))</f>
        <v/>
      </c>
      <c r="V440" s="26">
        <f>IF(OR($A440="",$E440=""),0,IF(IFERROR(INDEX(WF_CLASS,MATCH($H440,WF_CODE,0)),"")="Inactive",1,0))</f>
        <v/>
      </c>
      <c r="W440" s="24">
        <f>IF($A440="","",IFERROR(INDEX(TYP_PHASE,MATCH($A440,TYP_TYPE,0)),"-"))</f>
        <v/>
      </c>
      <c r="X440" s="24">
        <f>IF(AND($T440=1,$U440=0,N($N440)&gt;0),$N440+ROW()/1000000,"")</f>
        <v/>
      </c>
      <c r="Y440" s="24">
        <f>IF(AND($T440=1,$U440=0,OR($I440&lt;&gt;"",N($N440)&gt;0)),N($N440)+ROW()/1000000,"")</f>
        <v/>
      </c>
      <c r="Z440" s="24">
        <f>IF(AND($T440=1,$U440=0,$I440="",N($N440)&lt;=0,-N($N440)&lt;=HORIZON),N($N440)+ROW()/1000000,"")</f>
        <v/>
      </c>
    </row>
    <row r="441">
      <c r="A441" s="21" t="n"/>
      <c r="B441" s="21" t="n"/>
      <c r="C441" s="21" t="n"/>
      <c r="D441" s="21" t="n"/>
      <c r="E441" s="21" t="n"/>
      <c r="F441" s="21" t="n"/>
      <c r="G441" s="21" t="n"/>
      <c r="H441" s="21" t="n"/>
      <c r="I441" s="22" t="n"/>
      <c r="J441" s="22" t="n"/>
      <c r="K441" s="23">
        <f>IF($A441="","",IF($J441&lt;&gt;"",$J441,$S441))</f>
        <v/>
      </c>
      <c r="L441" s="24">
        <f>IF(OR($A441="",$E441=""),"",IF($J441&lt;&gt;"","Manual",IF($S441="","-","Auto")))</f>
        <v/>
      </c>
      <c r="M441" s="22" t="n"/>
      <c r="N441" s="25">
        <f>IF($T441=0,"",IF($U441=1,IF($M441="","",$M441-$K441),IF($K441="","",TODAY()-$K441)))</f>
        <v/>
      </c>
      <c r="O441" s="24">
        <f>IF(OR($A441="",$E441=""),"",IF($V441=1,S_INACT,IF(ISNA(MATCH($A441,TYP_TYPE,0)),S_TYPEKO,IF($U441=1,S_DONE,IF(AND($K441="",$R441=""),S_NOSCOPE,IF($K441="",S_NOTARGET,IF($N441&gt;0,S_LATE,IF($I441&lt;&gt;"",S_WIP,IF(-$N441&lt;=FEN_DOC,S_RISK,IF(-$N441&lt;=HORIZON,S_COMING,S_NOTYET))))))))))</f>
        <v/>
      </c>
      <c r="P441" s="24">
        <f>IF(OR($A441="",$E441=""),"",IF($V441=1,"",IF(ISNA(MATCH($A441,TYP_TYPE,0)),"Type not in the library",IF($B441="","Scope not set",IF(AND($B441="System",$C441=""),"System not set",IF(AND($B441="Equipment",$D441=""),"Equipment not set",IF($F441="","Responsible not set",IF($K441="","No target date",IF(AND($B441="Equipment",$C441&lt;&gt;"",IFERROR(INDEX(EQP_SYS,MATCH($D441,EQP_NOM,0)),"")&lt;&gt;$C441),"Equipment not in that system",IF(AND($U441=1,$M441=""),"Approved with no approval date",""))))))))))</f>
        <v/>
      </c>
      <c r="Q441" s="21" t="n"/>
      <c r="R441" s="23">
        <f>IF(OR($A441="",$B441=""),"",IF($B441="Equipment",IFERROR(INDEX(EQP_START,MATCH($D441,EQP_NOM,0)),""),IF($B441="System",IFERROR(INDEX(SYS_EARLIEST,MATCH($C441,SYS_ID,0)),""),IF($B441="All",CTR_EARLIEST,""))))</f>
        <v/>
      </c>
      <c r="S441" s="23">
        <f>IF(OR($A441="",$E441=""),"",IFERROR(IF(INDEX(TYP_ANCHOR,MATCH($A441,TYP_TYPE,0))="Commissioning Start",IF($R441="","",$R441-INDEX(TYP_LEAD,MATCH($A441,TYP_TYPE,0))),IF(INDEX(MS_PLAN,MATCH(INDEX(TYP_ANCHOR,MATCH($A441,TYP_TYPE,0)),MS_NOM,0))="","",INDEX(MS_PLAN,MATCH(INDEX(TYP_ANCHOR,MATCH($A441,TYP_TYPE,0)),MS_NOM,0))-INDEX(TYP_LEAD,MATCH($A441,TYP_TYPE,0)))),""))</f>
        <v/>
      </c>
      <c r="T441" s="26">
        <f>IF(OR($A441="",$E441=""),0,IF($V441=1,0,1))</f>
        <v/>
      </c>
      <c r="U441" s="26">
        <f>IF($T441=0,0,IF($M441&lt;&gt;"",1,IF(IFERROR(INDEX(WF_CLASS,MATCH($H441,WF_CODE,0)),"")="Done",1,0)))</f>
        <v/>
      </c>
      <c r="V441" s="26">
        <f>IF(OR($A441="",$E441=""),0,IF(IFERROR(INDEX(WF_CLASS,MATCH($H441,WF_CODE,0)),"")="Inactive",1,0))</f>
        <v/>
      </c>
      <c r="W441" s="24">
        <f>IF($A441="","",IFERROR(INDEX(TYP_PHASE,MATCH($A441,TYP_TYPE,0)),"-"))</f>
        <v/>
      </c>
      <c r="X441" s="24">
        <f>IF(AND($T441=1,$U441=0,N($N441)&gt;0),$N441+ROW()/1000000,"")</f>
        <v/>
      </c>
      <c r="Y441" s="24">
        <f>IF(AND($T441=1,$U441=0,OR($I441&lt;&gt;"",N($N441)&gt;0)),N($N441)+ROW()/1000000,"")</f>
        <v/>
      </c>
      <c r="Z441" s="24">
        <f>IF(AND($T441=1,$U441=0,$I441="",N($N441)&lt;=0,-N($N441)&lt;=HORIZON),N($N441)+ROW()/1000000,"")</f>
        <v/>
      </c>
    </row>
    <row r="442">
      <c r="A442" s="21" t="n"/>
      <c r="B442" s="21" t="n"/>
      <c r="C442" s="21" t="n"/>
      <c r="D442" s="21" t="n"/>
      <c r="E442" s="21" t="n"/>
      <c r="F442" s="21" t="n"/>
      <c r="G442" s="21" t="n"/>
      <c r="H442" s="21" t="n"/>
      <c r="I442" s="22" t="n"/>
      <c r="J442" s="22" t="n"/>
      <c r="K442" s="23">
        <f>IF($A442="","",IF($J442&lt;&gt;"",$J442,$S442))</f>
        <v/>
      </c>
      <c r="L442" s="24">
        <f>IF(OR($A442="",$E442=""),"",IF($J442&lt;&gt;"","Manual",IF($S442="","-","Auto")))</f>
        <v/>
      </c>
      <c r="M442" s="22" t="n"/>
      <c r="N442" s="25">
        <f>IF($T442=0,"",IF($U442=1,IF($M442="","",$M442-$K442),IF($K442="","",TODAY()-$K442)))</f>
        <v/>
      </c>
      <c r="O442" s="24">
        <f>IF(OR($A442="",$E442=""),"",IF($V442=1,S_INACT,IF(ISNA(MATCH($A442,TYP_TYPE,0)),S_TYPEKO,IF($U442=1,S_DONE,IF(AND($K442="",$R442=""),S_NOSCOPE,IF($K442="",S_NOTARGET,IF($N442&gt;0,S_LATE,IF($I442&lt;&gt;"",S_WIP,IF(-$N442&lt;=FEN_DOC,S_RISK,IF(-$N442&lt;=HORIZON,S_COMING,S_NOTYET))))))))))</f>
        <v/>
      </c>
      <c r="P442" s="24">
        <f>IF(OR($A442="",$E442=""),"",IF($V442=1,"",IF(ISNA(MATCH($A442,TYP_TYPE,0)),"Type not in the library",IF($B442="","Scope not set",IF(AND($B442="System",$C442=""),"System not set",IF(AND($B442="Equipment",$D442=""),"Equipment not set",IF($F442="","Responsible not set",IF($K442="","No target date",IF(AND($B442="Equipment",$C442&lt;&gt;"",IFERROR(INDEX(EQP_SYS,MATCH($D442,EQP_NOM,0)),"")&lt;&gt;$C442),"Equipment not in that system",IF(AND($U442=1,$M442=""),"Approved with no approval date",""))))))))))</f>
        <v/>
      </c>
      <c r="Q442" s="21" t="n"/>
      <c r="R442" s="23">
        <f>IF(OR($A442="",$B442=""),"",IF($B442="Equipment",IFERROR(INDEX(EQP_START,MATCH($D442,EQP_NOM,0)),""),IF($B442="System",IFERROR(INDEX(SYS_EARLIEST,MATCH($C442,SYS_ID,0)),""),IF($B442="All",CTR_EARLIEST,""))))</f>
        <v/>
      </c>
      <c r="S442" s="23">
        <f>IF(OR($A442="",$E442=""),"",IFERROR(IF(INDEX(TYP_ANCHOR,MATCH($A442,TYP_TYPE,0))="Commissioning Start",IF($R442="","",$R442-INDEX(TYP_LEAD,MATCH($A442,TYP_TYPE,0))),IF(INDEX(MS_PLAN,MATCH(INDEX(TYP_ANCHOR,MATCH($A442,TYP_TYPE,0)),MS_NOM,0))="","",INDEX(MS_PLAN,MATCH(INDEX(TYP_ANCHOR,MATCH($A442,TYP_TYPE,0)),MS_NOM,0))-INDEX(TYP_LEAD,MATCH($A442,TYP_TYPE,0)))),""))</f>
        <v/>
      </c>
      <c r="T442" s="26">
        <f>IF(OR($A442="",$E442=""),0,IF($V442=1,0,1))</f>
        <v/>
      </c>
      <c r="U442" s="26">
        <f>IF($T442=0,0,IF($M442&lt;&gt;"",1,IF(IFERROR(INDEX(WF_CLASS,MATCH($H442,WF_CODE,0)),"")="Done",1,0)))</f>
        <v/>
      </c>
      <c r="V442" s="26">
        <f>IF(OR($A442="",$E442=""),0,IF(IFERROR(INDEX(WF_CLASS,MATCH($H442,WF_CODE,0)),"")="Inactive",1,0))</f>
        <v/>
      </c>
      <c r="W442" s="24">
        <f>IF($A442="","",IFERROR(INDEX(TYP_PHASE,MATCH($A442,TYP_TYPE,0)),"-"))</f>
        <v/>
      </c>
      <c r="X442" s="24">
        <f>IF(AND($T442=1,$U442=0,N($N442)&gt;0),$N442+ROW()/1000000,"")</f>
        <v/>
      </c>
      <c r="Y442" s="24">
        <f>IF(AND($T442=1,$U442=0,OR($I442&lt;&gt;"",N($N442)&gt;0)),N($N442)+ROW()/1000000,"")</f>
        <v/>
      </c>
      <c r="Z442" s="24">
        <f>IF(AND($T442=1,$U442=0,$I442="",N($N442)&lt;=0,-N($N442)&lt;=HORIZON),N($N442)+ROW()/1000000,"")</f>
        <v/>
      </c>
    </row>
    <row r="443">
      <c r="A443" s="21" t="n"/>
      <c r="B443" s="21" t="n"/>
      <c r="C443" s="21" t="n"/>
      <c r="D443" s="21" t="n"/>
      <c r="E443" s="21" t="n"/>
      <c r="F443" s="21" t="n"/>
      <c r="G443" s="21" t="n"/>
      <c r="H443" s="21" t="n"/>
      <c r="I443" s="22" t="n"/>
      <c r="J443" s="22" t="n"/>
      <c r="K443" s="23">
        <f>IF($A443="","",IF($J443&lt;&gt;"",$J443,$S443))</f>
        <v/>
      </c>
      <c r="L443" s="24">
        <f>IF(OR($A443="",$E443=""),"",IF($J443&lt;&gt;"","Manual",IF($S443="","-","Auto")))</f>
        <v/>
      </c>
      <c r="M443" s="22" t="n"/>
      <c r="N443" s="25">
        <f>IF($T443=0,"",IF($U443=1,IF($M443="","",$M443-$K443),IF($K443="","",TODAY()-$K443)))</f>
        <v/>
      </c>
      <c r="O443" s="24">
        <f>IF(OR($A443="",$E443=""),"",IF($V443=1,S_INACT,IF(ISNA(MATCH($A443,TYP_TYPE,0)),S_TYPEKO,IF($U443=1,S_DONE,IF(AND($K443="",$R443=""),S_NOSCOPE,IF($K443="",S_NOTARGET,IF($N443&gt;0,S_LATE,IF($I443&lt;&gt;"",S_WIP,IF(-$N443&lt;=FEN_DOC,S_RISK,IF(-$N443&lt;=HORIZON,S_COMING,S_NOTYET))))))))))</f>
        <v/>
      </c>
      <c r="P443" s="24">
        <f>IF(OR($A443="",$E443=""),"",IF($V443=1,"",IF(ISNA(MATCH($A443,TYP_TYPE,0)),"Type not in the library",IF($B443="","Scope not set",IF(AND($B443="System",$C443=""),"System not set",IF(AND($B443="Equipment",$D443=""),"Equipment not set",IF($F443="","Responsible not set",IF($K443="","No target date",IF(AND($B443="Equipment",$C443&lt;&gt;"",IFERROR(INDEX(EQP_SYS,MATCH($D443,EQP_NOM,0)),"")&lt;&gt;$C443),"Equipment not in that system",IF(AND($U443=1,$M443=""),"Approved with no approval date",""))))))))))</f>
        <v/>
      </c>
      <c r="Q443" s="21" t="n"/>
      <c r="R443" s="23">
        <f>IF(OR($A443="",$B443=""),"",IF($B443="Equipment",IFERROR(INDEX(EQP_START,MATCH($D443,EQP_NOM,0)),""),IF($B443="System",IFERROR(INDEX(SYS_EARLIEST,MATCH($C443,SYS_ID,0)),""),IF($B443="All",CTR_EARLIEST,""))))</f>
        <v/>
      </c>
      <c r="S443" s="23">
        <f>IF(OR($A443="",$E443=""),"",IFERROR(IF(INDEX(TYP_ANCHOR,MATCH($A443,TYP_TYPE,0))="Commissioning Start",IF($R443="","",$R443-INDEX(TYP_LEAD,MATCH($A443,TYP_TYPE,0))),IF(INDEX(MS_PLAN,MATCH(INDEX(TYP_ANCHOR,MATCH($A443,TYP_TYPE,0)),MS_NOM,0))="","",INDEX(MS_PLAN,MATCH(INDEX(TYP_ANCHOR,MATCH($A443,TYP_TYPE,0)),MS_NOM,0))-INDEX(TYP_LEAD,MATCH($A443,TYP_TYPE,0)))),""))</f>
        <v/>
      </c>
      <c r="T443" s="26">
        <f>IF(OR($A443="",$E443=""),0,IF($V443=1,0,1))</f>
        <v/>
      </c>
      <c r="U443" s="26">
        <f>IF($T443=0,0,IF($M443&lt;&gt;"",1,IF(IFERROR(INDEX(WF_CLASS,MATCH($H443,WF_CODE,0)),"")="Done",1,0)))</f>
        <v/>
      </c>
      <c r="V443" s="26">
        <f>IF(OR($A443="",$E443=""),0,IF(IFERROR(INDEX(WF_CLASS,MATCH($H443,WF_CODE,0)),"")="Inactive",1,0))</f>
        <v/>
      </c>
      <c r="W443" s="24">
        <f>IF($A443="","",IFERROR(INDEX(TYP_PHASE,MATCH($A443,TYP_TYPE,0)),"-"))</f>
        <v/>
      </c>
      <c r="X443" s="24">
        <f>IF(AND($T443=1,$U443=0,N($N443)&gt;0),$N443+ROW()/1000000,"")</f>
        <v/>
      </c>
      <c r="Y443" s="24">
        <f>IF(AND($T443=1,$U443=0,OR($I443&lt;&gt;"",N($N443)&gt;0)),N($N443)+ROW()/1000000,"")</f>
        <v/>
      </c>
      <c r="Z443" s="24">
        <f>IF(AND($T443=1,$U443=0,$I443="",N($N443)&lt;=0,-N($N443)&lt;=HORIZON),N($N443)+ROW()/1000000,"")</f>
        <v/>
      </c>
    </row>
    <row r="444">
      <c r="A444" s="21" t="n"/>
      <c r="B444" s="21" t="n"/>
      <c r="C444" s="21" t="n"/>
      <c r="D444" s="21" t="n"/>
      <c r="E444" s="21" t="n"/>
      <c r="F444" s="21" t="n"/>
      <c r="G444" s="21" t="n"/>
      <c r="H444" s="21" t="n"/>
      <c r="I444" s="22" t="n"/>
      <c r="J444" s="22" t="n"/>
      <c r="K444" s="23">
        <f>IF($A444="","",IF($J444&lt;&gt;"",$J444,$S444))</f>
        <v/>
      </c>
      <c r="L444" s="24">
        <f>IF(OR($A444="",$E444=""),"",IF($J444&lt;&gt;"","Manual",IF($S444="","-","Auto")))</f>
        <v/>
      </c>
      <c r="M444" s="22" t="n"/>
      <c r="N444" s="25">
        <f>IF($T444=0,"",IF($U444=1,IF($M444="","",$M444-$K444),IF($K444="","",TODAY()-$K444)))</f>
        <v/>
      </c>
      <c r="O444" s="24">
        <f>IF(OR($A444="",$E444=""),"",IF($V444=1,S_INACT,IF(ISNA(MATCH($A444,TYP_TYPE,0)),S_TYPEKO,IF($U444=1,S_DONE,IF(AND($K444="",$R444=""),S_NOSCOPE,IF($K444="",S_NOTARGET,IF($N444&gt;0,S_LATE,IF($I444&lt;&gt;"",S_WIP,IF(-$N444&lt;=FEN_DOC,S_RISK,IF(-$N444&lt;=HORIZON,S_COMING,S_NOTYET))))))))))</f>
        <v/>
      </c>
      <c r="P444" s="24">
        <f>IF(OR($A444="",$E444=""),"",IF($V444=1,"",IF(ISNA(MATCH($A444,TYP_TYPE,0)),"Type not in the library",IF($B444="","Scope not set",IF(AND($B444="System",$C444=""),"System not set",IF(AND($B444="Equipment",$D444=""),"Equipment not set",IF($F444="","Responsible not set",IF($K444="","No target date",IF(AND($B444="Equipment",$C444&lt;&gt;"",IFERROR(INDEX(EQP_SYS,MATCH($D444,EQP_NOM,0)),"")&lt;&gt;$C444),"Equipment not in that system",IF(AND($U444=1,$M444=""),"Approved with no approval date",""))))))))))</f>
        <v/>
      </c>
      <c r="Q444" s="21" t="n"/>
      <c r="R444" s="23">
        <f>IF(OR($A444="",$B444=""),"",IF($B444="Equipment",IFERROR(INDEX(EQP_START,MATCH($D444,EQP_NOM,0)),""),IF($B444="System",IFERROR(INDEX(SYS_EARLIEST,MATCH($C444,SYS_ID,0)),""),IF($B444="All",CTR_EARLIEST,""))))</f>
        <v/>
      </c>
      <c r="S444" s="23">
        <f>IF(OR($A444="",$E444=""),"",IFERROR(IF(INDEX(TYP_ANCHOR,MATCH($A444,TYP_TYPE,0))="Commissioning Start",IF($R444="","",$R444-INDEX(TYP_LEAD,MATCH($A444,TYP_TYPE,0))),IF(INDEX(MS_PLAN,MATCH(INDEX(TYP_ANCHOR,MATCH($A444,TYP_TYPE,0)),MS_NOM,0))="","",INDEX(MS_PLAN,MATCH(INDEX(TYP_ANCHOR,MATCH($A444,TYP_TYPE,0)),MS_NOM,0))-INDEX(TYP_LEAD,MATCH($A444,TYP_TYPE,0)))),""))</f>
        <v/>
      </c>
      <c r="T444" s="26">
        <f>IF(OR($A444="",$E444=""),0,IF($V444=1,0,1))</f>
        <v/>
      </c>
      <c r="U444" s="26">
        <f>IF($T444=0,0,IF($M444&lt;&gt;"",1,IF(IFERROR(INDEX(WF_CLASS,MATCH($H444,WF_CODE,0)),"")="Done",1,0)))</f>
        <v/>
      </c>
      <c r="V444" s="26">
        <f>IF(OR($A444="",$E444=""),0,IF(IFERROR(INDEX(WF_CLASS,MATCH($H444,WF_CODE,0)),"")="Inactive",1,0))</f>
        <v/>
      </c>
      <c r="W444" s="24">
        <f>IF($A444="","",IFERROR(INDEX(TYP_PHASE,MATCH($A444,TYP_TYPE,0)),"-"))</f>
        <v/>
      </c>
      <c r="X444" s="24">
        <f>IF(AND($T444=1,$U444=0,N($N444)&gt;0),$N444+ROW()/1000000,"")</f>
        <v/>
      </c>
      <c r="Y444" s="24">
        <f>IF(AND($T444=1,$U444=0,OR($I444&lt;&gt;"",N($N444)&gt;0)),N($N444)+ROW()/1000000,"")</f>
        <v/>
      </c>
      <c r="Z444" s="24">
        <f>IF(AND($T444=1,$U444=0,$I444="",N($N444)&lt;=0,-N($N444)&lt;=HORIZON),N($N444)+ROW()/1000000,"")</f>
        <v/>
      </c>
    </row>
    <row r="445">
      <c r="A445" s="21" t="n"/>
      <c r="B445" s="21" t="n"/>
      <c r="C445" s="21" t="n"/>
      <c r="D445" s="21" t="n"/>
      <c r="E445" s="21" t="n"/>
      <c r="F445" s="21" t="n"/>
      <c r="G445" s="21" t="n"/>
      <c r="H445" s="21" t="n"/>
      <c r="I445" s="22" t="n"/>
      <c r="J445" s="22" t="n"/>
      <c r="K445" s="23">
        <f>IF($A445="","",IF($J445&lt;&gt;"",$J445,$S445))</f>
        <v/>
      </c>
      <c r="L445" s="24">
        <f>IF(OR($A445="",$E445=""),"",IF($J445&lt;&gt;"","Manual",IF($S445="","-","Auto")))</f>
        <v/>
      </c>
      <c r="M445" s="22" t="n"/>
      <c r="N445" s="25">
        <f>IF($T445=0,"",IF($U445=1,IF($M445="","",$M445-$K445),IF($K445="","",TODAY()-$K445)))</f>
        <v/>
      </c>
      <c r="O445" s="24">
        <f>IF(OR($A445="",$E445=""),"",IF($V445=1,S_INACT,IF(ISNA(MATCH($A445,TYP_TYPE,0)),S_TYPEKO,IF($U445=1,S_DONE,IF(AND($K445="",$R445=""),S_NOSCOPE,IF($K445="",S_NOTARGET,IF($N445&gt;0,S_LATE,IF($I445&lt;&gt;"",S_WIP,IF(-$N445&lt;=FEN_DOC,S_RISK,IF(-$N445&lt;=HORIZON,S_COMING,S_NOTYET))))))))))</f>
        <v/>
      </c>
      <c r="P445" s="24">
        <f>IF(OR($A445="",$E445=""),"",IF($V445=1,"",IF(ISNA(MATCH($A445,TYP_TYPE,0)),"Type not in the library",IF($B445="","Scope not set",IF(AND($B445="System",$C445=""),"System not set",IF(AND($B445="Equipment",$D445=""),"Equipment not set",IF($F445="","Responsible not set",IF($K445="","No target date",IF(AND($B445="Equipment",$C445&lt;&gt;"",IFERROR(INDEX(EQP_SYS,MATCH($D445,EQP_NOM,0)),"")&lt;&gt;$C445),"Equipment not in that system",IF(AND($U445=1,$M445=""),"Approved with no approval date",""))))))))))</f>
        <v/>
      </c>
      <c r="Q445" s="21" t="n"/>
      <c r="R445" s="23">
        <f>IF(OR($A445="",$B445=""),"",IF($B445="Equipment",IFERROR(INDEX(EQP_START,MATCH($D445,EQP_NOM,0)),""),IF($B445="System",IFERROR(INDEX(SYS_EARLIEST,MATCH($C445,SYS_ID,0)),""),IF($B445="All",CTR_EARLIEST,""))))</f>
        <v/>
      </c>
      <c r="S445" s="23">
        <f>IF(OR($A445="",$E445=""),"",IFERROR(IF(INDEX(TYP_ANCHOR,MATCH($A445,TYP_TYPE,0))="Commissioning Start",IF($R445="","",$R445-INDEX(TYP_LEAD,MATCH($A445,TYP_TYPE,0))),IF(INDEX(MS_PLAN,MATCH(INDEX(TYP_ANCHOR,MATCH($A445,TYP_TYPE,0)),MS_NOM,0))="","",INDEX(MS_PLAN,MATCH(INDEX(TYP_ANCHOR,MATCH($A445,TYP_TYPE,0)),MS_NOM,0))-INDEX(TYP_LEAD,MATCH($A445,TYP_TYPE,0)))),""))</f>
        <v/>
      </c>
      <c r="T445" s="26">
        <f>IF(OR($A445="",$E445=""),0,IF($V445=1,0,1))</f>
        <v/>
      </c>
      <c r="U445" s="26">
        <f>IF($T445=0,0,IF($M445&lt;&gt;"",1,IF(IFERROR(INDEX(WF_CLASS,MATCH($H445,WF_CODE,0)),"")="Done",1,0)))</f>
        <v/>
      </c>
      <c r="V445" s="26">
        <f>IF(OR($A445="",$E445=""),0,IF(IFERROR(INDEX(WF_CLASS,MATCH($H445,WF_CODE,0)),"")="Inactive",1,0))</f>
        <v/>
      </c>
      <c r="W445" s="24">
        <f>IF($A445="","",IFERROR(INDEX(TYP_PHASE,MATCH($A445,TYP_TYPE,0)),"-"))</f>
        <v/>
      </c>
      <c r="X445" s="24">
        <f>IF(AND($T445=1,$U445=0,N($N445)&gt;0),$N445+ROW()/1000000,"")</f>
        <v/>
      </c>
      <c r="Y445" s="24">
        <f>IF(AND($T445=1,$U445=0,OR($I445&lt;&gt;"",N($N445)&gt;0)),N($N445)+ROW()/1000000,"")</f>
        <v/>
      </c>
      <c r="Z445" s="24">
        <f>IF(AND($T445=1,$U445=0,$I445="",N($N445)&lt;=0,-N($N445)&lt;=HORIZON),N($N445)+ROW()/1000000,"")</f>
        <v/>
      </c>
    </row>
    <row r="446">
      <c r="A446" s="21" t="n"/>
      <c r="B446" s="21" t="n"/>
      <c r="C446" s="21" t="n"/>
      <c r="D446" s="21" t="n"/>
      <c r="E446" s="21" t="n"/>
      <c r="F446" s="21" t="n"/>
      <c r="G446" s="21" t="n"/>
      <c r="H446" s="21" t="n"/>
      <c r="I446" s="22" t="n"/>
      <c r="J446" s="22" t="n"/>
      <c r="K446" s="23">
        <f>IF($A446="","",IF($J446&lt;&gt;"",$J446,$S446))</f>
        <v/>
      </c>
      <c r="L446" s="24">
        <f>IF(OR($A446="",$E446=""),"",IF($J446&lt;&gt;"","Manual",IF($S446="","-","Auto")))</f>
        <v/>
      </c>
      <c r="M446" s="22" t="n"/>
      <c r="N446" s="25">
        <f>IF($T446=0,"",IF($U446=1,IF($M446="","",$M446-$K446),IF($K446="","",TODAY()-$K446)))</f>
        <v/>
      </c>
      <c r="O446" s="24">
        <f>IF(OR($A446="",$E446=""),"",IF($V446=1,S_INACT,IF(ISNA(MATCH($A446,TYP_TYPE,0)),S_TYPEKO,IF($U446=1,S_DONE,IF(AND($K446="",$R446=""),S_NOSCOPE,IF($K446="",S_NOTARGET,IF($N446&gt;0,S_LATE,IF($I446&lt;&gt;"",S_WIP,IF(-$N446&lt;=FEN_DOC,S_RISK,IF(-$N446&lt;=HORIZON,S_COMING,S_NOTYET))))))))))</f>
        <v/>
      </c>
      <c r="P446" s="24">
        <f>IF(OR($A446="",$E446=""),"",IF($V446=1,"",IF(ISNA(MATCH($A446,TYP_TYPE,0)),"Type not in the library",IF($B446="","Scope not set",IF(AND($B446="System",$C446=""),"System not set",IF(AND($B446="Equipment",$D446=""),"Equipment not set",IF($F446="","Responsible not set",IF($K446="","No target date",IF(AND($B446="Equipment",$C446&lt;&gt;"",IFERROR(INDEX(EQP_SYS,MATCH($D446,EQP_NOM,0)),"")&lt;&gt;$C446),"Equipment not in that system",IF(AND($U446=1,$M446=""),"Approved with no approval date",""))))))))))</f>
        <v/>
      </c>
      <c r="Q446" s="21" t="n"/>
      <c r="R446" s="23">
        <f>IF(OR($A446="",$B446=""),"",IF($B446="Equipment",IFERROR(INDEX(EQP_START,MATCH($D446,EQP_NOM,0)),""),IF($B446="System",IFERROR(INDEX(SYS_EARLIEST,MATCH($C446,SYS_ID,0)),""),IF($B446="All",CTR_EARLIEST,""))))</f>
        <v/>
      </c>
      <c r="S446" s="23">
        <f>IF(OR($A446="",$E446=""),"",IFERROR(IF(INDEX(TYP_ANCHOR,MATCH($A446,TYP_TYPE,0))="Commissioning Start",IF($R446="","",$R446-INDEX(TYP_LEAD,MATCH($A446,TYP_TYPE,0))),IF(INDEX(MS_PLAN,MATCH(INDEX(TYP_ANCHOR,MATCH($A446,TYP_TYPE,0)),MS_NOM,0))="","",INDEX(MS_PLAN,MATCH(INDEX(TYP_ANCHOR,MATCH($A446,TYP_TYPE,0)),MS_NOM,0))-INDEX(TYP_LEAD,MATCH($A446,TYP_TYPE,0)))),""))</f>
        <v/>
      </c>
      <c r="T446" s="26">
        <f>IF(OR($A446="",$E446=""),0,IF($V446=1,0,1))</f>
        <v/>
      </c>
      <c r="U446" s="26">
        <f>IF($T446=0,0,IF($M446&lt;&gt;"",1,IF(IFERROR(INDEX(WF_CLASS,MATCH($H446,WF_CODE,0)),"")="Done",1,0)))</f>
        <v/>
      </c>
      <c r="V446" s="26">
        <f>IF(OR($A446="",$E446=""),0,IF(IFERROR(INDEX(WF_CLASS,MATCH($H446,WF_CODE,0)),"")="Inactive",1,0))</f>
        <v/>
      </c>
      <c r="W446" s="24">
        <f>IF($A446="","",IFERROR(INDEX(TYP_PHASE,MATCH($A446,TYP_TYPE,0)),"-"))</f>
        <v/>
      </c>
      <c r="X446" s="24">
        <f>IF(AND($T446=1,$U446=0,N($N446)&gt;0),$N446+ROW()/1000000,"")</f>
        <v/>
      </c>
      <c r="Y446" s="24">
        <f>IF(AND($T446=1,$U446=0,OR($I446&lt;&gt;"",N($N446)&gt;0)),N($N446)+ROW()/1000000,"")</f>
        <v/>
      </c>
      <c r="Z446" s="24">
        <f>IF(AND($T446=1,$U446=0,$I446="",N($N446)&lt;=0,-N($N446)&lt;=HORIZON),N($N446)+ROW()/1000000,"")</f>
        <v/>
      </c>
    </row>
    <row r="447">
      <c r="A447" s="21" t="n"/>
      <c r="B447" s="21" t="n"/>
      <c r="C447" s="21" t="n"/>
      <c r="D447" s="21" t="n"/>
      <c r="E447" s="21" t="n"/>
      <c r="F447" s="21" t="n"/>
      <c r="G447" s="21" t="n"/>
      <c r="H447" s="21" t="n"/>
      <c r="I447" s="22" t="n"/>
      <c r="J447" s="22" t="n"/>
      <c r="K447" s="23">
        <f>IF($A447="","",IF($J447&lt;&gt;"",$J447,$S447))</f>
        <v/>
      </c>
      <c r="L447" s="24">
        <f>IF(OR($A447="",$E447=""),"",IF($J447&lt;&gt;"","Manual",IF($S447="","-","Auto")))</f>
        <v/>
      </c>
      <c r="M447" s="22" t="n"/>
      <c r="N447" s="25">
        <f>IF($T447=0,"",IF($U447=1,IF($M447="","",$M447-$K447),IF($K447="","",TODAY()-$K447)))</f>
        <v/>
      </c>
      <c r="O447" s="24">
        <f>IF(OR($A447="",$E447=""),"",IF($V447=1,S_INACT,IF(ISNA(MATCH($A447,TYP_TYPE,0)),S_TYPEKO,IF($U447=1,S_DONE,IF(AND($K447="",$R447=""),S_NOSCOPE,IF($K447="",S_NOTARGET,IF($N447&gt;0,S_LATE,IF($I447&lt;&gt;"",S_WIP,IF(-$N447&lt;=FEN_DOC,S_RISK,IF(-$N447&lt;=HORIZON,S_COMING,S_NOTYET))))))))))</f>
        <v/>
      </c>
      <c r="P447" s="24">
        <f>IF(OR($A447="",$E447=""),"",IF($V447=1,"",IF(ISNA(MATCH($A447,TYP_TYPE,0)),"Type not in the library",IF($B447="","Scope not set",IF(AND($B447="System",$C447=""),"System not set",IF(AND($B447="Equipment",$D447=""),"Equipment not set",IF($F447="","Responsible not set",IF($K447="","No target date",IF(AND($B447="Equipment",$C447&lt;&gt;"",IFERROR(INDEX(EQP_SYS,MATCH($D447,EQP_NOM,0)),"")&lt;&gt;$C447),"Equipment not in that system",IF(AND($U447=1,$M447=""),"Approved with no approval date",""))))))))))</f>
        <v/>
      </c>
      <c r="Q447" s="21" t="n"/>
      <c r="R447" s="23">
        <f>IF(OR($A447="",$B447=""),"",IF($B447="Equipment",IFERROR(INDEX(EQP_START,MATCH($D447,EQP_NOM,0)),""),IF($B447="System",IFERROR(INDEX(SYS_EARLIEST,MATCH($C447,SYS_ID,0)),""),IF($B447="All",CTR_EARLIEST,""))))</f>
        <v/>
      </c>
      <c r="S447" s="23">
        <f>IF(OR($A447="",$E447=""),"",IFERROR(IF(INDEX(TYP_ANCHOR,MATCH($A447,TYP_TYPE,0))="Commissioning Start",IF($R447="","",$R447-INDEX(TYP_LEAD,MATCH($A447,TYP_TYPE,0))),IF(INDEX(MS_PLAN,MATCH(INDEX(TYP_ANCHOR,MATCH($A447,TYP_TYPE,0)),MS_NOM,0))="","",INDEX(MS_PLAN,MATCH(INDEX(TYP_ANCHOR,MATCH($A447,TYP_TYPE,0)),MS_NOM,0))-INDEX(TYP_LEAD,MATCH($A447,TYP_TYPE,0)))),""))</f>
        <v/>
      </c>
      <c r="T447" s="26">
        <f>IF(OR($A447="",$E447=""),0,IF($V447=1,0,1))</f>
        <v/>
      </c>
      <c r="U447" s="26">
        <f>IF($T447=0,0,IF($M447&lt;&gt;"",1,IF(IFERROR(INDEX(WF_CLASS,MATCH($H447,WF_CODE,0)),"")="Done",1,0)))</f>
        <v/>
      </c>
      <c r="V447" s="26">
        <f>IF(OR($A447="",$E447=""),0,IF(IFERROR(INDEX(WF_CLASS,MATCH($H447,WF_CODE,0)),"")="Inactive",1,0))</f>
        <v/>
      </c>
      <c r="W447" s="24">
        <f>IF($A447="","",IFERROR(INDEX(TYP_PHASE,MATCH($A447,TYP_TYPE,0)),"-"))</f>
        <v/>
      </c>
      <c r="X447" s="24">
        <f>IF(AND($T447=1,$U447=0,N($N447)&gt;0),$N447+ROW()/1000000,"")</f>
        <v/>
      </c>
      <c r="Y447" s="24">
        <f>IF(AND($T447=1,$U447=0,OR($I447&lt;&gt;"",N($N447)&gt;0)),N($N447)+ROW()/1000000,"")</f>
        <v/>
      </c>
      <c r="Z447" s="24">
        <f>IF(AND($T447=1,$U447=0,$I447="",N($N447)&lt;=0,-N($N447)&lt;=HORIZON),N($N447)+ROW()/1000000,"")</f>
        <v/>
      </c>
    </row>
    <row r="448">
      <c r="A448" s="21" t="n"/>
      <c r="B448" s="21" t="n"/>
      <c r="C448" s="21" t="n"/>
      <c r="D448" s="21" t="n"/>
      <c r="E448" s="21" t="n"/>
      <c r="F448" s="21" t="n"/>
      <c r="G448" s="21" t="n"/>
      <c r="H448" s="21" t="n"/>
      <c r="I448" s="22" t="n"/>
      <c r="J448" s="22" t="n"/>
      <c r="K448" s="23">
        <f>IF($A448="","",IF($J448&lt;&gt;"",$J448,$S448))</f>
        <v/>
      </c>
      <c r="L448" s="24">
        <f>IF(OR($A448="",$E448=""),"",IF($J448&lt;&gt;"","Manual",IF($S448="","-","Auto")))</f>
        <v/>
      </c>
      <c r="M448" s="22" t="n"/>
      <c r="N448" s="25">
        <f>IF($T448=0,"",IF($U448=1,IF($M448="","",$M448-$K448),IF($K448="","",TODAY()-$K448)))</f>
        <v/>
      </c>
      <c r="O448" s="24">
        <f>IF(OR($A448="",$E448=""),"",IF($V448=1,S_INACT,IF(ISNA(MATCH($A448,TYP_TYPE,0)),S_TYPEKO,IF($U448=1,S_DONE,IF(AND($K448="",$R448=""),S_NOSCOPE,IF($K448="",S_NOTARGET,IF($N448&gt;0,S_LATE,IF($I448&lt;&gt;"",S_WIP,IF(-$N448&lt;=FEN_DOC,S_RISK,IF(-$N448&lt;=HORIZON,S_COMING,S_NOTYET))))))))))</f>
        <v/>
      </c>
      <c r="P448" s="24">
        <f>IF(OR($A448="",$E448=""),"",IF($V448=1,"",IF(ISNA(MATCH($A448,TYP_TYPE,0)),"Type not in the library",IF($B448="","Scope not set",IF(AND($B448="System",$C448=""),"System not set",IF(AND($B448="Equipment",$D448=""),"Equipment not set",IF($F448="","Responsible not set",IF($K448="","No target date",IF(AND($B448="Equipment",$C448&lt;&gt;"",IFERROR(INDEX(EQP_SYS,MATCH($D448,EQP_NOM,0)),"")&lt;&gt;$C448),"Equipment not in that system",IF(AND($U448=1,$M448=""),"Approved with no approval date",""))))))))))</f>
        <v/>
      </c>
      <c r="Q448" s="21" t="n"/>
      <c r="R448" s="23">
        <f>IF(OR($A448="",$B448=""),"",IF($B448="Equipment",IFERROR(INDEX(EQP_START,MATCH($D448,EQP_NOM,0)),""),IF($B448="System",IFERROR(INDEX(SYS_EARLIEST,MATCH($C448,SYS_ID,0)),""),IF($B448="All",CTR_EARLIEST,""))))</f>
        <v/>
      </c>
      <c r="S448" s="23">
        <f>IF(OR($A448="",$E448=""),"",IFERROR(IF(INDEX(TYP_ANCHOR,MATCH($A448,TYP_TYPE,0))="Commissioning Start",IF($R448="","",$R448-INDEX(TYP_LEAD,MATCH($A448,TYP_TYPE,0))),IF(INDEX(MS_PLAN,MATCH(INDEX(TYP_ANCHOR,MATCH($A448,TYP_TYPE,0)),MS_NOM,0))="","",INDEX(MS_PLAN,MATCH(INDEX(TYP_ANCHOR,MATCH($A448,TYP_TYPE,0)),MS_NOM,0))-INDEX(TYP_LEAD,MATCH($A448,TYP_TYPE,0)))),""))</f>
        <v/>
      </c>
      <c r="T448" s="26">
        <f>IF(OR($A448="",$E448=""),0,IF($V448=1,0,1))</f>
        <v/>
      </c>
      <c r="U448" s="26">
        <f>IF($T448=0,0,IF($M448&lt;&gt;"",1,IF(IFERROR(INDEX(WF_CLASS,MATCH($H448,WF_CODE,0)),"")="Done",1,0)))</f>
        <v/>
      </c>
      <c r="V448" s="26">
        <f>IF(OR($A448="",$E448=""),0,IF(IFERROR(INDEX(WF_CLASS,MATCH($H448,WF_CODE,0)),"")="Inactive",1,0))</f>
        <v/>
      </c>
      <c r="W448" s="24">
        <f>IF($A448="","",IFERROR(INDEX(TYP_PHASE,MATCH($A448,TYP_TYPE,0)),"-"))</f>
        <v/>
      </c>
      <c r="X448" s="24">
        <f>IF(AND($T448=1,$U448=0,N($N448)&gt;0),$N448+ROW()/1000000,"")</f>
        <v/>
      </c>
      <c r="Y448" s="24">
        <f>IF(AND($T448=1,$U448=0,OR($I448&lt;&gt;"",N($N448)&gt;0)),N($N448)+ROW()/1000000,"")</f>
        <v/>
      </c>
      <c r="Z448" s="24">
        <f>IF(AND($T448=1,$U448=0,$I448="",N($N448)&lt;=0,-N($N448)&lt;=HORIZON),N($N448)+ROW()/1000000,"")</f>
        <v/>
      </c>
    </row>
    <row r="449">
      <c r="A449" s="21" t="n"/>
      <c r="B449" s="21" t="n"/>
      <c r="C449" s="21" t="n"/>
      <c r="D449" s="21" t="n"/>
      <c r="E449" s="21" t="n"/>
      <c r="F449" s="21" t="n"/>
      <c r="G449" s="21" t="n"/>
      <c r="H449" s="21" t="n"/>
      <c r="I449" s="22" t="n"/>
      <c r="J449" s="22" t="n"/>
      <c r="K449" s="23">
        <f>IF($A449="","",IF($J449&lt;&gt;"",$J449,$S449))</f>
        <v/>
      </c>
      <c r="L449" s="24">
        <f>IF(OR($A449="",$E449=""),"",IF($J449&lt;&gt;"","Manual",IF($S449="","-","Auto")))</f>
        <v/>
      </c>
      <c r="M449" s="22" t="n"/>
      <c r="N449" s="25">
        <f>IF($T449=0,"",IF($U449=1,IF($M449="","",$M449-$K449),IF($K449="","",TODAY()-$K449)))</f>
        <v/>
      </c>
      <c r="O449" s="24">
        <f>IF(OR($A449="",$E449=""),"",IF($V449=1,S_INACT,IF(ISNA(MATCH($A449,TYP_TYPE,0)),S_TYPEKO,IF($U449=1,S_DONE,IF(AND($K449="",$R449=""),S_NOSCOPE,IF($K449="",S_NOTARGET,IF($N449&gt;0,S_LATE,IF($I449&lt;&gt;"",S_WIP,IF(-$N449&lt;=FEN_DOC,S_RISK,IF(-$N449&lt;=HORIZON,S_COMING,S_NOTYET))))))))))</f>
        <v/>
      </c>
      <c r="P449" s="24">
        <f>IF(OR($A449="",$E449=""),"",IF($V449=1,"",IF(ISNA(MATCH($A449,TYP_TYPE,0)),"Type not in the library",IF($B449="","Scope not set",IF(AND($B449="System",$C449=""),"System not set",IF(AND($B449="Equipment",$D449=""),"Equipment not set",IF($F449="","Responsible not set",IF($K449="","No target date",IF(AND($B449="Equipment",$C449&lt;&gt;"",IFERROR(INDEX(EQP_SYS,MATCH($D449,EQP_NOM,0)),"")&lt;&gt;$C449),"Equipment not in that system",IF(AND($U449=1,$M449=""),"Approved with no approval date",""))))))))))</f>
        <v/>
      </c>
      <c r="Q449" s="21" t="n"/>
      <c r="R449" s="23">
        <f>IF(OR($A449="",$B449=""),"",IF($B449="Equipment",IFERROR(INDEX(EQP_START,MATCH($D449,EQP_NOM,0)),""),IF($B449="System",IFERROR(INDEX(SYS_EARLIEST,MATCH($C449,SYS_ID,0)),""),IF($B449="All",CTR_EARLIEST,""))))</f>
        <v/>
      </c>
      <c r="S449" s="23">
        <f>IF(OR($A449="",$E449=""),"",IFERROR(IF(INDEX(TYP_ANCHOR,MATCH($A449,TYP_TYPE,0))="Commissioning Start",IF($R449="","",$R449-INDEX(TYP_LEAD,MATCH($A449,TYP_TYPE,0))),IF(INDEX(MS_PLAN,MATCH(INDEX(TYP_ANCHOR,MATCH($A449,TYP_TYPE,0)),MS_NOM,0))="","",INDEX(MS_PLAN,MATCH(INDEX(TYP_ANCHOR,MATCH($A449,TYP_TYPE,0)),MS_NOM,0))-INDEX(TYP_LEAD,MATCH($A449,TYP_TYPE,0)))),""))</f>
        <v/>
      </c>
      <c r="T449" s="26">
        <f>IF(OR($A449="",$E449=""),0,IF($V449=1,0,1))</f>
        <v/>
      </c>
      <c r="U449" s="26">
        <f>IF($T449=0,0,IF($M449&lt;&gt;"",1,IF(IFERROR(INDEX(WF_CLASS,MATCH($H449,WF_CODE,0)),"")="Done",1,0)))</f>
        <v/>
      </c>
      <c r="V449" s="26">
        <f>IF(OR($A449="",$E449=""),0,IF(IFERROR(INDEX(WF_CLASS,MATCH($H449,WF_CODE,0)),"")="Inactive",1,0))</f>
        <v/>
      </c>
      <c r="W449" s="24">
        <f>IF($A449="","",IFERROR(INDEX(TYP_PHASE,MATCH($A449,TYP_TYPE,0)),"-"))</f>
        <v/>
      </c>
      <c r="X449" s="24">
        <f>IF(AND($T449=1,$U449=0,N($N449)&gt;0),$N449+ROW()/1000000,"")</f>
        <v/>
      </c>
      <c r="Y449" s="24">
        <f>IF(AND($T449=1,$U449=0,OR($I449&lt;&gt;"",N($N449)&gt;0)),N($N449)+ROW()/1000000,"")</f>
        <v/>
      </c>
      <c r="Z449" s="24">
        <f>IF(AND($T449=1,$U449=0,$I449="",N($N449)&lt;=0,-N($N449)&lt;=HORIZON),N($N449)+ROW()/1000000,"")</f>
        <v/>
      </c>
    </row>
    <row r="450">
      <c r="A450" s="21" t="n"/>
      <c r="B450" s="21" t="n"/>
      <c r="C450" s="21" t="n"/>
      <c r="D450" s="21" t="n"/>
      <c r="E450" s="21" t="n"/>
      <c r="F450" s="21" t="n"/>
      <c r="G450" s="21" t="n"/>
      <c r="H450" s="21" t="n"/>
      <c r="I450" s="22" t="n"/>
      <c r="J450" s="22" t="n"/>
      <c r="K450" s="23">
        <f>IF($A450="","",IF($J450&lt;&gt;"",$J450,$S450))</f>
        <v/>
      </c>
      <c r="L450" s="24">
        <f>IF(OR($A450="",$E450=""),"",IF($J450&lt;&gt;"","Manual",IF($S450="","-","Auto")))</f>
        <v/>
      </c>
      <c r="M450" s="22" t="n"/>
      <c r="N450" s="25">
        <f>IF($T450=0,"",IF($U450=1,IF($M450="","",$M450-$K450),IF($K450="","",TODAY()-$K450)))</f>
        <v/>
      </c>
      <c r="O450" s="24">
        <f>IF(OR($A450="",$E450=""),"",IF($V450=1,S_INACT,IF(ISNA(MATCH($A450,TYP_TYPE,0)),S_TYPEKO,IF($U450=1,S_DONE,IF(AND($K450="",$R450=""),S_NOSCOPE,IF($K450="",S_NOTARGET,IF($N450&gt;0,S_LATE,IF($I450&lt;&gt;"",S_WIP,IF(-$N450&lt;=FEN_DOC,S_RISK,IF(-$N450&lt;=HORIZON,S_COMING,S_NOTYET))))))))))</f>
        <v/>
      </c>
      <c r="P450" s="24">
        <f>IF(OR($A450="",$E450=""),"",IF($V450=1,"",IF(ISNA(MATCH($A450,TYP_TYPE,0)),"Type not in the library",IF($B450="","Scope not set",IF(AND($B450="System",$C450=""),"System not set",IF(AND($B450="Equipment",$D450=""),"Equipment not set",IF($F450="","Responsible not set",IF($K450="","No target date",IF(AND($B450="Equipment",$C450&lt;&gt;"",IFERROR(INDEX(EQP_SYS,MATCH($D450,EQP_NOM,0)),"")&lt;&gt;$C450),"Equipment not in that system",IF(AND($U450=1,$M450=""),"Approved with no approval date",""))))))))))</f>
        <v/>
      </c>
      <c r="Q450" s="21" t="n"/>
      <c r="R450" s="23">
        <f>IF(OR($A450="",$B450=""),"",IF($B450="Equipment",IFERROR(INDEX(EQP_START,MATCH($D450,EQP_NOM,0)),""),IF($B450="System",IFERROR(INDEX(SYS_EARLIEST,MATCH($C450,SYS_ID,0)),""),IF($B450="All",CTR_EARLIEST,""))))</f>
        <v/>
      </c>
      <c r="S450" s="23">
        <f>IF(OR($A450="",$E450=""),"",IFERROR(IF(INDEX(TYP_ANCHOR,MATCH($A450,TYP_TYPE,0))="Commissioning Start",IF($R450="","",$R450-INDEX(TYP_LEAD,MATCH($A450,TYP_TYPE,0))),IF(INDEX(MS_PLAN,MATCH(INDEX(TYP_ANCHOR,MATCH($A450,TYP_TYPE,0)),MS_NOM,0))="","",INDEX(MS_PLAN,MATCH(INDEX(TYP_ANCHOR,MATCH($A450,TYP_TYPE,0)),MS_NOM,0))-INDEX(TYP_LEAD,MATCH($A450,TYP_TYPE,0)))),""))</f>
        <v/>
      </c>
      <c r="T450" s="26">
        <f>IF(OR($A450="",$E450=""),0,IF($V450=1,0,1))</f>
        <v/>
      </c>
      <c r="U450" s="26">
        <f>IF($T450=0,0,IF($M450&lt;&gt;"",1,IF(IFERROR(INDEX(WF_CLASS,MATCH($H450,WF_CODE,0)),"")="Done",1,0)))</f>
        <v/>
      </c>
      <c r="V450" s="26">
        <f>IF(OR($A450="",$E450=""),0,IF(IFERROR(INDEX(WF_CLASS,MATCH($H450,WF_CODE,0)),"")="Inactive",1,0))</f>
        <v/>
      </c>
      <c r="W450" s="24">
        <f>IF($A450="","",IFERROR(INDEX(TYP_PHASE,MATCH($A450,TYP_TYPE,0)),"-"))</f>
        <v/>
      </c>
      <c r="X450" s="24">
        <f>IF(AND($T450=1,$U450=0,N($N450)&gt;0),$N450+ROW()/1000000,"")</f>
        <v/>
      </c>
      <c r="Y450" s="24">
        <f>IF(AND($T450=1,$U450=0,OR($I450&lt;&gt;"",N($N450)&gt;0)),N($N450)+ROW()/1000000,"")</f>
        <v/>
      </c>
      <c r="Z450" s="24">
        <f>IF(AND($T450=1,$U450=0,$I450="",N($N450)&lt;=0,-N($N450)&lt;=HORIZON),N($N450)+ROW()/1000000,"")</f>
        <v/>
      </c>
    </row>
    <row r="451">
      <c r="A451" s="21" t="n"/>
      <c r="B451" s="21" t="n"/>
      <c r="C451" s="21" t="n"/>
      <c r="D451" s="21" t="n"/>
      <c r="E451" s="21" t="n"/>
      <c r="F451" s="21" t="n"/>
      <c r="G451" s="21" t="n"/>
      <c r="H451" s="21" t="n"/>
      <c r="I451" s="22" t="n"/>
      <c r="J451" s="22" t="n"/>
      <c r="K451" s="23">
        <f>IF($A451="","",IF($J451&lt;&gt;"",$J451,$S451))</f>
        <v/>
      </c>
      <c r="L451" s="24">
        <f>IF(OR($A451="",$E451=""),"",IF($J451&lt;&gt;"","Manual",IF($S451="","-","Auto")))</f>
        <v/>
      </c>
      <c r="M451" s="22" t="n"/>
      <c r="N451" s="25">
        <f>IF($T451=0,"",IF($U451=1,IF($M451="","",$M451-$K451),IF($K451="","",TODAY()-$K451)))</f>
        <v/>
      </c>
      <c r="O451" s="24">
        <f>IF(OR($A451="",$E451=""),"",IF($V451=1,S_INACT,IF(ISNA(MATCH($A451,TYP_TYPE,0)),S_TYPEKO,IF($U451=1,S_DONE,IF(AND($K451="",$R451=""),S_NOSCOPE,IF($K451="",S_NOTARGET,IF($N451&gt;0,S_LATE,IF($I451&lt;&gt;"",S_WIP,IF(-$N451&lt;=FEN_DOC,S_RISK,IF(-$N451&lt;=HORIZON,S_COMING,S_NOTYET))))))))))</f>
        <v/>
      </c>
      <c r="P451" s="24">
        <f>IF(OR($A451="",$E451=""),"",IF($V451=1,"",IF(ISNA(MATCH($A451,TYP_TYPE,0)),"Type not in the library",IF($B451="","Scope not set",IF(AND($B451="System",$C451=""),"System not set",IF(AND($B451="Equipment",$D451=""),"Equipment not set",IF($F451="","Responsible not set",IF($K451="","No target date",IF(AND($B451="Equipment",$C451&lt;&gt;"",IFERROR(INDEX(EQP_SYS,MATCH($D451,EQP_NOM,0)),"")&lt;&gt;$C451),"Equipment not in that system",IF(AND($U451=1,$M451=""),"Approved with no approval date",""))))))))))</f>
        <v/>
      </c>
      <c r="Q451" s="21" t="n"/>
      <c r="R451" s="23">
        <f>IF(OR($A451="",$B451=""),"",IF($B451="Equipment",IFERROR(INDEX(EQP_START,MATCH($D451,EQP_NOM,0)),""),IF($B451="System",IFERROR(INDEX(SYS_EARLIEST,MATCH($C451,SYS_ID,0)),""),IF($B451="All",CTR_EARLIEST,""))))</f>
        <v/>
      </c>
      <c r="S451" s="23">
        <f>IF(OR($A451="",$E451=""),"",IFERROR(IF(INDEX(TYP_ANCHOR,MATCH($A451,TYP_TYPE,0))="Commissioning Start",IF($R451="","",$R451-INDEX(TYP_LEAD,MATCH($A451,TYP_TYPE,0))),IF(INDEX(MS_PLAN,MATCH(INDEX(TYP_ANCHOR,MATCH($A451,TYP_TYPE,0)),MS_NOM,0))="","",INDEX(MS_PLAN,MATCH(INDEX(TYP_ANCHOR,MATCH($A451,TYP_TYPE,0)),MS_NOM,0))-INDEX(TYP_LEAD,MATCH($A451,TYP_TYPE,0)))),""))</f>
        <v/>
      </c>
      <c r="T451" s="26">
        <f>IF(OR($A451="",$E451=""),0,IF($V451=1,0,1))</f>
        <v/>
      </c>
      <c r="U451" s="26">
        <f>IF($T451=0,0,IF($M451&lt;&gt;"",1,IF(IFERROR(INDEX(WF_CLASS,MATCH($H451,WF_CODE,0)),"")="Done",1,0)))</f>
        <v/>
      </c>
      <c r="V451" s="26">
        <f>IF(OR($A451="",$E451=""),0,IF(IFERROR(INDEX(WF_CLASS,MATCH($H451,WF_CODE,0)),"")="Inactive",1,0))</f>
        <v/>
      </c>
      <c r="W451" s="24">
        <f>IF($A451="","",IFERROR(INDEX(TYP_PHASE,MATCH($A451,TYP_TYPE,0)),"-"))</f>
        <v/>
      </c>
      <c r="X451" s="24">
        <f>IF(AND($T451=1,$U451=0,N($N451)&gt;0),$N451+ROW()/1000000,"")</f>
        <v/>
      </c>
      <c r="Y451" s="24">
        <f>IF(AND($T451=1,$U451=0,OR($I451&lt;&gt;"",N($N451)&gt;0)),N($N451)+ROW()/1000000,"")</f>
        <v/>
      </c>
      <c r="Z451" s="24">
        <f>IF(AND($T451=1,$U451=0,$I451="",N($N451)&lt;=0,-N($N451)&lt;=HORIZON),N($N451)+ROW()/1000000,"")</f>
        <v/>
      </c>
    </row>
    <row r="452">
      <c r="A452" s="21" t="n"/>
      <c r="B452" s="21" t="n"/>
      <c r="C452" s="21" t="n"/>
      <c r="D452" s="21" t="n"/>
      <c r="E452" s="21" t="n"/>
      <c r="F452" s="21" t="n"/>
      <c r="G452" s="21" t="n"/>
      <c r="H452" s="21" t="n"/>
      <c r="I452" s="22" t="n"/>
      <c r="J452" s="22" t="n"/>
      <c r="K452" s="23">
        <f>IF($A452="","",IF($J452&lt;&gt;"",$J452,$S452))</f>
        <v/>
      </c>
      <c r="L452" s="24">
        <f>IF(OR($A452="",$E452=""),"",IF($J452&lt;&gt;"","Manual",IF($S452="","-","Auto")))</f>
        <v/>
      </c>
      <c r="M452" s="22" t="n"/>
      <c r="N452" s="25">
        <f>IF($T452=0,"",IF($U452=1,IF($M452="","",$M452-$K452),IF($K452="","",TODAY()-$K452)))</f>
        <v/>
      </c>
      <c r="O452" s="24">
        <f>IF(OR($A452="",$E452=""),"",IF($V452=1,S_INACT,IF(ISNA(MATCH($A452,TYP_TYPE,0)),S_TYPEKO,IF($U452=1,S_DONE,IF(AND($K452="",$R452=""),S_NOSCOPE,IF($K452="",S_NOTARGET,IF($N452&gt;0,S_LATE,IF($I452&lt;&gt;"",S_WIP,IF(-$N452&lt;=FEN_DOC,S_RISK,IF(-$N452&lt;=HORIZON,S_COMING,S_NOTYET))))))))))</f>
        <v/>
      </c>
      <c r="P452" s="24">
        <f>IF(OR($A452="",$E452=""),"",IF($V452=1,"",IF(ISNA(MATCH($A452,TYP_TYPE,0)),"Type not in the library",IF($B452="","Scope not set",IF(AND($B452="System",$C452=""),"System not set",IF(AND($B452="Equipment",$D452=""),"Equipment not set",IF($F452="","Responsible not set",IF($K452="","No target date",IF(AND($B452="Equipment",$C452&lt;&gt;"",IFERROR(INDEX(EQP_SYS,MATCH($D452,EQP_NOM,0)),"")&lt;&gt;$C452),"Equipment not in that system",IF(AND($U452=1,$M452=""),"Approved with no approval date",""))))))))))</f>
        <v/>
      </c>
      <c r="Q452" s="21" t="n"/>
      <c r="R452" s="23">
        <f>IF(OR($A452="",$B452=""),"",IF($B452="Equipment",IFERROR(INDEX(EQP_START,MATCH($D452,EQP_NOM,0)),""),IF($B452="System",IFERROR(INDEX(SYS_EARLIEST,MATCH($C452,SYS_ID,0)),""),IF($B452="All",CTR_EARLIEST,""))))</f>
        <v/>
      </c>
      <c r="S452" s="23">
        <f>IF(OR($A452="",$E452=""),"",IFERROR(IF(INDEX(TYP_ANCHOR,MATCH($A452,TYP_TYPE,0))="Commissioning Start",IF($R452="","",$R452-INDEX(TYP_LEAD,MATCH($A452,TYP_TYPE,0))),IF(INDEX(MS_PLAN,MATCH(INDEX(TYP_ANCHOR,MATCH($A452,TYP_TYPE,0)),MS_NOM,0))="","",INDEX(MS_PLAN,MATCH(INDEX(TYP_ANCHOR,MATCH($A452,TYP_TYPE,0)),MS_NOM,0))-INDEX(TYP_LEAD,MATCH($A452,TYP_TYPE,0)))),""))</f>
        <v/>
      </c>
      <c r="T452" s="26">
        <f>IF(OR($A452="",$E452=""),0,IF($V452=1,0,1))</f>
        <v/>
      </c>
      <c r="U452" s="26">
        <f>IF($T452=0,0,IF($M452&lt;&gt;"",1,IF(IFERROR(INDEX(WF_CLASS,MATCH($H452,WF_CODE,0)),"")="Done",1,0)))</f>
        <v/>
      </c>
      <c r="V452" s="26">
        <f>IF(OR($A452="",$E452=""),0,IF(IFERROR(INDEX(WF_CLASS,MATCH($H452,WF_CODE,0)),"")="Inactive",1,0))</f>
        <v/>
      </c>
      <c r="W452" s="24">
        <f>IF($A452="","",IFERROR(INDEX(TYP_PHASE,MATCH($A452,TYP_TYPE,0)),"-"))</f>
        <v/>
      </c>
      <c r="X452" s="24">
        <f>IF(AND($T452=1,$U452=0,N($N452)&gt;0),$N452+ROW()/1000000,"")</f>
        <v/>
      </c>
      <c r="Y452" s="24">
        <f>IF(AND($T452=1,$U452=0,OR($I452&lt;&gt;"",N($N452)&gt;0)),N($N452)+ROW()/1000000,"")</f>
        <v/>
      </c>
      <c r="Z452" s="24">
        <f>IF(AND($T452=1,$U452=0,$I452="",N($N452)&lt;=0,-N($N452)&lt;=HORIZON),N($N452)+ROW()/1000000,"")</f>
        <v/>
      </c>
    </row>
    <row r="453">
      <c r="A453" s="21" t="n"/>
      <c r="B453" s="21" t="n"/>
      <c r="C453" s="21" t="n"/>
      <c r="D453" s="21" t="n"/>
      <c r="E453" s="21" t="n"/>
      <c r="F453" s="21" t="n"/>
      <c r="G453" s="21" t="n"/>
      <c r="H453" s="21" t="n"/>
      <c r="I453" s="22" t="n"/>
      <c r="J453" s="22" t="n"/>
      <c r="K453" s="23">
        <f>IF($A453="","",IF($J453&lt;&gt;"",$J453,$S453))</f>
        <v/>
      </c>
      <c r="L453" s="24">
        <f>IF(OR($A453="",$E453=""),"",IF($J453&lt;&gt;"","Manual",IF($S453="","-","Auto")))</f>
        <v/>
      </c>
      <c r="M453" s="22" t="n"/>
      <c r="N453" s="25">
        <f>IF($T453=0,"",IF($U453=1,IF($M453="","",$M453-$K453),IF($K453="","",TODAY()-$K453)))</f>
        <v/>
      </c>
      <c r="O453" s="24">
        <f>IF(OR($A453="",$E453=""),"",IF($V453=1,S_INACT,IF(ISNA(MATCH($A453,TYP_TYPE,0)),S_TYPEKO,IF($U453=1,S_DONE,IF(AND($K453="",$R453=""),S_NOSCOPE,IF($K453="",S_NOTARGET,IF($N453&gt;0,S_LATE,IF($I453&lt;&gt;"",S_WIP,IF(-$N453&lt;=FEN_DOC,S_RISK,IF(-$N453&lt;=HORIZON,S_COMING,S_NOTYET))))))))))</f>
        <v/>
      </c>
      <c r="P453" s="24">
        <f>IF(OR($A453="",$E453=""),"",IF($V453=1,"",IF(ISNA(MATCH($A453,TYP_TYPE,0)),"Type not in the library",IF($B453="","Scope not set",IF(AND($B453="System",$C453=""),"System not set",IF(AND($B453="Equipment",$D453=""),"Equipment not set",IF($F453="","Responsible not set",IF($K453="","No target date",IF(AND($B453="Equipment",$C453&lt;&gt;"",IFERROR(INDEX(EQP_SYS,MATCH($D453,EQP_NOM,0)),"")&lt;&gt;$C453),"Equipment not in that system",IF(AND($U453=1,$M453=""),"Approved with no approval date",""))))))))))</f>
        <v/>
      </c>
      <c r="Q453" s="21" t="n"/>
      <c r="R453" s="23">
        <f>IF(OR($A453="",$B453=""),"",IF($B453="Equipment",IFERROR(INDEX(EQP_START,MATCH($D453,EQP_NOM,0)),""),IF($B453="System",IFERROR(INDEX(SYS_EARLIEST,MATCH($C453,SYS_ID,0)),""),IF($B453="All",CTR_EARLIEST,""))))</f>
        <v/>
      </c>
      <c r="S453" s="23">
        <f>IF(OR($A453="",$E453=""),"",IFERROR(IF(INDEX(TYP_ANCHOR,MATCH($A453,TYP_TYPE,0))="Commissioning Start",IF($R453="","",$R453-INDEX(TYP_LEAD,MATCH($A453,TYP_TYPE,0))),IF(INDEX(MS_PLAN,MATCH(INDEX(TYP_ANCHOR,MATCH($A453,TYP_TYPE,0)),MS_NOM,0))="","",INDEX(MS_PLAN,MATCH(INDEX(TYP_ANCHOR,MATCH($A453,TYP_TYPE,0)),MS_NOM,0))-INDEX(TYP_LEAD,MATCH($A453,TYP_TYPE,0)))),""))</f>
        <v/>
      </c>
      <c r="T453" s="26">
        <f>IF(OR($A453="",$E453=""),0,IF($V453=1,0,1))</f>
        <v/>
      </c>
      <c r="U453" s="26">
        <f>IF($T453=0,0,IF($M453&lt;&gt;"",1,IF(IFERROR(INDEX(WF_CLASS,MATCH($H453,WF_CODE,0)),"")="Done",1,0)))</f>
        <v/>
      </c>
      <c r="V453" s="26">
        <f>IF(OR($A453="",$E453=""),0,IF(IFERROR(INDEX(WF_CLASS,MATCH($H453,WF_CODE,0)),"")="Inactive",1,0))</f>
        <v/>
      </c>
      <c r="W453" s="24">
        <f>IF($A453="","",IFERROR(INDEX(TYP_PHASE,MATCH($A453,TYP_TYPE,0)),"-"))</f>
        <v/>
      </c>
      <c r="X453" s="24">
        <f>IF(AND($T453=1,$U453=0,N($N453)&gt;0),$N453+ROW()/1000000,"")</f>
        <v/>
      </c>
      <c r="Y453" s="24">
        <f>IF(AND($T453=1,$U453=0,OR($I453&lt;&gt;"",N($N453)&gt;0)),N($N453)+ROW()/1000000,"")</f>
        <v/>
      </c>
      <c r="Z453" s="24">
        <f>IF(AND($T453=1,$U453=0,$I453="",N($N453)&lt;=0,-N($N453)&lt;=HORIZON),N($N453)+ROW()/1000000,"")</f>
        <v/>
      </c>
    </row>
    <row r="454">
      <c r="A454" s="21" t="n"/>
      <c r="B454" s="21" t="n"/>
      <c r="C454" s="21" t="n"/>
      <c r="D454" s="21" t="n"/>
      <c r="E454" s="21" t="n"/>
      <c r="F454" s="21" t="n"/>
      <c r="G454" s="21" t="n"/>
      <c r="H454" s="21" t="n"/>
      <c r="I454" s="22" t="n"/>
      <c r="J454" s="22" t="n"/>
      <c r="K454" s="23">
        <f>IF($A454="","",IF($J454&lt;&gt;"",$J454,$S454))</f>
        <v/>
      </c>
      <c r="L454" s="24">
        <f>IF(OR($A454="",$E454=""),"",IF($J454&lt;&gt;"","Manual",IF($S454="","-","Auto")))</f>
        <v/>
      </c>
      <c r="M454" s="22" t="n"/>
      <c r="N454" s="25">
        <f>IF($T454=0,"",IF($U454=1,IF($M454="","",$M454-$K454),IF($K454="","",TODAY()-$K454)))</f>
        <v/>
      </c>
      <c r="O454" s="24">
        <f>IF(OR($A454="",$E454=""),"",IF($V454=1,S_INACT,IF(ISNA(MATCH($A454,TYP_TYPE,0)),S_TYPEKO,IF($U454=1,S_DONE,IF(AND($K454="",$R454=""),S_NOSCOPE,IF($K454="",S_NOTARGET,IF($N454&gt;0,S_LATE,IF($I454&lt;&gt;"",S_WIP,IF(-$N454&lt;=FEN_DOC,S_RISK,IF(-$N454&lt;=HORIZON,S_COMING,S_NOTYET))))))))))</f>
        <v/>
      </c>
      <c r="P454" s="24">
        <f>IF(OR($A454="",$E454=""),"",IF($V454=1,"",IF(ISNA(MATCH($A454,TYP_TYPE,0)),"Type not in the library",IF($B454="","Scope not set",IF(AND($B454="System",$C454=""),"System not set",IF(AND($B454="Equipment",$D454=""),"Equipment not set",IF($F454="","Responsible not set",IF($K454="","No target date",IF(AND($B454="Equipment",$C454&lt;&gt;"",IFERROR(INDEX(EQP_SYS,MATCH($D454,EQP_NOM,0)),"")&lt;&gt;$C454),"Equipment not in that system",IF(AND($U454=1,$M454=""),"Approved with no approval date",""))))))))))</f>
        <v/>
      </c>
      <c r="Q454" s="21" t="n"/>
      <c r="R454" s="23">
        <f>IF(OR($A454="",$B454=""),"",IF($B454="Equipment",IFERROR(INDEX(EQP_START,MATCH($D454,EQP_NOM,0)),""),IF($B454="System",IFERROR(INDEX(SYS_EARLIEST,MATCH($C454,SYS_ID,0)),""),IF($B454="All",CTR_EARLIEST,""))))</f>
        <v/>
      </c>
      <c r="S454" s="23">
        <f>IF(OR($A454="",$E454=""),"",IFERROR(IF(INDEX(TYP_ANCHOR,MATCH($A454,TYP_TYPE,0))="Commissioning Start",IF($R454="","",$R454-INDEX(TYP_LEAD,MATCH($A454,TYP_TYPE,0))),IF(INDEX(MS_PLAN,MATCH(INDEX(TYP_ANCHOR,MATCH($A454,TYP_TYPE,0)),MS_NOM,0))="","",INDEX(MS_PLAN,MATCH(INDEX(TYP_ANCHOR,MATCH($A454,TYP_TYPE,0)),MS_NOM,0))-INDEX(TYP_LEAD,MATCH($A454,TYP_TYPE,0)))),""))</f>
        <v/>
      </c>
      <c r="T454" s="26">
        <f>IF(OR($A454="",$E454=""),0,IF($V454=1,0,1))</f>
        <v/>
      </c>
      <c r="U454" s="26">
        <f>IF($T454=0,0,IF($M454&lt;&gt;"",1,IF(IFERROR(INDEX(WF_CLASS,MATCH($H454,WF_CODE,0)),"")="Done",1,0)))</f>
        <v/>
      </c>
      <c r="V454" s="26">
        <f>IF(OR($A454="",$E454=""),0,IF(IFERROR(INDEX(WF_CLASS,MATCH($H454,WF_CODE,0)),"")="Inactive",1,0))</f>
        <v/>
      </c>
      <c r="W454" s="24">
        <f>IF($A454="","",IFERROR(INDEX(TYP_PHASE,MATCH($A454,TYP_TYPE,0)),"-"))</f>
        <v/>
      </c>
      <c r="X454" s="24">
        <f>IF(AND($T454=1,$U454=0,N($N454)&gt;0),$N454+ROW()/1000000,"")</f>
        <v/>
      </c>
      <c r="Y454" s="24">
        <f>IF(AND($T454=1,$U454=0,OR($I454&lt;&gt;"",N($N454)&gt;0)),N($N454)+ROW()/1000000,"")</f>
        <v/>
      </c>
      <c r="Z454" s="24">
        <f>IF(AND($T454=1,$U454=0,$I454="",N($N454)&lt;=0,-N($N454)&lt;=HORIZON),N($N454)+ROW()/1000000,"")</f>
        <v/>
      </c>
    </row>
    <row r="455">
      <c r="A455" s="21" t="n"/>
      <c r="B455" s="21" t="n"/>
      <c r="C455" s="21" t="n"/>
      <c r="D455" s="21" t="n"/>
      <c r="E455" s="21" t="n"/>
      <c r="F455" s="21" t="n"/>
      <c r="G455" s="21" t="n"/>
      <c r="H455" s="21" t="n"/>
      <c r="I455" s="22" t="n"/>
      <c r="J455" s="22" t="n"/>
      <c r="K455" s="23">
        <f>IF($A455="","",IF($J455&lt;&gt;"",$J455,$S455))</f>
        <v/>
      </c>
      <c r="L455" s="24">
        <f>IF(OR($A455="",$E455=""),"",IF($J455&lt;&gt;"","Manual",IF($S455="","-","Auto")))</f>
        <v/>
      </c>
      <c r="M455" s="22" t="n"/>
      <c r="N455" s="25">
        <f>IF($T455=0,"",IF($U455=1,IF($M455="","",$M455-$K455),IF($K455="","",TODAY()-$K455)))</f>
        <v/>
      </c>
      <c r="O455" s="24">
        <f>IF(OR($A455="",$E455=""),"",IF($V455=1,S_INACT,IF(ISNA(MATCH($A455,TYP_TYPE,0)),S_TYPEKO,IF($U455=1,S_DONE,IF(AND($K455="",$R455=""),S_NOSCOPE,IF($K455="",S_NOTARGET,IF($N455&gt;0,S_LATE,IF($I455&lt;&gt;"",S_WIP,IF(-$N455&lt;=FEN_DOC,S_RISK,IF(-$N455&lt;=HORIZON,S_COMING,S_NOTYET))))))))))</f>
        <v/>
      </c>
      <c r="P455" s="24">
        <f>IF(OR($A455="",$E455=""),"",IF($V455=1,"",IF(ISNA(MATCH($A455,TYP_TYPE,0)),"Type not in the library",IF($B455="","Scope not set",IF(AND($B455="System",$C455=""),"System not set",IF(AND($B455="Equipment",$D455=""),"Equipment not set",IF($F455="","Responsible not set",IF($K455="","No target date",IF(AND($B455="Equipment",$C455&lt;&gt;"",IFERROR(INDEX(EQP_SYS,MATCH($D455,EQP_NOM,0)),"")&lt;&gt;$C455),"Equipment not in that system",IF(AND($U455=1,$M455=""),"Approved with no approval date",""))))))))))</f>
        <v/>
      </c>
      <c r="Q455" s="21" t="n"/>
      <c r="R455" s="23">
        <f>IF(OR($A455="",$B455=""),"",IF($B455="Equipment",IFERROR(INDEX(EQP_START,MATCH($D455,EQP_NOM,0)),""),IF($B455="System",IFERROR(INDEX(SYS_EARLIEST,MATCH($C455,SYS_ID,0)),""),IF($B455="All",CTR_EARLIEST,""))))</f>
        <v/>
      </c>
      <c r="S455" s="23">
        <f>IF(OR($A455="",$E455=""),"",IFERROR(IF(INDEX(TYP_ANCHOR,MATCH($A455,TYP_TYPE,0))="Commissioning Start",IF($R455="","",$R455-INDEX(TYP_LEAD,MATCH($A455,TYP_TYPE,0))),IF(INDEX(MS_PLAN,MATCH(INDEX(TYP_ANCHOR,MATCH($A455,TYP_TYPE,0)),MS_NOM,0))="","",INDEX(MS_PLAN,MATCH(INDEX(TYP_ANCHOR,MATCH($A455,TYP_TYPE,0)),MS_NOM,0))-INDEX(TYP_LEAD,MATCH($A455,TYP_TYPE,0)))),""))</f>
        <v/>
      </c>
      <c r="T455" s="26">
        <f>IF(OR($A455="",$E455=""),0,IF($V455=1,0,1))</f>
        <v/>
      </c>
      <c r="U455" s="26">
        <f>IF($T455=0,0,IF($M455&lt;&gt;"",1,IF(IFERROR(INDEX(WF_CLASS,MATCH($H455,WF_CODE,0)),"")="Done",1,0)))</f>
        <v/>
      </c>
      <c r="V455" s="26">
        <f>IF(OR($A455="",$E455=""),0,IF(IFERROR(INDEX(WF_CLASS,MATCH($H455,WF_CODE,0)),"")="Inactive",1,0))</f>
        <v/>
      </c>
      <c r="W455" s="24">
        <f>IF($A455="","",IFERROR(INDEX(TYP_PHASE,MATCH($A455,TYP_TYPE,0)),"-"))</f>
        <v/>
      </c>
      <c r="X455" s="24">
        <f>IF(AND($T455=1,$U455=0,N($N455)&gt;0),$N455+ROW()/1000000,"")</f>
        <v/>
      </c>
      <c r="Y455" s="24">
        <f>IF(AND($T455=1,$U455=0,OR($I455&lt;&gt;"",N($N455)&gt;0)),N($N455)+ROW()/1000000,"")</f>
        <v/>
      </c>
      <c r="Z455" s="24">
        <f>IF(AND($T455=1,$U455=0,$I455="",N($N455)&lt;=0,-N($N455)&lt;=HORIZON),N($N455)+ROW()/1000000,"")</f>
        <v/>
      </c>
    </row>
    <row r="456">
      <c r="A456" s="21" t="n"/>
      <c r="B456" s="21" t="n"/>
      <c r="C456" s="21" t="n"/>
      <c r="D456" s="21" t="n"/>
      <c r="E456" s="21" t="n"/>
      <c r="F456" s="21" t="n"/>
      <c r="G456" s="21" t="n"/>
      <c r="H456" s="21" t="n"/>
      <c r="I456" s="22" t="n"/>
      <c r="J456" s="22" t="n"/>
      <c r="K456" s="23">
        <f>IF($A456="","",IF($J456&lt;&gt;"",$J456,$S456))</f>
        <v/>
      </c>
      <c r="L456" s="24">
        <f>IF(OR($A456="",$E456=""),"",IF($J456&lt;&gt;"","Manual",IF($S456="","-","Auto")))</f>
        <v/>
      </c>
      <c r="M456" s="22" t="n"/>
      <c r="N456" s="25">
        <f>IF($T456=0,"",IF($U456=1,IF($M456="","",$M456-$K456),IF($K456="","",TODAY()-$K456)))</f>
        <v/>
      </c>
      <c r="O456" s="24">
        <f>IF(OR($A456="",$E456=""),"",IF($V456=1,S_INACT,IF(ISNA(MATCH($A456,TYP_TYPE,0)),S_TYPEKO,IF($U456=1,S_DONE,IF(AND($K456="",$R456=""),S_NOSCOPE,IF($K456="",S_NOTARGET,IF($N456&gt;0,S_LATE,IF($I456&lt;&gt;"",S_WIP,IF(-$N456&lt;=FEN_DOC,S_RISK,IF(-$N456&lt;=HORIZON,S_COMING,S_NOTYET))))))))))</f>
        <v/>
      </c>
      <c r="P456" s="24">
        <f>IF(OR($A456="",$E456=""),"",IF($V456=1,"",IF(ISNA(MATCH($A456,TYP_TYPE,0)),"Type not in the library",IF($B456="","Scope not set",IF(AND($B456="System",$C456=""),"System not set",IF(AND($B456="Equipment",$D456=""),"Equipment not set",IF($F456="","Responsible not set",IF($K456="","No target date",IF(AND($B456="Equipment",$C456&lt;&gt;"",IFERROR(INDEX(EQP_SYS,MATCH($D456,EQP_NOM,0)),"")&lt;&gt;$C456),"Equipment not in that system",IF(AND($U456=1,$M456=""),"Approved with no approval date",""))))))))))</f>
        <v/>
      </c>
      <c r="Q456" s="21" t="n"/>
      <c r="R456" s="23">
        <f>IF(OR($A456="",$B456=""),"",IF($B456="Equipment",IFERROR(INDEX(EQP_START,MATCH($D456,EQP_NOM,0)),""),IF($B456="System",IFERROR(INDEX(SYS_EARLIEST,MATCH($C456,SYS_ID,0)),""),IF($B456="All",CTR_EARLIEST,""))))</f>
        <v/>
      </c>
      <c r="S456" s="23">
        <f>IF(OR($A456="",$E456=""),"",IFERROR(IF(INDEX(TYP_ANCHOR,MATCH($A456,TYP_TYPE,0))="Commissioning Start",IF($R456="","",$R456-INDEX(TYP_LEAD,MATCH($A456,TYP_TYPE,0))),IF(INDEX(MS_PLAN,MATCH(INDEX(TYP_ANCHOR,MATCH($A456,TYP_TYPE,0)),MS_NOM,0))="","",INDEX(MS_PLAN,MATCH(INDEX(TYP_ANCHOR,MATCH($A456,TYP_TYPE,0)),MS_NOM,0))-INDEX(TYP_LEAD,MATCH($A456,TYP_TYPE,0)))),""))</f>
        <v/>
      </c>
      <c r="T456" s="26">
        <f>IF(OR($A456="",$E456=""),0,IF($V456=1,0,1))</f>
        <v/>
      </c>
      <c r="U456" s="26">
        <f>IF($T456=0,0,IF($M456&lt;&gt;"",1,IF(IFERROR(INDEX(WF_CLASS,MATCH($H456,WF_CODE,0)),"")="Done",1,0)))</f>
        <v/>
      </c>
      <c r="V456" s="26">
        <f>IF(OR($A456="",$E456=""),0,IF(IFERROR(INDEX(WF_CLASS,MATCH($H456,WF_CODE,0)),"")="Inactive",1,0))</f>
        <v/>
      </c>
      <c r="W456" s="24">
        <f>IF($A456="","",IFERROR(INDEX(TYP_PHASE,MATCH($A456,TYP_TYPE,0)),"-"))</f>
        <v/>
      </c>
      <c r="X456" s="24">
        <f>IF(AND($T456=1,$U456=0,N($N456)&gt;0),$N456+ROW()/1000000,"")</f>
        <v/>
      </c>
      <c r="Y456" s="24">
        <f>IF(AND($T456=1,$U456=0,OR($I456&lt;&gt;"",N($N456)&gt;0)),N($N456)+ROW()/1000000,"")</f>
        <v/>
      </c>
      <c r="Z456" s="24">
        <f>IF(AND($T456=1,$U456=0,$I456="",N($N456)&lt;=0,-N($N456)&lt;=HORIZON),N($N456)+ROW()/1000000,"")</f>
        <v/>
      </c>
    </row>
    <row r="457">
      <c r="A457" s="21" t="n"/>
      <c r="B457" s="21" t="n"/>
      <c r="C457" s="21" t="n"/>
      <c r="D457" s="21" t="n"/>
      <c r="E457" s="21" t="n"/>
      <c r="F457" s="21" t="n"/>
      <c r="G457" s="21" t="n"/>
      <c r="H457" s="21" t="n"/>
      <c r="I457" s="22" t="n"/>
      <c r="J457" s="22" t="n"/>
      <c r="K457" s="23">
        <f>IF($A457="","",IF($J457&lt;&gt;"",$J457,$S457))</f>
        <v/>
      </c>
      <c r="L457" s="24">
        <f>IF(OR($A457="",$E457=""),"",IF($J457&lt;&gt;"","Manual",IF($S457="","-","Auto")))</f>
        <v/>
      </c>
      <c r="M457" s="22" t="n"/>
      <c r="N457" s="25">
        <f>IF($T457=0,"",IF($U457=1,IF($M457="","",$M457-$K457),IF($K457="","",TODAY()-$K457)))</f>
        <v/>
      </c>
      <c r="O457" s="24">
        <f>IF(OR($A457="",$E457=""),"",IF($V457=1,S_INACT,IF(ISNA(MATCH($A457,TYP_TYPE,0)),S_TYPEKO,IF($U457=1,S_DONE,IF(AND($K457="",$R457=""),S_NOSCOPE,IF($K457="",S_NOTARGET,IF($N457&gt;0,S_LATE,IF($I457&lt;&gt;"",S_WIP,IF(-$N457&lt;=FEN_DOC,S_RISK,IF(-$N457&lt;=HORIZON,S_COMING,S_NOTYET))))))))))</f>
        <v/>
      </c>
      <c r="P457" s="24">
        <f>IF(OR($A457="",$E457=""),"",IF($V457=1,"",IF(ISNA(MATCH($A457,TYP_TYPE,0)),"Type not in the library",IF($B457="","Scope not set",IF(AND($B457="System",$C457=""),"System not set",IF(AND($B457="Equipment",$D457=""),"Equipment not set",IF($F457="","Responsible not set",IF($K457="","No target date",IF(AND($B457="Equipment",$C457&lt;&gt;"",IFERROR(INDEX(EQP_SYS,MATCH($D457,EQP_NOM,0)),"")&lt;&gt;$C457),"Equipment not in that system",IF(AND($U457=1,$M457=""),"Approved with no approval date",""))))))))))</f>
        <v/>
      </c>
      <c r="Q457" s="21" t="n"/>
      <c r="R457" s="23">
        <f>IF(OR($A457="",$B457=""),"",IF($B457="Equipment",IFERROR(INDEX(EQP_START,MATCH($D457,EQP_NOM,0)),""),IF($B457="System",IFERROR(INDEX(SYS_EARLIEST,MATCH($C457,SYS_ID,0)),""),IF($B457="All",CTR_EARLIEST,""))))</f>
        <v/>
      </c>
      <c r="S457" s="23">
        <f>IF(OR($A457="",$E457=""),"",IFERROR(IF(INDEX(TYP_ANCHOR,MATCH($A457,TYP_TYPE,0))="Commissioning Start",IF($R457="","",$R457-INDEX(TYP_LEAD,MATCH($A457,TYP_TYPE,0))),IF(INDEX(MS_PLAN,MATCH(INDEX(TYP_ANCHOR,MATCH($A457,TYP_TYPE,0)),MS_NOM,0))="","",INDEX(MS_PLAN,MATCH(INDEX(TYP_ANCHOR,MATCH($A457,TYP_TYPE,0)),MS_NOM,0))-INDEX(TYP_LEAD,MATCH($A457,TYP_TYPE,0)))),""))</f>
        <v/>
      </c>
      <c r="T457" s="26">
        <f>IF(OR($A457="",$E457=""),0,IF($V457=1,0,1))</f>
        <v/>
      </c>
      <c r="U457" s="26">
        <f>IF($T457=0,0,IF($M457&lt;&gt;"",1,IF(IFERROR(INDEX(WF_CLASS,MATCH($H457,WF_CODE,0)),"")="Done",1,0)))</f>
        <v/>
      </c>
      <c r="V457" s="26">
        <f>IF(OR($A457="",$E457=""),0,IF(IFERROR(INDEX(WF_CLASS,MATCH($H457,WF_CODE,0)),"")="Inactive",1,0))</f>
        <v/>
      </c>
      <c r="W457" s="24">
        <f>IF($A457="","",IFERROR(INDEX(TYP_PHASE,MATCH($A457,TYP_TYPE,0)),"-"))</f>
        <v/>
      </c>
      <c r="X457" s="24">
        <f>IF(AND($T457=1,$U457=0,N($N457)&gt;0),$N457+ROW()/1000000,"")</f>
        <v/>
      </c>
      <c r="Y457" s="24">
        <f>IF(AND($T457=1,$U457=0,OR($I457&lt;&gt;"",N($N457)&gt;0)),N($N457)+ROW()/1000000,"")</f>
        <v/>
      </c>
      <c r="Z457" s="24">
        <f>IF(AND($T457=1,$U457=0,$I457="",N($N457)&lt;=0,-N($N457)&lt;=HORIZON),N($N457)+ROW()/1000000,"")</f>
        <v/>
      </c>
    </row>
    <row r="458">
      <c r="A458" s="21" t="n"/>
      <c r="B458" s="21" t="n"/>
      <c r="C458" s="21" t="n"/>
      <c r="D458" s="21" t="n"/>
      <c r="E458" s="21" t="n"/>
      <c r="F458" s="21" t="n"/>
      <c r="G458" s="21" t="n"/>
      <c r="H458" s="21" t="n"/>
      <c r="I458" s="22" t="n"/>
      <c r="J458" s="22" t="n"/>
      <c r="K458" s="23">
        <f>IF($A458="","",IF($J458&lt;&gt;"",$J458,$S458))</f>
        <v/>
      </c>
      <c r="L458" s="24">
        <f>IF(OR($A458="",$E458=""),"",IF($J458&lt;&gt;"","Manual",IF($S458="","-","Auto")))</f>
        <v/>
      </c>
      <c r="M458" s="22" t="n"/>
      <c r="N458" s="25">
        <f>IF($T458=0,"",IF($U458=1,IF($M458="","",$M458-$K458),IF($K458="","",TODAY()-$K458)))</f>
        <v/>
      </c>
      <c r="O458" s="24">
        <f>IF(OR($A458="",$E458=""),"",IF($V458=1,S_INACT,IF(ISNA(MATCH($A458,TYP_TYPE,0)),S_TYPEKO,IF($U458=1,S_DONE,IF(AND($K458="",$R458=""),S_NOSCOPE,IF($K458="",S_NOTARGET,IF($N458&gt;0,S_LATE,IF($I458&lt;&gt;"",S_WIP,IF(-$N458&lt;=FEN_DOC,S_RISK,IF(-$N458&lt;=HORIZON,S_COMING,S_NOTYET))))))))))</f>
        <v/>
      </c>
      <c r="P458" s="24">
        <f>IF(OR($A458="",$E458=""),"",IF($V458=1,"",IF(ISNA(MATCH($A458,TYP_TYPE,0)),"Type not in the library",IF($B458="","Scope not set",IF(AND($B458="System",$C458=""),"System not set",IF(AND($B458="Equipment",$D458=""),"Equipment not set",IF($F458="","Responsible not set",IF($K458="","No target date",IF(AND($B458="Equipment",$C458&lt;&gt;"",IFERROR(INDEX(EQP_SYS,MATCH($D458,EQP_NOM,0)),"")&lt;&gt;$C458),"Equipment not in that system",IF(AND($U458=1,$M458=""),"Approved with no approval date",""))))))))))</f>
        <v/>
      </c>
      <c r="Q458" s="21" t="n"/>
      <c r="R458" s="23">
        <f>IF(OR($A458="",$B458=""),"",IF($B458="Equipment",IFERROR(INDEX(EQP_START,MATCH($D458,EQP_NOM,0)),""),IF($B458="System",IFERROR(INDEX(SYS_EARLIEST,MATCH($C458,SYS_ID,0)),""),IF($B458="All",CTR_EARLIEST,""))))</f>
        <v/>
      </c>
      <c r="S458" s="23">
        <f>IF(OR($A458="",$E458=""),"",IFERROR(IF(INDEX(TYP_ANCHOR,MATCH($A458,TYP_TYPE,0))="Commissioning Start",IF($R458="","",$R458-INDEX(TYP_LEAD,MATCH($A458,TYP_TYPE,0))),IF(INDEX(MS_PLAN,MATCH(INDEX(TYP_ANCHOR,MATCH($A458,TYP_TYPE,0)),MS_NOM,0))="","",INDEX(MS_PLAN,MATCH(INDEX(TYP_ANCHOR,MATCH($A458,TYP_TYPE,0)),MS_NOM,0))-INDEX(TYP_LEAD,MATCH($A458,TYP_TYPE,0)))),""))</f>
        <v/>
      </c>
      <c r="T458" s="26">
        <f>IF(OR($A458="",$E458=""),0,IF($V458=1,0,1))</f>
        <v/>
      </c>
      <c r="U458" s="26">
        <f>IF($T458=0,0,IF($M458&lt;&gt;"",1,IF(IFERROR(INDEX(WF_CLASS,MATCH($H458,WF_CODE,0)),"")="Done",1,0)))</f>
        <v/>
      </c>
      <c r="V458" s="26">
        <f>IF(OR($A458="",$E458=""),0,IF(IFERROR(INDEX(WF_CLASS,MATCH($H458,WF_CODE,0)),"")="Inactive",1,0))</f>
        <v/>
      </c>
      <c r="W458" s="24">
        <f>IF($A458="","",IFERROR(INDEX(TYP_PHASE,MATCH($A458,TYP_TYPE,0)),"-"))</f>
        <v/>
      </c>
      <c r="X458" s="24">
        <f>IF(AND($T458=1,$U458=0,N($N458)&gt;0),$N458+ROW()/1000000,"")</f>
        <v/>
      </c>
      <c r="Y458" s="24">
        <f>IF(AND($T458=1,$U458=0,OR($I458&lt;&gt;"",N($N458)&gt;0)),N($N458)+ROW()/1000000,"")</f>
        <v/>
      </c>
      <c r="Z458" s="24">
        <f>IF(AND($T458=1,$U458=0,$I458="",N($N458)&lt;=0,-N($N458)&lt;=HORIZON),N($N458)+ROW()/1000000,"")</f>
        <v/>
      </c>
    </row>
    <row r="459">
      <c r="A459" s="21" t="n"/>
      <c r="B459" s="21" t="n"/>
      <c r="C459" s="21" t="n"/>
      <c r="D459" s="21" t="n"/>
      <c r="E459" s="21" t="n"/>
      <c r="F459" s="21" t="n"/>
      <c r="G459" s="21" t="n"/>
      <c r="H459" s="21" t="n"/>
      <c r="I459" s="22" t="n"/>
      <c r="J459" s="22" t="n"/>
      <c r="K459" s="23">
        <f>IF($A459="","",IF($J459&lt;&gt;"",$J459,$S459))</f>
        <v/>
      </c>
      <c r="L459" s="24">
        <f>IF(OR($A459="",$E459=""),"",IF($J459&lt;&gt;"","Manual",IF($S459="","-","Auto")))</f>
        <v/>
      </c>
      <c r="M459" s="22" t="n"/>
      <c r="N459" s="25">
        <f>IF($T459=0,"",IF($U459=1,IF($M459="","",$M459-$K459),IF($K459="","",TODAY()-$K459)))</f>
        <v/>
      </c>
      <c r="O459" s="24">
        <f>IF(OR($A459="",$E459=""),"",IF($V459=1,S_INACT,IF(ISNA(MATCH($A459,TYP_TYPE,0)),S_TYPEKO,IF($U459=1,S_DONE,IF(AND($K459="",$R459=""),S_NOSCOPE,IF($K459="",S_NOTARGET,IF($N459&gt;0,S_LATE,IF($I459&lt;&gt;"",S_WIP,IF(-$N459&lt;=FEN_DOC,S_RISK,IF(-$N459&lt;=HORIZON,S_COMING,S_NOTYET))))))))))</f>
        <v/>
      </c>
      <c r="P459" s="24">
        <f>IF(OR($A459="",$E459=""),"",IF($V459=1,"",IF(ISNA(MATCH($A459,TYP_TYPE,0)),"Type not in the library",IF($B459="","Scope not set",IF(AND($B459="System",$C459=""),"System not set",IF(AND($B459="Equipment",$D459=""),"Equipment not set",IF($F459="","Responsible not set",IF($K459="","No target date",IF(AND($B459="Equipment",$C459&lt;&gt;"",IFERROR(INDEX(EQP_SYS,MATCH($D459,EQP_NOM,0)),"")&lt;&gt;$C459),"Equipment not in that system",IF(AND($U459=1,$M459=""),"Approved with no approval date",""))))))))))</f>
        <v/>
      </c>
      <c r="Q459" s="21" t="n"/>
      <c r="R459" s="23">
        <f>IF(OR($A459="",$B459=""),"",IF($B459="Equipment",IFERROR(INDEX(EQP_START,MATCH($D459,EQP_NOM,0)),""),IF($B459="System",IFERROR(INDEX(SYS_EARLIEST,MATCH($C459,SYS_ID,0)),""),IF($B459="All",CTR_EARLIEST,""))))</f>
        <v/>
      </c>
      <c r="S459" s="23">
        <f>IF(OR($A459="",$E459=""),"",IFERROR(IF(INDEX(TYP_ANCHOR,MATCH($A459,TYP_TYPE,0))="Commissioning Start",IF($R459="","",$R459-INDEX(TYP_LEAD,MATCH($A459,TYP_TYPE,0))),IF(INDEX(MS_PLAN,MATCH(INDEX(TYP_ANCHOR,MATCH($A459,TYP_TYPE,0)),MS_NOM,0))="","",INDEX(MS_PLAN,MATCH(INDEX(TYP_ANCHOR,MATCH($A459,TYP_TYPE,0)),MS_NOM,0))-INDEX(TYP_LEAD,MATCH($A459,TYP_TYPE,0)))),""))</f>
        <v/>
      </c>
      <c r="T459" s="26">
        <f>IF(OR($A459="",$E459=""),0,IF($V459=1,0,1))</f>
        <v/>
      </c>
      <c r="U459" s="26">
        <f>IF($T459=0,0,IF($M459&lt;&gt;"",1,IF(IFERROR(INDEX(WF_CLASS,MATCH($H459,WF_CODE,0)),"")="Done",1,0)))</f>
        <v/>
      </c>
      <c r="V459" s="26">
        <f>IF(OR($A459="",$E459=""),0,IF(IFERROR(INDEX(WF_CLASS,MATCH($H459,WF_CODE,0)),"")="Inactive",1,0))</f>
        <v/>
      </c>
      <c r="W459" s="24">
        <f>IF($A459="","",IFERROR(INDEX(TYP_PHASE,MATCH($A459,TYP_TYPE,0)),"-"))</f>
        <v/>
      </c>
      <c r="X459" s="24">
        <f>IF(AND($T459=1,$U459=0,N($N459)&gt;0),$N459+ROW()/1000000,"")</f>
        <v/>
      </c>
      <c r="Y459" s="24">
        <f>IF(AND($T459=1,$U459=0,OR($I459&lt;&gt;"",N($N459)&gt;0)),N($N459)+ROW()/1000000,"")</f>
        <v/>
      </c>
      <c r="Z459" s="24">
        <f>IF(AND($T459=1,$U459=0,$I459="",N($N459)&lt;=0,-N($N459)&lt;=HORIZON),N($N459)+ROW()/1000000,"")</f>
        <v/>
      </c>
    </row>
    <row r="460">
      <c r="A460" s="21" t="n"/>
      <c r="B460" s="21" t="n"/>
      <c r="C460" s="21" t="n"/>
      <c r="D460" s="21" t="n"/>
      <c r="E460" s="21" t="n"/>
      <c r="F460" s="21" t="n"/>
      <c r="G460" s="21" t="n"/>
      <c r="H460" s="21" t="n"/>
      <c r="I460" s="22" t="n"/>
      <c r="J460" s="22" t="n"/>
      <c r="K460" s="23">
        <f>IF($A460="","",IF($J460&lt;&gt;"",$J460,$S460))</f>
        <v/>
      </c>
      <c r="L460" s="24">
        <f>IF(OR($A460="",$E460=""),"",IF($J460&lt;&gt;"","Manual",IF($S460="","-","Auto")))</f>
        <v/>
      </c>
      <c r="M460" s="22" t="n"/>
      <c r="N460" s="25">
        <f>IF($T460=0,"",IF($U460=1,IF($M460="","",$M460-$K460),IF($K460="","",TODAY()-$K460)))</f>
        <v/>
      </c>
      <c r="O460" s="24">
        <f>IF(OR($A460="",$E460=""),"",IF($V460=1,S_INACT,IF(ISNA(MATCH($A460,TYP_TYPE,0)),S_TYPEKO,IF($U460=1,S_DONE,IF(AND($K460="",$R460=""),S_NOSCOPE,IF($K460="",S_NOTARGET,IF($N460&gt;0,S_LATE,IF($I460&lt;&gt;"",S_WIP,IF(-$N460&lt;=FEN_DOC,S_RISK,IF(-$N460&lt;=HORIZON,S_COMING,S_NOTYET))))))))))</f>
        <v/>
      </c>
      <c r="P460" s="24">
        <f>IF(OR($A460="",$E460=""),"",IF($V460=1,"",IF(ISNA(MATCH($A460,TYP_TYPE,0)),"Type not in the library",IF($B460="","Scope not set",IF(AND($B460="System",$C460=""),"System not set",IF(AND($B460="Equipment",$D460=""),"Equipment not set",IF($F460="","Responsible not set",IF($K460="","No target date",IF(AND($B460="Equipment",$C460&lt;&gt;"",IFERROR(INDEX(EQP_SYS,MATCH($D460,EQP_NOM,0)),"")&lt;&gt;$C460),"Equipment not in that system",IF(AND($U460=1,$M460=""),"Approved with no approval date",""))))))))))</f>
        <v/>
      </c>
      <c r="Q460" s="21" t="n"/>
      <c r="R460" s="23">
        <f>IF(OR($A460="",$B460=""),"",IF($B460="Equipment",IFERROR(INDEX(EQP_START,MATCH($D460,EQP_NOM,0)),""),IF($B460="System",IFERROR(INDEX(SYS_EARLIEST,MATCH($C460,SYS_ID,0)),""),IF($B460="All",CTR_EARLIEST,""))))</f>
        <v/>
      </c>
      <c r="S460" s="23">
        <f>IF(OR($A460="",$E460=""),"",IFERROR(IF(INDEX(TYP_ANCHOR,MATCH($A460,TYP_TYPE,0))="Commissioning Start",IF($R460="","",$R460-INDEX(TYP_LEAD,MATCH($A460,TYP_TYPE,0))),IF(INDEX(MS_PLAN,MATCH(INDEX(TYP_ANCHOR,MATCH($A460,TYP_TYPE,0)),MS_NOM,0))="","",INDEX(MS_PLAN,MATCH(INDEX(TYP_ANCHOR,MATCH($A460,TYP_TYPE,0)),MS_NOM,0))-INDEX(TYP_LEAD,MATCH($A460,TYP_TYPE,0)))),""))</f>
        <v/>
      </c>
      <c r="T460" s="26">
        <f>IF(OR($A460="",$E460=""),0,IF($V460=1,0,1))</f>
        <v/>
      </c>
      <c r="U460" s="26">
        <f>IF($T460=0,0,IF($M460&lt;&gt;"",1,IF(IFERROR(INDEX(WF_CLASS,MATCH($H460,WF_CODE,0)),"")="Done",1,0)))</f>
        <v/>
      </c>
      <c r="V460" s="26">
        <f>IF(OR($A460="",$E460=""),0,IF(IFERROR(INDEX(WF_CLASS,MATCH($H460,WF_CODE,0)),"")="Inactive",1,0))</f>
        <v/>
      </c>
      <c r="W460" s="24">
        <f>IF($A460="","",IFERROR(INDEX(TYP_PHASE,MATCH($A460,TYP_TYPE,0)),"-"))</f>
        <v/>
      </c>
      <c r="X460" s="24">
        <f>IF(AND($T460=1,$U460=0,N($N460)&gt;0),$N460+ROW()/1000000,"")</f>
        <v/>
      </c>
      <c r="Y460" s="24">
        <f>IF(AND($T460=1,$U460=0,OR($I460&lt;&gt;"",N($N460)&gt;0)),N($N460)+ROW()/1000000,"")</f>
        <v/>
      </c>
      <c r="Z460" s="24">
        <f>IF(AND($T460=1,$U460=0,$I460="",N($N460)&lt;=0,-N($N460)&lt;=HORIZON),N($N460)+ROW()/1000000,"")</f>
        <v/>
      </c>
    </row>
    <row r="461">
      <c r="A461" s="21" t="n"/>
      <c r="B461" s="21" t="n"/>
      <c r="C461" s="21" t="n"/>
      <c r="D461" s="21" t="n"/>
      <c r="E461" s="21" t="n"/>
      <c r="F461" s="21" t="n"/>
      <c r="G461" s="21" t="n"/>
      <c r="H461" s="21" t="n"/>
      <c r="I461" s="22" t="n"/>
      <c r="J461" s="22" t="n"/>
      <c r="K461" s="23">
        <f>IF($A461="","",IF($J461&lt;&gt;"",$J461,$S461))</f>
        <v/>
      </c>
      <c r="L461" s="24">
        <f>IF(OR($A461="",$E461=""),"",IF($J461&lt;&gt;"","Manual",IF($S461="","-","Auto")))</f>
        <v/>
      </c>
      <c r="M461" s="22" t="n"/>
      <c r="N461" s="25">
        <f>IF($T461=0,"",IF($U461=1,IF($M461="","",$M461-$K461),IF($K461="","",TODAY()-$K461)))</f>
        <v/>
      </c>
      <c r="O461" s="24">
        <f>IF(OR($A461="",$E461=""),"",IF($V461=1,S_INACT,IF(ISNA(MATCH($A461,TYP_TYPE,0)),S_TYPEKO,IF($U461=1,S_DONE,IF(AND($K461="",$R461=""),S_NOSCOPE,IF($K461="",S_NOTARGET,IF($N461&gt;0,S_LATE,IF($I461&lt;&gt;"",S_WIP,IF(-$N461&lt;=FEN_DOC,S_RISK,IF(-$N461&lt;=HORIZON,S_COMING,S_NOTYET))))))))))</f>
        <v/>
      </c>
      <c r="P461" s="24">
        <f>IF(OR($A461="",$E461=""),"",IF($V461=1,"",IF(ISNA(MATCH($A461,TYP_TYPE,0)),"Type not in the library",IF($B461="","Scope not set",IF(AND($B461="System",$C461=""),"System not set",IF(AND($B461="Equipment",$D461=""),"Equipment not set",IF($F461="","Responsible not set",IF($K461="","No target date",IF(AND($B461="Equipment",$C461&lt;&gt;"",IFERROR(INDEX(EQP_SYS,MATCH($D461,EQP_NOM,0)),"")&lt;&gt;$C461),"Equipment not in that system",IF(AND($U461=1,$M461=""),"Approved with no approval date",""))))))))))</f>
        <v/>
      </c>
      <c r="Q461" s="21" t="n"/>
      <c r="R461" s="23">
        <f>IF(OR($A461="",$B461=""),"",IF($B461="Equipment",IFERROR(INDEX(EQP_START,MATCH($D461,EQP_NOM,0)),""),IF($B461="System",IFERROR(INDEX(SYS_EARLIEST,MATCH($C461,SYS_ID,0)),""),IF($B461="All",CTR_EARLIEST,""))))</f>
        <v/>
      </c>
      <c r="S461" s="23">
        <f>IF(OR($A461="",$E461=""),"",IFERROR(IF(INDEX(TYP_ANCHOR,MATCH($A461,TYP_TYPE,0))="Commissioning Start",IF($R461="","",$R461-INDEX(TYP_LEAD,MATCH($A461,TYP_TYPE,0))),IF(INDEX(MS_PLAN,MATCH(INDEX(TYP_ANCHOR,MATCH($A461,TYP_TYPE,0)),MS_NOM,0))="","",INDEX(MS_PLAN,MATCH(INDEX(TYP_ANCHOR,MATCH($A461,TYP_TYPE,0)),MS_NOM,0))-INDEX(TYP_LEAD,MATCH($A461,TYP_TYPE,0)))),""))</f>
        <v/>
      </c>
      <c r="T461" s="26">
        <f>IF(OR($A461="",$E461=""),0,IF($V461=1,0,1))</f>
        <v/>
      </c>
      <c r="U461" s="26">
        <f>IF($T461=0,0,IF($M461&lt;&gt;"",1,IF(IFERROR(INDEX(WF_CLASS,MATCH($H461,WF_CODE,0)),"")="Done",1,0)))</f>
        <v/>
      </c>
      <c r="V461" s="26">
        <f>IF(OR($A461="",$E461=""),0,IF(IFERROR(INDEX(WF_CLASS,MATCH($H461,WF_CODE,0)),"")="Inactive",1,0))</f>
        <v/>
      </c>
      <c r="W461" s="24">
        <f>IF($A461="","",IFERROR(INDEX(TYP_PHASE,MATCH($A461,TYP_TYPE,0)),"-"))</f>
        <v/>
      </c>
      <c r="X461" s="24">
        <f>IF(AND($T461=1,$U461=0,N($N461)&gt;0),$N461+ROW()/1000000,"")</f>
        <v/>
      </c>
      <c r="Y461" s="24">
        <f>IF(AND($T461=1,$U461=0,OR($I461&lt;&gt;"",N($N461)&gt;0)),N($N461)+ROW()/1000000,"")</f>
        <v/>
      </c>
      <c r="Z461" s="24">
        <f>IF(AND($T461=1,$U461=0,$I461="",N($N461)&lt;=0,-N($N461)&lt;=HORIZON),N($N461)+ROW()/1000000,"")</f>
        <v/>
      </c>
    </row>
    <row r="462">
      <c r="A462" s="21" t="n"/>
      <c r="B462" s="21" t="n"/>
      <c r="C462" s="21" t="n"/>
      <c r="D462" s="21" t="n"/>
      <c r="E462" s="21" t="n"/>
      <c r="F462" s="21" t="n"/>
      <c r="G462" s="21" t="n"/>
      <c r="H462" s="21" t="n"/>
      <c r="I462" s="22" t="n"/>
      <c r="J462" s="22" t="n"/>
      <c r="K462" s="23">
        <f>IF($A462="","",IF($J462&lt;&gt;"",$J462,$S462))</f>
        <v/>
      </c>
      <c r="L462" s="24">
        <f>IF(OR($A462="",$E462=""),"",IF($J462&lt;&gt;"","Manual",IF($S462="","-","Auto")))</f>
        <v/>
      </c>
      <c r="M462" s="22" t="n"/>
      <c r="N462" s="25">
        <f>IF($T462=0,"",IF($U462=1,IF($M462="","",$M462-$K462),IF($K462="","",TODAY()-$K462)))</f>
        <v/>
      </c>
      <c r="O462" s="24">
        <f>IF(OR($A462="",$E462=""),"",IF($V462=1,S_INACT,IF(ISNA(MATCH($A462,TYP_TYPE,0)),S_TYPEKO,IF($U462=1,S_DONE,IF(AND($K462="",$R462=""),S_NOSCOPE,IF($K462="",S_NOTARGET,IF($N462&gt;0,S_LATE,IF($I462&lt;&gt;"",S_WIP,IF(-$N462&lt;=FEN_DOC,S_RISK,IF(-$N462&lt;=HORIZON,S_COMING,S_NOTYET))))))))))</f>
        <v/>
      </c>
      <c r="P462" s="24">
        <f>IF(OR($A462="",$E462=""),"",IF($V462=1,"",IF(ISNA(MATCH($A462,TYP_TYPE,0)),"Type not in the library",IF($B462="","Scope not set",IF(AND($B462="System",$C462=""),"System not set",IF(AND($B462="Equipment",$D462=""),"Equipment not set",IF($F462="","Responsible not set",IF($K462="","No target date",IF(AND($B462="Equipment",$C462&lt;&gt;"",IFERROR(INDEX(EQP_SYS,MATCH($D462,EQP_NOM,0)),"")&lt;&gt;$C462),"Equipment not in that system",IF(AND($U462=1,$M462=""),"Approved with no approval date",""))))))))))</f>
        <v/>
      </c>
      <c r="Q462" s="21" t="n"/>
      <c r="R462" s="23">
        <f>IF(OR($A462="",$B462=""),"",IF($B462="Equipment",IFERROR(INDEX(EQP_START,MATCH($D462,EQP_NOM,0)),""),IF($B462="System",IFERROR(INDEX(SYS_EARLIEST,MATCH($C462,SYS_ID,0)),""),IF($B462="All",CTR_EARLIEST,""))))</f>
        <v/>
      </c>
      <c r="S462" s="23">
        <f>IF(OR($A462="",$E462=""),"",IFERROR(IF(INDEX(TYP_ANCHOR,MATCH($A462,TYP_TYPE,0))="Commissioning Start",IF($R462="","",$R462-INDEX(TYP_LEAD,MATCH($A462,TYP_TYPE,0))),IF(INDEX(MS_PLAN,MATCH(INDEX(TYP_ANCHOR,MATCH($A462,TYP_TYPE,0)),MS_NOM,0))="","",INDEX(MS_PLAN,MATCH(INDEX(TYP_ANCHOR,MATCH($A462,TYP_TYPE,0)),MS_NOM,0))-INDEX(TYP_LEAD,MATCH($A462,TYP_TYPE,0)))),""))</f>
        <v/>
      </c>
      <c r="T462" s="26">
        <f>IF(OR($A462="",$E462=""),0,IF($V462=1,0,1))</f>
        <v/>
      </c>
      <c r="U462" s="26">
        <f>IF($T462=0,0,IF($M462&lt;&gt;"",1,IF(IFERROR(INDEX(WF_CLASS,MATCH($H462,WF_CODE,0)),"")="Done",1,0)))</f>
        <v/>
      </c>
      <c r="V462" s="26">
        <f>IF(OR($A462="",$E462=""),0,IF(IFERROR(INDEX(WF_CLASS,MATCH($H462,WF_CODE,0)),"")="Inactive",1,0))</f>
        <v/>
      </c>
      <c r="W462" s="24">
        <f>IF($A462="","",IFERROR(INDEX(TYP_PHASE,MATCH($A462,TYP_TYPE,0)),"-"))</f>
        <v/>
      </c>
      <c r="X462" s="24">
        <f>IF(AND($T462=1,$U462=0,N($N462)&gt;0),$N462+ROW()/1000000,"")</f>
        <v/>
      </c>
      <c r="Y462" s="24">
        <f>IF(AND($T462=1,$U462=0,OR($I462&lt;&gt;"",N($N462)&gt;0)),N($N462)+ROW()/1000000,"")</f>
        <v/>
      </c>
      <c r="Z462" s="24">
        <f>IF(AND($T462=1,$U462=0,$I462="",N($N462)&lt;=0,-N($N462)&lt;=HORIZON),N($N462)+ROW()/1000000,"")</f>
        <v/>
      </c>
    </row>
    <row r="463">
      <c r="A463" s="21" t="n"/>
      <c r="B463" s="21" t="n"/>
      <c r="C463" s="21" t="n"/>
      <c r="D463" s="21" t="n"/>
      <c r="E463" s="21" t="n"/>
      <c r="F463" s="21" t="n"/>
      <c r="G463" s="21" t="n"/>
      <c r="H463" s="21" t="n"/>
      <c r="I463" s="22" t="n"/>
      <c r="J463" s="22" t="n"/>
      <c r="K463" s="23">
        <f>IF($A463="","",IF($J463&lt;&gt;"",$J463,$S463))</f>
        <v/>
      </c>
      <c r="L463" s="24">
        <f>IF(OR($A463="",$E463=""),"",IF($J463&lt;&gt;"","Manual",IF($S463="","-","Auto")))</f>
        <v/>
      </c>
      <c r="M463" s="22" t="n"/>
      <c r="N463" s="25">
        <f>IF($T463=0,"",IF($U463=1,IF($M463="","",$M463-$K463),IF($K463="","",TODAY()-$K463)))</f>
        <v/>
      </c>
      <c r="O463" s="24">
        <f>IF(OR($A463="",$E463=""),"",IF($V463=1,S_INACT,IF(ISNA(MATCH($A463,TYP_TYPE,0)),S_TYPEKO,IF($U463=1,S_DONE,IF(AND($K463="",$R463=""),S_NOSCOPE,IF($K463="",S_NOTARGET,IF($N463&gt;0,S_LATE,IF($I463&lt;&gt;"",S_WIP,IF(-$N463&lt;=FEN_DOC,S_RISK,IF(-$N463&lt;=HORIZON,S_COMING,S_NOTYET))))))))))</f>
        <v/>
      </c>
      <c r="P463" s="24">
        <f>IF(OR($A463="",$E463=""),"",IF($V463=1,"",IF(ISNA(MATCH($A463,TYP_TYPE,0)),"Type not in the library",IF($B463="","Scope not set",IF(AND($B463="System",$C463=""),"System not set",IF(AND($B463="Equipment",$D463=""),"Equipment not set",IF($F463="","Responsible not set",IF($K463="","No target date",IF(AND($B463="Equipment",$C463&lt;&gt;"",IFERROR(INDEX(EQP_SYS,MATCH($D463,EQP_NOM,0)),"")&lt;&gt;$C463),"Equipment not in that system",IF(AND($U463=1,$M463=""),"Approved with no approval date",""))))))))))</f>
        <v/>
      </c>
      <c r="Q463" s="21" t="n"/>
      <c r="R463" s="23">
        <f>IF(OR($A463="",$B463=""),"",IF($B463="Equipment",IFERROR(INDEX(EQP_START,MATCH($D463,EQP_NOM,0)),""),IF($B463="System",IFERROR(INDEX(SYS_EARLIEST,MATCH($C463,SYS_ID,0)),""),IF($B463="All",CTR_EARLIEST,""))))</f>
        <v/>
      </c>
      <c r="S463" s="23">
        <f>IF(OR($A463="",$E463=""),"",IFERROR(IF(INDEX(TYP_ANCHOR,MATCH($A463,TYP_TYPE,0))="Commissioning Start",IF($R463="","",$R463-INDEX(TYP_LEAD,MATCH($A463,TYP_TYPE,0))),IF(INDEX(MS_PLAN,MATCH(INDEX(TYP_ANCHOR,MATCH($A463,TYP_TYPE,0)),MS_NOM,0))="","",INDEX(MS_PLAN,MATCH(INDEX(TYP_ANCHOR,MATCH($A463,TYP_TYPE,0)),MS_NOM,0))-INDEX(TYP_LEAD,MATCH($A463,TYP_TYPE,0)))),""))</f>
        <v/>
      </c>
      <c r="T463" s="26">
        <f>IF(OR($A463="",$E463=""),0,IF($V463=1,0,1))</f>
        <v/>
      </c>
      <c r="U463" s="26">
        <f>IF($T463=0,0,IF($M463&lt;&gt;"",1,IF(IFERROR(INDEX(WF_CLASS,MATCH($H463,WF_CODE,0)),"")="Done",1,0)))</f>
        <v/>
      </c>
      <c r="V463" s="26">
        <f>IF(OR($A463="",$E463=""),0,IF(IFERROR(INDEX(WF_CLASS,MATCH($H463,WF_CODE,0)),"")="Inactive",1,0))</f>
        <v/>
      </c>
      <c r="W463" s="24">
        <f>IF($A463="","",IFERROR(INDEX(TYP_PHASE,MATCH($A463,TYP_TYPE,0)),"-"))</f>
        <v/>
      </c>
      <c r="X463" s="24">
        <f>IF(AND($T463=1,$U463=0,N($N463)&gt;0),$N463+ROW()/1000000,"")</f>
        <v/>
      </c>
      <c r="Y463" s="24">
        <f>IF(AND($T463=1,$U463=0,OR($I463&lt;&gt;"",N($N463)&gt;0)),N($N463)+ROW()/1000000,"")</f>
        <v/>
      </c>
      <c r="Z463" s="24">
        <f>IF(AND($T463=1,$U463=0,$I463="",N($N463)&lt;=0,-N($N463)&lt;=HORIZON),N($N463)+ROW()/1000000,"")</f>
        <v/>
      </c>
    </row>
    <row r="464">
      <c r="A464" s="21" t="n"/>
      <c r="B464" s="21" t="n"/>
      <c r="C464" s="21" t="n"/>
      <c r="D464" s="21" t="n"/>
      <c r="E464" s="21" t="n"/>
      <c r="F464" s="21" t="n"/>
      <c r="G464" s="21" t="n"/>
      <c r="H464" s="21" t="n"/>
      <c r="I464" s="22" t="n"/>
      <c r="J464" s="22" t="n"/>
      <c r="K464" s="23">
        <f>IF($A464="","",IF($J464&lt;&gt;"",$J464,$S464))</f>
        <v/>
      </c>
      <c r="L464" s="24">
        <f>IF(OR($A464="",$E464=""),"",IF($J464&lt;&gt;"","Manual",IF($S464="","-","Auto")))</f>
        <v/>
      </c>
      <c r="M464" s="22" t="n"/>
      <c r="N464" s="25">
        <f>IF($T464=0,"",IF($U464=1,IF($M464="","",$M464-$K464),IF($K464="","",TODAY()-$K464)))</f>
        <v/>
      </c>
      <c r="O464" s="24">
        <f>IF(OR($A464="",$E464=""),"",IF($V464=1,S_INACT,IF(ISNA(MATCH($A464,TYP_TYPE,0)),S_TYPEKO,IF($U464=1,S_DONE,IF(AND($K464="",$R464=""),S_NOSCOPE,IF($K464="",S_NOTARGET,IF($N464&gt;0,S_LATE,IF($I464&lt;&gt;"",S_WIP,IF(-$N464&lt;=FEN_DOC,S_RISK,IF(-$N464&lt;=HORIZON,S_COMING,S_NOTYET))))))))))</f>
        <v/>
      </c>
      <c r="P464" s="24">
        <f>IF(OR($A464="",$E464=""),"",IF($V464=1,"",IF(ISNA(MATCH($A464,TYP_TYPE,0)),"Type not in the library",IF($B464="","Scope not set",IF(AND($B464="System",$C464=""),"System not set",IF(AND($B464="Equipment",$D464=""),"Equipment not set",IF($F464="","Responsible not set",IF($K464="","No target date",IF(AND($B464="Equipment",$C464&lt;&gt;"",IFERROR(INDEX(EQP_SYS,MATCH($D464,EQP_NOM,0)),"")&lt;&gt;$C464),"Equipment not in that system",IF(AND($U464=1,$M464=""),"Approved with no approval date",""))))))))))</f>
        <v/>
      </c>
      <c r="Q464" s="21" t="n"/>
      <c r="R464" s="23">
        <f>IF(OR($A464="",$B464=""),"",IF($B464="Equipment",IFERROR(INDEX(EQP_START,MATCH($D464,EQP_NOM,0)),""),IF($B464="System",IFERROR(INDEX(SYS_EARLIEST,MATCH($C464,SYS_ID,0)),""),IF($B464="All",CTR_EARLIEST,""))))</f>
        <v/>
      </c>
      <c r="S464" s="23">
        <f>IF(OR($A464="",$E464=""),"",IFERROR(IF(INDEX(TYP_ANCHOR,MATCH($A464,TYP_TYPE,0))="Commissioning Start",IF($R464="","",$R464-INDEX(TYP_LEAD,MATCH($A464,TYP_TYPE,0))),IF(INDEX(MS_PLAN,MATCH(INDEX(TYP_ANCHOR,MATCH($A464,TYP_TYPE,0)),MS_NOM,0))="","",INDEX(MS_PLAN,MATCH(INDEX(TYP_ANCHOR,MATCH($A464,TYP_TYPE,0)),MS_NOM,0))-INDEX(TYP_LEAD,MATCH($A464,TYP_TYPE,0)))),""))</f>
        <v/>
      </c>
      <c r="T464" s="26">
        <f>IF(OR($A464="",$E464=""),0,IF($V464=1,0,1))</f>
        <v/>
      </c>
      <c r="U464" s="26">
        <f>IF($T464=0,0,IF($M464&lt;&gt;"",1,IF(IFERROR(INDEX(WF_CLASS,MATCH($H464,WF_CODE,0)),"")="Done",1,0)))</f>
        <v/>
      </c>
      <c r="V464" s="26">
        <f>IF(OR($A464="",$E464=""),0,IF(IFERROR(INDEX(WF_CLASS,MATCH($H464,WF_CODE,0)),"")="Inactive",1,0))</f>
        <v/>
      </c>
      <c r="W464" s="24">
        <f>IF($A464="","",IFERROR(INDEX(TYP_PHASE,MATCH($A464,TYP_TYPE,0)),"-"))</f>
        <v/>
      </c>
      <c r="X464" s="24">
        <f>IF(AND($T464=1,$U464=0,N($N464)&gt;0),$N464+ROW()/1000000,"")</f>
        <v/>
      </c>
      <c r="Y464" s="24">
        <f>IF(AND($T464=1,$U464=0,OR($I464&lt;&gt;"",N($N464)&gt;0)),N($N464)+ROW()/1000000,"")</f>
        <v/>
      </c>
      <c r="Z464" s="24">
        <f>IF(AND($T464=1,$U464=0,$I464="",N($N464)&lt;=0,-N($N464)&lt;=HORIZON),N($N464)+ROW()/1000000,"")</f>
        <v/>
      </c>
    </row>
    <row r="465">
      <c r="A465" s="21" t="n"/>
      <c r="B465" s="21" t="n"/>
      <c r="C465" s="21" t="n"/>
      <c r="D465" s="21" t="n"/>
      <c r="E465" s="21" t="n"/>
      <c r="F465" s="21" t="n"/>
      <c r="G465" s="21" t="n"/>
      <c r="H465" s="21" t="n"/>
      <c r="I465" s="22" t="n"/>
      <c r="J465" s="22" t="n"/>
      <c r="K465" s="23">
        <f>IF($A465="","",IF($J465&lt;&gt;"",$J465,$S465))</f>
        <v/>
      </c>
      <c r="L465" s="24">
        <f>IF(OR($A465="",$E465=""),"",IF($J465&lt;&gt;"","Manual",IF($S465="","-","Auto")))</f>
        <v/>
      </c>
      <c r="M465" s="22" t="n"/>
      <c r="N465" s="25">
        <f>IF($T465=0,"",IF($U465=1,IF($M465="","",$M465-$K465),IF($K465="","",TODAY()-$K465)))</f>
        <v/>
      </c>
      <c r="O465" s="24">
        <f>IF(OR($A465="",$E465=""),"",IF($V465=1,S_INACT,IF(ISNA(MATCH($A465,TYP_TYPE,0)),S_TYPEKO,IF($U465=1,S_DONE,IF(AND($K465="",$R465=""),S_NOSCOPE,IF($K465="",S_NOTARGET,IF($N465&gt;0,S_LATE,IF($I465&lt;&gt;"",S_WIP,IF(-$N465&lt;=FEN_DOC,S_RISK,IF(-$N465&lt;=HORIZON,S_COMING,S_NOTYET))))))))))</f>
        <v/>
      </c>
      <c r="P465" s="24">
        <f>IF(OR($A465="",$E465=""),"",IF($V465=1,"",IF(ISNA(MATCH($A465,TYP_TYPE,0)),"Type not in the library",IF($B465="","Scope not set",IF(AND($B465="System",$C465=""),"System not set",IF(AND($B465="Equipment",$D465=""),"Equipment not set",IF($F465="","Responsible not set",IF($K465="","No target date",IF(AND($B465="Equipment",$C465&lt;&gt;"",IFERROR(INDEX(EQP_SYS,MATCH($D465,EQP_NOM,0)),"")&lt;&gt;$C465),"Equipment not in that system",IF(AND($U465=1,$M465=""),"Approved with no approval date",""))))))))))</f>
        <v/>
      </c>
      <c r="Q465" s="21" t="n"/>
      <c r="R465" s="23">
        <f>IF(OR($A465="",$B465=""),"",IF($B465="Equipment",IFERROR(INDEX(EQP_START,MATCH($D465,EQP_NOM,0)),""),IF($B465="System",IFERROR(INDEX(SYS_EARLIEST,MATCH($C465,SYS_ID,0)),""),IF($B465="All",CTR_EARLIEST,""))))</f>
        <v/>
      </c>
      <c r="S465" s="23">
        <f>IF(OR($A465="",$E465=""),"",IFERROR(IF(INDEX(TYP_ANCHOR,MATCH($A465,TYP_TYPE,0))="Commissioning Start",IF($R465="","",$R465-INDEX(TYP_LEAD,MATCH($A465,TYP_TYPE,0))),IF(INDEX(MS_PLAN,MATCH(INDEX(TYP_ANCHOR,MATCH($A465,TYP_TYPE,0)),MS_NOM,0))="","",INDEX(MS_PLAN,MATCH(INDEX(TYP_ANCHOR,MATCH($A465,TYP_TYPE,0)),MS_NOM,0))-INDEX(TYP_LEAD,MATCH($A465,TYP_TYPE,0)))),""))</f>
        <v/>
      </c>
      <c r="T465" s="26">
        <f>IF(OR($A465="",$E465=""),0,IF($V465=1,0,1))</f>
        <v/>
      </c>
      <c r="U465" s="26">
        <f>IF($T465=0,0,IF($M465&lt;&gt;"",1,IF(IFERROR(INDEX(WF_CLASS,MATCH($H465,WF_CODE,0)),"")="Done",1,0)))</f>
        <v/>
      </c>
      <c r="V465" s="26">
        <f>IF(OR($A465="",$E465=""),0,IF(IFERROR(INDEX(WF_CLASS,MATCH($H465,WF_CODE,0)),"")="Inactive",1,0))</f>
        <v/>
      </c>
      <c r="W465" s="24">
        <f>IF($A465="","",IFERROR(INDEX(TYP_PHASE,MATCH($A465,TYP_TYPE,0)),"-"))</f>
        <v/>
      </c>
      <c r="X465" s="24">
        <f>IF(AND($T465=1,$U465=0,N($N465)&gt;0),$N465+ROW()/1000000,"")</f>
        <v/>
      </c>
      <c r="Y465" s="24">
        <f>IF(AND($T465=1,$U465=0,OR($I465&lt;&gt;"",N($N465)&gt;0)),N($N465)+ROW()/1000000,"")</f>
        <v/>
      </c>
      <c r="Z465" s="24">
        <f>IF(AND($T465=1,$U465=0,$I465="",N($N465)&lt;=0,-N($N465)&lt;=HORIZON),N($N465)+ROW()/1000000,"")</f>
        <v/>
      </c>
    </row>
    <row r="466">
      <c r="A466" s="21" t="n"/>
      <c r="B466" s="21" t="n"/>
      <c r="C466" s="21" t="n"/>
      <c r="D466" s="21" t="n"/>
      <c r="E466" s="21" t="n"/>
      <c r="F466" s="21" t="n"/>
      <c r="G466" s="21" t="n"/>
      <c r="H466" s="21" t="n"/>
      <c r="I466" s="22" t="n"/>
      <c r="J466" s="22" t="n"/>
      <c r="K466" s="23">
        <f>IF($A466="","",IF($J466&lt;&gt;"",$J466,$S466))</f>
        <v/>
      </c>
      <c r="L466" s="24">
        <f>IF(OR($A466="",$E466=""),"",IF($J466&lt;&gt;"","Manual",IF($S466="","-","Auto")))</f>
        <v/>
      </c>
      <c r="M466" s="22" t="n"/>
      <c r="N466" s="25">
        <f>IF($T466=0,"",IF($U466=1,IF($M466="","",$M466-$K466),IF($K466="","",TODAY()-$K466)))</f>
        <v/>
      </c>
      <c r="O466" s="24">
        <f>IF(OR($A466="",$E466=""),"",IF($V466=1,S_INACT,IF(ISNA(MATCH($A466,TYP_TYPE,0)),S_TYPEKO,IF($U466=1,S_DONE,IF(AND($K466="",$R466=""),S_NOSCOPE,IF($K466="",S_NOTARGET,IF($N466&gt;0,S_LATE,IF($I466&lt;&gt;"",S_WIP,IF(-$N466&lt;=FEN_DOC,S_RISK,IF(-$N466&lt;=HORIZON,S_COMING,S_NOTYET))))))))))</f>
        <v/>
      </c>
      <c r="P466" s="24">
        <f>IF(OR($A466="",$E466=""),"",IF($V466=1,"",IF(ISNA(MATCH($A466,TYP_TYPE,0)),"Type not in the library",IF($B466="","Scope not set",IF(AND($B466="System",$C466=""),"System not set",IF(AND($B466="Equipment",$D466=""),"Equipment not set",IF($F466="","Responsible not set",IF($K466="","No target date",IF(AND($B466="Equipment",$C466&lt;&gt;"",IFERROR(INDEX(EQP_SYS,MATCH($D466,EQP_NOM,0)),"")&lt;&gt;$C466),"Equipment not in that system",IF(AND($U466=1,$M466=""),"Approved with no approval date",""))))))))))</f>
        <v/>
      </c>
      <c r="Q466" s="21" t="n"/>
      <c r="R466" s="23">
        <f>IF(OR($A466="",$B466=""),"",IF($B466="Equipment",IFERROR(INDEX(EQP_START,MATCH($D466,EQP_NOM,0)),""),IF($B466="System",IFERROR(INDEX(SYS_EARLIEST,MATCH($C466,SYS_ID,0)),""),IF($B466="All",CTR_EARLIEST,""))))</f>
        <v/>
      </c>
      <c r="S466" s="23">
        <f>IF(OR($A466="",$E466=""),"",IFERROR(IF(INDEX(TYP_ANCHOR,MATCH($A466,TYP_TYPE,0))="Commissioning Start",IF($R466="","",$R466-INDEX(TYP_LEAD,MATCH($A466,TYP_TYPE,0))),IF(INDEX(MS_PLAN,MATCH(INDEX(TYP_ANCHOR,MATCH($A466,TYP_TYPE,0)),MS_NOM,0))="","",INDEX(MS_PLAN,MATCH(INDEX(TYP_ANCHOR,MATCH($A466,TYP_TYPE,0)),MS_NOM,0))-INDEX(TYP_LEAD,MATCH($A466,TYP_TYPE,0)))),""))</f>
        <v/>
      </c>
      <c r="T466" s="26">
        <f>IF(OR($A466="",$E466=""),0,IF($V466=1,0,1))</f>
        <v/>
      </c>
      <c r="U466" s="26">
        <f>IF($T466=0,0,IF($M466&lt;&gt;"",1,IF(IFERROR(INDEX(WF_CLASS,MATCH($H466,WF_CODE,0)),"")="Done",1,0)))</f>
        <v/>
      </c>
      <c r="V466" s="26">
        <f>IF(OR($A466="",$E466=""),0,IF(IFERROR(INDEX(WF_CLASS,MATCH($H466,WF_CODE,0)),"")="Inactive",1,0))</f>
        <v/>
      </c>
      <c r="W466" s="24">
        <f>IF($A466="","",IFERROR(INDEX(TYP_PHASE,MATCH($A466,TYP_TYPE,0)),"-"))</f>
        <v/>
      </c>
      <c r="X466" s="24">
        <f>IF(AND($T466=1,$U466=0,N($N466)&gt;0),$N466+ROW()/1000000,"")</f>
        <v/>
      </c>
      <c r="Y466" s="24">
        <f>IF(AND($T466=1,$U466=0,OR($I466&lt;&gt;"",N($N466)&gt;0)),N($N466)+ROW()/1000000,"")</f>
        <v/>
      </c>
      <c r="Z466" s="24">
        <f>IF(AND($T466=1,$U466=0,$I466="",N($N466)&lt;=0,-N($N466)&lt;=HORIZON),N($N466)+ROW()/1000000,"")</f>
        <v/>
      </c>
    </row>
    <row r="467">
      <c r="A467" s="21" t="n"/>
      <c r="B467" s="21" t="n"/>
      <c r="C467" s="21" t="n"/>
      <c r="D467" s="21" t="n"/>
      <c r="E467" s="21" t="n"/>
      <c r="F467" s="21" t="n"/>
      <c r="G467" s="21" t="n"/>
      <c r="H467" s="21" t="n"/>
      <c r="I467" s="22" t="n"/>
      <c r="J467" s="22" t="n"/>
      <c r="K467" s="23">
        <f>IF($A467="","",IF($J467&lt;&gt;"",$J467,$S467))</f>
        <v/>
      </c>
      <c r="L467" s="24">
        <f>IF(OR($A467="",$E467=""),"",IF($J467&lt;&gt;"","Manual",IF($S467="","-","Auto")))</f>
        <v/>
      </c>
      <c r="M467" s="22" t="n"/>
      <c r="N467" s="25">
        <f>IF($T467=0,"",IF($U467=1,IF($M467="","",$M467-$K467),IF($K467="","",TODAY()-$K467)))</f>
        <v/>
      </c>
      <c r="O467" s="24">
        <f>IF(OR($A467="",$E467=""),"",IF($V467=1,S_INACT,IF(ISNA(MATCH($A467,TYP_TYPE,0)),S_TYPEKO,IF($U467=1,S_DONE,IF(AND($K467="",$R467=""),S_NOSCOPE,IF($K467="",S_NOTARGET,IF($N467&gt;0,S_LATE,IF($I467&lt;&gt;"",S_WIP,IF(-$N467&lt;=FEN_DOC,S_RISK,IF(-$N467&lt;=HORIZON,S_COMING,S_NOTYET))))))))))</f>
        <v/>
      </c>
      <c r="P467" s="24">
        <f>IF(OR($A467="",$E467=""),"",IF($V467=1,"",IF(ISNA(MATCH($A467,TYP_TYPE,0)),"Type not in the library",IF($B467="","Scope not set",IF(AND($B467="System",$C467=""),"System not set",IF(AND($B467="Equipment",$D467=""),"Equipment not set",IF($F467="","Responsible not set",IF($K467="","No target date",IF(AND($B467="Equipment",$C467&lt;&gt;"",IFERROR(INDEX(EQP_SYS,MATCH($D467,EQP_NOM,0)),"")&lt;&gt;$C467),"Equipment not in that system",IF(AND($U467=1,$M467=""),"Approved with no approval date",""))))))))))</f>
        <v/>
      </c>
      <c r="Q467" s="21" t="n"/>
      <c r="R467" s="23">
        <f>IF(OR($A467="",$B467=""),"",IF($B467="Equipment",IFERROR(INDEX(EQP_START,MATCH($D467,EQP_NOM,0)),""),IF($B467="System",IFERROR(INDEX(SYS_EARLIEST,MATCH($C467,SYS_ID,0)),""),IF($B467="All",CTR_EARLIEST,""))))</f>
        <v/>
      </c>
      <c r="S467" s="23">
        <f>IF(OR($A467="",$E467=""),"",IFERROR(IF(INDEX(TYP_ANCHOR,MATCH($A467,TYP_TYPE,0))="Commissioning Start",IF($R467="","",$R467-INDEX(TYP_LEAD,MATCH($A467,TYP_TYPE,0))),IF(INDEX(MS_PLAN,MATCH(INDEX(TYP_ANCHOR,MATCH($A467,TYP_TYPE,0)),MS_NOM,0))="","",INDEX(MS_PLAN,MATCH(INDEX(TYP_ANCHOR,MATCH($A467,TYP_TYPE,0)),MS_NOM,0))-INDEX(TYP_LEAD,MATCH($A467,TYP_TYPE,0)))),""))</f>
        <v/>
      </c>
      <c r="T467" s="26">
        <f>IF(OR($A467="",$E467=""),0,IF($V467=1,0,1))</f>
        <v/>
      </c>
      <c r="U467" s="26">
        <f>IF($T467=0,0,IF($M467&lt;&gt;"",1,IF(IFERROR(INDEX(WF_CLASS,MATCH($H467,WF_CODE,0)),"")="Done",1,0)))</f>
        <v/>
      </c>
      <c r="V467" s="26">
        <f>IF(OR($A467="",$E467=""),0,IF(IFERROR(INDEX(WF_CLASS,MATCH($H467,WF_CODE,0)),"")="Inactive",1,0))</f>
        <v/>
      </c>
      <c r="W467" s="24">
        <f>IF($A467="","",IFERROR(INDEX(TYP_PHASE,MATCH($A467,TYP_TYPE,0)),"-"))</f>
        <v/>
      </c>
      <c r="X467" s="24">
        <f>IF(AND($T467=1,$U467=0,N($N467)&gt;0),$N467+ROW()/1000000,"")</f>
        <v/>
      </c>
      <c r="Y467" s="24">
        <f>IF(AND($T467=1,$U467=0,OR($I467&lt;&gt;"",N($N467)&gt;0)),N($N467)+ROW()/1000000,"")</f>
        <v/>
      </c>
      <c r="Z467" s="24">
        <f>IF(AND($T467=1,$U467=0,$I467="",N($N467)&lt;=0,-N($N467)&lt;=HORIZON),N($N467)+ROW()/1000000,"")</f>
        <v/>
      </c>
    </row>
    <row r="468">
      <c r="A468" s="21" t="n"/>
      <c r="B468" s="21" t="n"/>
      <c r="C468" s="21" t="n"/>
      <c r="D468" s="21" t="n"/>
      <c r="E468" s="21" t="n"/>
      <c r="F468" s="21" t="n"/>
      <c r="G468" s="21" t="n"/>
      <c r="H468" s="21" t="n"/>
      <c r="I468" s="22" t="n"/>
      <c r="J468" s="22" t="n"/>
      <c r="K468" s="23">
        <f>IF($A468="","",IF($J468&lt;&gt;"",$J468,$S468))</f>
        <v/>
      </c>
      <c r="L468" s="24">
        <f>IF(OR($A468="",$E468=""),"",IF($J468&lt;&gt;"","Manual",IF($S468="","-","Auto")))</f>
        <v/>
      </c>
      <c r="M468" s="22" t="n"/>
      <c r="N468" s="25">
        <f>IF($T468=0,"",IF($U468=1,IF($M468="","",$M468-$K468),IF($K468="","",TODAY()-$K468)))</f>
        <v/>
      </c>
      <c r="O468" s="24">
        <f>IF(OR($A468="",$E468=""),"",IF($V468=1,S_INACT,IF(ISNA(MATCH($A468,TYP_TYPE,0)),S_TYPEKO,IF($U468=1,S_DONE,IF(AND($K468="",$R468=""),S_NOSCOPE,IF($K468="",S_NOTARGET,IF($N468&gt;0,S_LATE,IF($I468&lt;&gt;"",S_WIP,IF(-$N468&lt;=FEN_DOC,S_RISK,IF(-$N468&lt;=HORIZON,S_COMING,S_NOTYET))))))))))</f>
        <v/>
      </c>
      <c r="P468" s="24">
        <f>IF(OR($A468="",$E468=""),"",IF($V468=1,"",IF(ISNA(MATCH($A468,TYP_TYPE,0)),"Type not in the library",IF($B468="","Scope not set",IF(AND($B468="System",$C468=""),"System not set",IF(AND($B468="Equipment",$D468=""),"Equipment not set",IF($F468="","Responsible not set",IF($K468="","No target date",IF(AND($B468="Equipment",$C468&lt;&gt;"",IFERROR(INDEX(EQP_SYS,MATCH($D468,EQP_NOM,0)),"")&lt;&gt;$C468),"Equipment not in that system",IF(AND($U468=1,$M468=""),"Approved with no approval date",""))))))))))</f>
        <v/>
      </c>
      <c r="Q468" s="21" t="n"/>
      <c r="R468" s="23">
        <f>IF(OR($A468="",$B468=""),"",IF($B468="Equipment",IFERROR(INDEX(EQP_START,MATCH($D468,EQP_NOM,0)),""),IF($B468="System",IFERROR(INDEX(SYS_EARLIEST,MATCH($C468,SYS_ID,0)),""),IF($B468="All",CTR_EARLIEST,""))))</f>
        <v/>
      </c>
      <c r="S468" s="23">
        <f>IF(OR($A468="",$E468=""),"",IFERROR(IF(INDEX(TYP_ANCHOR,MATCH($A468,TYP_TYPE,0))="Commissioning Start",IF($R468="","",$R468-INDEX(TYP_LEAD,MATCH($A468,TYP_TYPE,0))),IF(INDEX(MS_PLAN,MATCH(INDEX(TYP_ANCHOR,MATCH($A468,TYP_TYPE,0)),MS_NOM,0))="","",INDEX(MS_PLAN,MATCH(INDEX(TYP_ANCHOR,MATCH($A468,TYP_TYPE,0)),MS_NOM,0))-INDEX(TYP_LEAD,MATCH($A468,TYP_TYPE,0)))),""))</f>
        <v/>
      </c>
      <c r="T468" s="26">
        <f>IF(OR($A468="",$E468=""),0,IF($V468=1,0,1))</f>
        <v/>
      </c>
      <c r="U468" s="26">
        <f>IF($T468=0,0,IF($M468&lt;&gt;"",1,IF(IFERROR(INDEX(WF_CLASS,MATCH($H468,WF_CODE,0)),"")="Done",1,0)))</f>
        <v/>
      </c>
      <c r="V468" s="26">
        <f>IF(OR($A468="",$E468=""),0,IF(IFERROR(INDEX(WF_CLASS,MATCH($H468,WF_CODE,0)),"")="Inactive",1,0))</f>
        <v/>
      </c>
      <c r="W468" s="24">
        <f>IF($A468="","",IFERROR(INDEX(TYP_PHASE,MATCH($A468,TYP_TYPE,0)),"-"))</f>
        <v/>
      </c>
      <c r="X468" s="24">
        <f>IF(AND($T468=1,$U468=0,N($N468)&gt;0),$N468+ROW()/1000000,"")</f>
        <v/>
      </c>
      <c r="Y468" s="24">
        <f>IF(AND($T468=1,$U468=0,OR($I468&lt;&gt;"",N($N468)&gt;0)),N($N468)+ROW()/1000000,"")</f>
        <v/>
      </c>
      <c r="Z468" s="24">
        <f>IF(AND($T468=1,$U468=0,$I468="",N($N468)&lt;=0,-N($N468)&lt;=HORIZON),N($N468)+ROW()/1000000,"")</f>
        <v/>
      </c>
    </row>
    <row r="469">
      <c r="A469" s="21" t="n"/>
      <c r="B469" s="21" t="n"/>
      <c r="C469" s="21" t="n"/>
      <c r="D469" s="21" t="n"/>
      <c r="E469" s="21" t="n"/>
      <c r="F469" s="21" t="n"/>
      <c r="G469" s="21" t="n"/>
      <c r="H469" s="21" t="n"/>
      <c r="I469" s="22" t="n"/>
      <c r="J469" s="22" t="n"/>
      <c r="K469" s="23">
        <f>IF($A469="","",IF($J469&lt;&gt;"",$J469,$S469))</f>
        <v/>
      </c>
      <c r="L469" s="24">
        <f>IF(OR($A469="",$E469=""),"",IF($J469&lt;&gt;"","Manual",IF($S469="","-","Auto")))</f>
        <v/>
      </c>
      <c r="M469" s="22" t="n"/>
      <c r="N469" s="25">
        <f>IF($T469=0,"",IF($U469=1,IF($M469="","",$M469-$K469),IF($K469="","",TODAY()-$K469)))</f>
        <v/>
      </c>
      <c r="O469" s="24">
        <f>IF(OR($A469="",$E469=""),"",IF($V469=1,S_INACT,IF(ISNA(MATCH($A469,TYP_TYPE,0)),S_TYPEKO,IF($U469=1,S_DONE,IF(AND($K469="",$R469=""),S_NOSCOPE,IF($K469="",S_NOTARGET,IF($N469&gt;0,S_LATE,IF($I469&lt;&gt;"",S_WIP,IF(-$N469&lt;=FEN_DOC,S_RISK,IF(-$N469&lt;=HORIZON,S_COMING,S_NOTYET))))))))))</f>
        <v/>
      </c>
      <c r="P469" s="24">
        <f>IF(OR($A469="",$E469=""),"",IF($V469=1,"",IF(ISNA(MATCH($A469,TYP_TYPE,0)),"Type not in the library",IF($B469="","Scope not set",IF(AND($B469="System",$C469=""),"System not set",IF(AND($B469="Equipment",$D469=""),"Equipment not set",IF($F469="","Responsible not set",IF($K469="","No target date",IF(AND($B469="Equipment",$C469&lt;&gt;"",IFERROR(INDEX(EQP_SYS,MATCH($D469,EQP_NOM,0)),"")&lt;&gt;$C469),"Equipment not in that system",IF(AND($U469=1,$M469=""),"Approved with no approval date",""))))))))))</f>
        <v/>
      </c>
      <c r="Q469" s="21" t="n"/>
      <c r="R469" s="23">
        <f>IF(OR($A469="",$B469=""),"",IF($B469="Equipment",IFERROR(INDEX(EQP_START,MATCH($D469,EQP_NOM,0)),""),IF($B469="System",IFERROR(INDEX(SYS_EARLIEST,MATCH($C469,SYS_ID,0)),""),IF($B469="All",CTR_EARLIEST,""))))</f>
        <v/>
      </c>
      <c r="S469" s="23">
        <f>IF(OR($A469="",$E469=""),"",IFERROR(IF(INDEX(TYP_ANCHOR,MATCH($A469,TYP_TYPE,0))="Commissioning Start",IF($R469="","",$R469-INDEX(TYP_LEAD,MATCH($A469,TYP_TYPE,0))),IF(INDEX(MS_PLAN,MATCH(INDEX(TYP_ANCHOR,MATCH($A469,TYP_TYPE,0)),MS_NOM,0))="","",INDEX(MS_PLAN,MATCH(INDEX(TYP_ANCHOR,MATCH($A469,TYP_TYPE,0)),MS_NOM,0))-INDEX(TYP_LEAD,MATCH($A469,TYP_TYPE,0)))),""))</f>
        <v/>
      </c>
      <c r="T469" s="26">
        <f>IF(OR($A469="",$E469=""),0,IF($V469=1,0,1))</f>
        <v/>
      </c>
      <c r="U469" s="26">
        <f>IF($T469=0,0,IF($M469&lt;&gt;"",1,IF(IFERROR(INDEX(WF_CLASS,MATCH($H469,WF_CODE,0)),"")="Done",1,0)))</f>
        <v/>
      </c>
      <c r="V469" s="26">
        <f>IF(OR($A469="",$E469=""),0,IF(IFERROR(INDEX(WF_CLASS,MATCH($H469,WF_CODE,0)),"")="Inactive",1,0))</f>
        <v/>
      </c>
      <c r="W469" s="24">
        <f>IF($A469="","",IFERROR(INDEX(TYP_PHASE,MATCH($A469,TYP_TYPE,0)),"-"))</f>
        <v/>
      </c>
      <c r="X469" s="24">
        <f>IF(AND($T469=1,$U469=0,N($N469)&gt;0),$N469+ROW()/1000000,"")</f>
        <v/>
      </c>
      <c r="Y469" s="24">
        <f>IF(AND($T469=1,$U469=0,OR($I469&lt;&gt;"",N($N469)&gt;0)),N($N469)+ROW()/1000000,"")</f>
        <v/>
      </c>
      <c r="Z469" s="24">
        <f>IF(AND($T469=1,$U469=0,$I469="",N($N469)&lt;=0,-N($N469)&lt;=HORIZON),N($N469)+ROW()/1000000,"")</f>
        <v/>
      </c>
    </row>
    <row r="470">
      <c r="A470" s="21" t="n"/>
      <c r="B470" s="21" t="n"/>
      <c r="C470" s="21" t="n"/>
      <c r="D470" s="21" t="n"/>
      <c r="E470" s="21" t="n"/>
      <c r="F470" s="21" t="n"/>
      <c r="G470" s="21" t="n"/>
      <c r="H470" s="21" t="n"/>
      <c r="I470" s="22" t="n"/>
      <c r="J470" s="22" t="n"/>
      <c r="K470" s="23">
        <f>IF($A470="","",IF($J470&lt;&gt;"",$J470,$S470))</f>
        <v/>
      </c>
      <c r="L470" s="24">
        <f>IF(OR($A470="",$E470=""),"",IF($J470&lt;&gt;"","Manual",IF($S470="","-","Auto")))</f>
        <v/>
      </c>
      <c r="M470" s="22" t="n"/>
      <c r="N470" s="25">
        <f>IF($T470=0,"",IF($U470=1,IF($M470="","",$M470-$K470),IF($K470="","",TODAY()-$K470)))</f>
        <v/>
      </c>
      <c r="O470" s="24">
        <f>IF(OR($A470="",$E470=""),"",IF($V470=1,S_INACT,IF(ISNA(MATCH($A470,TYP_TYPE,0)),S_TYPEKO,IF($U470=1,S_DONE,IF(AND($K470="",$R470=""),S_NOSCOPE,IF($K470="",S_NOTARGET,IF($N470&gt;0,S_LATE,IF($I470&lt;&gt;"",S_WIP,IF(-$N470&lt;=FEN_DOC,S_RISK,IF(-$N470&lt;=HORIZON,S_COMING,S_NOTYET))))))))))</f>
        <v/>
      </c>
      <c r="P470" s="24">
        <f>IF(OR($A470="",$E470=""),"",IF($V470=1,"",IF(ISNA(MATCH($A470,TYP_TYPE,0)),"Type not in the library",IF($B470="","Scope not set",IF(AND($B470="System",$C470=""),"System not set",IF(AND($B470="Equipment",$D470=""),"Equipment not set",IF($F470="","Responsible not set",IF($K470="","No target date",IF(AND($B470="Equipment",$C470&lt;&gt;"",IFERROR(INDEX(EQP_SYS,MATCH($D470,EQP_NOM,0)),"")&lt;&gt;$C470),"Equipment not in that system",IF(AND($U470=1,$M470=""),"Approved with no approval date",""))))))))))</f>
        <v/>
      </c>
      <c r="Q470" s="21" t="n"/>
      <c r="R470" s="23">
        <f>IF(OR($A470="",$B470=""),"",IF($B470="Equipment",IFERROR(INDEX(EQP_START,MATCH($D470,EQP_NOM,0)),""),IF($B470="System",IFERROR(INDEX(SYS_EARLIEST,MATCH($C470,SYS_ID,0)),""),IF($B470="All",CTR_EARLIEST,""))))</f>
        <v/>
      </c>
      <c r="S470" s="23">
        <f>IF(OR($A470="",$E470=""),"",IFERROR(IF(INDEX(TYP_ANCHOR,MATCH($A470,TYP_TYPE,0))="Commissioning Start",IF($R470="","",$R470-INDEX(TYP_LEAD,MATCH($A470,TYP_TYPE,0))),IF(INDEX(MS_PLAN,MATCH(INDEX(TYP_ANCHOR,MATCH($A470,TYP_TYPE,0)),MS_NOM,0))="","",INDEX(MS_PLAN,MATCH(INDEX(TYP_ANCHOR,MATCH($A470,TYP_TYPE,0)),MS_NOM,0))-INDEX(TYP_LEAD,MATCH($A470,TYP_TYPE,0)))),""))</f>
        <v/>
      </c>
      <c r="T470" s="26">
        <f>IF(OR($A470="",$E470=""),0,IF($V470=1,0,1))</f>
        <v/>
      </c>
      <c r="U470" s="26">
        <f>IF($T470=0,0,IF($M470&lt;&gt;"",1,IF(IFERROR(INDEX(WF_CLASS,MATCH($H470,WF_CODE,0)),"")="Done",1,0)))</f>
        <v/>
      </c>
      <c r="V470" s="26">
        <f>IF(OR($A470="",$E470=""),0,IF(IFERROR(INDEX(WF_CLASS,MATCH($H470,WF_CODE,0)),"")="Inactive",1,0))</f>
        <v/>
      </c>
      <c r="W470" s="24">
        <f>IF($A470="","",IFERROR(INDEX(TYP_PHASE,MATCH($A470,TYP_TYPE,0)),"-"))</f>
        <v/>
      </c>
      <c r="X470" s="24">
        <f>IF(AND($T470=1,$U470=0,N($N470)&gt;0),$N470+ROW()/1000000,"")</f>
        <v/>
      </c>
      <c r="Y470" s="24">
        <f>IF(AND($T470=1,$U470=0,OR($I470&lt;&gt;"",N($N470)&gt;0)),N($N470)+ROW()/1000000,"")</f>
        <v/>
      </c>
      <c r="Z470" s="24">
        <f>IF(AND($T470=1,$U470=0,$I470="",N($N470)&lt;=0,-N($N470)&lt;=HORIZON),N($N470)+ROW()/1000000,"")</f>
        <v/>
      </c>
    </row>
    <row r="471">
      <c r="A471" s="21" t="n"/>
      <c r="B471" s="21" t="n"/>
      <c r="C471" s="21" t="n"/>
      <c r="D471" s="21" t="n"/>
      <c r="E471" s="21" t="n"/>
      <c r="F471" s="21" t="n"/>
      <c r="G471" s="21" t="n"/>
      <c r="H471" s="21" t="n"/>
      <c r="I471" s="22" t="n"/>
      <c r="J471" s="22" t="n"/>
      <c r="K471" s="23">
        <f>IF($A471="","",IF($J471&lt;&gt;"",$J471,$S471))</f>
        <v/>
      </c>
      <c r="L471" s="24">
        <f>IF(OR($A471="",$E471=""),"",IF($J471&lt;&gt;"","Manual",IF($S471="","-","Auto")))</f>
        <v/>
      </c>
      <c r="M471" s="22" t="n"/>
      <c r="N471" s="25">
        <f>IF($T471=0,"",IF($U471=1,IF($M471="","",$M471-$K471),IF($K471="","",TODAY()-$K471)))</f>
        <v/>
      </c>
      <c r="O471" s="24">
        <f>IF(OR($A471="",$E471=""),"",IF($V471=1,S_INACT,IF(ISNA(MATCH($A471,TYP_TYPE,0)),S_TYPEKO,IF($U471=1,S_DONE,IF(AND($K471="",$R471=""),S_NOSCOPE,IF($K471="",S_NOTARGET,IF($N471&gt;0,S_LATE,IF($I471&lt;&gt;"",S_WIP,IF(-$N471&lt;=FEN_DOC,S_RISK,IF(-$N471&lt;=HORIZON,S_COMING,S_NOTYET))))))))))</f>
        <v/>
      </c>
      <c r="P471" s="24">
        <f>IF(OR($A471="",$E471=""),"",IF($V471=1,"",IF(ISNA(MATCH($A471,TYP_TYPE,0)),"Type not in the library",IF($B471="","Scope not set",IF(AND($B471="System",$C471=""),"System not set",IF(AND($B471="Equipment",$D471=""),"Equipment not set",IF($F471="","Responsible not set",IF($K471="","No target date",IF(AND($B471="Equipment",$C471&lt;&gt;"",IFERROR(INDEX(EQP_SYS,MATCH($D471,EQP_NOM,0)),"")&lt;&gt;$C471),"Equipment not in that system",IF(AND($U471=1,$M471=""),"Approved with no approval date",""))))))))))</f>
        <v/>
      </c>
      <c r="Q471" s="21" t="n"/>
      <c r="R471" s="23">
        <f>IF(OR($A471="",$B471=""),"",IF($B471="Equipment",IFERROR(INDEX(EQP_START,MATCH($D471,EQP_NOM,0)),""),IF($B471="System",IFERROR(INDEX(SYS_EARLIEST,MATCH($C471,SYS_ID,0)),""),IF($B471="All",CTR_EARLIEST,""))))</f>
        <v/>
      </c>
      <c r="S471" s="23">
        <f>IF(OR($A471="",$E471=""),"",IFERROR(IF(INDEX(TYP_ANCHOR,MATCH($A471,TYP_TYPE,0))="Commissioning Start",IF($R471="","",$R471-INDEX(TYP_LEAD,MATCH($A471,TYP_TYPE,0))),IF(INDEX(MS_PLAN,MATCH(INDEX(TYP_ANCHOR,MATCH($A471,TYP_TYPE,0)),MS_NOM,0))="","",INDEX(MS_PLAN,MATCH(INDEX(TYP_ANCHOR,MATCH($A471,TYP_TYPE,0)),MS_NOM,0))-INDEX(TYP_LEAD,MATCH($A471,TYP_TYPE,0)))),""))</f>
        <v/>
      </c>
      <c r="T471" s="26">
        <f>IF(OR($A471="",$E471=""),0,IF($V471=1,0,1))</f>
        <v/>
      </c>
      <c r="U471" s="26">
        <f>IF($T471=0,0,IF($M471&lt;&gt;"",1,IF(IFERROR(INDEX(WF_CLASS,MATCH($H471,WF_CODE,0)),"")="Done",1,0)))</f>
        <v/>
      </c>
      <c r="V471" s="26">
        <f>IF(OR($A471="",$E471=""),0,IF(IFERROR(INDEX(WF_CLASS,MATCH($H471,WF_CODE,0)),"")="Inactive",1,0))</f>
        <v/>
      </c>
      <c r="W471" s="24">
        <f>IF($A471="","",IFERROR(INDEX(TYP_PHASE,MATCH($A471,TYP_TYPE,0)),"-"))</f>
        <v/>
      </c>
      <c r="X471" s="24">
        <f>IF(AND($T471=1,$U471=0,N($N471)&gt;0),$N471+ROW()/1000000,"")</f>
        <v/>
      </c>
      <c r="Y471" s="24">
        <f>IF(AND($T471=1,$U471=0,OR($I471&lt;&gt;"",N($N471)&gt;0)),N($N471)+ROW()/1000000,"")</f>
        <v/>
      </c>
      <c r="Z471" s="24">
        <f>IF(AND($T471=1,$U471=0,$I471="",N($N471)&lt;=0,-N($N471)&lt;=HORIZON),N($N471)+ROW()/1000000,"")</f>
        <v/>
      </c>
    </row>
    <row r="472">
      <c r="A472" s="21" t="n"/>
      <c r="B472" s="21" t="n"/>
      <c r="C472" s="21" t="n"/>
      <c r="D472" s="21" t="n"/>
      <c r="E472" s="21" t="n"/>
      <c r="F472" s="21" t="n"/>
      <c r="G472" s="21" t="n"/>
      <c r="H472" s="21" t="n"/>
      <c r="I472" s="22" t="n"/>
      <c r="J472" s="22" t="n"/>
      <c r="K472" s="23">
        <f>IF($A472="","",IF($J472&lt;&gt;"",$J472,$S472))</f>
        <v/>
      </c>
      <c r="L472" s="24">
        <f>IF(OR($A472="",$E472=""),"",IF($J472&lt;&gt;"","Manual",IF($S472="","-","Auto")))</f>
        <v/>
      </c>
      <c r="M472" s="22" t="n"/>
      <c r="N472" s="25">
        <f>IF($T472=0,"",IF($U472=1,IF($M472="","",$M472-$K472),IF($K472="","",TODAY()-$K472)))</f>
        <v/>
      </c>
      <c r="O472" s="24">
        <f>IF(OR($A472="",$E472=""),"",IF($V472=1,S_INACT,IF(ISNA(MATCH($A472,TYP_TYPE,0)),S_TYPEKO,IF($U472=1,S_DONE,IF(AND($K472="",$R472=""),S_NOSCOPE,IF($K472="",S_NOTARGET,IF($N472&gt;0,S_LATE,IF($I472&lt;&gt;"",S_WIP,IF(-$N472&lt;=FEN_DOC,S_RISK,IF(-$N472&lt;=HORIZON,S_COMING,S_NOTYET))))))))))</f>
        <v/>
      </c>
      <c r="P472" s="24">
        <f>IF(OR($A472="",$E472=""),"",IF($V472=1,"",IF(ISNA(MATCH($A472,TYP_TYPE,0)),"Type not in the library",IF($B472="","Scope not set",IF(AND($B472="System",$C472=""),"System not set",IF(AND($B472="Equipment",$D472=""),"Equipment not set",IF($F472="","Responsible not set",IF($K472="","No target date",IF(AND($B472="Equipment",$C472&lt;&gt;"",IFERROR(INDEX(EQP_SYS,MATCH($D472,EQP_NOM,0)),"")&lt;&gt;$C472),"Equipment not in that system",IF(AND($U472=1,$M472=""),"Approved with no approval date",""))))))))))</f>
        <v/>
      </c>
      <c r="Q472" s="21" t="n"/>
      <c r="R472" s="23">
        <f>IF(OR($A472="",$B472=""),"",IF($B472="Equipment",IFERROR(INDEX(EQP_START,MATCH($D472,EQP_NOM,0)),""),IF($B472="System",IFERROR(INDEX(SYS_EARLIEST,MATCH($C472,SYS_ID,0)),""),IF($B472="All",CTR_EARLIEST,""))))</f>
        <v/>
      </c>
      <c r="S472" s="23">
        <f>IF(OR($A472="",$E472=""),"",IFERROR(IF(INDEX(TYP_ANCHOR,MATCH($A472,TYP_TYPE,0))="Commissioning Start",IF($R472="","",$R472-INDEX(TYP_LEAD,MATCH($A472,TYP_TYPE,0))),IF(INDEX(MS_PLAN,MATCH(INDEX(TYP_ANCHOR,MATCH($A472,TYP_TYPE,0)),MS_NOM,0))="","",INDEX(MS_PLAN,MATCH(INDEX(TYP_ANCHOR,MATCH($A472,TYP_TYPE,0)),MS_NOM,0))-INDEX(TYP_LEAD,MATCH($A472,TYP_TYPE,0)))),""))</f>
        <v/>
      </c>
      <c r="T472" s="26">
        <f>IF(OR($A472="",$E472=""),0,IF($V472=1,0,1))</f>
        <v/>
      </c>
      <c r="U472" s="26">
        <f>IF($T472=0,0,IF($M472&lt;&gt;"",1,IF(IFERROR(INDEX(WF_CLASS,MATCH($H472,WF_CODE,0)),"")="Done",1,0)))</f>
        <v/>
      </c>
      <c r="V472" s="26">
        <f>IF(OR($A472="",$E472=""),0,IF(IFERROR(INDEX(WF_CLASS,MATCH($H472,WF_CODE,0)),"")="Inactive",1,0))</f>
        <v/>
      </c>
      <c r="W472" s="24">
        <f>IF($A472="","",IFERROR(INDEX(TYP_PHASE,MATCH($A472,TYP_TYPE,0)),"-"))</f>
        <v/>
      </c>
      <c r="X472" s="24">
        <f>IF(AND($T472=1,$U472=0,N($N472)&gt;0),$N472+ROW()/1000000,"")</f>
        <v/>
      </c>
      <c r="Y472" s="24">
        <f>IF(AND($T472=1,$U472=0,OR($I472&lt;&gt;"",N($N472)&gt;0)),N($N472)+ROW()/1000000,"")</f>
        <v/>
      </c>
      <c r="Z472" s="24">
        <f>IF(AND($T472=1,$U472=0,$I472="",N($N472)&lt;=0,-N($N472)&lt;=HORIZON),N($N472)+ROW()/1000000,"")</f>
        <v/>
      </c>
    </row>
    <row r="473">
      <c r="A473" s="21" t="n"/>
      <c r="B473" s="21" t="n"/>
      <c r="C473" s="21" t="n"/>
      <c r="D473" s="21" t="n"/>
      <c r="E473" s="21" t="n"/>
      <c r="F473" s="21" t="n"/>
      <c r="G473" s="21" t="n"/>
      <c r="H473" s="21" t="n"/>
      <c r="I473" s="22" t="n"/>
      <c r="J473" s="22" t="n"/>
      <c r="K473" s="23">
        <f>IF($A473="","",IF($J473&lt;&gt;"",$J473,$S473))</f>
        <v/>
      </c>
      <c r="L473" s="24">
        <f>IF(OR($A473="",$E473=""),"",IF($J473&lt;&gt;"","Manual",IF($S473="","-","Auto")))</f>
        <v/>
      </c>
      <c r="M473" s="22" t="n"/>
      <c r="N473" s="25">
        <f>IF($T473=0,"",IF($U473=1,IF($M473="","",$M473-$K473),IF($K473="","",TODAY()-$K473)))</f>
        <v/>
      </c>
      <c r="O473" s="24">
        <f>IF(OR($A473="",$E473=""),"",IF($V473=1,S_INACT,IF(ISNA(MATCH($A473,TYP_TYPE,0)),S_TYPEKO,IF($U473=1,S_DONE,IF(AND($K473="",$R473=""),S_NOSCOPE,IF($K473="",S_NOTARGET,IF($N473&gt;0,S_LATE,IF($I473&lt;&gt;"",S_WIP,IF(-$N473&lt;=FEN_DOC,S_RISK,IF(-$N473&lt;=HORIZON,S_COMING,S_NOTYET))))))))))</f>
        <v/>
      </c>
      <c r="P473" s="24">
        <f>IF(OR($A473="",$E473=""),"",IF($V473=1,"",IF(ISNA(MATCH($A473,TYP_TYPE,0)),"Type not in the library",IF($B473="","Scope not set",IF(AND($B473="System",$C473=""),"System not set",IF(AND($B473="Equipment",$D473=""),"Equipment not set",IF($F473="","Responsible not set",IF($K473="","No target date",IF(AND($B473="Equipment",$C473&lt;&gt;"",IFERROR(INDEX(EQP_SYS,MATCH($D473,EQP_NOM,0)),"")&lt;&gt;$C473),"Equipment not in that system",IF(AND($U473=1,$M473=""),"Approved with no approval date",""))))))))))</f>
        <v/>
      </c>
      <c r="Q473" s="21" t="n"/>
      <c r="R473" s="23">
        <f>IF(OR($A473="",$B473=""),"",IF($B473="Equipment",IFERROR(INDEX(EQP_START,MATCH($D473,EQP_NOM,0)),""),IF($B473="System",IFERROR(INDEX(SYS_EARLIEST,MATCH($C473,SYS_ID,0)),""),IF($B473="All",CTR_EARLIEST,""))))</f>
        <v/>
      </c>
      <c r="S473" s="23">
        <f>IF(OR($A473="",$E473=""),"",IFERROR(IF(INDEX(TYP_ANCHOR,MATCH($A473,TYP_TYPE,0))="Commissioning Start",IF($R473="","",$R473-INDEX(TYP_LEAD,MATCH($A473,TYP_TYPE,0))),IF(INDEX(MS_PLAN,MATCH(INDEX(TYP_ANCHOR,MATCH($A473,TYP_TYPE,0)),MS_NOM,0))="","",INDEX(MS_PLAN,MATCH(INDEX(TYP_ANCHOR,MATCH($A473,TYP_TYPE,0)),MS_NOM,0))-INDEX(TYP_LEAD,MATCH($A473,TYP_TYPE,0)))),""))</f>
        <v/>
      </c>
      <c r="T473" s="26">
        <f>IF(OR($A473="",$E473=""),0,IF($V473=1,0,1))</f>
        <v/>
      </c>
      <c r="U473" s="26">
        <f>IF($T473=0,0,IF($M473&lt;&gt;"",1,IF(IFERROR(INDEX(WF_CLASS,MATCH($H473,WF_CODE,0)),"")="Done",1,0)))</f>
        <v/>
      </c>
      <c r="V473" s="26">
        <f>IF(OR($A473="",$E473=""),0,IF(IFERROR(INDEX(WF_CLASS,MATCH($H473,WF_CODE,0)),"")="Inactive",1,0))</f>
        <v/>
      </c>
      <c r="W473" s="24">
        <f>IF($A473="","",IFERROR(INDEX(TYP_PHASE,MATCH($A473,TYP_TYPE,0)),"-"))</f>
        <v/>
      </c>
      <c r="X473" s="24">
        <f>IF(AND($T473=1,$U473=0,N($N473)&gt;0),$N473+ROW()/1000000,"")</f>
        <v/>
      </c>
      <c r="Y473" s="24">
        <f>IF(AND($T473=1,$U473=0,OR($I473&lt;&gt;"",N($N473)&gt;0)),N($N473)+ROW()/1000000,"")</f>
        <v/>
      </c>
      <c r="Z473" s="24">
        <f>IF(AND($T473=1,$U473=0,$I473="",N($N473)&lt;=0,-N($N473)&lt;=HORIZON),N($N473)+ROW()/1000000,"")</f>
        <v/>
      </c>
    </row>
    <row r="474">
      <c r="A474" s="21" t="n"/>
      <c r="B474" s="21" t="n"/>
      <c r="C474" s="21" t="n"/>
      <c r="D474" s="21" t="n"/>
      <c r="E474" s="21" t="n"/>
      <c r="F474" s="21" t="n"/>
      <c r="G474" s="21" t="n"/>
      <c r="H474" s="21" t="n"/>
      <c r="I474" s="22" t="n"/>
      <c r="J474" s="22" t="n"/>
      <c r="K474" s="23">
        <f>IF($A474="","",IF($J474&lt;&gt;"",$J474,$S474))</f>
        <v/>
      </c>
      <c r="L474" s="24">
        <f>IF(OR($A474="",$E474=""),"",IF($J474&lt;&gt;"","Manual",IF($S474="","-","Auto")))</f>
        <v/>
      </c>
      <c r="M474" s="22" t="n"/>
      <c r="N474" s="25">
        <f>IF($T474=0,"",IF($U474=1,IF($M474="","",$M474-$K474),IF($K474="","",TODAY()-$K474)))</f>
        <v/>
      </c>
      <c r="O474" s="24">
        <f>IF(OR($A474="",$E474=""),"",IF($V474=1,S_INACT,IF(ISNA(MATCH($A474,TYP_TYPE,0)),S_TYPEKO,IF($U474=1,S_DONE,IF(AND($K474="",$R474=""),S_NOSCOPE,IF($K474="",S_NOTARGET,IF($N474&gt;0,S_LATE,IF($I474&lt;&gt;"",S_WIP,IF(-$N474&lt;=FEN_DOC,S_RISK,IF(-$N474&lt;=HORIZON,S_COMING,S_NOTYET))))))))))</f>
        <v/>
      </c>
      <c r="P474" s="24">
        <f>IF(OR($A474="",$E474=""),"",IF($V474=1,"",IF(ISNA(MATCH($A474,TYP_TYPE,0)),"Type not in the library",IF($B474="","Scope not set",IF(AND($B474="System",$C474=""),"System not set",IF(AND($B474="Equipment",$D474=""),"Equipment not set",IF($F474="","Responsible not set",IF($K474="","No target date",IF(AND($B474="Equipment",$C474&lt;&gt;"",IFERROR(INDEX(EQP_SYS,MATCH($D474,EQP_NOM,0)),"")&lt;&gt;$C474),"Equipment not in that system",IF(AND($U474=1,$M474=""),"Approved with no approval date",""))))))))))</f>
        <v/>
      </c>
      <c r="Q474" s="21" t="n"/>
      <c r="R474" s="23">
        <f>IF(OR($A474="",$B474=""),"",IF($B474="Equipment",IFERROR(INDEX(EQP_START,MATCH($D474,EQP_NOM,0)),""),IF($B474="System",IFERROR(INDEX(SYS_EARLIEST,MATCH($C474,SYS_ID,0)),""),IF($B474="All",CTR_EARLIEST,""))))</f>
        <v/>
      </c>
      <c r="S474" s="23">
        <f>IF(OR($A474="",$E474=""),"",IFERROR(IF(INDEX(TYP_ANCHOR,MATCH($A474,TYP_TYPE,0))="Commissioning Start",IF($R474="","",$R474-INDEX(TYP_LEAD,MATCH($A474,TYP_TYPE,0))),IF(INDEX(MS_PLAN,MATCH(INDEX(TYP_ANCHOR,MATCH($A474,TYP_TYPE,0)),MS_NOM,0))="","",INDEX(MS_PLAN,MATCH(INDEX(TYP_ANCHOR,MATCH($A474,TYP_TYPE,0)),MS_NOM,0))-INDEX(TYP_LEAD,MATCH($A474,TYP_TYPE,0)))),""))</f>
        <v/>
      </c>
      <c r="T474" s="26">
        <f>IF(OR($A474="",$E474=""),0,IF($V474=1,0,1))</f>
        <v/>
      </c>
      <c r="U474" s="26">
        <f>IF($T474=0,0,IF($M474&lt;&gt;"",1,IF(IFERROR(INDEX(WF_CLASS,MATCH($H474,WF_CODE,0)),"")="Done",1,0)))</f>
        <v/>
      </c>
      <c r="V474" s="26">
        <f>IF(OR($A474="",$E474=""),0,IF(IFERROR(INDEX(WF_CLASS,MATCH($H474,WF_CODE,0)),"")="Inactive",1,0))</f>
        <v/>
      </c>
      <c r="W474" s="24">
        <f>IF($A474="","",IFERROR(INDEX(TYP_PHASE,MATCH($A474,TYP_TYPE,0)),"-"))</f>
        <v/>
      </c>
      <c r="X474" s="24">
        <f>IF(AND($T474=1,$U474=0,N($N474)&gt;0),$N474+ROW()/1000000,"")</f>
        <v/>
      </c>
      <c r="Y474" s="24">
        <f>IF(AND($T474=1,$U474=0,OR($I474&lt;&gt;"",N($N474)&gt;0)),N($N474)+ROW()/1000000,"")</f>
        <v/>
      </c>
      <c r="Z474" s="24">
        <f>IF(AND($T474=1,$U474=0,$I474="",N($N474)&lt;=0,-N($N474)&lt;=HORIZON),N($N474)+ROW()/1000000,"")</f>
        <v/>
      </c>
    </row>
    <row r="475">
      <c r="A475" s="21" t="n"/>
      <c r="B475" s="21" t="n"/>
      <c r="C475" s="21" t="n"/>
      <c r="D475" s="21" t="n"/>
      <c r="E475" s="21" t="n"/>
      <c r="F475" s="21" t="n"/>
      <c r="G475" s="21" t="n"/>
      <c r="H475" s="21" t="n"/>
      <c r="I475" s="22" t="n"/>
      <c r="J475" s="22" t="n"/>
      <c r="K475" s="23">
        <f>IF($A475="","",IF($J475&lt;&gt;"",$J475,$S475))</f>
        <v/>
      </c>
      <c r="L475" s="24">
        <f>IF(OR($A475="",$E475=""),"",IF($J475&lt;&gt;"","Manual",IF($S475="","-","Auto")))</f>
        <v/>
      </c>
      <c r="M475" s="22" t="n"/>
      <c r="N475" s="25">
        <f>IF($T475=0,"",IF($U475=1,IF($M475="","",$M475-$K475),IF($K475="","",TODAY()-$K475)))</f>
        <v/>
      </c>
      <c r="O475" s="24">
        <f>IF(OR($A475="",$E475=""),"",IF($V475=1,S_INACT,IF(ISNA(MATCH($A475,TYP_TYPE,0)),S_TYPEKO,IF($U475=1,S_DONE,IF(AND($K475="",$R475=""),S_NOSCOPE,IF($K475="",S_NOTARGET,IF($N475&gt;0,S_LATE,IF($I475&lt;&gt;"",S_WIP,IF(-$N475&lt;=FEN_DOC,S_RISK,IF(-$N475&lt;=HORIZON,S_COMING,S_NOTYET))))))))))</f>
        <v/>
      </c>
      <c r="P475" s="24">
        <f>IF(OR($A475="",$E475=""),"",IF($V475=1,"",IF(ISNA(MATCH($A475,TYP_TYPE,0)),"Type not in the library",IF($B475="","Scope not set",IF(AND($B475="System",$C475=""),"System not set",IF(AND($B475="Equipment",$D475=""),"Equipment not set",IF($F475="","Responsible not set",IF($K475="","No target date",IF(AND($B475="Equipment",$C475&lt;&gt;"",IFERROR(INDEX(EQP_SYS,MATCH($D475,EQP_NOM,0)),"")&lt;&gt;$C475),"Equipment not in that system",IF(AND($U475=1,$M475=""),"Approved with no approval date",""))))))))))</f>
        <v/>
      </c>
      <c r="Q475" s="21" t="n"/>
      <c r="R475" s="23">
        <f>IF(OR($A475="",$B475=""),"",IF($B475="Equipment",IFERROR(INDEX(EQP_START,MATCH($D475,EQP_NOM,0)),""),IF($B475="System",IFERROR(INDEX(SYS_EARLIEST,MATCH($C475,SYS_ID,0)),""),IF($B475="All",CTR_EARLIEST,""))))</f>
        <v/>
      </c>
      <c r="S475" s="23">
        <f>IF(OR($A475="",$E475=""),"",IFERROR(IF(INDEX(TYP_ANCHOR,MATCH($A475,TYP_TYPE,0))="Commissioning Start",IF($R475="","",$R475-INDEX(TYP_LEAD,MATCH($A475,TYP_TYPE,0))),IF(INDEX(MS_PLAN,MATCH(INDEX(TYP_ANCHOR,MATCH($A475,TYP_TYPE,0)),MS_NOM,0))="","",INDEX(MS_PLAN,MATCH(INDEX(TYP_ANCHOR,MATCH($A475,TYP_TYPE,0)),MS_NOM,0))-INDEX(TYP_LEAD,MATCH($A475,TYP_TYPE,0)))),""))</f>
        <v/>
      </c>
      <c r="T475" s="26">
        <f>IF(OR($A475="",$E475=""),0,IF($V475=1,0,1))</f>
        <v/>
      </c>
      <c r="U475" s="26">
        <f>IF($T475=0,0,IF($M475&lt;&gt;"",1,IF(IFERROR(INDEX(WF_CLASS,MATCH($H475,WF_CODE,0)),"")="Done",1,0)))</f>
        <v/>
      </c>
      <c r="V475" s="26">
        <f>IF(OR($A475="",$E475=""),0,IF(IFERROR(INDEX(WF_CLASS,MATCH($H475,WF_CODE,0)),"")="Inactive",1,0))</f>
        <v/>
      </c>
      <c r="W475" s="24">
        <f>IF($A475="","",IFERROR(INDEX(TYP_PHASE,MATCH($A475,TYP_TYPE,0)),"-"))</f>
        <v/>
      </c>
      <c r="X475" s="24">
        <f>IF(AND($T475=1,$U475=0,N($N475)&gt;0),$N475+ROW()/1000000,"")</f>
        <v/>
      </c>
      <c r="Y475" s="24">
        <f>IF(AND($T475=1,$U475=0,OR($I475&lt;&gt;"",N($N475)&gt;0)),N($N475)+ROW()/1000000,"")</f>
        <v/>
      </c>
      <c r="Z475" s="24">
        <f>IF(AND($T475=1,$U475=0,$I475="",N($N475)&lt;=0,-N($N475)&lt;=HORIZON),N($N475)+ROW()/1000000,"")</f>
        <v/>
      </c>
    </row>
    <row r="476">
      <c r="A476" s="21" t="n"/>
      <c r="B476" s="21" t="n"/>
      <c r="C476" s="21" t="n"/>
      <c r="D476" s="21" t="n"/>
      <c r="E476" s="21" t="n"/>
      <c r="F476" s="21" t="n"/>
      <c r="G476" s="21" t="n"/>
      <c r="H476" s="21" t="n"/>
      <c r="I476" s="22" t="n"/>
      <c r="J476" s="22" t="n"/>
      <c r="K476" s="23">
        <f>IF($A476="","",IF($J476&lt;&gt;"",$J476,$S476))</f>
        <v/>
      </c>
      <c r="L476" s="24">
        <f>IF(OR($A476="",$E476=""),"",IF($J476&lt;&gt;"","Manual",IF($S476="","-","Auto")))</f>
        <v/>
      </c>
      <c r="M476" s="22" t="n"/>
      <c r="N476" s="25">
        <f>IF($T476=0,"",IF($U476=1,IF($M476="","",$M476-$K476),IF($K476="","",TODAY()-$K476)))</f>
        <v/>
      </c>
      <c r="O476" s="24">
        <f>IF(OR($A476="",$E476=""),"",IF($V476=1,S_INACT,IF(ISNA(MATCH($A476,TYP_TYPE,0)),S_TYPEKO,IF($U476=1,S_DONE,IF(AND($K476="",$R476=""),S_NOSCOPE,IF($K476="",S_NOTARGET,IF($N476&gt;0,S_LATE,IF($I476&lt;&gt;"",S_WIP,IF(-$N476&lt;=FEN_DOC,S_RISK,IF(-$N476&lt;=HORIZON,S_COMING,S_NOTYET))))))))))</f>
        <v/>
      </c>
      <c r="P476" s="24">
        <f>IF(OR($A476="",$E476=""),"",IF($V476=1,"",IF(ISNA(MATCH($A476,TYP_TYPE,0)),"Type not in the library",IF($B476="","Scope not set",IF(AND($B476="System",$C476=""),"System not set",IF(AND($B476="Equipment",$D476=""),"Equipment not set",IF($F476="","Responsible not set",IF($K476="","No target date",IF(AND($B476="Equipment",$C476&lt;&gt;"",IFERROR(INDEX(EQP_SYS,MATCH($D476,EQP_NOM,0)),"")&lt;&gt;$C476),"Equipment not in that system",IF(AND($U476=1,$M476=""),"Approved with no approval date",""))))))))))</f>
        <v/>
      </c>
      <c r="Q476" s="21" t="n"/>
      <c r="R476" s="23">
        <f>IF(OR($A476="",$B476=""),"",IF($B476="Equipment",IFERROR(INDEX(EQP_START,MATCH($D476,EQP_NOM,0)),""),IF($B476="System",IFERROR(INDEX(SYS_EARLIEST,MATCH($C476,SYS_ID,0)),""),IF($B476="All",CTR_EARLIEST,""))))</f>
        <v/>
      </c>
      <c r="S476" s="23">
        <f>IF(OR($A476="",$E476=""),"",IFERROR(IF(INDEX(TYP_ANCHOR,MATCH($A476,TYP_TYPE,0))="Commissioning Start",IF($R476="","",$R476-INDEX(TYP_LEAD,MATCH($A476,TYP_TYPE,0))),IF(INDEX(MS_PLAN,MATCH(INDEX(TYP_ANCHOR,MATCH($A476,TYP_TYPE,0)),MS_NOM,0))="","",INDEX(MS_PLAN,MATCH(INDEX(TYP_ANCHOR,MATCH($A476,TYP_TYPE,0)),MS_NOM,0))-INDEX(TYP_LEAD,MATCH($A476,TYP_TYPE,0)))),""))</f>
        <v/>
      </c>
      <c r="T476" s="26">
        <f>IF(OR($A476="",$E476=""),0,IF($V476=1,0,1))</f>
        <v/>
      </c>
      <c r="U476" s="26">
        <f>IF($T476=0,0,IF($M476&lt;&gt;"",1,IF(IFERROR(INDEX(WF_CLASS,MATCH($H476,WF_CODE,0)),"")="Done",1,0)))</f>
        <v/>
      </c>
      <c r="V476" s="26">
        <f>IF(OR($A476="",$E476=""),0,IF(IFERROR(INDEX(WF_CLASS,MATCH($H476,WF_CODE,0)),"")="Inactive",1,0))</f>
        <v/>
      </c>
      <c r="W476" s="24">
        <f>IF($A476="","",IFERROR(INDEX(TYP_PHASE,MATCH($A476,TYP_TYPE,0)),"-"))</f>
        <v/>
      </c>
      <c r="X476" s="24">
        <f>IF(AND($T476=1,$U476=0,N($N476)&gt;0),$N476+ROW()/1000000,"")</f>
        <v/>
      </c>
      <c r="Y476" s="24">
        <f>IF(AND($T476=1,$U476=0,OR($I476&lt;&gt;"",N($N476)&gt;0)),N($N476)+ROW()/1000000,"")</f>
        <v/>
      </c>
      <c r="Z476" s="24">
        <f>IF(AND($T476=1,$U476=0,$I476="",N($N476)&lt;=0,-N($N476)&lt;=HORIZON),N($N476)+ROW()/1000000,"")</f>
        <v/>
      </c>
    </row>
    <row r="477">
      <c r="A477" s="21" t="n"/>
      <c r="B477" s="21" t="n"/>
      <c r="C477" s="21" t="n"/>
      <c r="D477" s="21" t="n"/>
      <c r="E477" s="21" t="n"/>
      <c r="F477" s="21" t="n"/>
      <c r="G477" s="21" t="n"/>
      <c r="H477" s="21" t="n"/>
      <c r="I477" s="22" t="n"/>
      <c r="J477" s="22" t="n"/>
      <c r="K477" s="23">
        <f>IF($A477="","",IF($J477&lt;&gt;"",$J477,$S477))</f>
        <v/>
      </c>
      <c r="L477" s="24">
        <f>IF(OR($A477="",$E477=""),"",IF($J477&lt;&gt;"","Manual",IF($S477="","-","Auto")))</f>
        <v/>
      </c>
      <c r="M477" s="22" t="n"/>
      <c r="N477" s="25">
        <f>IF($T477=0,"",IF($U477=1,IF($M477="","",$M477-$K477),IF($K477="","",TODAY()-$K477)))</f>
        <v/>
      </c>
      <c r="O477" s="24">
        <f>IF(OR($A477="",$E477=""),"",IF($V477=1,S_INACT,IF(ISNA(MATCH($A477,TYP_TYPE,0)),S_TYPEKO,IF($U477=1,S_DONE,IF(AND($K477="",$R477=""),S_NOSCOPE,IF($K477="",S_NOTARGET,IF($N477&gt;0,S_LATE,IF($I477&lt;&gt;"",S_WIP,IF(-$N477&lt;=FEN_DOC,S_RISK,IF(-$N477&lt;=HORIZON,S_COMING,S_NOTYET))))))))))</f>
        <v/>
      </c>
      <c r="P477" s="24">
        <f>IF(OR($A477="",$E477=""),"",IF($V477=1,"",IF(ISNA(MATCH($A477,TYP_TYPE,0)),"Type not in the library",IF($B477="","Scope not set",IF(AND($B477="System",$C477=""),"System not set",IF(AND($B477="Equipment",$D477=""),"Equipment not set",IF($F477="","Responsible not set",IF($K477="","No target date",IF(AND($B477="Equipment",$C477&lt;&gt;"",IFERROR(INDEX(EQP_SYS,MATCH($D477,EQP_NOM,0)),"")&lt;&gt;$C477),"Equipment not in that system",IF(AND($U477=1,$M477=""),"Approved with no approval date",""))))))))))</f>
        <v/>
      </c>
      <c r="Q477" s="21" t="n"/>
      <c r="R477" s="23">
        <f>IF(OR($A477="",$B477=""),"",IF($B477="Equipment",IFERROR(INDEX(EQP_START,MATCH($D477,EQP_NOM,0)),""),IF($B477="System",IFERROR(INDEX(SYS_EARLIEST,MATCH($C477,SYS_ID,0)),""),IF($B477="All",CTR_EARLIEST,""))))</f>
        <v/>
      </c>
      <c r="S477" s="23">
        <f>IF(OR($A477="",$E477=""),"",IFERROR(IF(INDEX(TYP_ANCHOR,MATCH($A477,TYP_TYPE,0))="Commissioning Start",IF($R477="","",$R477-INDEX(TYP_LEAD,MATCH($A477,TYP_TYPE,0))),IF(INDEX(MS_PLAN,MATCH(INDEX(TYP_ANCHOR,MATCH($A477,TYP_TYPE,0)),MS_NOM,0))="","",INDEX(MS_PLAN,MATCH(INDEX(TYP_ANCHOR,MATCH($A477,TYP_TYPE,0)),MS_NOM,0))-INDEX(TYP_LEAD,MATCH($A477,TYP_TYPE,0)))),""))</f>
        <v/>
      </c>
      <c r="T477" s="26">
        <f>IF(OR($A477="",$E477=""),0,IF($V477=1,0,1))</f>
        <v/>
      </c>
      <c r="U477" s="26">
        <f>IF($T477=0,0,IF($M477&lt;&gt;"",1,IF(IFERROR(INDEX(WF_CLASS,MATCH($H477,WF_CODE,0)),"")="Done",1,0)))</f>
        <v/>
      </c>
      <c r="V477" s="26">
        <f>IF(OR($A477="",$E477=""),0,IF(IFERROR(INDEX(WF_CLASS,MATCH($H477,WF_CODE,0)),"")="Inactive",1,0))</f>
        <v/>
      </c>
      <c r="W477" s="24">
        <f>IF($A477="","",IFERROR(INDEX(TYP_PHASE,MATCH($A477,TYP_TYPE,0)),"-"))</f>
        <v/>
      </c>
      <c r="X477" s="24">
        <f>IF(AND($T477=1,$U477=0,N($N477)&gt;0),$N477+ROW()/1000000,"")</f>
        <v/>
      </c>
      <c r="Y477" s="24">
        <f>IF(AND($T477=1,$U477=0,OR($I477&lt;&gt;"",N($N477)&gt;0)),N($N477)+ROW()/1000000,"")</f>
        <v/>
      </c>
      <c r="Z477" s="24">
        <f>IF(AND($T477=1,$U477=0,$I477="",N($N477)&lt;=0,-N($N477)&lt;=HORIZON),N($N477)+ROW()/1000000,"")</f>
        <v/>
      </c>
    </row>
    <row r="478">
      <c r="A478" s="21" t="n"/>
      <c r="B478" s="21" t="n"/>
      <c r="C478" s="21" t="n"/>
      <c r="D478" s="21" t="n"/>
      <c r="E478" s="21" t="n"/>
      <c r="F478" s="21" t="n"/>
      <c r="G478" s="21" t="n"/>
      <c r="H478" s="21" t="n"/>
      <c r="I478" s="22" t="n"/>
      <c r="J478" s="22" t="n"/>
      <c r="K478" s="23">
        <f>IF($A478="","",IF($J478&lt;&gt;"",$J478,$S478))</f>
        <v/>
      </c>
      <c r="L478" s="24">
        <f>IF(OR($A478="",$E478=""),"",IF($J478&lt;&gt;"","Manual",IF($S478="","-","Auto")))</f>
        <v/>
      </c>
      <c r="M478" s="22" t="n"/>
      <c r="N478" s="25">
        <f>IF($T478=0,"",IF($U478=1,IF($M478="","",$M478-$K478),IF($K478="","",TODAY()-$K478)))</f>
        <v/>
      </c>
      <c r="O478" s="24">
        <f>IF(OR($A478="",$E478=""),"",IF($V478=1,S_INACT,IF(ISNA(MATCH($A478,TYP_TYPE,0)),S_TYPEKO,IF($U478=1,S_DONE,IF(AND($K478="",$R478=""),S_NOSCOPE,IF($K478="",S_NOTARGET,IF($N478&gt;0,S_LATE,IF($I478&lt;&gt;"",S_WIP,IF(-$N478&lt;=FEN_DOC,S_RISK,IF(-$N478&lt;=HORIZON,S_COMING,S_NOTYET))))))))))</f>
        <v/>
      </c>
      <c r="P478" s="24">
        <f>IF(OR($A478="",$E478=""),"",IF($V478=1,"",IF(ISNA(MATCH($A478,TYP_TYPE,0)),"Type not in the library",IF($B478="","Scope not set",IF(AND($B478="System",$C478=""),"System not set",IF(AND($B478="Equipment",$D478=""),"Equipment not set",IF($F478="","Responsible not set",IF($K478="","No target date",IF(AND($B478="Equipment",$C478&lt;&gt;"",IFERROR(INDEX(EQP_SYS,MATCH($D478,EQP_NOM,0)),"")&lt;&gt;$C478),"Equipment not in that system",IF(AND($U478=1,$M478=""),"Approved with no approval date",""))))))))))</f>
        <v/>
      </c>
      <c r="Q478" s="21" t="n"/>
      <c r="R478" s="23">
        <f>IF(OR($A478="",$B478=""),"",IF($B478="Equipment",IFERROR(INDEX(EQP_START,MATCH($D478,EQP_NOM,0)),""),IF($B478="System",IFERROR(INDEX(SYS_EARLIEST,MATCH($C478,SYS_ID,0)),""),IF($B478="All",CTR_EARLIEST,""))))</f>
        <v/>
      </c>
      <c r="S478" s="23">
        <f>IF(OR($A478="",$E478=""),"",IFERROR(IF(INDEX(TYP_ANCHOR,MATCH($A478,TYP_TYPE,0))="Commissioning Start",IF($R478="","",$R478-INDEX(TYP_LEAD,MATCH($A478,TYP_TYPE,0))),IF(INDEX(MS_PLAN,MATCH(INDEX(TYP_ANCHOR,MATCH($A478,TYP_TYPE,0)),MS_NOM,0))="","",INDEX(MS_PLAN,MATCH(INDEX(TYP_ANCHOR,MATCH($A478,TYP_TYPE,0)),MS_NOM,0))-INDEX(TYP_LEAD,MATCH($A478,TYP_TYPE,0)))),""))</f>
        <v/>
      </c>
      <c r="T478" s="26">
        <f>IF(OR($A478="",$E478=""),0,IF($V478=1,0,1))</f>
        <v/>
      </c>
      <c r="U478" s="26">
        <f>IF($T478=0,0,IF($M478&lt;&gt;"",1,IF(IFERROR(INDEX(WF_CLASS,MATCH($H478,WF_CODE,0)),"")="Done",1,0)))</f>
        <v/>
      </c>
      <c r="V478" s="26">
        <f>IF(OR($A478="",$E478=""),0,IF(IFERROR(INDEX(WF_CLASS,MATCH($H478,WF_CODE,0)),"")="Inactive",1,0))</f>
        <v/>
      </c>
      <c r="W478" s="24">
        <f>IF($A478="","",IFERROR(INDEX(TYP_PHASE,MATCH($A478,TYP_TYPE,0)),"-"))</f>
        <v/>
      </c>
      <c r="X478" s="24">
        <f>IF(AND($T478=1,$U478=0,N($N478)&gt;0),$N478+ROW()/1000000,"")</f>
        <v/>
      </c>
      <c r="Y478" s="24">
        <f>IF(AND($T478=1,$U478=0,OR($I478&lt;&gt;"",N($N478)&gt;0)),N($N478)+ROW()/1000000,"")</f>
        <v/>
      </c>
      <c r="Z478" s="24">
        <f>IF(AND($T478=1,$U478=0,$I478="",N($N478)&lt;=0,-N($N478)&lt;=HORIZON),N($N478)+ROW()/1000000,"")</f>
        <v/>
      </c>
    </row>
    <row r="479">
      <c r="A479" s="21" t="n"/>
      <c r="B479" s="21" t="n"/>
      <c r="C479" s="21" t="n"/>
      <c r="D479" s="21" t="n"/>
      <c r="E479" s="21" t="n"/>
      <c r="F479" s="21" t="n"/>
      <c r="G479" s="21" t="n"/>
      <c r="H479" s="21" t="n"/>
      <c r="I479" s="22" t="n"/>
      <c r="J479" s="22" t="n"/>
      <c r="K479" s="23">
        <f>IF($A479="","",IF($J479&lt;&gt;"",$J479,$S479))</f>
        <v/>
      </c>
      <c r="L479" s="24">
        <f>IF(OR($A479="",$E479=""),"",IF($J479&lt;&gt;"","Manual",IF($S479="","-","Auto")))</f>
        <v/>
      </c>
      <c r="M479" s="22" t="n"/>
      <c r="N479" s="25">
        <f>IF($T479=0,"",IF($U479=1,IF($M479="","",$M479-$K479),IF($K479="","",TODAY()-$K479)))</f>
        <v/>
      </c>
      <c r="O479" s="24">
        <f>IF(OR($A479="",$E479=""),"",IF($V479=1,S_INACT,IF(ISNA(MATCH($A479,TYP_TYPE,0)),S_TYPEKO,IF($U479=1,S_DONE,IF(AND($K479="",$R479=""),S_NOSCOPE,IF($K479="",S_NOTARGET,IF($N479&gt;0,S_LATE,IF($I479&lt;&gt;"",S_WIP,IF(-$N479&lt;=FEN_DOC,S_RISK,IF(-$N479&lt;=HORIZON,S_COMING,S_NOTYET))))))))))</f>
        <v/>
      </c>
      <c r="P479" s="24">
        <f>IF(OR($A479="",$E479=""),"",IF($V479=1,"",IF(ISNA(MATCH($A479,TYP_TYPE,0)),"Type not in the library",IF($B479="","Scope not set",IF(AND($B479="System",$C479=""),"System not set",IF(AND($B479="Equipment",$D479=""),"Equipment not set",IF($F479="","Responsible not set",IF($K479="","No target date",IF(AND($B479="Equipment",$C479&lt;&gt;"",IFERROR(INDEX(EQP_SYS,MATCH($D479,EQP_NOM,0)),"")&lt;&gt;$C479),"Equipment not in that system",IF(AND($U479=1,$M479=""),"Approved with no approval date",""))))))))))</f>
        <v/>
      </c>
      <c r="Q479" s="21" t="n"/>
      <c r="R479" s="23">
        <f>IF(OR($A479="",$B479=""),"",IF($B479="Equipment",IFERROR(INDEX(EQP_START,MATCH($D479,EQP_NOM,0)),""),IF($B479="System",IFERROR(INDEX(SYS_EARLIEST,MATCH($C479,SYS_ID,0)),""),IF($B479="All",CTR_EARLIEST,""))))</f>
        <v/>
      </c>
      <c r="S479" s="23">
        <f>IF(OR($A479="",$E479=""),"",IFERROR(IF(INDEX(TYP_ANCHOR,MATCH($A479,TYP_TYPE,0))="Commissioning Start",IF($R479="","",$R479-INDEX(TYP_LEAD,MATCH($A479,TYP_TYPE,0))),IF(INDEX(MS_PLAN,MATCH(INDEX(TYP_ANCHOR,MATCH($A479,TYP_TYPE,0)),MS_NOM,0))="","",INDEX(MS_PLAN,MATCH(INDEX(TYP_ANCHOR,MATCH($A479,TYP_TYPE,0)),MS_NOM,0))-INDEX(TYP_LEAD,MATCH($A479,TYP_TYPE,0)))),""))</f>
        <v/>
      </c>
      <c r="T479" s="26">
        <f>IF(OR($A479="",$E479=""),0,IF($V479=1,0,1))</f>
        <v/>
      </c>
      <c r="U479" s="26">
        <f>IF($T479=0,0,IF($M479&lt;&gt;"",1,IF(IFERROR(INDEX(WF_CLASS,MATCH($H479,WF_CODE,0)),"")="Done",1,0)))</f>
        <v/>
      </c>
      <c r="V479" s="26">
        <f>IF(OR($A479="",$E479=""),0,IF(IFERROR(INDEX(WF_CLASS,MATCH($H479,WF_CODE,0)),"")="Inactive",1,0))</f>
        <v/>
      </c>
      <c r="W479" s="24">
        <f>IF($A479="","",IFERROR(INDEX(TYP_PHASE,MATCH($A479,TYP_TYPE,0)),"-"))</f>
        <v/>
      </c>
      <c r="X479" s="24">
        <f>IF(AND($T479=1,$U479=0,N($N479)&gt;0),$N479+ROW()/1000000,"")</f>
        <v/>
      </c>
      <c r="Y479" s="24">
        <f>IF(AND($T479=1,$U479=0,OR($I479&lt;&gt;"",N($N479)&gt;0)),N($N479)+ROW()/1000000,"")</f>
        <v/>
      </c>
      <c r="Z479" s="24">
        <f>IF(AND($T479=1,$U479=0,$I479="",N($N479)&lt;=0,-N($N479)&lt;=HORIZON),N($N479)+ROW()/1000000,"")</f>
        <v/>
      </c>
    </row>
    <row r="480">
      <c r="A480" s="21" t="n"/>
      <c r="B480" s="21" t="n"/>
      <c r="C480" s="21" t="n"/>
      <c r="D480" s="21" t="n"/>
      <c r="E480" s="21" t="n"/>
      <c r="F480" s="21" t="n"/>
      <c r="G480" s="21" t="n"/>
      <c r="H480" s="21" t="n"/>
      <c r="I480" s="22" t="n"/>
      <c r="J480" s="22" t="n"/>
      <c r="K480" s="23">
        <f>IF($A480="","",IF($J480&lt;&gt;"",$J480,$S480))</f>
        <v/>
      </c>
      <c r="L480" s="24">
        <f>IF(OR($A480="",$E480=""),"",IF($J480&lt;&gt;"","Manual",IF($S480="","-","Auto")))</f>
        <v/>
      </c>
      <c r="M480" s="22" t="n"/>
      <c r="N480" s="25">
        <f>IF($T480=0,"",IF($U480=1,IF($M480="","",$M480-$K480),IF($K480="","",TODAY()-$K480)))</f>
        <v/>
      </c>
      <c r="O480" s="24">
        <f>IF(OR($A480="",$E480=""),"",IF($V480=1,S_INACT,IF(ISNA(MATCH($A480,TYP_TYPE,0)),S_TYPEKO,IF($U480=1,S_DONE,IF(AND($K480="",$R480=""),S_NOSCOPE,IF($K480="",S_NOTARGET,IF($N480&gt;0,S_LATE,IF($I480&lt;&gt;"",S_WIP,IF(-$N480&lt;=FEN_DOC,S_RISK,IF(-$N480&lt;=HORIZON,S_COMING,S_NOTYET))))))))))</f>
        <v/>
      </c>
      <c r="P480" s="24">
        <f>IF(OR($A480="",$E480=""),"",IF($V480=1,"",IF(ISNA(MATCH($A480,TYP_TYPE,0)),"Type not in the library",IF($B480="","Scope not set",IF(AND($B480="System",$C480=""),"System not set",IF(AND($B480="Equipment",$D480=""),"Equipment not set",IF($F480="","Responsible not set",IF($K480="","No target date",IF(AND($B480="Equipment",$C480&lt;&gt;"",IFERROR(INDEX(EQP_SYS,MATCH($D480,EQP_NOM,0)),"")&lt;&gt;$C480),"Equipment not in that system",IF(AND($U480=1,$M480=""),"Approved with no approval date",""))))))))))</f>
        <v/>
      </c>
      <c r="Q480" s="21" t="n"/>
      <c r="R480" s="23">
        <f>IF(OR($A480="",$B480=""),"",IF($B480="Equipment",IFERROR(INDEX(EQP_START,MATCH($D480,EQP_NOM,0)),""),IF($B480="System",IFERROR(INDEX(SYS_EARLIEST,MATCH($C480,SYS_ID,0)),""),IF($B480="All",CTR_EARLIEST,""))))</f>
        <v/>
      </c>
      <c r="S480" s="23">
        <f>IF(OR($A480="",$E480=""),"",IFERROR(IF(INDEX(TYP_ANCHOR,MATCH($A480,TYP_TYPE,0))="Commissioning Start",IF($R480="","",$R480-INDEX(TYP_LEAD,MATCH($A480,TYP_TYPE,0))),IF(INDEX(MS_PLAN,MATCH(INDEX(TYP_ANCHOR,MATCH($A480,TYP_TYPE,0)),MS_NOM,0))="","",INDEX(MS_PLAN,MATCH(INDEX(TYP_ANCHOR,MATCH($A480,TYP_TYPE,0)),MS_NOM,0))-INDEX(TYP_LEAD,MATCH($A480,TYP_TYPE,0)))),""))</f>
        <v/>
      </c>
      <c r="T480" s="26">
        <f>IF(OR($A480="",$E480=""),0,IF($V480=1,0,1))</f>
        <v/>
      </c>
      <c r="U480" s="26">
        <f>IF($T480=0,0,IF($M480&lt;&gt;"",1,IF(IFERROR(INDEX(WF_CLASS,MATCH($H480,WF_CODE,0)),"")="Done",1,0)))</f>
        <v/>
      </c>
      <c r="V480" s="26">
        <f>IF(OR($A480="",$E480=""),0,IF(IFERROR(INDEX(WF_CLASS,MATCH($H480,WF_CODE,0)),"")="Inactive",1,0))</f>
        <v/>
      </c>
      <c r="W480" s="24">
        <f>IF($A480="","",IFERROR(INDEX(TYP_PHASE,MATCH($A480,TYP_TYPE,0)),"-"))</f>
        <v/>
      </c>
      <c r="X480" s="24">
        <f>IF(AND($T480=1,$U480=0,N($N480)&gt;0),$N480+ROW()/1000000,"")</f>
        <v/>
      </c>
      <c r="Y480" s="24">
        <f>IF(AND($T480=1,$U480=0,OR($I480&lt;&gt;"",N($N480)&gt;0)),N($N480)+ROW()/1000000,"")</f>
        <v/>
      </c>
      <c r="Z480" s="24">
        <f>IF(AND($T480=1,$U480=0,$I480="",N($N480)&lt;=0,-N($N480)&lt;=HORIZON),N($N480)+ROW()/1000000,"")</f>
        <v/>
      </c>
    </row>
    <row r="481">
      <c r="A481" s="21" t="n"/>
      <c r="B481" s="21" t="n"/>
      <c r="C481" s="21" t="n"/>
      <c r="D481" s="21" t="n"/>
      <c r="E481" s="21" t="n"/>
      <c r="F481" s="21" t="n"/>
      <c r="G481" s="21" t="n"/>
      <c r="H481" s="21" t="n"/>
      <c r="I481" s="22" t="n"/>
      <c r="J481" s="22" t="n"/>
      <c r="K481" s="23">
        <f>IF($A481="","",IF($J481&lt;&gt;"",$J481,$S481))</f>
        <v/>
      </c>
      <c r="L481" s="24">
        <f>IF(OR($A481="",$E481=""),"",IF($J481&lt;&gt;"","Manual",IF($S481="","-","Auto")))</f>
        <v/>
      </c>
      <c r="M481" s="22" t="n"/>
      <c r="N481" s="25">
        <f>IF($T481=0,"",IF($U481=1,IF($M481="","",$M481-$K481),IF($K481="","",TODAY()-$K481)))</f>
        <v/>
      </c>
      <c r="O481" s="24">
        <f>IF(OR($A481="",$E481=""),"",IF($V481=1,S_INACT,IF(ISNA(MATCH($A481,TYP_TYPE,0)),S_TYPEKO,IF($U481=1,S_DONE,IF(AND($K481="",$R481=""),S_NOSCOPE,IF($K481="",S_NOTARGET,IF($N481&gt;0,S_LATE,IF($I481&lt;&gt;"",S_WIP,IF(-$N481&lt;=FEN_DOC,S_RISK,IF(-$N481&lt;=HORIZON,S_COMING,S_NOTYET))))))))))</f>
        <v/>
      </c>
      <c r="P481" s="24">
        <f>IF(OR($A481="",$E481=""),"",IF($V481=1,"",IF(ISNA(MATCH($A481,TYP_TYPE,0)),"Type not in the library",IF($B481="","Scope not set",IF(AND($B481="System",$C481=""),"System not set",IF(AND($B481="Equipment",$D481=""),"Equipment not set",IF($F481="","Responsible not set",IF($K481="","No target date",IF(AND($B481="Equipment",$C481&lt;&gt;"",IFERROR(INDEX(EQP_SYS,MATCH($D481,EQP_NOM,0)),"")&lt;&gt;$C481),"Equipment not in that system",IF(AND($U481=1,$M481=""),"Approved with no approval date",""))))))))))</f>
        <v/>
      </c>
      <c r="Q481" s="21" t="n"/>
      <c r="R481" s="23">
        <f>IF(OR($A481="",$B481=""),"",IF($B481="Equipment",IFERROR(INDEX(EQP_START,MATCH($D481,EQP_NOM,0)),""),IF($B481="System",IFERROR(INDEX(SYS_EARLIEST,MATCH($C481,SYS_ID,0)),""),IF($B481="All",CTR_EARLIEST,""))))</f>
        <v/>
      </c>
      <c r="S481" s="23">
        <f>IF(OR($A481="",$E481=""),"",IFERROR(IF(INDEX(TYP_ANCHOR,MATCH($A481,TYP_TYPE,0))="Commissioning Start",IF($R481="","",$R481-INDEX(TYP_LEAD,MATCH($A481,TYP_TYPE,0))),IF(INDEX(MS_PLAN,MATCH(INDEX(TYP_ANCHOR,MATCH($A481,TYP_TYPE,0)),MS_NOM,0))="","",INDEX(MS_PLAN,MATCH(INDEX(TYP_ANCHOR,MATCH($A481,TYP_TYPE,0)),MS_NOM,0))-INDEX(TYP_LEAD,MATCH($A481,TYP_TYPE,0)))),""))</f>
        <v/>
      </c>
      <c r="T481" s="26">
        <f>IF(OR($A481="",$E481=""),0,IF($V481=1,0,1))</f>
        <v/>
      </c>
      <c r="U481" s="26">
        <f>IF($T481=0,0,IF($M481&lt;&gt;"",1,IF(IFERROR(INDEX(WF_CLASS,MATCH($H481,WF_CODE,0)),"")="Done",1,0)))</f>
        <v/>
      </c>
      <c r="V481" s="26">
        <f>IF(OR($A481="",$E481=""),0,IF(IFERROR(INDEX(WF_CLASS,MATCH($H481,WF_CODE,0)),"")="Inactive",1,0))</f>
        <v/>
      </c>
      <c r="W481" s="24">
        <f>IF($A481="","",IFERROR(INDEX(TYP_PHASE,MATCH($A481,TYP_TYPE,0)),"-"))</f>
        <v/>
      </c>
      <c r="X481" s="24">
        <f>IF(AND($T481=1,$U481=0,N($N481)&gt;0),$N481+ROW()/1000000,"")</f>
        <v/>
      </c>
      <c r="Y481" s="24">
        <f>IF(AND($T481=1,$U481=0,OR($I481&lt;&gt;"",N($N481)&gt;0)),N($N481)+ROW()/1000000,"")</f>
        <v/>
      </c>
      <c r="Z481" s="24">
        <f>IF(AND($T481=1,$U481=0,$I481="",N($N481)&lt;=0,-N($N481)&lt;=HORIZON),N($N481)+ROW()/1000000,"")</f>
        <v/>
      </c>
    </row>
    <row r="482">
      <c r="A482" s="21" t="n"/>
      <c r="B482" s="21" t="n"/>
      <c r="C482" s="21" t="n"/>
      <c r="D482" s="21" t="n"/>
      <c r="E482" s="21" t="n"/>
      <c r="F482" s="21" t="n"/>
      <c r="G482" s="21" t="n"/>
      <c r="H482" s="21" t="n"/>
      <c r="I482" s="22" t="n"/>
      <c r="J482" s="22" t="n"/>
      <c r="K482" s="23">
        <f>IF($A482="","",IF($J482&lt;&gt;"",$J482,$S482))</f>
        <v/>
      </c>
      <c r="L482" s="24">
        <f>IF(OR($A482="",$E482=""),"",IF($J482&lt;&gt;"","Manual",IF($S482="","-","Auto")))</f>
        <v/>
      </c>
      <c r="M482" s="22" t="n"/>
      <c r="N482" s="25">
        <f>IF($T482=0,"",IF($U482=1,IF($M482="","",$M482-$K482),IF($K482="","",TODAY()-$K482)))</f>
        <v/>
      </c>
      <c r="O482" s="24">
        <f>IF(OR($A482="",$E482=""),"",IF($V482=1,S_INACT,IF(ISNA(MATCH($A482,TYP_TYPE,0)),S_TYPEKO,IF($U482=1,S_DONE,IF(AND($K482="",$R482=""),S_NOSCOPE,IF($K482="",S_NOTARGET,IF($N482&gt;0,S_LATE,IF($I482&lt;&gt;"",S_WIP,IF(-$N482&lt;=FEN_DOC,S_RISK,IF(-$N482&lt;=HORIZON,S_COMING,S_NOTYET))))))))))</f>
        <v/>
      </c>
      <c r="P482" s="24">
        <f>IF(OR($A482="",$E482=""),"",IF($V482=1,"",IF(ISNA(MATCH($A482,TYP_TYPE,0)),"Type not in the library",IF($B482="","Scope not set",IF(AND($B482="System",$C482=""),"System not set",IF(AND($B482="Equipment",$D482=""),"Equipment not set",IF($F482="","Responsible not set",IF($K482="","No target date",IF(AND($B482="Equipment",$C482&lt;&gt;"",IFERROR(INDEX(EQP_SYS,MATCH($D482,EQP_NOM,0)),"")&lt;&gt;$C482),"Equipment not in that system",IF(AND($U482=1,$M482=""),"Approved with no approval date",""))))))))))</f>
        <v/>
      </c>
      <c r="Q482" s="21" t="n"/>
      <c r="R482" s="23">
        <f>IF(OR($A482="",$B482=""),"",IF($B482="Equipment",IFERROR(INDEX(EQP_START,MATCH($D482,EQP_NOM,0)),""),IF($B482="System",IFERROR(INDEX(SYS_EARLIEST,MATCH($C482,SYS_ID,0)),""),IF($B482="All",CTR_EARLIEST,""))))</f>
        <v/>
      </c>
      <c r="S482" s="23">
        <f>IF(OR($A482="",$E482=""),"",IFERROR(IF(INDEX(TYP_ANCHOR,MATCH($A482,TYP_TYPE,0))="Commissioning Start",IF($R482="","",$R482-INDEX(TYP_LEAD,MATCH($A482,TYP_TYPE,0))),IF(INDEX(MS_PLAN,MATCH(INDEX(TYP_ANCHOR,MATCH($A482,TYP_TYPE,0)),MS_NOM,0))="","",INDEX(MS_PLAN,MATCH(INDEX(TYP_ANCHOR,MATCH($A482,TYP_TYPE,0)),MS_NOM,0))-INDEX(TYP_LEAD,MATCH($A482,TYP_TYPE,0)))),""))</f>
        <v/>
      </c>
      <c r="T482" s="26">
        <f>IF(OR($A482="",$E482=""),0,IF($V482=1,0,1))</f>
        <v/>
      </c>
      <c r="U482" s="26">
        <f>IF($T482=0,0,IF($M482&lt;&gt;"",1,IF(IFERROR(INDEX(WF_CLASS,MATCH($H482,WF_CODE,0)),"")="Done",1,0)))</f>
        <v/>
      </c>
      <c r="V482" s="26">
        <f>IF(OR($A482="",$E482=""),0,IF(IFERROR(INDEX(WF_CLASS,MATCH($H482,WF_CODE,0)),"")="Inactive",1,0))</f>
        <v/>
      </c>
      <c r="W482" s="24">
        <f>IF($A482="","",IFERROR(INDEX(TYP_PHASE,MATCH($A482,TYP_TYPE,0)),"-"))</f>
        <v/>
      </c>
      <c r="X482" s="24">
        <f>IF(AND($T482=1,$U482=0,N($N482)&gt;0),$N482+ROW()/1000000,"")</f>
        <v/>
      </c>
      <c r="Y482" s="24">
        <f>IF(AND($T482=1,$U482=0,OR($I482&lt;&gt;"",N($N482)&gt;0)),N($N482)+ROW()/1000000,"")</f>
        <v/>
      </c>
      <c r="Z482" s="24">
        <f>IF(AND($T482=1,$U482=0,$I482="",N($N482)&lt;=0,-N($N482)&lt;=HORIZON),N($N482)+ROW()/1000000,"")</f>
        <v/>
      </c>
    </row>
    <row r="483">
      <c r="A483" s="21" t="n"/>
      <c r="B483" s="21" t="n"/>
      <c r="C483" s="21" t="n"/>
      <c r="D483" s="21" t="n"/>
      <c r="E483" s="21" t="n"/>
      <c r="F483" s="21" t="n"/>
      <c r="G483" s="21" t="n"/>
      <c r="H483" s="21" t="n"/>
      <c r="I483" s="22" t="n"/>
      <c r="J483" s="22" t="n"/>
      <c r="K483" s="23">
        <f>IF($A483="","",IF($J483&lt;&gt;"",$J483,$S483))</f>
        <v/>
      </c>
      <c r="L483" s="24">
        <f>IF(OR($A483="",$E483=""),"",IF($J483&lt;&gt;"","Manual",IF($S483="","-","Auto")))</f>
        <v/>
      </c>
      <c r="M483" s="22" t="n"/>
      <c r="N483" s="25">
        <f>IF($T483=0,"",IF($U483=1,IF($M483="","",$M483-$K483),IF($K483="","",TODAY()-$K483)))</f>
        <v/>
      </c>
      <c r="O483" s="24">
        <f>IF(OR($A483="",$E483=""),"",IF($V483=1,S_INACT,IF(ISNA(MATCH($A483,TYP_TYPE,0)),S_TYPEKO,IF($U483=1,S_DONE,IF(AND($K483="",$R483=""),S_NOSCOPE,IF($K483="",S_NOTARGET,IF($N483&gt;0,S_LATE,IF($I483&lt;&gt;"",S_WIP,IF(-$N483&lt;=FEN_DOC,S_RISK,IF(-$N483&lt;=HORIZON,S_COMING,S_NOTYET))))))))))</f>
        <v/>
      </c>
      <c r="P483" s="24">
        <f>IF(OR($A483="",$E483=""),"",IF($V483=1,"",IF(ISNA(MATCH($A483,TYP_TYPE,0)),"Type not in the library",IF($B483="","Scope not set",IF(AND($B483="System",$C483=""),"System not set",IF(AND($B483="Equipment",$D483=""),"Equipment not set",IF($F483="","Responsible not set",IF($K483="","No target date",IF(AND($B483="Equipment",$C483&lt;&gt;"",IFERROR(INDEX(EQP_SYS,MATCH($D483,EQP_NOM,0)),"")&lt;&gt;$C483),"Equipment not in that system",IF(AND($U483=1,$M483=""),"Approved with no approval date",""))))))))))</f>
        <v/>
      </c>
      <c r="Q483" s="21" t="n"/>
      <c r="R483" s="23">
        <f>IF(OR($A483="",$B483=""),"",IF($B483="Equipment",IFERROR(INDEX(EQP_START,MATCH($D483,EQP_NOM,0)),""),IF($B483="System",IFERROR(INDEX(SYS_EARLIEST,MATCH($C483,SYS_ID,0)),""),IF($B483="All",CTR_EARLIEST,""))))</f>
        <v/>
      </c>
      <c r="S483" s="23">
        <f>IF(OR($A483="",$E483=""),"",IFERROR(IF(INDEX(TYP_ANCHOR,MATCH($A483,TYP_TYPE,0))="Commissioning Start",IF($R483="","",$R483-INDEX(TYP_LEAD,MATCH($A483,TYP_TYPE,0))),IF(INDEX(MS_PLAN,MATCH(INDEX(TYP_ANCHOR,MATCH($A483,TYP_TYPE,0)),MS_NOM,0))="","",INDEX(MS_PLAN,MATCH(INDEX(TYP_ANCHOR,MATCH($A483,TYP_TYPE,0)),MS_NOM,0))-INDEX(TYP_LEAD,MATCH($A483,TYP_TYPE,0)))),""))</f>
        <v/>
      </c>
      <c r="T483" s="26">
        <f>IF(OR($A483="",$E483=""),0,IF($V483=1,0,1))</f>
        <v/>
      </c>
      <c r="U483" s="26">
        <f>IF($T483=0,0,IF($M483&lt;&gt;"",1,IF(IFERROR(INDEX(WF_CLASS,MATCH($H483,WF_CODE,0)),"")="Done",1,0)))</f>
        <v/>
      </c>
      <c r="V483" s="26">
        <f>IF(OR($A483="",$E483=""),0,IF(IFERROR(INDEX(WF_CLASS,MATCH($H483,WF_CODE,0)),"")="Inactive",1,0))</f>
        <v/>
      </c>
      <c r="W483" s="24">
        <f>IF($A483="","",IFERROR(INDEX(TYP_PHASE,MATCH($A483,TYP_TYPE,0)),"-"))</f>
        <v/>
      </c>
      <c r="X483" s="24">
        <f>IF(AND($T483=1,$U483=0,N($N483)&gt;0),$N483+ROW()/1000000,"")</f>
        <v/>
      </c>
      <c r="Y483" s="24">
        <f>IF(AND($T483=1,$U483=0,OR($I483&lt;&gt;"",N($N483)&gt;0)),N($N483)+ROW()/1000000,"")</f>
        <v/>
      </c>
      <c r="Z483" s="24">
        <f>IF(AND($T483=1,$U483=0,$I483="",N($N483)&lt;=0,-N($N483)&lt;=HORIZON),N($N483)+ROW()/1000000,"")</f>
        <v/>
      </c>
    </row>
    <row r="484">
      <c r="A484" s="21" t="n"/>
      <c r="B484" s="21" t="n"/>
      <c r="C484" s="21" t="n"/>
      <c r="D484" s="21" t="n"/>
      <c r="E484" s="21" t="n"/>
      <c r="F484" s="21" t="n"/>
      <c r="G484" s="21" t="n"/>
      <c r="H484" s="21" t="n"/>
      <c r="I484" s="22" t="n"/>
      <c r="J484" s="22" t="n"/>
      <c r="K484" s="23">
        <f>IF($A484="","",IF($J484&lt;&gt;"",$J484,$S484))</f>
        <v/>
      </c>
      <c r="L484" s="24">
        <f>IF(OR($A484="",$E484=""),"",IF($J484&lt;&gt;"","Manual",IF($S484="","-","Auto")))</f>
        <v/>
      </c>
      <c r="M484" s="22" t="n"/>
      <c r="N484" s="25">
        <f>IF($T484=0,"",IF($U484=1,IF($M484="","",$M484-$K484),IF($K484="","",TODAY()-$K484)))</f>
        <v/>
      </c>
      <c r="O484" s="24">
        <f>IF(OR($A484="",$E484=""),"",IF($V484=1,S_INACT,IF(ISNA(MATCH($A484,TYP_TYPE,0)),S_TYPEKO,IF($U484=1,S_DONE,IF(AND($K484="",$R484=""),S_NOSCOPE,IF($K484="",S_NOTARGET,IF($N484&gt;0,S_LATE,IF($I484&lt;&gt;"",S_WIP,IF(-$N484&lt;=FEN_DOC,S_RISK,IF(-$N484&lt;=HORIZON,S_COMING,S_NOTYET))))))))))</f>
        <v/>
      </c>
      <c r="P484" s="24">
        <f>IF(OR($A484="",$E484=""),"",IF($V484=1,"",IF(ISNA(MATCH($A484,TYP_TYPE,0)),"Type not in the library",IF($B484="","Scope not set",IF(AND($B484="System",$C484=""),"System not set",IF(AND($B484="Equipment",$D484=""),"Equipment not set",IF($F484="","Responsible not set",IF($K484="","No target date",IF(AND($B484="Equipment",$C484&lt;&gt;"",IFERROR(INDEX(EQP_SYS,MATCH($D484,EQP_NOM,0)),"")&lt;&gt;$C484),"Equipment not in that system",IF(AND($U484=1,$M484=""),"Approved with no approval date",""))))))))))</f>
        <v/>
      </c>
      <c r="Q484" s="21" t="n"/>
      <c r="R484" s="23">
        <f>IF(OR($A484="",$B484=""),"",IF($B484="Equipment",IFERROR(INDEX(EQP_START,MATCH($D484,EQP_NOM,0)),""),IF($B484="System",IFERROR(INDEX(SYS_EARLIEST,MATCH($C484,SYS_ID,0)),""),IF($B484="All",CTR_EARLIEST,""))))</f>
        <v/>
      </c>
      <c r="S484" s="23">
        <f>IF(OR($A484="",$E484=""),"",IFERROR(IF(INDEX(TYP_ANCHOR,MATCH($A484,TYP_TYPE,0))="Commissioning Start",IF($R484="","",$R484-INDEX(TYP_LEAD,MATCH($A484,TYP_TYPE,0))),IF(INDEX(MS_PLAN,MATCH(INDEX(TYP_ANCHOR,MATCH($A484,TYP_TYPE,0)),MS_NOM,0))="","",INDEX(MS_PLAN,MATCH(INDEX(TYP_ANCHOR,MATCH($A484,TYP_TYPE,0)),MS_NOM,0))-INDEX(TYP_LEAD,MATCH($A484,TYP_TYPE,0)))),""))</f>
        <v/>
      </c>
      <c r="T484" s="26">
        <f>IF(OR($A484="",$E484=""),0,IF($V484=1,0,1))</f>
        <v/>
      </c>
      <c r="U484" s="26">
        <f>IF($T484=0,0,IF($M484&lt;&gt;"",1,IF(IFERROR(INDEX(WF_CLASS,MATCH($H484,WF_CODE,0)),"")="Done",1,0)))</f>
        <v/>
      </c>
      <c r="V484" s="26">
        <f>IF(OR($A484="",$E484=""),0,IF(IFERROR(INDEX(WF_CLASS,MATCH($H484,WF_CODE,0)),"")="Inactive",1,0))</f>
        <v/>
      </c>
      <c r="W484" s="24">
        <f>IF($A484="","",IFERROR(INDEX(TYP_PHASE,MATCH($A484,TYP_TYPE,0)),"-"))</f>
        <v/>
      </c>
      <c r="X484" s="24">
        <f>IF(AND($T484=1,$U484=0,N($N484)&gt;0),$N484+ROW()/1000000,"")</f>
        <v/>
      </c>
      <c r="Y484" s="24">
        <f>IF(AND($T484=1,$U484=0,OR($I484&lt;&gt;"",N($N484)&gt;0)),N($N484)+ROW()/1000000,"")</f>
        <v/>
      </c>
      <c r="Z484" s="24">
        <f>IF(AND($T484=1,$U484=0,$I484="",N($N484)&lt;=0,-N($N484)&lt;=HORIZON),N($N484)+ROW()/1000000,"")</f>
        <v/>
      </c>
    </row>
    <row r="485">
      <c r="A485" s="21" t="n"/>
      <c r="B485" s="21" t="n"/>
      <c r="C485" s="21" t="n"/>
      <c r="D485" s="21" t="n"/>
      <c r="E485" s="21" t="n"/>
      <c r="F485" s="21" t="n"/>
      <c r="G485" s="21" t="n"/>
      <c r="H485" s="21" t="n"/>
      <c r="I485" s="22" t="n"/>
      <c r="J485" s="22" t="n"/>
      <c r="K485" s="23">
        <f>IF($A485="","",IF($J485&lt;&gt;"",$J485,$S485))</f>
        <v/>
      </c>
      <c r="L485" s="24">
        <f>IF(OR($A485="",$E485=""),"",IF($J485&lt;&gt;"","Manual",IF($S485="","-","Auto")))</f>
        <v/>
      </c>
      <c r="M485" s="22" t="n"/>
      <c r="N485" s="25">
        <f>IF($T485=0,"",IF($U485=1,IF($M485="","",$M485-$K485),IF($K485="","",TODAY()-$K485)))</f>
        <v/>
      </c>
      <c r="O485" s="24">
        <f>IF(OR($A485="",$E485=""),"",IF($V485=1,S_INACT,IF(ISNA(MATCH($A485,TYP_TYPE,0)),S_TYPEKO,IF($U485=1,S_DONE,IF(AND($K485="",$R485=""),S_NOSCOPE,IF($K485="",S_NOTARGET,IF($N485&gt;0,S_LATE,IF($I485&lt;&gt;"",S_WIP,IF(-$N485&lt;=FEN_DOC,S_RISK,IF(-$N485&lt;=HORIZON,S_COMING,S_NOTYET))))))))))</f>
        <v/>
      </c>
      <c r="P485" s="24">
        <f>IF(OR($A485="",$E485=""),"",IF($V485=1,"",IF(ISNA(MATCH($A485,TYP_TYPE,0)),"Type not in the library",IF($B485="","Scope not set",IF(AND($B485="System",$C485=""),"System not set",IF(AND($B485="Equipment",$D485=""),"Equipment not set",IF($F485="","Responsible not set",IF($K485="","No target date",IF(AND($B485="Equipment",$C485&lt;&gt;"",IFERROR(INDEX(EQP_SYS,MATCH($D485,EQP_NOM,0)),"")&lt;&gt;$C485),"Equipment not in that system",IF(AND($U485=1,$M485=""),"Approved with no approval date",""))))))))))</f>
        <v/>
      </c>
      <c r="Q485" s="21" t="n"/>
      <c r="R485" s="23">
        <f>IF(OR($A485="",$B485=""),"",IF($B485="Equipment",IFERROR(INDEX(EQP_START,MATCH($D485,EQP_NOM,0)),""),IF($B485="System",IFERROR(INDEX(SYS_EARLIEST,MATCH($C485,SYS_ID,0)),""),IF($B485="All",CTR_EARLIEST,""))))</f>
        <v/>
      </c>
      <c r="S485" s="23">
        <f>IF(OR($A485="",$E485=""),"",IFERROR(IF(INDEX(TYP_ANCHOR,MATCH($A485,TYP_TYPE,0))="Commissioning Start",IF($R485="","",$R485-INDEX(TYP_LEAD,MATCH($A485,TYP_TYPE,0))),IF(INDEX(MS_PLAN,MATCH(INDEX(TYP_ANCHOR,MATCH($A485,TYP_TYPE,0)),MS_NOM,0))="","",INDEX(MS_PLAN,MATCH(INDEX(TYP_ANCHOR,MATCH($A485,TYP_TYPE,0)),MS_NOM,0))-INDEX(TYP_LEAD,MATCH($A485,TYP_TYPE,0)))),""))</f>
        <v/>
      </c>
      <c r="T485" s="26">
        <f>IF(OR($A485="",$E485=""),0,IF($V485=1,0,1))</f>
        <v/>
      </c>
      <c r="U485" s="26">
        <f>IF($T485=0,0,IF($M485&lt;&gt;"",1,IF(IFERROR(INDEX(WF_CLASS,MATCH($H485,WF_CODE,0)),"")="Done",1,0)))</f>
        <v/>
      </c>
      <c r="V485" s="26">
        <f>IF(OR($A485="",$E485=""),0,IF(IFERROR(INDEX(WF_CLASS,MATCH($H485,WF_CODE,0)),"")="Inactive",1,0))</f>
        <v/>
      </c>
      <c r="W485" s="24">
        <f>IF($A485="","",IFERROR(INDEX(TYP_PHASE,MATCH($A485,TYP_TYPE,0)),"-"))</f>
        <v/>
      </c>
      <c r="X485" s="24">
        <f>IF(AND($T485=1,$U485=0,N($N485)&gt;0),$N485+ROW()/1000000,"")</f>
        <v/>
      </c>
      <c r="Y485" s="24">
        <f>IF(AND($T485=1,$U485=0,OR($I485&lt;&gt;"",N($N485)&gt;0)),N($N485)+ROW()/1000000,"")</f>
        <v/>
      </c>
      <c r="Z485" s="24">
        <f>IF(AND($T485=1,$U485=0,$I485="",N($N485)&lt;=0,-N($N485)&lt;=HORIZON),N($N485)+ROW()/1000000,"")</f>
        <v/>
      </c>
    </row>
    <row r="486">
      <c r="A486" s="21" t="n"/>
      <c r="B486" s="21" t="n"/>
      <c r="C486" s="21" t="n"/>
      <c r="D486" s="21" t="n"/>
      <c r="E486" s="21" t="n"/>
      <c r="F486" s="21" t="n"/>
      <c r="G486" s="21" t="n"/>
      <c r="H486" s="21" t="n"/>
      <c r="I486" s="22" t="n"/>
      <c r="J486" s="22" t="n"/>
      <c r="K486" s="23">
        <f>IF($A486="","",IF($J486&lt;&gt;"",$J486,$S486))</f>
        <v/>
      </c>
      <c r="L486" s="24">
        <f>IF(OR($A486="",$E486=""),"",IF($J486&lt;&gt;"","Manual",IF($S486="","-","Auto")))</f>
        <v/>
      </c>
      <c r="M486" s="22" t="n"/>
      <c r="N486" s="25">
        <f>IF($T486=0,"",IF($U486=1,IF($M486="","",$M486-$K486),IF($K486="","",TODAY()-$K486)))</f>
        <v/>
      </c>
      <c r="O486" s="24">
        <f>IF(OR($A486="",$E486=""),"",IF($V486=1,S_INACT,IF(ISNA(MATCH($A486,TYP_TYPE,0)),S_TYPEKO,IF($U486=1,S_DONE,IF(AND($K486="",$R486=""),S_NOSCOPE,IF($K486="",S_NOTARGET,IF($N486&gt;0,S_LATE,IF($I486&lt;&gt;"",S_WIP,IF(-$N486&lt;=FEN_DOC,S_RISK,IF(-$N486&lt;=HORIZON,S_COMING,S_NOTYET))))))))))</f>
        <v/>
      </c>
      <c r="P486" s="24">
        <f>IF(OR($A486="",$E486=""),"",IF($V486=1,"",IF(ISNA(MATCH($A486,TYP_TYPE,0)),"Type not in the library",IF($B486="","Scope not set",IF(AND($B486="System",$C486=""),"System not set",IF(AND($B486="Equipment",$D486=""),"Equipment not set",IF($F486="","Responsible not set",IF($K486="","No target date",IF(AND($B486="Equipment",$C486&lt;&gt;"",IFERROR(INDEX(EQP_SYS,MATCH($D486,EQP_NOM,0)),"")&lt;&gt;$C486),"Equipment not in that system",IF(AND($U486=1,$M486=""),"Approved with no approval date",""))))))))))</f>
        <v/>
      </c>
      <c r="Q486" s="21" t="n"/>
      <c r="R486" s="23">
        <f>IF(OR($A486="",$B486=""),"",IF($B486="Equipment",IFERROR(INDEX(EQP_START,MATCH($D486,EQP_NOM,0)),""),IF($B486="System",IFERROR(INDEX(SYS_EARLIEST,MATCH($C486,SYS_ID,0)),""),IF($B486="All",CTR_EARLIEST,""))))</f>
        <v/>
      </c>
      <c r="S486" s="23">
        <f>IF(OR($A486="",$E486=""),"",IFERROR(IF(INDEX(TYP_ANCHOR,MATCH($A486,TYP_TYPE,0))="Commissioning Start",IF($R486="","",$R486-INDEX(TYP_LEAD,MATCH($A486,TYP_TYPE,0))),IF(INDEX(MS_PLAN,MATCH(INDEX(TYP_ANCHOR,MATCH($A486,TYP_TYPE,0)),MS_NOM,0))="","",INDEX(MS_PLAN,MATCH(INDEX(TYP_ANCHOR,MATCH($A486,TYP_TYPE,0)),MS_NOM,0))-INDEX(TYP_LEAD,MATCH($A486,TYP_TYPE,0)))),""))</f>
        <v/>
      </c>
      <c r="T486" s="26">
        <f>IF(OR($A486="",$E486=""),0,IF($V486=1,0,1))</f>
        <v/>
      </c>
      <c r="U486" s="26">
        <f>IF($T486=0,0,IF($M486&lt;&gt;"",1,IF(IFERROR(INDEX(WF_CLASS,MATCH($H486,WF_CODE,0)),"")="Done",1,0)))</f>
        <v/>
      </c>
      <c r="V486" s="26">
        <f>IF(OR($A486="",$E486=""),0,IF(IFERROR(INDEX(WF_CLASS,MATCH($H486,WF_CODE,0)),"")="Inactive",1,0))</f>
        <v/>
      </c>
      <c r="W486" s="24">
        <f>IF($A486="","",IFERROR(INDEX(TYP_PHASE,MATCH($A486,TYP_TYPE,0)),"-"))</f>
        <v/>
      </c>
      <c r="X486" s="24">
        <f>IF(AND($T486=1,$U486=0,N($N486)&gt;0),$N486+ROW()/1000000,"")</f>
        <v/>
      </c>
      <c r="Y486" s="24">
        <f>IF(AND($T486=1,$U486=0,OR($I486&lt;&gt;"",N($N486)&gt;0)),N($N486)+ROW()/1000000,"")</f>
        <v/>
      </c>
      <c r="Z486" s="24">
        <f>IF(AND($T486=1,$U486=0,$I486="",N($N486)&lt;=0,-N($N486)&lt;=HORIZON),N($N486)+ROW()/1000000,"")</f>
        <v/>
      </c>
    </row>
    <row r="487">
      <c r="A487" s="21" t="n"/>
      <c r="B487" s="21" t="n"/>
      <c r="C487" s="21" t="n"/>
      <c r="D487" s="21" t="n"/>
      <c r="E487" s="21" t="n"/>
      <c r="F487" s="21" t="n"/>
      <c r="G487" s="21" t="n"/>
      <c r="H487" s="21" t="n"/>
      <c r="I487" s="22" t="n"/>
      <c r="J487" s="22" t="n"/>
      <c r="K487" s="23">
        <f>IF($A487="","",IF($J487&lt;&gt;"",$J487,$S487))</f>
        <v/>
      </c>
      <c r="L487" s="24">
        <f>IF(OR($A487="",$E487=""),"",IF($J487&lt;&gt;"","Manual",IF($S487="","-","Auto")))</f>
        <v/>
      </c>
      <c r="M487" s="22" t="n"/>
      <c r="N487" s="25">
        <f>IF($T487=0,"",IF($U487=1,IF($M487="","",$M487-$K487),IF($K487="","",TODAY()-$K487)))</f>
        <v/>
      </c>
      <c r="O487" s="24">
        <f>IF(OR($A487="",$E487=""),"",IF($V487=1,S_INACT,IF(ISNA(MATCH($A487,TYP_TYPE,0)),S_TYPEKO,IF($U487=1,S_DONE,IF(AND($K487="",$R487=""),S_NOSCOPE,IF($K487="",S_NOTARGET,IF($N487&gt;0,S_LATE,IF($I487&lt;&gt;"",S_WIP,IF(-$N487&lt;=FEN_DOC,S_RISK,IF(-$N487&lt;=HORIZON,S_COMING,S_NOTYET))))))))))</f>
        <v/>
      </c>
      <c r="P487" s="24">
        <f>IF(OR($A487="",$E487=""),"",IF($V487=1,"",IF(ISNA(MATCH($A487,TYP_TYPE,0)),"Type not in the library",IF($B487="","Scope not set",IF(AND($B487="System",$C487=""),"System not set",IF(AND($B487="Equipment",$D487=""),"Equipment not set",IF($F487="","Responsible not set",IF($K487="","No target date",IF(AND($B487="Equipment",$C487&lt;&gt;"",IFERROR(INDEX(EQP_SYS,MATCH($D487,EQP_NOM,0)),"")&lt;&gt;$C487),"Equipment not in that system",IF(AND($U487=1,$M487=""),"Approved with no approval date",""))))))))))</f>
        <v/>
      </c>
      <c r="Q487" s="21" t="n"/>
      <c r="R487" s="23">
        <f>IF(OR($A487="",$B487=""),"",IF($B487="Equipment",IFERROR(INDEX(EQP_START,MATCH($D487,EQP_NOM,0)),""),IF($B487="System",IFERROR(INDEX(SYS_EARLIEST,MATCH($C487,SYS_ID,0)),""),IF($B487="All",CTR_EARLIEST,""))))</f>
        <v/>
      </c>
      <c r="S487" s="23">
        <f>IF(OR($A487="",$E487=""),"",IFERROR(IF(INDEX(TYP_ANCHOR,MATCH($A487,TYP_TYPE,0))="Commissioning Start",IF($R487="","",$R487-INDEX(TYP_LEAD,MATCH($A487,TYP_TYPE,0))),IF(INDEX(MS_PLAN,MATCH(INDEX(TYP_ANCHOR,MATCH($A487,TYP_TYPE,0)),MS_NOM,0))="","",INDEX(MS_PLAN,MATCH(INDEX(TYP_ANCHOR,MATCH($A487,TYP_TYPE,0)),MS_NOM,0))-INDEX(TYP_LEAD,MATCH($A487,TYP_TYPE,0)))),""))</f>
        <v/>
      </c>
      <c r="T487" s="26">
        <f>IF(OR($A487="",$E487=""),0,IF($V487=1,0,1))</f>
        <v/>
      </c>
      <c r="U487" s="26">
        <f>IF($T487=0,0,IF($M487&lt;&gt;"",1,IF(IFERROR(INDEX(WF_CLASS,MATCH($H487,WF_CODE,0)),"")="Done",1,0)))</f>
        <v/>
      </c>
      <c r="V487" s="26">
        <f>IF(OR($A487="",$E487=""),0,IF(IFERROR(INDEX(WF_CLASS,MATCH($H487,WF_CODE,0)),"")="Inactive",1,0))</f>
        <v/>
      </c>
      <c r="W487" s="24">
        <f>IF($A487="","",IFERROR(INDEX(TYP_PHASE,MATCH($A487,TYP_TYPE,0)),"-"))</f>
        <v/>
      </c>
      <c r="X487" s="24">
        <f>IF(AND($T487=1,$U487=0,N($N487)&gt;0),$N487+ROW()/1000000,"")</f>
        <v/>
      </c>
      <c r="Y487" s="24">
        <f>IF(AND($T487=1,$U487=0,OR($I487&lt;&gt;"",N($N487)&gt;0)),N($N487)+ROW()/1000000,"")</f>
        <v/>
      </c>
      <c r="Z487" s="24">
        <f>IF(AND($T487=1,$U487=0,$I487="",N($N487)&lt;=0,-N($N487)&lt;=HORIZON),N($N487)+ROW()/1000000,"")</f>
        <v/>
      </c>
    </row>
    <row r="488">
      <c r="A488" s="21" t="n"/>
      <c r="B488" s="21" t="n"/>
      <c r="C488" s="21" t="n"/>
      <c r="D488" s="21" t="n"/>
      <c r="E488" s="21" t="n"/>
      <c r="F488" s="21" t="n"/>
      <c r="G488" s="21" t="n"/>
      <c r="H488" s="21" t="n"/>
      <c r="I488" s="22" t="n"/>
      <c r="J488" s="22" t="n"/>
      <c r="K488" s="23">
        <f>IF($A488="","",IF($J488&lt;&gt;"",$J488,$S488))</f>
        <v/>
      </c>
      <c r="L488" s="24">
        <f>IF(OR($A488="",$E488=""),"",IF($J488&lt;&gt;"","Manual",IF($S488="","-","Auto")))</f>
        <v/>
      </c>
      <c r="M488" s="22" t="n"/>
      <c r="N488" s="25">
        <f>IF($T488=0,"",IF($U488=1,IF($M488="","",$M488-$K488),IF($K488="","",TODAY()-$K488)))</f>
        <v/>
      </c>
      <c r="O488" s="24">
        <f>IF(OR($A488="",$E488=""),"",IF($V488=1,S_INACT,IF(ISNA(MATCH($A488,TYP_TYPE,0)),S_TYPEKO,IF($U488=1,S_DONE,IF(AND($K488="",$R488=""),S_NOSCOPE,IF($K488="",S_NOTARGET,IF($N488&gt;0,S_LATE,IF($I488&lt;&gt;"",S_WIP,IF(-$N488&lt;=FEN_DOC,S_RISK,IF(-$N488&lt;=HORIZON,S_COMING,S_NOTYET))))))))))</f>
        <v/>
      </c>
      <c r="P488" s="24">
        <f>IF(OR($A488="",$E488=""),"",IF($V488=1,"",IF(ISNA(MATCH($A488,TYP_TYPE,0)),"Type not in the library",IF($B488="","Scope not set",IF(AND($B488="System",$C488=""),"System not set",IF(AND($B488="Equipment",$D488=""),"Equipment not set",IF($F488="","Responsible not set",IF($K488="","No target date",IF(AND($B488="Equipment",$C488&lt;&gt;"",IFERROR(INDEX(EQP_SYS,MATCH($D488,EQP_NOM,0)),"")&lt;&gt;$C488),"Equipment not in that system",IF(AND($U488=1,$M488=""),"Approved with no approval date",""))))))))))</f>
        <v/>
      </c>
      <c r="Q488" s="21" t="n"/>
      <c r="R488" s="23">
        <f>IF(OR($A488="",$B488=""),"",IF($B488="Equipment",IFERROR(INDEX(EQP_START,MATCH($D488,EQP_NOM,0)),""),IF($B488="System",IFERROR(INDEX(SYS_EARLIEST,MATCH($C488,SYS_ID,0)),""),IF($B488="All",CTR_EARLIEST,""))))</f>
        <v/>
      </c>
      <c r="S488" s="23">
        <f>IF(OR($A488="",$E488=""),"",IFERROR(IF(INDEX(TYP_ANCHOR,MATCH($A488,TYP_TYPE,0))="Commissioning Start",IF($R488="","",$R488-INDEX(TYP_LEAD,MATCH($A488,TYP_TYPE,0))),IF(INDEX(MS_PLAN,MATCH(INDEX(TYP_ANCHOR,MATCH($A488,TYP_TYPE,0)),MS_NOM,0))="","",INDEX(MS_PLAN,MATCH(INDEX(TYP_ANCHOR,MATCH($A488,TYP_TYPE,0)),MS_NOM,0))-INDEX(TYP_LEAD,MATCH($A488,TYP_TYPE,0)))),""))</f>
        <v/>
      </c>
      <c r="T488" s="26">
        <f>IF(OR($A488="",$E488=""),0,IF($V488=1,0,1))</f>
        <v/>
      </c>
      <c r="U488" s="26">
        <f>IF($T488=0,0,IF($M488&lt;&gt;"",1,IF(IFERROR(INDEX(WF_CLASS,MATCH($H488,WF_CODE,0)),"")="Done",1,0)))</f>
        <v/>
      </c>
      <c r="V488" s="26">
        <f>IF(OR($A488="",$E488=""),0,IF(IFERROR(INDEX(WF_CLASS,MATCH($H488,WF_CODE,0)),"")="Inactive",1,0))</f>
        <v/>
      </c>
      <c r="W488" s="24">
        <f>IF($A488="","",IFERROR(INDEX(TYP_PHASE,MATCH($A488,TYP_TYPE,0)),"-"))</f>
        <v/>
      </c>
      <c r="X488" s="24">
        <f>IF(AND($T488=1,$U488=0,N($N488)&gt;0),$N488+ROW()/1000000,"")</f>
        <v/>
      </c>
      <c r="Y488" s="24">
        <f>IF(AND($T488=1,$U488=0,OR($I488&lt;&gt;"",N($N488)&gt;0)),N($N488)+ROW()/1000000,"")</f>
        <v/>
      </c>
      <c r="Z488" s="24">
        <f>IF(AND($T488=1,$U488=0,$I488="",N($N488)&lt;=0,-N($N488)&lt;=HORIZON),N($N488)+ROW()/1000000,"")</f>
        <v/>
      </c>
    </row>
    <row r="489">
      <c r="A489" s="21" t="n"/>
      <c r="B489" s="21" t="n"/>
      <c r="C489" s="21" t="n"/>
      <c r="D489" s="21" t="n"/>
      <c r="E489" s="21" t="n"/>
      <c r="F489" s="21" t="n"/>
      <c r="G489" s="21" t="n"/>
      <c r="H489" s="21" t="n"/>
      <c r="I489" s="22" t="n"/>
      <c r="J489" s="22" t="n"/>
      <c r="K489" s="23">
        <f>IF($A489="","",IF($J489&lt;&gt;"",$J489,$S489))</f>
        <v/>
      </c>
      <c r="L489" s="24">
        <f>IF(OR($A489="",$E489=""),"",IF($J489&lt;&gt;"","Manual",IF($S489="","-","Auto")))</f>
        <v/>
      </c>
      <c r="M489" s="22" t="n"/>
      <c r="N489" s="25">
        <f>IF($T489=0,"",IF($U489=1,IF($M489="","",$M489-$K489),IF($K489="","",TODAY()-$K489)))</f>
        <v/>
      </c>
      <c r="O489" s="24">
        <f>IF(OR($A489="",$E489=""),"",IF($V489=1,S_INACT,IF(ISNA(MATCH($A489,TYP_TYPE,0)),S_TYPEKO,IF($U489=1,S_DONE,IF(AND($K489="",$R489=""),S_NOSCOPE,IF($K489="",S_NOTARGET,IF($N489&gt;0,S_LATE,IF($I489&lt;&gt;"",S_WIP,IF(-$N489&lt;=FEN_DOC,S_RISK,IF(-$N489&lt;=HORIZON,S_COMING,S_NOTYET))))))))))</f>
        <v/>
      </c>
      <c r="P489" s="24">
        <f>IF(OR($A489="",$E489=""),"",IF($V489=1,"",IF(ISNA(MATCH($A489,TYP_TYPE,0)),"Type not in the library",IF($B489="","Scope not set",IF(AND($B489="System",$C489=""),"System not set",IF(AND($B489="Equipment",$D489=""),"Equipment not set",IF($F489="","Responsible not set",IF($K489="","No target date",IF(AND($B489="Equipment",$C489&lt;&gt;"",IFERROR(INDEX(EQP_SYS,MATCH($D489,EQP_NOM,0)),"")&lt;&gt;$C489),"Equipment not in that system",IF(AND($U489=1,$M489=""),"Approved with no approval date",""))))))))))</f>
        <v/>
      </c>
      <c r="Q489" s="21" t="n"/>
      <c r="R489" s="23">
        <f>IF(OR($A489="",$B489=""),"",IF($B489="Equipment",IFERROR(INDEX(EQP_START,MATCH($D489,EQP_NOM,0)),""),IF($B489="System",IFERROR(INDEX(SYS_EARLIEST,MATCH($C489,SYS_ID,0)),""),IF($B489="All",CTR_EARLIEST,""))))</f>
        <v/>
      </c>
      <c r="S489" s="23">
        <f>IF(OR($A489="",$E489=""),"",IFERROR(IF(INDEX(TYP_ANCHOR,MATCH($A489,TYP_TYPE,0))="Commissioning Start",IF($R489="","",$R489-INDEX(TYP_LEAD,MATCH($A489,TYP_TYPE,0))),IF(INDEX(MS_PLAN,MATCH(INDEX(TYP_ANCHOR,MATCH($A489,TYP_TYPE,0)),MS_NOM,0))="","",INDEX(MS_PLAN,MATCH(INDEX(TYP_ANCHOR,MATCH($A489,TYP_TYPE,0)),MS_NOM,0))-INDEX(TYP_LEAD,MATCH($A489,TYP_TYPE,0)))),""))</f>
        <v/>
      </c>
      <c r="T489" s="26">
        <f>IF(OR($A489="",$E489=""),0,IF($V489=1,0,1))</f>
        <v/>
      </c>
      <c r="U489" s="26">
        <f>IF($T489=0,0,IF($M489&lt;&gt;"",1,IF(IFERROR(INDEX(WF_CLASS,MATCH($H489,WF_CODE,0)),"")="Done",1,0)))</f>
        <v/>
      </c>
      <c r="V489" s="26">
        <f>IF(OR($A489="",$E489=""),0,IF(IFERROR(INDEX(WF_CLASS,MATCH($H489,WF_CODE,0)),"")="Inactive",1,0))</f>
        <v/>
      </c>
      <c r="W489" s="24">
        <f>IF($A489="","",IFERROR(INDEX(TYP_PHASE,MATCH($A489,TYP_TYPE,0)),"-"))</f>
        <v/>
      </c>
      <c r="X489" s="24">
        <f>IF(AND($T489=1,$U489=0,N($N489)&gt;0),$N489+ROW()/1000000,"")</f>
        <v/>
      </c>
      <c r="Y489" s="24">
        <f>IF(AND($T489=1,$U489=0,OR($I489&lt;&gt;"",N($N489)&gt;0)),N($N489)+ROW()/1000000,"")</f>
        <v/>
      </c>
      <c r="Z489" s="24">
        <f>IF(AND($T489=1,$U489=0,$I489="",N($N489)&lt;=0,-N($N489)&lt;=HORIZON),N($N489)+ROW()/1000000,"")</f>
        <v/>
      </c>
    </row>
    <row r="490">
      <c r="A490" s="21" t="n"/>
      <c r="B490" s="21" t="n"/>
      <c r="C490" s="21" t="n"/>
      <c r="D490" s="21" t="n"/>
      <c r="E490" s="21" t="n"/>
      <c r="F490" s="21" t="n"/>
      <c r="G490" s="21" t="n"/>
      <c r="H490" s="21" t="n"/>
      <c r="I490" s="22" t="n"/>
      <c r="J490" s="22" t="n"/>
      <c r="K490" s="23">
        <f>IF($A490="","",IF($J490&lt;&gt;"",$J490,$S490))</f>
        <v/>
      </c>
      <c r="L490" s="24">
        <f>IF(OR($A490="",$E490=""),"",IF($J490&lt;&gt;"","Manual",IF($S490="","-","Auto")))</f>
        <v/>
      </c>
      <c r="M490" s="22" t="n"/>
      <c r="N490" s="25">
        <f>IF($T490=0,"",IF($U490=1,IF($M490="","",$M490-$K490),IF($K490="","",TODAY()-$K490)))</f>
        <v/>
      </c>
      <c r="O490" s="24">
        <f>IF(OR($A490="",$E490=""),"",IF($V490=1,S_INACT,IF(ISNA(MATCH($A490,TYP_TYPE,0)),S_TYPEKO,IF($U490=1,S_DONE,IF(AND($K490="",$R490=""),S_NOSCOPE,IF($K490="",S_NOTARGET,IF($N490&gt;0,S_LATE,IF($I490&lt;&gt;"",S_WIP,IF(-$N490&lt;=FEN_DOC,S_RISK,IF(-$N490&lt;=HORIZON,S_COMING,S_NOTYET))))))))))</f>
        <v/>
      </c>
      <c r="P490" s="24">
        <f>IF(OR($A490="",$E490=""),"",IF($V490=1,"",IF(ISNA(MATCH($A490,TYP_TYPE,0)),"Type not in the library",IF($B490="","Scope not set",IF(AND($B490="System",$C490=""),"System not set",IF(AND($B490="Equipment",$D490=""),"Equipment not set",IF($F490="","Responsible not set",IF($K490="","No target date",IF(AND($B490="Equipment",$C490&lt;&gt;"",IFERROR(INDEX(EQP_SYS,MATCH($D490,EQP_NOM,0)),"")&lt;&gt;$C490),"Equipment not in that system",IF(AND($U490=1,$M490=""),"Approved with no approval date",""))))))))))</f>
        <v/>
      </c>
      <c r="Q490" s="21" t="n"/>
      <c r="R490" s="23">
        <f>IF(OR($A490="",$B490=""),"",IF($B490="Equipment",IFERROR(INDEX(EQP_START,MATCH($D490,EQP_NOM,0)),""),IF($B490="System",IFERROR(INDEX(SYS_EARLIEST,MATCH($C490,SYS_ID,0)),""),IF($B490="All",CTR_EARLIEST,""))))</f>
        <v/>
      </c>
      <c r="S490" s="23">
        <f>IF(OR($A490="",$E490=""),"",IFERROR(IF(INDEX(TYP_ANCHOR,MATCH($A490,TYP_TYPE,0))="Commissioning Start",IF($R490="","",$R490-INDEX(TYP_LEAD,MATCH($A490,TYP_TYPE,0))),IF(INDEX(MS_PLAN,MATCH(INDEX(TYP_ANCHOR,MATCH($A490,TYP_TYPE,0)),MS_NOM,0))="","",INDEX(MS_PLAN,MATCH(INDEX(TYP_ANCHOR,MATCH($A490,TYP_TYPE,0)),MS_NOM,0))-INDEX(TYP_LEAD,MATCH($A490,TYP_TYPE,0)))),""))</f>
        <v/>
      </c>
      <c r="T490" s="26">
        <f>IF(OR($A490="",$E490=""),0,IF($V490=1,0,1))</f>
        <v/>
      </c>
      <c r="U490" s="26">
        <f>IF($T490=0,0,IF($M490&lt;&gt;"",1,IF(IFERROR(INDEX(WF_CLASS,MATCH($H490,WF_CODE,0)),"")="Done",1,0)))</f>
        <v/>
      </c>
      <c r="V490" s="26">
        <f>IF(OR($A490="",$E490=""),0,IF(IFERROR(INDEX(WF_CLASS,MATCH($H490,WF_CODE,0)),"")="Inactive",1,0))</f>
        <v/>
      </c>
      <c r="W490" s="24">
        <f>IF($A490="","",IFERROR(INDEX(TYP_PHASE,MATCH($A490,TYP_TYPE,0)),"-"))</f>
        <v/>
      </c>
      <c r="X490" s="24">
        <f>IF(AND($T490=1,$U490=0,N($N490)&gt;0),$N490+ROW()/1000000,"")</f>
        <v/>
      </c>
      <c r="Y490" s="24">
        <f>IF(AND($T490=1,$U490=0,OR($I490&lt;&gt;"",N($N490)&gt;0)),N($N490)+ROW()/1000000,"")</f>
        <v/>
      </c>
      <c r="Z490" s="24">
        <f>IF(AND($T490=1,$U490=0,$I490="",N($N490)&lt;=0,-N($N490)&lt;=HORIZON),N($N490)+ROW()/1000000,"")</f>
        <v/>
      </c>
    </row>
    <row r="491">
      <c r="A491" s="21" t="n"/>
      <c r="B491" s="21" t="n"/>
      <c r="C491" s="21" t="n"/>
      <c r="D491" s="21" t="n"/>
      <c r="E491" s="21" t="n"/>
      <c r="F491" s="21" t="n"/>
      <c r="G491" s="21" t="n"/>
      <c r="H491" s="21" t="n"/>
      <c r="I491" s="22" t="n"/>
      <c r="J491" s="22" t="n"/>
      <c r="K491" s="23">
        <f>IF($A491="","",IF($J491&lt;&gt;"",$J491,$S491))</f>
        <v/>
      </c>
      <c r="L491" s="24">
        <f>IF(OR($A491="",$E491=""),"",IF($J491&lt;&gt;"","Manual",IF($S491="","-","Auto")))</f>
        <v/>
      </c>
      <c r="M491" s="22" t="n"/>
      <c r="N491" s="25">
        <f>IF($T491=0,"",IF($U491=1,IF($M491="","",$M491-$K491),IF($K491="","",TODAY()-$K491)))</f>
        <v/>
      </c>
      <c r="O491" s="24">
        <f>IF(OR($A491="",$E491=""),"",IF($V491=1,S_INACT,IF(ISNA(MATCH($A491,TYP_TYPE,0)),S_TYPEKO,IF($U491=1,S_DONE,IF(AND($K491="",$R491=""),S_NOSCOPE,IF($K491="",S_NOTARGET,IF($N491&gt;0,S_LATE,IF($I491&lt;&gt;"",S_WIP,IF(-$N491&lt;=FEN_DOC,S_RISK,IF(-$N491&lt;=HORIZON,S_COMING,S_NOTYET))))))))))</f>
        <v/>
      </c>
      <c r="P491" s="24">
        <f>IF(OR($A491="",$E491=""),"",IF($V491=1,"",IF(ISNA(MATCH($A491,TYP_TYPE,0)),"Type not in the library",IF($B491="","Scope not set",IF(AND($B491="System",$C491=""),"System not set",IF(AND($B491="Equipment",$D491=""),"Equipment not set",IF($F491="","Responsible not set",IF($K491="","No target date",IF(AND($B491="Equipment",$C491&lt;&gt;"",IFERROR(INDEX(EQP_SYS,MATCH($D491,EQP_NOM,0)),"")&lt;&gt;$C491),"Equipment not in that system",IF(AND($U491=1,$M491=""),"Approved with no approval date",""))))))))))</f>
        <v/>
      </c>
      <c r="Q491" s="21" t="n"/>
      <c r="R491" s="23">
        <f>IF(OR($A491="",$B491=""),"",IF($B491="Equipment",IFERROR(INDEX(EQP_START,MATCH($D491,EQP_NOM,0)),""),IF($B491="System",IFERROR(INDEX(SYS_EARLIEST,MATCH($C491,SYS_ID,0)),""),IF($B491="All",CTR_EARLIEST,""))))</f>
        <v/>
      </c>
      <c r="S491" s="23">
        <f>IF(OR($A491="",$E491=""),"",IFERROR(IF(INDEX(TYP_ANCHOR,MATCH($A491,TYP_TYPE,0))="Commissioning Start",IF($R491="","",$R491-INDEX(TYP_LEAD,MATCH($A491,TYP_TYPE,0))),IF(INDEX(MS_PLAN,MATCH(INDEX(TYP_ANCHOR,MATCH($A491,TYP_TYPE,0)),MS_NOM,0))="","",INDEX(MS_PLAN,MATCH(INDEX(TYP_ANCHOR,MATCH($A491,TYP_TYPE,0)),MS_NOM,0))-INDEX(TYP_LEAD,MATCH($A491,TYP_TYPE,0)))),""))</f>
        <v/>
      </c>
      <c r="T491" s="26">
        <f>IF(OR($A491="",$E491=""),0,IF($V491=1,0,1))</f>
        <v/>
      </c>
      <c r="U491" s="26">
        <f>IF($T491=0,0,IF($M491&lt;&gt;"",1,IF(IFERROR(INDEX(WF_CLASS,MATCH($H491,WF_CODE,0)),"")="Done",1,0)))</f>
        <v/>
      </c>
      <c r="V491" s="26">
        <f>IF(OR($A491="",$E491=""),0,IF(IFERROR(INDEX(WF_CLASS,MATCH($H491,WF_CODE,0)),"")="Inactive",1,0))</f>
        <v/>
      </c>
      <c r="W491" s="24">
        <f>IF($A491="","",IFERROR(INDEX(TYP_PHASE,MATCH($A491,TYP_TYPE,0)),"-"))</f>
        <v/>
      </c>
      <c r="X491" s="24">
        <f>IF(AND($T491=1,$U491=0,N($N491)&gt;0),$N491+ROW()/1000000,"")</f>
        <v/>
      </c>
      <c r="Y491" s="24">
        <f>IF(AND($T491=1,$U491=0,OR($I491&lt;&gt;"",N($N491)&gt;0)),N($N491)+ROW()/1000000,"")</f>
        <v/>
      </c>
      <c r="Z491" s="24">
        <f>IF(AND($T491=1,$U491=0,$I491="",N($N491)&lt;=0,-N($N491)&lt;=HORIZON),N($N491)+ROW()/1000000,"")</f>
        <v/>
      </c>
    </row>
    <row r="492">
      <c r="A492" s="21" t="n"/>
      <c r="B492" s="21" t="n"/>
      <c r="C492" s="21" t="n"/>
      <c r="D492" s="21" t="n"/>
      <c r="E492" s="21" t="n"/>
      <c r="F492" s="21" t="n"/>
      <c r="G492" s="21" t="n"/>
      <c r="H492" s="21" t="n"/>
      <c r="I492" s="22" t="n"/>
      <c r="J492" s="22" t="n"/>
      <c r="K492" s="23">
        <f>IF($A492="","",IF($J492&lt;&gt;"",$J492,$S492))</f>
        <v/>
      </c>
      <c r="L492" s="24">
        <f>IF(OR($A492="",$E492=""),"",IF($J492&lt;&gt;"","Manual",IF($S492="","-","Auto")))</f>
        <v/>
      </c>
      <c r="M492" s="22" t="n"/>
      <c r="N492" s="25">
        <f>IF($T492=0,"",IF($U492=1,IF($M492="","",$M492-$K492),IF($K492="","",TODAY()-$K492)))</f>
        <v/>
      </c>
      <c r="O492" s="24">
        <f>IF(OR($A492="",$E492=""),"",IF($V492=1,S_INACT,IF(ISNA(MATCH($A492,TYP_TYPE,0)),S_TYPEKO,IF($U492=1,S_DONE,IF(AND($K492="",$R492=""),S_NOSCOPE,IF($K492="",S_NOTARGET,IF($N492&gt;0,S_LATE,IF($I492&lt;&gt;"",S_WIP,IF(-$N492&lt;=FEN_DOC,S_RISK,IF(-$N492&lt;=HORIZON,S_COMING,S_NOTYET))))))))))</f>
        <v/>
      </c>
      <c r="P492" s="24">
        <f>IF(OR($A492="",$E492=""),"",IF($V492=1,"",IF(ISNA(MATCH($A492,TYP_TYPE,0)),"Type not in the library",IF($B492="","Scope not set",IF(AND($B492="System",$C492=""),"System not set",IF(AND($B492="Equipment",$D492=""),"Equipment not set",IF($F492="","Responsible not set",IF($K492="","No target date",IF(AND($B492="Equipment",$C492&lt;&gt;"",IFERROR(INDEX(EQP_SYS,MATCH($D492,EQP_NOM,0)),"")&lt;&gt;$C492),"Equipment not in that system",IF(AND($U492=1,$M492=""),"Approved with no approval date",""))))))))))</f>
        <v/>
      </c>
      <c r="Q492" s="21" t="n"/>
      <c r="R492" s="23">
        <f>IF(OR($A492="",$B492=""),"",IF($B492="Equipment",IFERROR(INDEX(EQP_START,MATCH($D492,EQP_NOM,0)),""),IF($B492="System",IFERROR(INDEX(SYS_EARLIEST,MATCH($C492,SYS_ID,0)),""),IF($B492="All",CTR_EARLIEST,""))))</f>
        <v/>
      </c>
      <c r="S492" s="23">
        <f>IF(OR($A492="",$E492=""),"",IFERROR(IF(INDEX(TYP_ANCHOR,MATCH($A492,TYP_TYPE,0))="Commissioning Start",IF($R492="","",$R492-INDEX(TYP_LEAD,MATCH($A492,TYP_TYPE,0))),IF(INDEX(MS_PLAN,MATCH(INDEX(TYP_ANCHOR,MATCH($A492,TYP_TYPE,0)),MS_NOM,0))="","",INDEX(MS_PLAN,MATCH(INDEX(TYP_ANCHOR,MATCH($A492,TYP_TYPE,0)),MS_NOM,0))-INDEX(TYP_LEAD,MATCH($A492,TYP_TYPE,0)))),""))</f>
        <v/>
      </c>
      <c r="T492" s="26">
        <f>IF(OR($A492="",$E492=""),0,IF($V492=1,0,1))</f>
        <v/>
      </c>
      <c r="U492" s="26">
        <f>IF($T492=0,0,IF($M492&lt;&gt;"",1,IF(IFERROR(INDEX(WF_CLASS,MATCH($H492,WF_CODE,0)),"")="Done",1,0)))</f>
        <v/>
      </c>
      <c r="V492" s="26">
        <f>IF(OR($A492="",$E492=""),0,IF(IFERROR(INDEX(WF_CLASS,MATCH($H492,WF_CODE,0)),"")="Inactive",1,0))</f>
        <v/>
      </c>
      <c r="W492" s="24">
        <f>IF($A492="","",IFERROR(INDEX(TYP_PHASE,MATCH($A492,TYP_TYPE,0)),"-"))</f>
        <v/>
      </c>
      <c r="X492" s="24">
        <f>IF(AND($T492=1,$U492=0,N($N492)&gt;0),$N492+ROW()/1000000,"")</f>
        <v/>
      </c>
      <c r="Y492" s="24">
        <f>IF(AND($T492=1,$U492=0,OR($I492&lt;&gt;"",N($N492)&gt;0)),N($N492)+ROW()/1000000,"")</f>
        <v/>
      </c>
      <c r="Z492" s="24">
        <f>IF(AND($T492=1,$U492=0,$I492="",N($N492)&lt;=0,-N($N492)&lt;=HORIZON),N($N492)+ROW()/1000000,"")</f>
        <v/>
      </c>
    </row>
    <row r="493">
      <c r="A493" s="21" t="n"/>
      <c r="B493" s="21" t="n"/>
      <c r="C493" s="21" t="n"/>
      <c r="D493" s="21" t="n"/>
      <c r="E493" s="21" t="n"/>
      <c r="F493" s="21" t="n"/>
      <c r="G493" s="21" t="n"/>
      <c r="H493" s="21" t="n"/>
      <c r="I493" s="22" t="n"/>
      <c r="J493" s="22" t="n"/>
      <c r="K493" s="23">
        <f>IF($A493="","",IF($J493&lt;&gt;"",$J493,$S493))</f>
        <v/>
      </c>
      <c r="L493" s="24">
        <f>IF(OR($A493="",$E493=""),"",IF($J493&lt;&gt;"","Manual",IF($S493="","-","Auto")))</f>
        <v/>
      </c>
      <c r="M493" s="22" t="n"/>
      <c r="N493" s="25">
        <f>IF($T493=0,"",IF($U493=1,IF($M493="","",$M493-$K493),IF($K493="","",TODAY()-$K493)))</f>
        <v/>
      </c>
      <c r="O493" s="24">
        <f>IF(OR($A493="",$E493=""),"",IF($V493=1,S_INACT,IF(ISNA(MATCH($A493,TYP_TYPE,0)),S_TYPEKO,IF($U493=1,S_DONE,IF(AND($K493="",$R493=""),S_NOSCOPE,IF($K493="",S_NOTARGET,IF($N493&gt;0,S_LATE,IF($I493&lt;&gt;"",S_WIP,IF(-$N493&lt;=FEN_DOC,S_RISK,IF(-$N493&lt;=HORIZON,S_COMING,S_NOTYET))))))))))</f>
        <v/>
      </c>
      <c r="P493" s="24">
        <f>IF(OR($A493="",$E493=""),"",IF($V493=1,"",IF(ISNA(MATCH($A493,TYP_TYPE,0)),"Type not in the library",IF($B493="","Scope not set",IF(AND($B493="System",$C493=""),"System not set",IF(AND($B493="Equipment",$D493=""),"Equipment not set",IF($F493="","Responsible not set",IF($K493="","No target date",IF(AND($B493="Equipment",$C493&lt;&gt;"",IFERROR(INDEX(EQP_SYS,MATCH($D493,EQP_NOM,0)),"")&lt;&gt;$C493),"Equipment not in that system",IF(AND($U493=1,$M493=""),"Approved with no approval date",""))))))))))</f>
        <v/>
      </c>
      <c r="Q493" s="21" t="n"/>
      <c r="R493" s="23">
        <f>IF(OR($A493="",$B493=""),"",IF($B493="Equipment",IFERROR(INDEX(EQP_START,MATCH($D493,EQP_NOM,0)),""),IF($B493="System",IFERROR(INDEX(SYS_EARLIEST,MATCH($C493,SYS_ID,0)),""),IF($B493="All",CTR_EARLIEST,""))))</f>
        <v/>
      </c>
      <c r="S493" s="23">
        <f>IF(OR($A493="",$E493=""),"",IFERROR(IF(INDEX(TYP_ANCHOR,MATCH($A493,TYP_TYPE,0))="Commissioning Start",IF($R493="","",$R493-INDEX(TYP_LEAD,MATCH($A493,TYP_TYPE,0))),IF(INDEX(MS_PLAN,MATCH(INDEX(TYP_ANCHOR,MATCH($A493,TYP_TYPE,0)),MS_NOM,0))="","",INDEX(MS_PLAN,MATCH(INDEX(TYP_ANCHOR,MATCH($A493,TYP_TYPE,0)),MS_NOM,0))-INDEX(TYP_LEAD,MATCH($A493,TYP_TYPE,0)))),""))</f>
        <v/>
      </c>
      <c r="T493" s="26">
        <f>IF(OR($A493="",$E493=""),0,IF($V493=1,0,1))</f>
        <v/>
      </c>
      <c r="U493" s="26">
        <f>IF($T493=0,0,IF($M493&lt;&gt;"",1,IF(IFERROR(INDEX(WF_CLASS,MATCH($H493,WF_CODE,0)),"")="Done",1,0)))</f>
        <v/>
      </c>
      <c r="V493" s="26">
        <f>IF(OR($A493="",$E493=""),0,IF(IFERROR(INDEX(WF_CLASS,MATCH($H493,WF_CODE,0)),"")="Inactive",1,0))</f>
        <v/>
      </c>
      <c r="W493" s="24">
        <f>IF($A493="","",IFERROR(INDEX(TYP_PHASE,MATCH($A493,TYP_TYPE,0)),"-"))</f>
        <v/>
      </c>
      <c r="X493" s="24">
        <f>IF(AND($T493=1,$U493=0,N($N493)&gt;0),$N493+ROW()/1000000,"")</f>
        <v/>
      </c>
      <c r="Y493" s="24">
        <f>IF(AND($T493=1,$U493=0,OR($I493&lt;&gt;"",N($N493)&gt;0)),N($N493)+ROW()/1000000,"")</f>
        <v/>
      </c>
      <c r="Z493" s="24">
        <f>IF(AND($T493=1,$U493=0,$I493="",N($N493)&lt;=0,-N($N493)&lt;=HORIZON),N($N493)+ROW()/1000000,"")</f>
        <v/>
      </c>
    </row>
    <row r="494">
      <c r="A494" s="21" t="n"/>
      <c r="B494" s="21" t="n"/>
      <c r="C494" s="21" t="n"/>
      <c r="D494" s="21" t="n"/>
      <c r="E494" s="21" t="n"/>
      <c r="F494" s="21" t="n"/>
      <c r="G494" s="21" t="n"/>
      <c r="H494" s="21" t="n"/>
      <c r="I494" s="22" t="n"/>
      <c r="J494" s="22" t="n"/>
      <c r="K494" s="23">
        <f>IF($A494="","",IF($J494&lt;&gt;"",$J494,$S494))</f>
        <v/>
      </c>
      <c r="L494" s="24">
        <f>IF(OR($A494="",$E494=""),"",IF($J494&lt;&gt;"","Manual",IF($S494="","-","Auto")))</f>
        <v/>
      </c>
      <c r="M494" s="22" t="n"/>
      <c r="N494" s="25">
        <f>IF($T494=0,"",IF($U494=1,IF($M494="","",$M494-$K494),IF($K494="","",TODAY()-$K494)))</f>
        <v/>
      </c>
      <c r="O494" s="24">
        <f>IF(OR($A494="",$E494=""),"",IF($V494=1,S_INACT,IF(ISNA(MATCH($A494,TYP_TYPE,0)),S_TYPEKO,IF($U494=1,S_DONE,IF(AND($K494="",$R494=""),S_NOSCOPE,IF($K494="",S_NOTARGET,IF($N494&gt;0,S_LATE,IF($I494&lt;&gt;"",S_WIP,IF(-$N494&lt;=FEN_DOC,S_RISK,IF(-$N494&lt;=HORIZON,S_COMING,S_NOTYET))))))))))</f>
        <v/>
      </c>
      <c r="P494" s="24">
        <f>IF(OR($A494="",$E494=""),"",IF($V494=1,"",IF(ISNA(MATCH($A494,TYP_TYPE,0)),"Type not in the library",IF($B494="","Scope not set",IF(AND($B494="System",$C494=""),"System not set",IF(AND($B494="Equipment",$D494=""),"Equipment not set",IF($F494="","Responsible not set",IF($K494="","No target date",IF(AND($B494="Equipment",$C494&lt;&gt;"",IFERROR(INDEX(EQP_SYS,MATCH($D494,EQP_NOM,0)),"")&lt;&gt;$C494),"Equipment not in that system",IF(AND($U494=1,$M494=""),"Approved with no approval date",""))))))))))</f>
        <v/>
      </c>
      <c r="Q494" s="21" t="n"/>
      <c r="R494" s="23">
        <f>IF(OR($A494="",$B494=""),"",IF($B494="Equipment",IFERROR(INDEX(EQP_START,MATCH($D494,EQP_NOM,0)),""),IF($B494="System",IFERROR(INDEX(SYS_EARLIEST,MATCH($C494,SYS_ID,0)),""),IF($B494="All",CTR_EARLIEST,""))))</f>
        <v/>
      </c>
      <c r="S494" s="23">
        <f>IF(OR($A494="",$E494=""),"",IFERROR(IF(INDEX(TYP_ANCHOR,MATCH($A494,TYP_TYPE,0))="Commissioning Start",IF($R494="","",$R494-INDEX(TYP_LEAD,MATCH($A494,TYP_TYPE,0))),IF(INDEX(MS_PLAN,MATCH(INDEX(TYP_ANCHOR,MATCH($A494,TYP_TYPE,0)),MS_NOM,0))="","",INDEX(MS_PLAN,MATCH(INDEX(TYP_ANCHOR,MATCH($A494,TYP_TYPE,0)),MS_NOM,0))-INDEX(TYP_LEAD,MATCH($A494,TYP_TYPE,0)))),""))</f>
        <v/>
      </c>
      <c r="T494" s="26">
        <f>IF(OR($A494="",$E494=""),0,IF($V494=1,0,1))</f>
        <v/>
      </c>
      <c r="U494" s="26">
        <f>IF($T494=0,0,IF($M494&lt;&gt;"",1,IF(IFERROR(INDEX(WF_CLASS,MATCH($H494,WF_CODE,0)),"")="Done",1,0)))</f>
        <v/>
      </c>
      <c r="V494" s="26">
        <f>IF(OR($A494="",$E494=""),0,IF(IFERROR(INDEX(WF_CLASS,MATCH($H494,WF_CODE,0)),"")="Inactive",1,0))</f>
        <v/>
      </c>
      <c r="W494" s="24">
        <f>IF($A494="","",IFERROR(INDEX(TYP_PHASE,MATCH($A494,TYP_TYPE,0)),"-"))</f>
        <v/>
      </c>
      <c r="X494" s="24">
        <f>IF(AND($T494=1,$U494=0,N($N494)&gt;0),$N494+ROW()/1000000,"")</f>
        <v/>
      </c>
      <c r="Y494" s="24">
        <f>IF(AND($T494=1,$U494=0,OR($I494&lt;&gt;"",N($N494)&gt;0)),N($N494)+ROW()/1000000,"")</f>
        <v/>
      </c>
      <c r="Z494" s="24">
        <f>IF(AND($T494=1,$U494=0,$I494="",N($N494)&lt;=0,-N($N494)&lt;=HORIZON),N($N494)+ROW()/1000000,"")</f>
        <v/>
      </c>
    </row>
    <row r="495">
      <c r="A495" s="21" t="n"/>
      <c r="B495" s="21" t="n"/>
      <c r="C495" s="21" t="n"/>
      <c r="D495" s="21" t="n"/>
      <c r="E495" s="21" t="n"/>
      <c r="F495" s="21" t="n"/>
      <c r="G495" s="21" t="n"/>
      <c r="H495" s="21" t="n"/>
      <c r="I495" s="22" t="n"/>
      <c r="J495" s="22" t="n"/>
      <c r="K495" s="23">
        <f>IF($A495="","",IF($J495&lt;&gt;"",$J495,$S495))</f>
        <v/>
      </c>
      <c r="L495" s="24">
        <f>IF(OR($A495="",$E495=""),"",IF($J495&lt;&gt;"","Manual",IF($S495="","-","Auto")))</f>
        <v/>
      </c>
      <c r="M495" s="22" t="n"/>
      <c r="N495" s="25">
        <f>IF($T495=0,"",IF($U495=1,IF($M495="","",$M495-$K495),IF($K495="","",TODAY()-$K495)))</f>
        <v/>
      </c>
      <c r="O495" s="24">
        <f>IF(OR($A495="",$E495=""),"",IF($V495=1,S_INACT,IF(ISNA(MATCH($A495,TYP_TYPE,0)),S_TYPEKO,IF($U495=1,S_DONE,IF(AND($K495="",$R495=""),S_NOSCOPE,IF($K495="",S_NOTARGET,IF($N495&gt;0,S_LATE,IF($I495&lt;&gt;"",S_WIP,IF(-$N495&lt;=FEN_DOC,S_RISK,IF(-$N495&lt;=HORIZON,S_COMING,S_NOTYET))))))))))</f>
        <v/>
      </c>
      <c r="P495" s="24">
        <f>IF(OR($A495="",$E495=""),"",IF($V495=1,"",IF(ISNA(MATCH($A495,TYP_TYPE,0)),"Type not in the library",IF($B495="","Scope not set",IF(AND($B495="System",$C495=""),"System not set",IF(AND($B495="Equipment",$D495=""),"Equipment not set",IF($F495="","Responsible not set",IF($K495="","No target date",IF(AND($B495="Equipment",$C495&lt;&gt;"",IFERROR(INDEX(EQP_SYS,MATCH($D495,EQP_NOM,0)),"")&lt;&gt;$C495),"Equipment not in that system",IF(AND($U495=1,$M495=""),"Approved with no approval date",""))))))))))</f>
        <v/>
      </c>
      <c r="Q495" s="21" t="n"/>
      <c r="R495" s="23">
        <f>IF(OR($A495="",$B495=""),"",IF($B495="Equipment",IFERROR(INDEX(EQP_START,MATCH($D495,EQP_NOM,0)),""),IF($B495="System",IFERROR(INDEX(SYS_EARLIEST,MATCH($C495,SYS_ID,0)),""),IF($B495="All",CTR_EARLIEST,""))))</f>
        <v/>
      </c>
      <c r="S495" s="23">
        <f>IF(OR($A495="",$E495=""),"",IFERROR(IF(INDEX(TYP_ANCHOR,MATCH($A495,TYP_TYPE,0))="Commissioning Start",IF($R495="","",$R495-INDEX(TYP_LEAD,MATCH($A495,TYP_TYPE,0))),IF(INDEX(MS_PLAN,MATCH(INDEX(TYP_ANCHOR,MATCH($A495,TYP_TYPE,0)),MS_NOM,0))="","",INDEX(MS_PLAN,MATCH(INDEX(TYP_ANCHOR,MATCH($A495,TYP_TYPE,0)),MS_NOM,0))-INDEX(TYP_LEAD,MATCH($A495,TYP_TYPE,0)))),""))</f>
        <v/>
      </c>
      <c r="T495" s="26">
        <f>IF(OR($A495="",$E495=""),0,IF($V495=1,0,1))</f>
        <v/>
      </c>
      <c r="U495" s="26">
        <f>IF($T495=0,0,IF($M495&lt;&gt;"",1,IF(IFERROR(INDEX(WF_CLASS,MATCH($H495,WF_CODE,0)),"")="Done",1,0)))</f>
        <v/>
      </c>
      <c r="V495" s="26">
        <f>IF(OR($A495="",$E495=""),0,IF(IFERROR(INDEX(WF_CLASS,MATCH($H495,WF_CODE,0)),"")="Inactive",1,0))</f>
        <v/>
      </c>
      <c r="W495" s="24">
        <f>IF($A495="","",IFERROR(INDEX(TYP_PHASE,MATCH($A495,TYP_TYPE,0)),"-"))</f>
        <v/>
      </c>
      <c r="X495" s="24">
        <f>IF(AND($T495=1,$U495=0,N($N495)&gt;0),$N495+ROW()/1000000,"")</f>
        <v/>
      </c>
      <c r="Y495" s="24">
        <f>IF(AND($T495=1,$U495=0,OR($I495&lt;&gt;"",N($N495)&gt;0)),N($N495)+ROW()/1000000,"")</f>
        <v/>
      </c>
      <c r="Z495" s="24">
        <f>IF(AND($T495=1,$U495=0,$I495="",N($N495)&lt;=0,-N($N495)&lt;=HORIZON),N($N495)+ROW()/1000000,"")</f>
        <v/>
      </c>
    </row>
    <row r="496">
      <c r="A496" s="21" t="n"/>
      <c r="B496" s="21" t="n"/>
      <c r="C496" s="21" t="n"/>
      <c r="D496" s="21" t="n"/>
      <c r="E496" s="21" t="n"/>
      <c r="F496" s="21" t="n"/>
      <c r="G496" s="21" t="n"/>
      <c r="H496" s="21" t="n"/>
      <c r="I496" s="22" t="n"/>
      <c r="J496" s="22" t="n"/>
      <c r="K496" s="23">
        <f>IF($A496="","",IF($J496&lt;&gt;"",$J496,$S496))</f>
        <v/>
      </c>
      <c r="L496" s="24">
        <f>IF(OR($A496="",$E496=""),"",IF($J496&lt;&gt;"","Manual",IF($S496="","-","Auto")))</f>
        <v/>
      </c>
      <c r="M496" s="22" t="n"/>
      <c r="N496" s="25">
        <f>IF($T496=0,"",IF($U496=1,IF($M496="","",$M496-$K496),IF($K496="","",TODAY()-$K496)))</f>
        <v/>
      </c>
      <c r="O496" s="24">
        <f>IF(OR($A496="",$E496=""),"",IF($V496=1,S_INACT,IF(ISNA(MATCH($A496,TYP_TYPE,0)),S_TYPEKO,IF($U496=1,S_DONE,IF(AND($K496="",$R496=""),S_NOSCOPE,IF($K496="",S_NOTARGET,IF($N496&gt;0,S_LATE,IF($I496&lt;&gt;"",S_WIP,IF(-$N496&lt;=FEN_DOC,S_RISK,IF(-$N496&lt;=HORIZON,S_COMING,S_NOTYET))))))))))</f>
        <v/>
      </c>
      <c r="P496" s="24">
        <f>IF(OR($A496="",$E496=""),"",IF($V496=1,"",IF(ISNA(MATCH($A496,TYP_TYPE,0)),"Type not in the library",IF($B496="","Scope not set",IF(AND($B496="System",$C496=""),"System not set",IF(AND($B496="Equipment",$D496=""),"Equipment not set",IF($F496="","Responsible not set",IF($K496="","No target date",IF(AND($B496="Equipment",$C496&lt;&gt;"",IFERROR(INDEX(EQP_SYS,MATCH($D496,EQP_NOM,0)),"")&lt;&gt;$C496),"Equipment not in that system",IF(AND($U496=1,$M496=""),"Approved with no approval date",""))))))))))</f>
        <v/>
      </c>
      <c r="Q496" s="21" t="n"/>
      <c r="R496" s="23">
        <f>IF(OR($A496="",$B496=""),"",IF($B496="Equipment",IFERROR(INDEX(EQP_START,MATCH($D496,EQP_NOM,0)),""),IF($B496="System",IFERROR(INDEX(SYS_EARLIEST,MATCH($C496,SYS_ID,0)),""),IF($B496="All",CTR_EARLIEST,""))))</f>
        <v/>
      </c>
      <c r="S496" s="23">
        <f>IF(OR($A496="",$E496=""),"",IFERROR(IF(INDEX(TYP_ANCHOR,MATCH($A496,TYP_TYPE,0))="Commissioning Start",IF($R496="","",$R496-INDEX(TYP_LEAD,MATCH($A496,TYP_TYPE,0))),IF(INDEX(MS_PLAN,MATCH(INDEX(TYP_ANCHOR,MATCH($A496,TYP_TYPE,0)),MS_NOM,0))="","",INDEX(MS_PLAN,MATCH(INDEX(TYP_ANCHOR,MATCH($A496,TYP_TYPE,0)),MS_NOM,0))-INDEX(TYP_LEAD,MATCH($A496,TYP_TYPE,0)))),""))</f>
        <v/>
      </c>
      <c r="T496" s="26">
        <f>IF(OR($A496="",$E496=""),0,IF($V496=1,0,1))</f>
        <v/>
      </c>
      <c r="U496" s="26">
        <f>IF($T496=0,0,IF($M496&lt;&gt;"",1,IF(IFERROR(INDEX(WF_CLASS,MATCH($H496,WF_CODE,0)),"")="Done",1,0)))</f>
        <v/>
      </c>
      <c r="V496" s="26">
        <f>IF(OR($A496="",$E496=""),0,IF(IFERROR(INDEX(WF_CLASS,MATCH($H496,WF_CODE,0)),"")="Inactive",1,0))</f>
        <v/>
      </c>
      <c r="W496" s="24">
        <f>IF($A496="","",IFERROR(INDEX(TYP_PHASE,MATCH($A496,TYP_TYPE,0)),"-"))</f>
        <v/>
      </c>
      <c r="X496" s="24">
        <f>IF(AND($T496=1,$U496=0,N($N496)&gt;0),$N496+ROW()/1000000,"")</f>
        <v/>
      </c>
      <c r="Y496" s="24">
        <f>IF(AND($T496=1,$U496=0,OR($I496&lt;&gt;"",N($N496)&gt;0)),N($N496)+ROW()/1000000,"")</f>
        <v/>
      </c>
      <c r="Z496" s="24">
        <f>IF(AND($T496=1,$U496=0,$I496="",N($N496)&lt;=0,-N($N496)&lt;=HORIZON),N($N496)+ROW()/1000000,"")</f>
        <v/>
      </c>
    </row>
    <row r="497">
      <c r="A497" s="21" t="n"/>
      <c r="B497" s="21" t="n"/>
      <c r="C497" s="21" t="n"/>
      <c r="D497" s="21" t="n"/>
      <c r="E497" s="21" t="n"/>
      <c r="F497" s="21" t="n"/>
      <c r="G497" s="21" t="n"/>
      <c r="H497" s="21" t="n"/>
      <c r="I497" s="22" t="n"/>
      <c r="J497" s="22" t="n"/>
      <c r="K497" s="23">
        <f>IF($A497="","",IF($J497&lt;&gt;"",$J497,$S497))</f>
        <v/>
      </c>
      <c r="L497" s="24">
        <f>IF(OR($A497="",$E497=""),"",IF($J497&lt;&gt;"","Manual",IF($S497="","-","Auto")))</f>
        <v/>
      </c>
      <c r="M497" s="22" t="n"/>
      <c r="N497" s="25">
        <f>IF($T497=0,"",IF($U497=1,IF($M497="","",$M497-$K497),IF($K497="","",TODAY()-$K497)))</f>
        <v/>
      </c>
      <c r="O497" s="24">
        <f>IF(OR($A497="",$E497=""),"",IF($V497=1,S_INACT,IF(ISNA(MATCH($A497,TYP_TYPE,0)),S_TYPEKO,IF($U497=1,S_DONE,IF(AND($K497="",$R497=""),S_NOSCOPE,IF($K497="",S_NOTARGET,IF($N497&gt;0,S_LATE,IF($I497&lt;&gt;"",S_WIP,IF(-$N497&lt;=FEN_DOC,S_RISK,IF(-$N497&lt;=HORIZON,S_COMING,S_NOTYET))))))))))</f>
        <v/>
      </c>
      <c r="P497" s="24">
        <f>IF(OR($A497="",$E497=""),"",IF($V497=1,"",IF(ISNA(MATCH($A497,TYP_TYPE,0)),"Type not in the library",IF($B497="","Scope not set",IF(AND($B497="System",$C497=""),"System not set",IF(AND($B497="Equipment",$D497=""),"Equipment not set",IF($F497="","Responsible not set",IF($K497="","No target date",IF(AND($B497="Equipment",$C497&lt;&gt;"",IFERROR(INDEX(EQP_SYS,MATCH($D497,EQP_NOM,0)),"")&lt;&gt;$C497),"Equipment not in that system",IF(AND($U497=1,$M497=""),"Approved with no approval date",""))))))))))</f>
        <v/>
      </c>
      <c r="Q497" s="21" t="n"/>
      <c r="R497" s="23">
        <f>IF(OR($A497="",$B497=""),"",IF($B497="Equipment",IFERROR(INDEX(EQP_START,MATCH($D497,EQP_NOM,0)),""),IF($B497="System",IFERROR(INDEX(SYS_EARLIEST,MATCH($C497,SYS_ID,0)),""),IF($B497="All",CTR_EARLIEST,""))))</f>
        <v/>
      </c>
      <c r="S497" s="23">
        <f>IF(OR($A497="",$E497=""),"",IFERROR(IF(INDEX(TYP_ANCHOR,MATCH($A497,TYP_TYPE,0))="Commissioning Start",IF($R497="","",$R497-INDEX(TYP_LEAD,MATCH($A497,TYP_TYPE,0))),IF(INDEX(MS_PLAN,MATCH(INDEX(TYP_ANCHOR,MATCH($A497,TYP_TYPE,0)),MS_NOM,0))="","",INDEX(MS_PLAN,MATCH(INDEX(TYP_ANCHOR,MATCH($A497,TYP_TYPE,0)),MS_NOM,0))-INDEX(TYP_LEAD,MATCH($A497,TYP_TYPE,0)))),""))</f>
        <v/>
      </c>
      <c r="T497" s="26">
        <f>IF(OR($A497="",$E497=""),0,IF($V497=1,0,1))</f>
        <v/>
      </c>
      <c r="U497" s="26">
        <f>IF($T497=0,0,IF($M497&lt;&gt;"",1,IF(IFERROR(INDEX(WF_CLASS,MATCH($H497,WF_CODE,0)),"")="Done",1,0)))</f>
        <v/>
      </c>
      <c r="V497" s="26">
        <f>IF(OR($A497="",$E497=""),0,IF(IFERROR(INDEX(WF_CLASS,MATCH($H497,WF_CODE,0)),"")="Inactive",1,0))</f>
        <v/>
      </c>
      <c r="W497" s="24">
        <f>IF($A497="","",IFERROR(INDEX(TYP_PHASE,MATCH($A497,TYP_TYPE,0)),"-"))</f>
        <v/>
      </c>
      <c r="X497" s="24">
        <f>IF(AND($T497=1,$U497=0,N($N497)&gt;0),$N497+ROW()/1000000,"")</f>
        <v/>
      </c>
      <c r="Y497" s="24">
        <f>IF(AND($T497=1,$U497=0,OR($I497&lt;&gt;"",N($N497)&gt;0)),N($N497)+ROW()/1000000,"")</f>
        <v/>
      </c>
      <c r="Z497" s="24">
        <f>IF(AND($T497=1,$U497=0,$I497="",N($N497)&lt;=0,-N($N497)&lt;=HORIZON),N($N497)+ROW()/1000000,"")</f>
        <v/>
      </c>
    </row>
    <row r="498">
      <c r="A498" s="21" t="n"/>
      <c r="B498" s="21" t="n"/>
      <c r="C498" s="21" t="n"/>
      <c r="D498" s="21" t="n"/>
      <c r="E498" s="21" t="n"/>
      <c r="F498" s="21" t="n"/>
      <c r="G498" s="21" t="n"/>
      <c r="H498" s="21" t="n"/>
      <c r="I498" s="22" t="n"/>
      <c r="J498" s="22" t="n"/>
      <c r="K498" s="23">
        <f>IF($A498="","",IF($J498&lt;&gt;"",$J498,$S498))</f>
        <v/>
      </c>
      <c r="L498" s="24">
        <f>IF(OR($A498="",$E498=""),"",IF($J498&lt;&gt;"","Manual",IF($S498="","-","Auto")))</f>
        <v/>
      </c>
      <c r="M498" s="22" t="n"/>
      <c r="N498" s="25">
        <f>IF($T498=0,"",IF($U498=1,IF($M498="","",$M498-$K498),IF($K498="","",TODAY()-$K498)))</f>
        <v/>
      </c>
      <c r="O498" s="24">
        <f>IF(OR($A498="",$E498=""),"",IF($V498=1,S_INACT,IF(ISNA(MATCH($A498,TYP_TYPE,0)),S_TYPEKO,IF($U498=1,S_DONE,IF(AND($K498="",$R498=""),S_NOSCOPE,IF($K498="",S_NOTARGET,IF($N498&gt;0,S_LATE,IF($I498&lt;&gt;"",S_WIP,IF(-$N498&lt;=FEN_DOC,S_RISK,IF(-$N498&lt;=HORIZON,S_COMING,S_NOTYET))))))))))</f>
        <v/>
      </c>
      <c r="P498" s="24">
        <f>IF(OR($A498="",$E498=""),"",IF($V498=1,"",IF(ISNA(MATCH($A498,TYP_TYPE,0)),"Type not in the library",IF($B498="","Scope not set",IF(AND($B498="System",$C498=""),"System not set",IF(AND($B498="Equipment",$D498=""),"Equipment not set",IF($F498="","Responsible not set",IF($K498="","No target date",IF(AND($B498="Equipment",$C498&lt;&gt;"",IFERROR(INDEX(EQP_SYS,MATCH($D498,EQP_NOM,0)),"")&lt;&gt;$C498),"Equipment not in that system",IF(AND($U498=1,$M498=""),"Approved with no approval date",""))))))))))</f>
        <v/>
      </c>
      <c r="Q498" s="21" t="n"/>
      <c r="R498" s="23">
        <f>IF(OR($A498="",$B498=""),"",IF($B498="Equipment",IFERROR(INDEX(EQP_START,MATCH($D498,EQP_NOM,0)),""),IF($B498="System",IFERROR(INDEX(SYS_EARLIEST,MATCH($C498,SYS_ID,0)),""),IF($B498="All",CTR_EARLIEST,""))))</f>
        <v/>
      </c>
      <c r="S498" s="23">
        <f>IF(OR($A498="",$E498=""),"",IFERROR(IF(INDEX(TYP_ANCHOR,MATCH($A498,TYP_TYPE,0))="Commissioning Start",IF($R498="","",$R498-INDEX(TYP_LEAD,MATCH($A498,TYP_TYPE,0))),IF(INDEX(MS_PLAN,MATCH(INDEX(TYP_ANCHOR,MATCH($A498,TYP_TYPE,0)),MS_NOM,0))="","",INDEX(MS_PLAN,MATCH(INDEX(TYP_ANCHOR,MATCH($A498,TYP_TYPE,0)),MS_NOM,0))-INDEX(TYP_LEAD,MATCH($A498,TYP_TYPE,0)))),""))</f>
        <v/>
      </c>
      <c r="T498" s="26">
        <f>IF(OR($A498="",$E498=""),0,IF($V498=1,0,1))</f>
        <v/>
      </c>
      <c r="U498" s="26">
        <f>IF($T498=0,0,IF($M498&lt;&gt;"",1,IF(IFERROR(INDEX(WF_CLASS,MATCH($H498,WF_CODE,0)),"")="Done",1,0)))</f>
        <v/>
      </c>
      <c r="V498" s="26">
        <f>IF(OR($A498="",$E498=""),0,IF(IFERROR(INDEX(WF_CLASS,MATCH($H498,WF_CODE,0)),"")="Inactive",1,0))</f>
        <v/>
      </c>
      <c r="W498" s="24">
        <f>IF($A498="","",IFERROR(INDEX(TYP_PHASE,MATCH($A498,TYP_TYPE,0)),"-"))</f>
        <v/>
      </c>
      <c r="X498" s="24">
        <f>IF(AND($T498=1,$U498=0,N($N498)&gt;0),$N498+ROW()/1000000,"")</f>
        <v/>
      </c>
      <c r="Y498" s="24">
        <f>IF(AND($T498=1,$U498=0,OR($I498&lt;&gt;"",N($N498)&gt;0)),N($N498)+ROW()/1000000,"")</f>
        <v/>
      </c>
      <c r="Z498" s="24">
        <f>IF(AND($T498=1,$U498=0,$I498="",N($N498)&lt;=0,-N($N498)&lt;=HORIZON),N($N498)+ROW()/1000000,"")</f>
        <v/>
      </c>
    </row>
    <row r="499">
      <c r="A499" s="21" t="n"/>
      <c r="B499" s="21" t="n"/>
      <c r="C499" s="21" t="n"/>
      <c r="D499" s="21" t="n"/>
      <c r="E499" s="21" t="n"/>
      <c r="F499" s="21" t="n"/>
      <c r="G499" s="21" t="n"/>
      <c r="H499" s="21" t="n"/>
      <c r="I499" s="22" t="n"/>
      <c r="J499" s="22" t="n"/>
      <c r="K499" s="23">
        <f>IF($A499="","",IF($J499&lt;&gt;"",$J499,$S499))</f>
        <v/>
      </c>
      <c r="L499" s="24">
        <f>IF(OR($A499="",$E499=""),"",IF($J499&lt;&gt;"","Manual",IF($S499="","-","Auto")))</f>
        <v/>
      </c>
      <c r="M499" s="22" t="n"/>
      <c r="N499" s="25">
        <f>IF($T499=0,"",IF($U499=1,IF($M499="","",$M499-$K499),IF($K499="","",TODAY()-$K499)))</f>
        <v/>
      </c>
      <c r="O499" s="24">
        <f>IF(OR($A499="",$E499=""),"",IF($V499=1,S_INACT,IF(ISNA(MATCH($A499,TYP_TYPE,0)),S_TYPEKO,IF($U499=1,S_DONE,IF(AND($K499="",$R499=""),S_NOSCOPE,IF($K499="",S_NOTARGET,IF($N499&gt;0,S_LATE,IF($I499&lt;&gt;"",S_WIP,IF(-$N499&lt;=FEN_DOC,S_RISK,IF(-$N499&lt;=HORIZON,S_COMING,S_NOTYET))))))))))</f>
        <v/>
      </c>
      <c r="P499" s="24">
        <f>IF(OR($A499="",$E499=""),"",IF($V499=1,"",IF(ISNA(MATCH($A499,TYP_TYPE,0)),"Type not in the library",IF($B499="","Scope not set",IF(AND($B499="System",$C499=""),"System not set",IF(AND($B499="Equipment",$D499=""),"Equipment not set",IF($F499="","Responsible not set",IF($K499="","No target date",IF(AND($B499="Equipment",$C499&lt;&gt;"",IFERROR(INDEX(EQP_SYS,MATCH($D499,EQP_NOM,0)),"")&lt;&gt;$C499),"Equipment not in that system",IF(AND($U499=1,$M499=""),"Approved with no approval date",""))))))))))</f>
        <v/>
      </c>
      <c r="Q499" s="21" t="n"/>
      <c r="R499" s="23">
        <f>IF(OR($A499="",$B499=""),"",IF($B499="Equipment",IFERROR(INDEX(EQP_START,MATCH($D499,EQP_NOM,0)),""),IF($B499="System",IFERROR(INDEX(SYS_EARLIEST,MATCH($C499,SYS_ID,0)),""),IF($B499="All",CTR_EARLIEST,""))))</f>
        <v/>
      </c>
      <c r="S499" s="23">
        <f>IF(OR($A499="",$E499=""),"",IFERROR(IF(INDEX(TYP_ANCHOR,MATCH($A499,TYP_TYPE,0))="Commissioning Start",IF($R499="","",$R499-INDEX(TYP_LEAD,MATCH($A499,TYP_TYPE,0))),IF(INDEX(MS_PLAN,MATCH(INDEX(TYP_ANCHOR,MATCH($A499,TYP_TYPE,0)),MS_NOM,0))="","",INDEX(MS_PLAN,MATCH(INDEX(TYP_ANCHOR,MATCH($A499,TYP_TYPE,0)),MS_NOM,0))-INDEX(TYP_LEAD,MATCH($A499,TYP_TYPE,0)))),""))</f>
        <v/>
      </c>
      <c r="T499" s="26">
        <f>IF(OR($A499="",$E499=""),0,IF($V499=1,0,1))</f>
        <v/>
      </c>
      <c r="U499" s="26">
        <f>IF($T499=0,0,IF($M499&lt;&gt;"",1,IF(IFERROR(INDEX(WF_CLASS,MATCH($H499,WF_CODE,0)),"")="Done",1,0)))</f>
        <v/>
      </c>
      <c r="V499" s="26">
        <f>IF(OR($A499="",$E499=""),0,IF(IFERROR(INDEX(WF_CLASS,MATCH($H499,WF_CODE,0)),"")="Inactive",1,0))</f>
        <v/>
      </c>
      <c r="W499" s="24">
        <f>IF($A499="","",IFERROR(INDEX(TYP_PHASE,MATCH($A499,TYP_TYPE,0)),"-"))</f>
        <v/>
      </c>
      <c r="X499" s="24">
        <f>IF(AND($T499=1,$U499=0,N($N499)&gt;0),$N499+ROW()/1000000,"")</f>
        <v/>
      </c>
      <c r="Y499" s="24">
        <f>IF(AND($T499=1,$U499=0,OR($I499&lt;&gt;"",N($N499)&gt;0)),N($N499)+ROW()/1000000,"")</f>
        <v/>
      </c>
      <c r="Z499" s="24">
        <f>IF(AND($T499=1,$U499=0,$I499="",N($N499)&lt;=0,-N($N499)&lt;=HORIZON),N($N499)+ROW()/1000000,"")</f>
        <v/>
      </c>
    </row>
    <row r="500">
      <c r="A500" s="21" t="n"/>
      <c r="B500" s="21" t="n"/>
      <c r="C500" s="21" t="n"/>
      <c r="D500" s="21" t="n"/>
      <c r="E500" s="21" t="n"/>
      <c r="F500" s="21" t="n"/>
      <c r="G500" s="21" t="n"/>
      <c r="H500" s="21" t="n"/>
      <c r="I500" s="22" t="n"/>
      <c r="J500" s="22" t="n"/>
      <c r="K500" s="23">
        <f>IF($A500="","",IF($J500&lt;&gt;"",$J500,$S500))</f>
        <v/>
      </c>
      <c r="L500" s="24">
        <f>IF(OR($A500="",$E500=""),"",IF($J500&lt;&gt;"","Manual",IF($S500="","-","Auto")))</f>
        <v/>
      </c>
      <c r="M500" s="22" t="n"/>
      <c r="N500" s="25">
        <f>IF($T500=0,"",IF($U500=1,IF($M500="","",$M500-$K500),IF($K500="","",TODAY()-$K500)))</f>
        <v/>
      </c>
      <c r="O500" s="24">
        <f>IF(OR($A500="",$E500=""),"",IF($V500=1,S_INACT,IF(ISNA(MATCH($A500,TYP_TYPE,0)),S_TYPEKO,IF($U500=1,S_DONE,IF(AND($K500="",$R500=""),S_NOSCOPE,IF($K500="",S_NOTARGET,IF($N500&gt;0,S_LATE,IF($I500&lt;&gt;"",S_WIP,IF(-$N500&lt;=FEN_DOC,S_RISK,IF(-$N500&lt;=HORIZON,S_COMING,S_NOTYET))))))))))</f>
        <v/>
      </c>
      <c r="P500" s="24">
        <f>IF(OR($A500="",$E500=""),"",IF($V500=1,"",IF(ISNA(MATCH($A500,TYP_TYPE,0)),"Type not in the library",IF($B500="","Scope not set",IF(AND($B500="System",$C500=""),"System not set",IF(AND($B500="Equipment",$D500=""),"Equipment not set",IF($F500="","Responsible not set",IF($K500="","No target date",IF(AND($B500="Equipment",$C500&lt;&gt;"",IFERROR(INDEX(EQP_SYS,MATCH($D500,EQP_NOM,0)),"")&lt;&gt;$C500),"Equipment not in that system",IF(AND($U500=1,$M500=""),"Approved with no approval date",""))))))))))</f>
        <v/>
      </c>
      <c r="Q500" s="21" t="n"/>
      <c r="R500" s="23">
        <f>IF(OR($A500="",$B500=""),"",IF($B500="Equipment",IFERROR(INDEX(EQP_START,MATCH($D500,EQP_NOM,0)),""),IF($B500="System",IFERROR(INDEX(SYS_EARLIEST,MATCH($C500,SYS_ID,0)),""),IF($B500="All",CTR_EARLIEST,""))))</f>
        <v/>
      </c>
      <c r="S500" s="23">
        <f>IF(OR($A500="",$E500=""),"",IFERROR(IF(INDEX(TYP_ANCHOR,MATCH($A500,TYP_TYPE,0))="Commissioning Start",IF($R500="","",$R500-INDEX(TYP_LEAD,MATCH($A500,TYP_TYPE,0))),IF(INDEX(MS_PLAN,MATCH(INDEX(TYP_ANCHOR,MATCH($A500,TYP_TYPE,0)),MS_NOM,0))="","",INDEX(MS_PLAN,MATCH(INDEX(TYP_ANCHOR,MATCH($A500,TYP_TYPE,0)),MS_NOM,0))-INDEX(TYP_LEAD,MATCH($A500,TYP_TYPE,0)))),""))</f>
        <v/>
      </c>
      <c r="T500" s="26">
        <f>IF(OR($A500="",$E500=""),0,IF($V500=1,0,1))</f>
        <v/>
      </c>
      <c r="U500" s="26">
        <f>IF($T500=0,0,IF($M500&lt;&gt;"",1,IF(IFERROR(INDEX(WF_CLASS,MATCH($H500,WF_CODE,0)),"")="Done",1,0)))</f>
        <v/>
      </c>
      <c r="V500" s="26">
        <f>IF(OR($A500="",$E500=""),0,IF(IFERROR(INDEX(WF_CLASS,MATCH($H500,WF_CODE,0)),"")="Inactive",1,0))</f>
        <v/>
      </c>
      <c r="W500" s="24">
        <f>IF($A500="","",IFERROR(INDEX(TYP_PHASE,MATCH($A500,TYP_TYPE,0)),"-"))</f>
        <v/>
      </c>
      <c r="X500" s="24">
        <f>IF(AND($T500=1,$U500=0,N($N500)&gt;0),$N500+ROW()/1000000,"")</f>
        <v/>
      </c>
      <c r="Y500" s="24">
        <f>IF(AND($T500=1,$U500=0,OR($I500&lt;&gt;"",N($N500)&gt;0)),N($N500)+ROW()/1000000,"")</f>
        <v/>
      </c>
      <c r="Z500" s="24">
        <f>IF(AND($T500=1,$U500=0,$I500="",N($N500)&lt;=0,-N($N500)&lt;=HORIZON),N($N500)+ROW()/1000000,"")</f>
        <v/>
      </c>
    </row>
    <row r="501">
      <c r="A501" s="21" t="n"/>
      <c r="B501" s="21" t="n"/>
      <c r="C501" s="21" t="n"/>
      <c r="D501" s="21" t="n"/>
      <c r="E501" s="21" t="n"/>
      <c r="F501" s="21" t="n"/>
      <c r="G501" s="21" t="n"/>
      <c r="H501" s="21" t="n"/>
      <c r="I501" s="22" t="n"/>
      <c r="J501" s="22" t="n"/>
      <c r="K501" s="23">
        <f>IF($A501="","",IF($J501&lt;&gt;"",$J501,$S501))</f>
        <v/>
      </c>
      <c r="L501" s="24">
        <f>IF(OR($A501="",$E501=""),"",IF($J501&lt;&gt;"","Manual",IF($S501="","-","Auto")))</f>
        <v/>
      </c>
      <c r="M501" s="22" t="n"/>
      <c r="N501" s="25">
        <f>IF($T501=0,"",IF($U501=1,IF($M501="","",$M501-$K501),IF($K501="","",TODAY()-$K501)))</f>
        <v/>
      </c>
      <c r="O501" s="24">
        <f>IF(OR($A501="",$E501=""),"",IF($V501=1,S_INACT,IF(ISNA(MATCH($A501,TYP_TYPE,0)),S_TYPEKO,IF($U501=1,S_DONE,IF(AND($K501="",$R501=""),S_NOSCOPE,IF($K501="",S_NOTARGET,IF($N501&gt;0,S_LATE,IF($I501&lt;&gt;"",S_WIP,IF(-$N501&lt;=FEN_DOC,S_RISK,IF(-$N501&lt;=HORIZON,S_COMING,S_NOTYET))))))))))</f>
        <v/>
      </c>
      <c r="P501" s="24">
        <f>IF(OR($A501="",$E501=""),"",IF($V501=1,"",IF(ISNA(MATCH($A501,TYP_TYPE,0)),"Type not in the library",IF($B501="","Scope not set",IF(AND($B501="System",$C501=""),"System not set",IF(AND($B501="Equipment",$D501=""),"Equipment not set",IF($F501="","Responsible not set",IF($K501="","No target date",IF(AND($B501="Equipment",$C501&lt;&gt;"",IFERROR(INDEX(EQP_SYS,MATCH($D501,EQP_NOM,0)),"")&lt;&gt;$C501),"Equipment not in that system",IF(AND($U501=1,$M501=""),"Approved with no approval date",""))))))))))</f>
        <v/>
      </c>
      <c r="Q501" s="21" t="n"/>
      <c r="R501" s="23">
        <f>IF(OR($A501="",$B501=""),"",IF($B501="Equipment",IFERROR(INDEX(EQP_START,MATCH($D501,EQP_NOM,0)),""),IF($B501="System",IFERROR(INDEX(SYS_EARLIEST,MATCH($C501,SYS_ID,0)),""),IF($B501="All",CTR_EARLIEST,""))))</f>
        <v/>
      </c>
      <c r="S501" s="23">
        <f>IF(OR($A501="",$E501=""),"",IFERROR(IF(INDEX(TYP_ANCHOR,MATCH($A501,TYP_TYPE,0))="Commissioning Start",IF($R501="","",$R501-INDEX(TYP_LEAD,MATCH($A501,TYP_TYPE,0))),IF(INDEX(MS_PLAN,MATCH(INDEX(TYP_ANCHOR,MATCH($A501,TYP_TYPE,0)),MS_NOM,0))="","",INDEX(MS_PLAN,MATCH(INDEX(TYP_ANCHOR,MATCH($A501,TYP_TYPE,0)),MS_NOM,0))-INDEX(TYP_LEAD,MATCH($A501,TYP_TYPE,0)))),""))</f>
        <v/>
      </c>
      <c r="T501" s="26">
        <f>IF(OR($A501="",$E501=""),0,IF($V501=1,0,1))</f>
        <v/>
      </c>
      <c r="U501" s="26">
        <f>IF($T501=0,0,IF($M501&lt;&gt;"",1,IF(IFERROR(INDEX(WF_CLASS,MATCH($H501,WF_CODE,0)),"")="Done",1,0)))</f>
        <v/>
      </c>
      <c r="V501" s="26">
        <f>IF(OR($A501="",$E501=""),0,IF(IFERROR(INDEX(WF_CLASS,MATCH($H501,WF_CODE,0)),"")="Inactive",1,0))</f>
        <v/>
      </c>
      <c r="W501" s="24">
        <f>IF($A501="","",IFERROR(INDEX(TYP_PHASE,MATCH($A501,TYP_TYPE,0)),"-"))</f>
        <v/>
      </c>
      <c r="X501" s="24">
        <f>IF(AND($T501=1,$U501=0,N($N501)&gt;0),$N501+ROW()/1000000,"")</f>
        <v/>
      </c>
      <c r="Y501" s="24">
        <f>IF(AND($T501=1,$U501=0,OR($I501&lt;&gt;"",N($N501)&gt;0)),N($N501)+ROW()/1000000,"")</f>
        <v/>
      </c>
      <c r="Z501" s="24">
        <f>IF(AND($T501=1,$U501=0,$I501="",N($N501)&lt;=0,-N($N501)&lt;=HORIZON),N($N501)+ROW()/1000000,"")</f>
        <v/>
      </c>
    </row>
    <row r="502">
      <c r="A502" s="21" t="n"/>
      <c r="B502" s="21" t="n"/>
      <c r="C502" s="21" t="n"/>
      <c r="D502" s="21" t="n"/>
      <c r="E502" s="21" t="n"/>
      <c r="F502" s="21" t="n"/>
      <c r="G502" s="21" t="n"/>
      <c r="H502" s="21" t="n"/>
      <c r="I502" s="22" t="n"/>
      <c r="J502" s="22" t="n"/>
      <c r="K502" s="23">
        <f>IF($A502="","",IF($J502&lt;&gt;"",$J502,$S502))</f>
        <v/>
      </c>
      <c r="L502" s="24">
        <f>IF(OR($A502="",$E502=""),"",IF($J502&lt;&gt;"","Manual",IF($S502="","-","Auto")))</f>
        <v/>
      </c>
      <c r="M502" s="22" t="n"/>
      <c r="N502" s="25">
        <f>IF($T502=0,"",IF($U502=1,IF($M502="","",$M502-$K502),IF($K502="","",TODAY()-$K502)))</f>
        <v/>
      </c>
      <c r="O502" s="24">
        <f>IF(OR($A502="",$E502=""),"",IF($V502=1,S_INACT,IF(ISNA(MATCH($A502,TYP_TYPE,0)),S_TYPEKO,IF($U502=1,S_DONE,IF(AND($K502="",$R502=""),S_NOSCOPE,IF($K502="",S_NOTARGET,IF($N502&gt;0,S_LATE,IF($I502&lt;&gt;"",S_WIP,IF(-$N502&lt;=FEN_DOC,S_RISK,IF(-$N502&lt;=HORIZON,S_COMING,S_NOTYET))))))))))</f>
        <v/>
      </c>
      <c r="P502" s="24">
        <f>IF(OR($A502="",$E502=""),"",IF($V502=1,"",IF(ISNA(MATCH($A502,TYP_TYPE,0)),"Type not in the library",IF($B502="","Scope not set",IF(AND($B502="System",$C502=""),"System not set",IF(AND($B502="Equipment",$D502=""),"Equipment not set",IF($F502="","Responsible not set",IF($K502="","No target date",IF(AND($B502="Equipment",$C502&lt;&gt;"",IFERROR(INDEX(EQP_SYS,MATCH($D502,EQP_NOM,0)),"")&lt;&gt;$C502),"Equipment not in that system",IF(AND($U502=1,$M502=""),"Approved with no approval date",""))))))))))</f>
        <v/>
      </c>
      <c r="Q502" s="21" t="n"/>
      <c r="R502" s="23">
        <f>IF(OR($A502="",$B502=""),"",IF($B502="Equipment",IFERROR(INDEX(EQP_START,MATCH($D502,EQP_NOM,0)),""),IF($B502="System",IFERROR(INDEX(SYS_EARLIEST,MATCH($C502,SYS_ID,0)),""),IF($B502="All",CTR_EARLIEST,""))))</f>
        <v/>
      </c>
      <c r="S502" s="23">
        <f>IF(OR($A502="",$E502=""),"",IFERROR(IF(INDEX(TYP_ANCHOR,MATCH($A502,TYP_TYPE,0))="Commissioning Start",IF($R502="","",$R502-INDEX(TYP_LEAD,MATCH($A502,TYP_TYPE,0))),IF(INDEX(MS_PLAN,MATCH(INDEX(TYP_ANCHOR,MATCH($A502,TYP_TYPE,0)),MS_NOM,0))="","",INDEX(MS_PLAN,MATCH(INDEX(TYP_ANCHOR,MATCH($A502,TYP_TYPE,0)),MS_NOM,0))-INDEX(TYP_LEAD,MATCH($A502,TYP_TYPE,0)))),""))</f>
        <v/>
      </c>
      <c r="T502" s="26">
        <f>IF(OR($A502="",$E502=""),0,IF($V502=1,0,1))</f>
        <v/>
      </c>
      <c r="U502" s="26">
        <f>IF($T502=0,0,IF($M502&lt;&gt;"",1,IF(IFERROR(INDEX(WF_CLASS,MATCH($H502,WF_CODE,0)),"")="Done",1,0)))</f>
        <v/>
      </c>
      <c r="V502" s="26">
        <f>IF(OR($A502="",$E502=""),0,IF(IFERROR(INDEX(WF_CLASS,MATCH($H502,WF_CODE,0)),"")="Inactive",1,0))</f>
        <v/>
      </c>
      <c r="W502" s="24">
        <f>IF($A502="","",IFERROR(INDEX(TYP_PHASE,MATCH($A502,TYP_TYPE,0)),"-"))</f>
        <v/>
      </c>
      <c r="X502" s="24">
        <f>IF(AND($T502=1,$U502=0,N($N502)&gt;0),$N502+ROW()/1000000,"")</f>
        <v/>
      </c>
      <c r="Y502" s="24">
        <f>IF(AND($T502=1,$U502=0,OR($I502&lt;&gt;"",N($N502)&gt;0)),N($N502)+ROW()/1000000,"")</f>
        <v/>
      </c>
      <c r="Z502" s="24">
        <f>IF(AND($T502=1,$U502=0,$I502="",N($N502)&lt;=0,-N($N502)&lt;=HORIZON),N($N502)+ROW()/1000000,"")</f>
        <v/>
      </c>
    </row>
    <row r="503">
      <c r="A503" s="21" t="n"/>
      <c r="B503" s="21" t="n"/>
      <c r="C503" s="21" t="n"/>
      <c r="D503" s="21" t="n"/>
      <c r="E503" s="21" t="n"/>
      <c r="F503" s="21" t="n"/>
      <c r="G503" s="21" t="n"/>
      <c r="H503" s="21" t="n"/>
      <c r="I503" s="22" t="n"/>
      <c r="J503" s="22" t="n"/>
      <c r="K503" s="23">
        <f>IF($A503="","",IF($J503&lt;&gt;"",$J503,$S503))</f>
        <v/>
      </c>
      <c r="L503" s="24">
        <f>IF(OR($A503="",$E503=""),"",IF($J503&lt;&gt;"","Manual",IF($S503="","-","Auto")))</f>
        <v/>
      </c>
      <c r="M503" s="22" t="n"/>
      <c r="N503" s="25">
        <f>IF($T503=0,"",IF($U503=1,IF($M503="","",$M503-$K503),IF($K503="","",TODAY()-$K503)))</f>
        <v/>
      </c>
      <c r="O503" s="24">
        <f>IF(OR($A503="",$E503=""),"",IF($V503=1,S_INACT,IF(ISNA(MATCH($A503,TYP_TYPE,0)),S_TYPEKO,IF($U503=1,S_DONE,IF(AND($K503="",$R503=""),S_NOSCOPE,IF($K503="",S_NOTARGET,IF($N503&gt;0,S_LATE,IF($I503&lt;&gt;"",S_WIP,IF(-$N503&lt;=FEN_DOC,S_RISK,IF(-$N503&lt;=HORIZON,S_COMING,S_NOTYET))))))))))</f>
        <v/>
      </c>
      <c r="P503" s="24">
        <f>IF(OR($A503="",$E503=""),"",IF($V503=1,"",IF(ISNA(MATCH($A503,TYP_TYPE,0)),"Type not in the library",IF($B503="","Scope not set",IF(AND($B503="System",$C503=""),"System not set",IF(AND($B503="Equipment",$D503=""),"Equipment not set",IF($F503="","Responsible not set",IF($K503="","No target date",IF(AND($B503="Equipment",$C503&lt;&gt;"",IFERROR(INDEX(EQP_SYS,MATCH($D503,EQP_NOM,0)),"")&lt;&gt;$C503),"Equipment not in that system",IF(AND($U503=1,$M503=""),"Approved with no approval date",""))))))))))</f>
        <v/>
      </c>
      <c r="Q503" s="21" t="n"/>
      <c r="R503" s="23">
        <f>IF(OR($A503="",$B503=""),"",IF($B503="Equipment",IFERROR(INDEX(EQP_START,MATCH($D503,EQP_NOM,0)),""),IF($B503="System",IFERROR(INDEX(SYS_EARLIEST,MATCH($C503,SYS_ID,0)),""),IF($B503="All",CTR_EARLIEST,""))))</f>
        <v/>
      </c>
      <c r="S503" s="23">
        <f>IF(OR($A503="",$E503=""),"",IFERROR(IF(INDEX(TYP_ANCHOR,MATCH($A503,TYP_TYPE,0))="Commissioning Start",IF($R503="","",$R503-INDEX(TYP_LEAD,MATCH($A503,TYP_TYPE,0))),IF(INDEX(MS_PLAN,MATCH(INDEX(TYP_ANCHOR,MATCH($A503,TYP_TYPE,0)),MS_NOM,0))="","",INDEX(MS_PLAN,MATCH(INDEX(TYP_ANCHOR,MATCH($A503,TYP_TYPE,0)),MS_NOM,0))-INDEX(TYP_LEAD,MATCH($A503,TYP_TYPE,0)))),""))</f>
        <v/>
      </c>
      <c r="T503" s="26">
        <f>IF(OR($A503="",$E503=""),0,IF($V503=1,0,1))</f>
        <v/>
      </c>
      <c r="U503" s="26">
        <f>IF($T503=0,0,IF($M503&lt;&gt;"",1,IF(IFERROR(INDEX(WF_CLASS,MATCH($H503,WF_CODE,0)),"")="Done",1,0)))</f>
        <v/>
      </c>
      <c r="V503" s="26">
        <f>IF(OR($A503="",$E503=""),0,IF(IFERROR(INDEX(WF_CLASS,MATCH($H503,WF_CODE,0)),"")="Inactive",1,0))</f>
        <v/>
      </c>
      <c r="W503" s="24">
        <f>IF($A503="","",IFERROR(INDEX(TYP_PHASE,MATCH($A503,TYP_TYPE,0)),"-"))</f>
        <v/>
      </c>
      <c r="X503" s="24">
        <f>IF(AND($T503=1,$U503=0,N($N503)&gt;0),$N503+ROW()/1000000,"")</f>
        <v/>
      </c>
      <c r="Y503" s="24">
        <f>IF(AND($T503=1,$U503=0,OR($I503&lt;&gt;"",N($N503)&gt;0)),N($N503)+ROW()/1000000,"")</f>
        <v/>
      </c>
      <c r="Z503" s="24">
        <f>IF(AND($T503=1,$U503=0,$I503="",N($N503)&lt;=0,-N($N503)&lt;=HORIZON),N($N503)+ROW()/1000000,"")</f>
        <v/>
      </c>
    </row>
  </sheetData>
  <autoFilter ref="A3:Q503"/>
  <conditionalFormatting sqref="C4:C503">
    <cfRule type="expression" priority="1" dxfId="5" stopIfTrue="1">
      <formula>OR($B4="All",$B4="")</formula>
    </cfRule>
  </conditionalFormatting>
  <conditionalFormatting sqref="D4:D503">
    <cfRule type="expression" priority="2" dxfId="5" stopIfTrue="1">
      <formula>$B4&lt;&gt;"Equipment"</formula>
    </cfRule>
  </conditionalFormatting>
  <conditionalFormatting sqref="A4:Q503">
    <cfRule type="expression" priority="3" dxfId="6" stopIfTrue="1">
      <formula>$A4=""</formula>
    </cfRule>
    <cfRule type="expression" priority="4" dxfId="3" stopIfTrue="1">
      <formula>AND($A4&lt;&gt;"",$O4=S_LATE)</formula>
    </cfRule>
    <cfRule type="expression" priority="5" dxfId="7" stopIfTrue="1">
      <formula>AND($A4&lt;&gt;"",$O4=S_RISK)</formula>
    </cfRule>
    <cfRule type="expression" priority="6" dxfId="8" stopIfTrue="1">
      <formula>AND($A4&lt;&gt;"",$O4=S_WIP)</formula>
    </cfRule>
    <cfRule type="expression" priority="7" dxfId="9" stopIfTrue="1">
      <formula>AND($A4&lt;&gt;"",$O4=S_COMING)</formula>
    </cfRule>
    <cfRule type="expression" priority="8" dxfId="4" stopIfTrue="1">
      <formula>AND($A4&lt;&gt;"",$O4=S_DONE)</formula>
    </cfRule>
    <cfRule type="expression" priority="9" dxfId="5" stopIfTrue="1">
      <formula>AND($A4&lt;&gt;"",$O4=S_INACT)</formula>
    </cfRule>
    <cfRule type="expression" priority="10" dxfId="10" stopIfTrue="1">
      <formula>AND($A4&lt;&gt;"",OR($O4=S_NOSCOPE,$O4=S_NOTARGET,$O4=S_TYPEKO))</formula>
    </cfRule>
  </conditionalFormatting>
  <conditionalFormatting sqref="P4:P503">
    <cfRule type="expression" priority="11" dxfId="11">
      <formula>$P4&lt;&gt;""</formula>
    </cfRule>
  </conditionalFormatting>
  <dataValidations count="7">
    <dataValidation sqref="A4:A503" showDropDown="0" showInputMessage="0" showErrorMessage="0" allowBlank="1" type="list">
      <formula1>TYP_TYPE</formula1>
    </dataValidation>
    <dataValidation sqref="B4:B503" showDropDown="0" showInputMessage="0" showErrorMessage="0" allowBlank="1" type="list">
      <formula1>SCOPE_LIST</formula1>
    </dataValidation>
    <dataValidation sqref="C4:C503" showDropDown="0" showInputMessage="0" showErrorMessage="0" allowBlank="1" type="list">
      <formula1>SYS_ID</formula1>
    </dataValidation>
    <dataValidation sqref="D4:D503" showDropDown="0" showInputMessage="0" showErrorMessage="0" allowBlank="1" type="list">
      <formula1>EQP_NOM</formula1>
    </dataValidation>
    <dataValidation sqref="F4:F503" showDropDown="0" showInputMessage="0" showErrorMessage="0" allowBlank="1" type="list">
      <formula1>PPL_NAME</formula1>
    </dataValidation>
    <dataValidation sqref="G4:G503" showDropDown="0" showInputMessage="0" showErrorMessage="0" allowBlank="1" type="list">
      <formula1>PPL_NAME</formula1>
    </dataValidation>
    <dataValidation sqref="H4:H503" showDropDown="0" showInputMessage="0" showErrorMessage="0" allowBlank="1" type="list">
      <formula1>WF_CODE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BF8F00"/>
    <outlinePr summaryBelow="1" summaryRight="1"/>
    <pageSetUpPr/>
  </sheetPr>
  <dimension ref="A1:R1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52" customWidth="1" min="2" max="2"/>
    <col width="18" customWidth="1" min="3" max="3"/>
    <col width="12" customWidth="1" min="4" max="4"/>
    <col width="26" customWidth="1" min="5" max="5"/>
    <col width="20" customWidth="1" min="6" max="6"/>
    <col width="16" customWidth="1" min="7" max="7"/>
    <col width="13" customWidth="1" min="8" max="8"/>
    <col width="13" customWidth="1" min="9" max="9"/>
    <col width="13" customWidth="1" min="10" max="10"/>
    <col width="14" customWidth="1" min="11" max="11"/>
    <col width="11" customWidth="1" min="12" max="12"/>
    <col width="15" customWidth="1" min="13" max="13"/>
    <col width="30" customWidth="1" min="14" max="14"/>
    <col hidden="1" width="11" customWidth="1" min="16" max="16"/>
    <col hidden="1" width="11" customWidth="1" min="17" max="17"/>
    <col hidden="1" width="11" customWidth="1" min="18" max="18"/>
  </cols>
  <sheetData>
    <row r="1">
      <c r="A1" s="1" t="inlineStr">
        <is>
          <t>ACTIONS</t>
        </is>
      </c>
    </row>
    <row r="2">
      <c r="A2" s="2" t="inlineStr">
        <is>
          <t>One filterable table. Link an action to a system, an equipment item, a document, any combination, or nothing at all - every link is optional.</t>
        </is>
      </c>
    </row>
    <row r="3" ht="28" customHeight="1">
      <c r="A3" s="13" t="inlineStr">
        <is>
          <t>Action ID</t>
        </is>
      </c>
      <c r="B3" s="13" t="inlineStr">
        <is>
          <t>Description</t>
        </is>
      </c>
      <c r="C3" s="13" t="inlineStr">
        <is>
          <t>Phase</t>
        </is>
      </c>
      <c r="D3" s="13" t="inlineStr">
        <is>
          <t>System</t>
        </is>
      </c>
      <c r="E3" s="13" t="inlineStr">
        <is>
          <t>Equipment</t>
        </is>
      </c>
      <c r="F3" s="13" t="inlineStr">
        <is>
          <t>Document no.</t>
        </is>
      </c>
      <c r="G3" s="13" t="inlineStr">
        <is>
          <t>Owner</t>
        </is>
      </c>
      <c r="H3" s="13" t="inlineStr">
        <is>
          <t>Actual start</t>
        </is>
      </c>
      <c r="I3" s="13" t="inlineStr">
        <is>
          <t>Due date</t>
        </is>
      </c>
      <c r="J3" s="13" t="inlineStr">
        <is>
          <t>Done date</t>
        </is>
      </c>
      <c r="K3" s="13" t="inlineStr">
        <is>
          <t>Status</t>
        </is>
      </c>
      <c r="L3" s="13" t="inlineStr">
        <is>
          <t>Days late</t>
        </is>
      </c>
      <c r="M3" s="13" t="inlineStr">
        <is>
          <t>State</t>
        </is>
      </c>
      <c r="N3" s="13" t="inlineStr">
        <is>
          <t>Comment</t>
        </is>
      </c>
      <c r="P3" s="13" t="inlineStr">
        <is>
          <t>k late</t>
        </is>
      </c>
      <c r="Q3" s="13" t="inlineStr">
        <is>
          <t>k wip</t>
        </is>
      </c>
      <c r="R3" s="13" t="inlineStr">
        <is>
          <t>k coming</t>
        </is>
      </c>
    </row>
    <row r="4">
      <c r="A4" s="21" t="inlineStr">
        <is>
          <t>ACT-001</t>
        </is>
      </c>
      <c r="B4" s="21" t="inlineStr">
        <is>
          <t>Close out RAMS comments raised by the Client safety review</t>
        </is>
      </c>
      <c r="C4" s="21" t="inlineStr">
        <is>
          <t>Pre-commissioning</t>
        </is>
      </c>
      <c r="D4" s="21" t="inlineStr">
        <is>
          <t>SYS-SG</t>
        </is>
      </c>
      <c r="E4" s="21" t="n"/>
      <c r="F4" s="21" t="n"/>
      <c r="G4" s="21" t="inlineStr">
        <is>
          <t>D. Petrov</t>
        </is>
      </c>
      <c r="H4" s="22" t="n">
        <v>46217</v>
      </c>
      <c r="I4" s="22" t="n">
        <v>46237</v>
      </c>
      <c r="J4" s="22" t="n"/>
      <c r="K4" s="21" t="inlineStr">
        <is>
          <t>In progress</t>
        </is>
      </c>
      <c r="L4" s="25">
        <f>IF($A4="","",IF($K4=A_DONE,IF($J4="","",$J4-$I4),IF($I4="","",TODAY()-$I4)))</f>
        <v/>
      </c>
      <c r="M4" s="24">
        <f>IF($A4="","",IF($K4=A_DONE,S_DONE,IF($I4="",S_NODUE,IF($L4&gt;0,S_LATE,IF($H4&lt;&gt;"",S_WIP,IF(-$L4&lt;=FEN_ACT,S_RISK,IF(-$L4&lt;=HORIZON,S_COMING,S_ONTRACK)))))))</f>
        <v/>
      </c>
      <c r="N4" s="21" t="n"/>
      <c r="P4" s="24">
        <f>IF(AND($A4&lt;&gt;"",$K4&lt;&gt;A_DONE,N($L4)&gt;0),$L4+ROW()/1000000,"")</f>
        <v/>
      </c>
      <c r="Q4" s="24">
        <f>IF(AND($A4&lt;&gt;"",$K4&lt;&gt;A_DONE,OR($H4&lt;&gt;"",N($L4)&gt;0)),N($L4)+ROW()/1000000,"")</f>
        <v/>
      </c>
      <c r="R4" s="24">
        <f>IF(AND($A4&lt;&gt;"",$K4&lt;&gt;A_DONE,$H4="",$I4&lt;&gt;"",N($L4)&lt;=0,-N($L4)&lt;=HORIZON),N($L4)+ROW()/1000000,"")</f>
        <v/>
      </c>
    </row>
    <row r="5">
      <c r="A5" s="21" t="inlineStr">
        <is>
          <t>ACT-002</t>
        </is>
      </c>
      <c r="B5" s="21" t="inlineStr">
        <is>
          <t>Obtain signed competency records for the ATP trackside team</t>
        </is>
      </c>
      <c r="C5" s="21" t="inlineStr">
        <is>
          <t>Pre-commissioning</t>
        </is>
      </c>
      <c r="D5" s="21" t="inlineStr">
        <is>
          <t>SYS-SG</t>
        </is>
      </c>
      <c r="E5" s="21" t="inlineStr">
        <is>
          <t>SG-ATP-03 ATP Trackside Equipment</t>
        </is>
      </c>
      <c r="F5" s="21" t="n"/>
      <c r="G5" s="21" t="inlineStr">
        <is>
          <t>J. Whitfield</t>
        </is>
      </c>
      <c r="H5" s="22" t="n"/>
      <c r="I5" s="22" t="n">
        <v>46247</v>
      </c>
      <c r="J5" s="22" t="n"/>
      <c r="K5" s="21" t="inlineStr">
        <is>
          <t>Open</t>
        </is>
      </c>
      <c r="L5" s="25">
        <f>IF($A5="","",IF($K5=A_DONE,IF($J5="","",$J5-$I5),IF($I5="","",TODAY()-$I5)))</f>
        <v/>
      </c>
      <c r="M5" s="24">
        <f>IF($A5="","",IF($K5=A_DONE,S_DONE,IF($I5="",S_NODUE,IF($L5&gt;0,S_LATE,IF($H5&lt;&gt;"",S_WIP,IF(-$L5&lt;=FEN_ACT,S_RISK,IF(-$L5&lt;=HORIZON,S_COMING,S_ONTRACK)))))))</f>
        <v/>
      </c>
      <c r="N5" s="21" t="n"/>
      <c r="P5" s="24">
        <f>IF(AND($A5&lt;&gt;"",$K5&lt;&gt;A_DONE,N($L5)&gt;0),$L5+ROW()/1000000,"")</f>
        <v/>
      </c>
      <c r="Q5" s="24">
        <f>IF(AND($A5&lt;&gt;"",$K5&lt;&gt;A_DONE,OR($H5&lt;&gt;"",N($L5)&gt;0)),N($L5)+ROW()/1000000,"")</f>
        <v/>
      </c>
      <c r="R5" s="24">
        <f>IF(AND($A5&lt;&gt;"",$K5&lt;&gt;A_DONE,$H5="",$I5&lt;&gt;"",N($L5)&lt;=0,-N($L5)&lt;=HORIZON),N($L5)+ROW()/1000000,"")</f>
        <v/>
      </c>
    </row>
    <row r="6">
      <c r="A6" s="21" t="inlineStr">
        <is>
          <t>ACT-003</t>
        </is>
      </c>
      <c r="B6" s="21" t="inlineStr">
        <is>
          <t>Resolve interlocking cabinet earthing non-conformance</t>
        </is>
      </c>
      <c r="C6" s="21" t="inlineStr">
        <is>
          <t>Pre-commissioning</t>
        </is>
      </c>
      <c r="D6" s="21" t="inlineStr">
        <is>
          <t>SYS-SG</t>
        </is>
      </c>
      <c r="E6" s="21" t="inlineStr">
        <is>
          <t>SG-IXL-01 Interlocking Cabinet North</t>
        </is>
      </c>
      <c r="F6" s="21" t="n"/>
      <c r="G6" s="21" t="inlineStr">
        <is>
          <t>P. Nakamura</t>
        </is>
      </c>
      <c r="H6" s="22" t="n">
        <v>46234</v>
      </c>
      <c r="I6" s="22" t="n">
        <v>46254</v>
      </c>
      <c r="J6" s="22" t="n"/>
      <c r="K6" s="21" t="inlineStr">
        <is>
          <t>In progress</t>
        </is>
      </c>
      <c r="L6" s="25">
        <f>IF($A6="","",IF($K6=A_DONE,IF($J6="","",$J6-$I6),IF($I6="","",TODAY()-$I6)))</f>
        <v/>
      </c>
      <c r="M6" s="24">
        <f>IF($A6="","",IF($K6=A_DONE,S_DONE,IF($I6="",S_NODUE,IF($L6&gt;0,S_LATE,IF($H6&lt;&gt;"",S_WIP,IF(-$L6&lt;=FEN_ACT,S_RISK,IF(-$L6&lt;=HORIZON,S_COMING,S_ONTRACK)))))))</f>
        <v/>
      </c>
      <c r="N6" s="21" t="n"/>
      <c r="P6" s="24">
        <f>IF(AND($A6&lt;&gt;"",$K6&lt;&gt;A_DONE,N($L6)&gt;0),$L6+ROW()/1000000,"")</f>
        <v/>
      </c>
      <c r="Q6" s="24">
        <f>IF(AND($A6&lt;&gt;"",$K6&lt;&gt;A_DONE,OR($H6&lt;&gt;"",N($L6)&gt;0)),N($L6)+ROW()/1000000,"")</f>
        <v/>
      </c>
      <c r="R6" s="24">
        <f>IF(AND($A6&lt;&gt;"",$K6&lt;&gt;A_DONE,$H6="",$I6&lt;&gt;"",N($L6)&lt;=0,-N($L6)&lt;=HORIZON),N($L6)+ROW()/1000000,"")</f>
        <v/>
      </c>
    </row>
    <row r="7">
      <c r="A7" s="21" t="inlineStr">
        <is>
          <t>ACT-004</t>
        </is>
      </c>
      <c r="B7" s="21" t="inlineStr">
        <is>
          <t>Issue System Commissioning Programme revision C for approval</t>
        </is>
      </c>
      <c r="C7" s="21" t="inlineStr">
        <is>
          <t>Pre-commissioning</t>
        </is>
      </c>
      <c r="D7" s="21" t="inlineStr">
        <is>
          <t>SYS-TV</t>
        </is>
      </c>
      <c r="E7" s="21" t="n"/>
      <c r="F7" s="21" t="n"/>
      <c r="G7" s="21" t="inlineStr">
        <is>
          <t>K. Rasmussen</t>
        </is>
      </c>
      <c r="H7" s="22" t="n"/>
      <c r="I7" s="22" t="n">
        <v>46261</v>
      </c>
      <c r="J7" s="22" t="n"/>
      <c r="K7" s="21" t="inlineStr">
        <is>
          <t>Open</t>
        </is>
      </c>
      <c r="L7" s="25">
        <f>IF($A7="","",IF($K7=A_DONE,IF($J7="","",$J7-$I7),IF($I7="","",TODAY()-$I7)))</f>
        <v/>
      </c>
      <c r="M7" s="24">
        <f>IF($A7="","",IF($K7=A_DONE,S_DONE,IF($I7="",S_NODUE,IF($L7&gt;0,S_LATE,IF($H7&lt;&gt;"",S_WIP,IF(-$L7&lt;=FEN_ACT,S_RISK,IF(-$L7&lt;=HORIZON,S_COMING,S_ONTRACK)))))))</f>
        <v/>
      </c>
      <c r="N7" s="21" t="n"/>
      <c r="P7" s="24">
        <f>IF(AND($A7&lt;&gt;"",$K7&lt;&gt;A_DONE,N($L7)&gt;0),$L7+ROW()/1000000,"")</f>
        <v/>
      </c>
      <c r="Q7" s="24">
        <f>IF(AND($A7&lt;&gt;"",$K7&lt;&gt;A_DONE,OR($H7&lt;&gt;"",N($L7)&gt;0)),N($L7)+ROW()/1000000,"")</f>
        <v/>
      </c>
      <c r="R7" s="24">
        <f>IF(AND($A7&lt;&gt;"",$K7&lt;&gt;A_DONE,$H7="",$I7&lt;&gt;"",N($L7)&lt;=0,-N($L7)&lt;=HORIZON),N($L7)+ROW()/1000000,"")</f>
        <v/>
      </c>
    </row>
    <row r="8">
      <c r="A8" s="21" t="inlineStr">
        <is>
          <t>ACT-005</t>
        </is>
      </c>
      <c r="B8" s="21" t="inlineStr">
        <is>
          <t>Agree tunnel ventilation witnessing schedule with the Authority</t>
        </is>
      </c>
      <c r="C8" s="21" t="inlineStr">
        <is>
          <t>Pre-commissioning</t>
        </is>
      </c>
      <c r="D8" s="21" t="inlineStr">
        <is>
          <t>SYS-TV</t>
        </is>
      </c>
      <c r="E8" s="21" t="n"/>
      <c r="F8" s="21" t="n"/>
      <c r="G8" s="21" t="inlineStr">
        <is>
          <t>R. Bellamy</t>
        </is>
      </c>
      <c r="H8" s="22" t="n"/>
      <c r="I8" s="22" t="n">
        <v>46268</v>
      </c>
      <c r="J8" s="22" t="n"/>
      <c r="K8" s="21" t="inlineStr">
        <is>
          <t>Open</t>
        </is>
      </c>
      <c r="L8" s="25">
        <f>IF($A8="","",IF($K8=A_DONE,IF($J8="","",$J8-$I8),IF($I8="","",TODAY()-$I8)))</f>
        <v/>
      </c>
      <c r="M8" s="24">
        <f>IF($A8="","",IF($K8=A_DONE,S_DONE,IF($I8="",S_NODUE,IF($L8&gt;0,S_LATE,IF($H8&lt;&gt;"",S_WIP,IF(-$L8&lt;=FEN_ACT,S_RISK,IF(-$L8&lt;=HORIZON,S_COMING,S_ONTRACK)))))))</f>
        <v/>
      </c>
      <c r="N8" s="21" t="n"/>
      <c r="P8" s="24">
        <f>IF(AND($A8&lt;&gt;"",$K8&lt;&gt;A_DONE,N($L8)&gt;0),$L8+ROW()/1000000,"")</f>
        <v/>
      </c>
      <c r="Q8" s="24">
        <f>IF(AND($A8&lt;&gt;"",$K8&lt;&gt;A_DONE,OR($H8&lt;&gt;"",N($L8)&gt;0)),N($L8)+ROW()/1000000,"")</f>
        <v/>
      </c>
      <c r="R8" s="24">
        <f>IF(AND($A8&lt;&gt;"",$K8&lt;&gt;A_DONE,$H8="",$I8&lt;&gt;"",N($L8)&lt;=0,-N($L8)&lt;=HORIZON),N($L8)+ROW()/1000000,"")</f>
        <v/>
      </c>
    </row>
    <row r="9">
      <c r="A9" s="21" t="inlineStr">
        <is>
          <t>ACT-006</t>
        </is>
      </c>
      <c r="B9" s="21" t="inlineStr">
        <is>
          <t>Confirm 33kV protection settings against the final study</t>
        </is>
      </c>
      <c r="C9" s="21" t="inlineStr">
        <is>
          <t>Pre-commissioning</t>
        </is>
      </c>
      <c r="D9" s="21" t="inlineStr">
        <is>
          <t>SYS-TP</t>
        </is>
      </c>
      <c r="E9" s="21" t="inlineStr">
        <is>
          <t>TP-TSS-03 Traction Substation Bravo</t>
        </is>
      </c>
      <c r="F9" s="21" t="n"/>
      <c r="G9" s="21" t="inlineStr">
        <is>
          <t>N. Bergstrom</t>
        </is>
      </c>
      <c r="H9" s="22" t="n">
        <v>46255</v>
      </c>
      <c r="I9" s="22" t="n">
        <v>46275</v>
      </c>
      <c r="J9" s="22" t="n"/>
      <c r="K9" s="21" t="inlineStr">
        <is>
          <t>In progress</t>
        </is>
      </c>
      <c r="L9" s="25">
        <f>IF($A9="","",IF($K9=A_DONE,IF($J9="","",$J9-$I9),IF($I9="","",TODAY()-$I9)))</f>
        <v/>
      </c>
      <c r="M9" s="24">
        <f>IF($A9="","",IF($K9=A_DONE,S_DONE,IF($I9="",S_NODUE,IF($L9&gt;0,S_LATE,IF($H9&lt;&gt;"",S_WIP,IF(-$L9&lt;=FEN_ACT,S_RISK,IF(-$L9&lt;=HORIZON,S_COMING,S_ONTRACK)))))))</f>
        <v/>
      </c>
      <c r="N9" s="21" t="n"/>
      <c r="P9" s="24">
        <f>IF(AND($A9&lt;&gt;"",$K9&lt;&gt;A_DONE,N($L9)&gt;0),$L9+ROW()/1000000,"")</f>
        <v/>
      </c>
      <c r="Q9" s="24">
        <f>IF(AND($A9&lt;&gt;"",$K9&lt;&gt;A_DONE,OR($H9&lt;&gt;"",N($L9)&gt;0)),N($L9)+ROW()/1000000,"")</f>
        <v/>
      </c>
      <c r="R9" s="24">
        <f>IF(AND($A9&lt;&gt;"",$K9&lt;&gt;A_DONE,$H9="",$I9&lt;&gt;"",N($L9)&lt;=0,-N($L9)&lt;=HORIZON),N($L9)+ROW()/1000000,"")</f>
        <v/>
      </c>
    </row>
    <row r="10">
      <c r="A10" s="21" t="inlineStr">
        <is>
          <t>ACT-007</t>
        </is>
      </c>
      <c r="B10" s="21" t="inlineStr">
        <is>
          <t>Update Basis of Commissioning for the revised staging strategy</t>
        </is>
      </c>
      <c r="C10" s="21" t="inlineStr">
        <is>
          <t>Pre-commissioning</t>
        </is>
      </c>
      <c r="D10" s="21" t="n"/>
      <c r="E10" s="21" t="n"/>
      <c r="F10" s="21" t="n"/>
      <c r="G10" s="21" t="inlineStr">
        <is>
          <t>M. Haddad</t>
        </is>
      </c>
      <c r="H10" s="22" t="n"/>
      <c r="I10" s="22" t="n">
        <v>46283</v>
      </c>
      <c r="J10" s="22" t="n"/>
      <c r="K10" s="21" t="inlineStr">
        <is>
          <t>On hold</t>
        </is>
      </c>
      <c r="L10" s="25">
        <f>IF($A10="","",IF($K10=A_DONE,IF($J10="","",$J10-$I10),IF($I10="","",TODAY()-$I10)))</f>
        <v/>
      </c>
      <c r="M10" s="24">
        <f>IF($A10="","",IF($K10=A_DONE,S_DONE,IF($I10="",S_NODUE,IF($L10&gt;0,S_LATE,IF($H10&lt;&gt;"",S_WIP,IF(-$L10&lt;=FEN_ACT,S_RISK,IF(-$L10&lt;=HORIZON,S_COMING,S_ONTRACK)))))))</f>
        <v/>
      </c>
      <c r="N10" s="21" t="n"/>
      <c r="P10" s="24">
        <f>IF(AND($A10&lt;&gt;"",$K10&lt;&gt;A_DONE,N($L10)&gt;0),$L10+ROW()/1000000,"")</f>
        <v/>
      </c>
      <c r="Q10" s="24">
        <f>IF(AND($A10&lt;&gt;"",$K10&lt;&gt;A_DONE,OR($H10&lt;&gt;"",N($L10)&gt;0)),N($L10)+ROW()/1000000,"")</f>
        <v/>
      </c>
      <c r="R10" s="24">
        <f>IF(AND($A10&lt;&gt;"",$K10&lt;&gt;A_DONE,$H10="",$I10&lt;&gt;"",N($L10)&lt;=0,-N($L10)&lt;=HORIZON),N($L10)+ROW()/1000000,"")</f>
        <v/>
      </c>
    </row>
    <row r="11">
      <c r="A11" s="21" t="inlineStr">
        <is>
          <t>ACT-008</t>
        </is>
      </c>
      <c r="B11" s="21" t="inlineStr">
        <is>
          <t>Mobilise second commissioning engineer for tunnel ventilation</t>
        </is>
      </c>
      <c r="C11" s="21" t="inlineStr">
        <is>
          <t>Pre-commissioning</t>
        </is>
      </c>
      <c r="D11" s="21" t="inlineStr">
        <is>
          <t>SYS-TV</t>
        </is>
      </c>
      <c r="E11" s="21" t="n"/>
      <c r="F11" s="21" t="n"/>
      <c r="G11" s="21" t="inlineStr">
        <is>
          <t>C. Vasquez</t>
        </is>
      </c>
      <c r="H11" s="22" t="n"/>
      <c r="I11" s="22" t="n">
        <v>46290</v>
      </c>
      <c r="J11" s="22" t="n"/>
      <c r="K11" s="21" t="inlineStr">
        <is>
          <t>Open</t>
        </is>
      </c>
      <c r="L11" s="25">
        <f>IF($A11="","",IF($K11=A_DONE,IF($J11="","",$J11-$I11),IF($I11="","",TODAY()-$I11)))</f>
        <v/>
      </c>
      <c r="M11" s="24">
        <f>IF($A11="","",IF($K11=A_DONE,S_DONE,IF($I11="",S_NODUE,IF($L11&gt;0,S_LATE,IF($H11&lt;&gt;"",S_WIP,IF(-$L11&lt;=FEN_ACT,S_RISK,IF(-$L11&lt;=HORIZON,S_COMING,S_ONTRACK)))))))</f>
        <v/>
      </c>
      <c r="N11" s="21" t="n"/>
      <c r="P11" s="24">
        <f>IF(AND($A11&lt;&gt;"",$K11&lt;&gt;A_DONE,N($L11)&gt;0),$L11+ROW()/1000000,"")</f>
        <v/>
      </c>
      <c r="Q11" s="24">
        <f>IF(AND($A11&lt;&gt;"",$K11&lt;&gt;A_DONE,OR($H11&lt;&gt;"",N($L11)&gt;0)),N($L11)+ROW()/1000000,"")</f>
        <v/>
      </c>
      <c r="R11" s="24">
        <f>IF(AND($A11&lt;&gt;"",$K11&lt;&gt;A_DONE,$H11="",$I11&lt;&gt;"",N($L11)&lt;=0,-N($L11)&lt;=HORIZON),N($L11)+ROW()/1000000,"")</f>
        <v/>
      </c>
    </row>
    <row r="12">
      <c r="A12" s="21" t="inlineStr">
        <is>
          <t>ACT-009</t>
        </is>
      </c>
      <c r="B12" s="21" t="inlineStr">
        <is>
          <t>Close punch list items on Traction Substation Alpha</t>
        </is>
      </c>
      <c r="C12" s="21" t="inlineStr">
        <is>
          <t>Pre-commissioning</t>
        </is>
      </c>
      <c r="D12" s="21" t="inlineStr">
        <is>
          <t>SYS-TP</t>
        </is>
      </c>
      <c r="E12" s="21" t="inlineStr">
        <is>
          <t>TP-TSS-02 Traction Substation Alpha</t>
        </is>
      </c>
      <c r="F12" s="21" t="n"/>
      <c r="G12" s="21" t="inlineStr">
        <is>
          <t>H. Lindqvist</t>
        </is>
      </c>
      <c r="H12" s="22" t="n">
        <v>46251</v>
      </c>
      <c r="I12" s="22" t="n">
        <v>46271</v>
      </c>
      <c r="J12" s="22" t="n"/>
      <c r="K12" s="21" t="inlineStr">
        <is>
          <t>In progress</t>
        </is>
      </c>
      <c r="L12" s="25">
        <f>IF($A12="","",IF($K12=A_DONE,IF($J12="","",$J12-$I12),IF($I12="","",TODAY()-$I12)))</f>
        <v/>
      </c>
      <c r="M12" s="24">
        <f>IF($A12="","",IF($K12=A_DONE,S_DONE,IF($I12="",S_NODUE,IF($L12&gt;0,S_LATE,IF($H12&lt;&gt;"",S_WIP,IF(-$L12&lt;=FEN_ACT,S_RISK,IF(-$L12&lt;=HORIZON,S_COMING,S_ONTRACK)))))))</f>
        <v/>
      </c>
      <c r="N12" s="21" t="n"/>
      <c r="P12" s="24">
        <f>IF(AND($A12&lt;&gt;"",$K12&lt;&gt;A_DONE,N($L12)&gt;0),$L12+ROW()/1000000,"")</f>
        <v/>
      </c>
      <c r="Q12" s="24">
        <f>IF(AND($A12&lt;&gt;"",$K12&lt;&gt;A_DONE,OR($H12&lt;&gt;"",N($L12)&gt;0)),N($L12)+ROW()/1000000,"")</f>
        <v/>
      </c>
      <c r="R12" s="24">
        <f>IF(AND($A12&lt;&gt;"",$K12&lt;&gt;A_DONE,$H12="",$I12&lt;&gt;"",N($L12)&lt;=0,-N($L12)&lt;=HORIZON),N($L12)+ROW()/1000000,"")</f>
        <v/>
      </c>
    </row>
    <row r="13">
      <c r="A13" s="21" t="inlineStr">
        <is>
          <t>ACT-010</t>
        </is>
      </c>
      <c r="B13" s="21" t="inlineStr">
        <is>
          <t>Submit Initial EESR for the signalling scope</t>
        </is>
      </c>
      <c r="C13" s="21" t="inlineStr">
        <is>
          <t>Pre-commissioning</t>
        </is>
      </c>
      <c r="D13" s="21" t="inlineStr">
        <is>
          <t>SYS-SG</t>
        </is>
      </c>
      <c r="E13" s="21" t="n"/>
      <c r="F13" s="21" t="n"/>
      <c r="G13" s="21" t="inlineStr">
        <is>
          <t>A. Mercer</t>
        </is>
      </c>
      <c r="H13" s="22" t="n"/>
      <c r="I13" s="22" t="n">
        <v>46256</v>
      </c>
      <c r="J13" s="22" t="n"/>
      <c r="K13" s="21" t="inlineStr">
        <is>
          <t>Open</t>
        </is>
      </c>
      <c r="L13" s="25">
        <f>IF($A13="","",IF($K13=A_DONE,IF($J13="","",$J13-$I13),IF($I13="","",TODAY()-$I13)))</f>
        <v/>
      </c>
      <c r="M13" s="24">
        <f>IF($A13="","",IF($K13=A_DONE,S_DONE,IF($I13="",S_NODUE,IF($L13&gt;0,S_LATE,IF($H13&lt;&gt;"",S_WIP,IF(-$L13&lt;=FEN_ACT,S_RISK,IF(-$L13&lt;=HORIZON,S_COMING,S_ONTRACK)))))))</f>
        <v/>
      </c>
      <c r="N13" s="21" t="n"/>
      <c r="P13" s="24">
        <f>IF(AND($A13&lt;&gt;"",$K13&lt;&gt;A_DONE,N($L13)&gt;0),$L13+ROW()/1000000,"")</f>
        <v/>
      </c>
      <c r="Q13" s="24">
        <f>IF(AND($A13&lt;&gt;"",$K13&lt;&gt;A_DONE,OR($H13&lt;&gt;"",N($L13)&gt;0)),N($L13)+ROW()/1000000,"")</f>
        <v/>
      </c>
      <c r="R13" s="24">
        <f>IF(AND($A13&lt;&gt;"",$K13&lt;&gt;A_DONE,$H13="",$I13&lt;&gt;"",N($L13)&lt;=0,-N($L13)&lt;=HORIZON),N($L13)+ROW()/1000000,"")</f>
        <v/>
      </c>
    </row>
    <row r="14">
      <c r="A14" s="21" t="inlineStr">
        <is>
          <t>ACT-011</t>
        </is>
      </c>
      <c r="B14" s="21" t="inlineStr">
        <is>
          <t>Agree beneficial use conditions with Operations</t>
        </is>
      </c>
      <c r="C14" s="21" t="inlineStr">
        <is>
          <t>Pre-commissioning</t>
        </is>
      </c>
      <c r="D14" s="21" t="inlineStr">
        <is>
          <t>SYS-TP</t>
        </is>
      </c>
      <c r="E14" s="21" t="n"/>
      <c r="F14" s="21" t="n"/>
      <c r="G14" s="21" t="inlineStr">
        <is>
          <t>S. Okonkwo</t>
        </is>
      </c>
      <c r="H14" s="22" t="n"/>
      <c r="I14" s="22" t="n">
        <v>46303</v>
      </c>
      <c r="J14" s="22" t="n"/>
      <c r="K14" s="21" t="inlineStr">
        <is>
          <t>On hold</t>
        </is>
      </c>
      <c r="L14" s="25">
        <f>IF($A14="","",IF($K14=A_DONE,IF($J14="","",$J14-$I14),IF($I14="","",TODAY()-$I14)))</f>
        <v/>
      </c>
      <c r="M14" s="24">
        <f>IF($A14="","",IF($K14=A_DONE,S_DONE,IF($I14="",S_NODUE,IF($L14&gt;0,S_LATE,IF($H14&lt;&gt;"",S_WIP,IF(-$L14&lt;=FEN_ACT,S_RISK,IF(-$L14&lt;=HORIZON,S_COMING,S_ONTRACK)))))))</f>
        <v/>
      </c>
      <c r="N14" s="21" t="n"/>
      <c r="P14" s="24">
        <f>IF(AND($A14&lt;&gt;"",$K14&lt;&gt;A_DONE,N($L14)&gt;0),$L14+ROW()/1000000,"")</f>
        <v/>
      </c>
      <c r="Q14" s="24">
        <f>IF(AND($A14&lt;&gt;"",$K14&lt;&gt;A_DONE,OR($H14&lt;&gt;"",N($L14)&gt;0)),N($L14)+ROW()/1000000,"")</f>
        <v/>
      </c>
      <c r="R14" s="24">
        <f>IF(AND($A14&lt;&gt;"",$K14&lt;&gt;A_DONE,$H14="",$I14&lt;&gt;"",N($L14)&lt;=0,-N($L14)&lt;=HORIZON),N($L14)+ROW()/1000000,"")</f>
        <v/>
      </c>
    </row>
    <row r="15">
      <c r="A15" s="21" t="inlineStr">
        <is>
          <t>ACT-012</t>
        </is>
      </c>
      <c r="B15" s="21" t="inlineStr">
        <is>
          <t>Verify smoke extraction damper actuator supply</t>
        </is>
      </c>
      <c r="C15" s="21" t="inlineStr">
        <is>
          <t>Pre-commissioning</t>
        </is>
      </c>
      <c r="D15" s="21" t="inlineStr">
        <is>
          <t>SYS-TV</t>
        </is>
      </c>
      <c r="E15" s="21" t="inlineStr">
        <is>
          <t>TV-SMK-03 Smoke Extraction Plant</t>
        </is>
      </c>
      <c r="F15" s="21" t="n"/>
      <c r="G15" s="21" t="inlineStr">
        <is>
          <t>L. Fontaine</t>
        </is>
      </c>
      <c r="H15" s="22" t="n"/>
      <c r="I15" s="22" t="n">
        <v>46310</v>
      </c>
      <c r="J15" s="22" t="n"/>
      <c r="K15" s="21" t="inlineStr">
        <is>
          <t>Open</t>
        </is>
      </c>
      <c r="L15" s="25">
        <f>IF($A15="","",IF($K15=A_DONE,IF($J15="","",$J15-$I15),IF($I15="","",TODAY()-$I15)))</f>
        <v/>
      </c>
      <c r="M15" s="24">
        <f>IF($A15="","",IF($K15=A_DONE,S_DONE,IF($I15="",S_NODUE,IF($L15&gt;0,S_LATE,IF($H15&lt;&gt;"",S_WIP,IF(-$L15&lt;=FEN_ACT,S_RISK,IF(-$L15&lt;=HORIZON,S_COMING,S_ONTRACK)))))))</f>
        <v/>
      </c>
      <c r="N15" s="21" t="n"/>
      <c r="P15" s="24">
        <f>IF(AND($A15&lt;&gt;"",$K15&lt;&gt;A_DONE,N($L15)&gt;0),$L15+ROW()/1000000,"")</f>
        <v/>
      </c>
      <c r="Q15" s="24">
        <f>IF(AND($A15&lt;&gt;"",$K15&lt;&gt;A_DONE,OR($H15&lt;&gt;"",N($L15)&gt;0)),N($L15)+ROW()/1000000,"")</f>
        <v/>
      </c>
      <c r="R15" s="24">
        <f>IF(AND($A15&lt;&gt;"",$K15&lt;&gt;A_DONE,$H15="",$I15&lt;&gt;"",N($L15)&lt;=0,-N($L15)&lt;=HORIZON),N($L15)+ROW()/1000000,"")</f>
        <v/>
      </c>
    </row>
    <row r="16">
      <c r="A16" s="21" t="inlineStr">
        <is>
          <t>ACT-013</t>
        </is>
      </c>
      <c r="B16" s="21" t="inlineStr">
        <is>
          <t>Complete fire detection loop cause and effect matrix</t>
        </is>
      </c>
      <c r="C16" s="21" t="inlineStr">
        <is>
          <t>Pre-commissioning</t>
        </is>
      </c>
      <c r="D16" s="21" t="inlineStr">
        <is>
          <t>SYS-FA</t>
        </is>
      </c>
      <c r="E16" s="21" t="inlineStr">
        <is>
          <t>FA-DET-02 Detection Loop Zone A</t>
        </is>
      </c>
      <c r="F16" s="21" t="n"/>
      <c r="G16" s="21" t="inlineStr">
        <is>
          <t>D. Petrov</t>
        </is>
      </c>
      <c r="H16" s="22" t="n"/>
      <c r="I16" s="22" t="n">
        <v>46319</v>
      </c>
      <c r="J16" s="22" t="n"/>
      <c r="K16" s="21" t="inlineStr">
        <is>
          <t>Open</t>
        </is>
      </c>
      <c r="L16" s="25">
        <f>IF($A16="","",IF($K16=A_DONE,IF($J16="","",$J16-$I16),IF($I16="","",TODAY()-$I16)))</f>
        <v/>
      </c>
      <c r="M16" s="24">
        <f>IF($A16="","",IF($K16=A_DONE,S_DONE,IF($I16="",S_NODUE,IF($L16&gt;0,S_LATE,IF($H16&lt;&gt;"",S_WIP,IF(-$L16&lt;=FEN_ACT,S_RISK,IF(-$L16&lt;=HORIZON,S_COMING,S_ONTRACK)))))))</f>
        <v/>
      </c>
      <c r="N16" s="21" t="n"/>
      <c r="P16" s="24">
        <f>IF(AND($A16&lt;&gt;"",$K16&lt;&gt;A_DONE,N($L16)&gt;0),$L16+ROW()/1000000,"")</f>
        <v/>
      </c>
      <c r="Q16" s="24">
        <f>IF(AND($A16&lt;&gt;"",$K16&lt;&gt;A_DONE,OR($H16&lt;&gt;"",N($L16)&gt;0)),N($L16)+ROW()/1000000,"")</f>
        <v/>
      </c>
      <c r="R16" s="24">
        <f>IF(AND($A16&lt;&gt;"",$K16&lt;&gt;A_DONE,$H16="",$I16&lt;&gt;"",N($L16)&lt;=0,-N($L16)&lt;=HORIZON),N($L16)+ROW()/1000000,"")</f>
        <v/>
      </c>
    </row>
    <row r="17">
      <c r="A17" s="21" t="inlineStr">
        <is>
          <t>ACT-014</t>
        </is>
      </c>
      <c r="B17" s="21" t="inlineStr">
        <is>
          <t>Rectify jet fan vibration readings on Tunnel 1</t>
        </is>
      </c>
      <c r="C17" s="21" t="inlineStr">
        <is>
          <t>Pre-commissioning</t>
        </is>
      </c>
      <c r="D17" s="21" t="inlineStr">
        <is>
          <t>SYS-TV</t>
        </is>
      </c>
      <c r="E17" s="21" t="inlineStr">
        <is>
          <t>TV-JET-01 Jet Fan Array Tunnel 1</t>
        </is>
      </c>
      <c r="F17" s="21" t="n"/>
      <c r="G17" s="21" t="inlineStr">
        <is>
          <t>J. Whitfield</t>
        </is>
      </c>
      <c r="H17" s="22" t="n">
        <v>46238</v>
      </c>
      <c r="I17" s="22" t="n">
        <v>46258</v>
      </c>
      <c r="J17" s="22" t="n"/>
      <c r="K17" s="21" t="inlineStr">
        <is>
          <t>In progress</t>
        </is>
      </c>
      <c r="L17" s="25">
        <f>IF($A17="","",IF($K17=A_DONE,IF($J17="","",$J17-$I17),IF($I17="","",TODAY()-$I17)))</f>
        <v/>
      </c>
      <c r="M17" s="24">
        <f>IF($A17="","",IF($K17=A_DONE,S_DONE,IF($I17="",S_NODUE,IF($L17&gt;0,S_LATE,IF($H17&lt;&gt;"",S_WIP,IF(-$L17&lt;=FEN_ACT,S_RISK,IF(-$L17&lt;=HORIZON,S_COMING,S_ONTRACK)))))))</f>
        <v/>
      </c>
      <c r="N17" s="21" t="n"/>
      <c r="P17" s="24">
        <f>IF(AND($A17&lt;&gt;"",$K17&lt;&gt;A_DONE,N($L17)&gt;0),$L17+ROW()/1000000,"")</f>
        <v/>
      </c>
      <c r="Q17" s="24">
        <f>IF(AND($A17&lt;&gt;"",$K17&lt;&gt;A_DONE,OR($H17&lt;&gt;"",N($L17)&gt;0)),N($L17)+ROW()/1000000,"")</f>
        <v/>
      </c>
      <c r="R17" s="24">
        <f>IF(AND($A17&lt;&gt;"",$K17&lt;&gt;A_DONE,$H17="",$I17&lt;&gt;"",N($L17)&lt;=0,-N($L17)&lt;=HORIZON),N($L17)+ROW()/1000000,"")</f>
        <v/>
      </c>
    </row>
    <row r="18">
      <c r="A18" s="21" t="inlineStr">
        <is>
          <t>ACT-015</t>
        </is>
      </c>
      <c r="B18" s="21" t="inlineStr">
        <is>
          <t>Archive approved bulk supply substation records</t>
        </is>
      </c>
      <c r="C18" s="21" t="inlineStr">
        <is>
          <t>Pre-commissioning</t>
        </is>
      </c>
      <c r="D18" s="21" t="inlineStr">
        <is>
          <t>SYS-TP</t>
        </is>
      </c>
      <c r="E18" s="21" t="inlineStr">
        <is>
          <t>TP-BSS-01 Bulk Supply Substation</t>
        </is>
      </c>
      <c r="F18" s="21" t="n"/>
      <c r="G18" s="21" t="inlineStr">
        <is>
          <t>P. Nakamura</t>
        </is>
      </c>
      <c r="H18" s="22" t="n">
        <v>46209</v>
      </c>
      <c r="I18" s="22" t="n">
        <v>46229</v>
      </c>
      <c r="J18" s="22" t="n">
        <v>46227</v>
      </c>
      <c r="K18" s="21" t="inlineStr">
        <is>
          <t>Done</t>
        </is>
      </c>
      <c r="L18" s="25">
        <f>IF($A18="","",IF($K18=A_DONE,IF($J18="","",$J18-$I18),IF($I18="","",TODAY()-$I18)))</f>
        <v/>
      </c>
      <c r="M18" s="24">
        <f>IF($A18="","",IF($K18=A_DONE,S_DONE,IF($I18="",S_NODUE,IF($L18&gt;0,S_LATE,IF($H18&lt;&gt;"",S_WIP,IF(-$L18&lt;=FEN_ACT,S_RISK,IF(-$L18&lt;=HORIZON,S_COMING,S_ONTRACK)))))))</f>
        <v/>
      </c>
      <c r="N18" s="21" t="n"/>
      <c r="P18" s="24">
        <f>IF(AND($A18&lt;&gt;"",$K18&lt;&gt;A_DONE,N($L18)&gt;0),$L18+ROW()/1000000,"")</f>
        <v/>
      </c>
      <c r="Q18" s="24">
        <f>IF(AND($A18&lt;&gt;"",$K18&lt;&gt;A_DONE,OR($H18&lt;&gt;"",N($L18)&gt;0)),N($L18)+ROW()/1000000,"")</f>
        <v/>
      </c>
      <c r="R18" s="24">
        <f>IF(AND($A18&lt;&gt;"",$K18&lt;&gt;A_DONE,$H18="",$I18&lt;&gt;"",N($L18)&lt;=0,-N($L18)&lt;=HORIZON),N($L18)+ROW()/1000000,"")</f>
        <v/>
      </c>
    </row>
    <row r="19">
      <c r="A19" s="21" t="inlineStr">
        <is>
          <t>ACT-016</t>
        </is>
      </c>
      <c r="B19" s="21" t="inlineStr">
        <is>
          <t>Confirm SCADA point list against the signalling interface</t>
        </is>
      </c>
      <c r="C19" s="21" t="inlineStr">
        <is>
          <t>Pre-commissioning</t>
        </is>
      </c>
      <c r="D19" s="21" t="inlineStr">
        <is>
          <t>SYS-CC</t>
        </is>
      </c>
      <c r="E19" s="21" t="inlineStr">
        <is>
          <t>CC-SRV-01 SCADA Server Cluster</t>
        </is>
      </c>
      <c r="F19" s="21" t="n"/>
      <c r="G19" s="21" t="inlineStr">
        <is>
          <t>K. Rasmussen</t>
        </is>
      </c>
      <c r="H19" s="22" t="n"/>
      <c r="I19" s="22" t="n">
        <v>46334</v>
      </c>
      <c r="J19" s="22" t="n"/>
      <c r="K19" s="21" t="inlineStr">
        <is>
          <t>Open</t>
        </is>
      </c>
      <c r="L19" s="25">
        <f>IF($A19="","",IF($K19=A_DONE,IF($J19="","",$J19-$I19),IF($I19="","",TODAY()-$I19)))</f>
        <v/>
      </c>
      <c r="M19" s="24">
        <f>IF($A19="","",IF($K19=A_DONE,S_DONE,IF($I19="",S_NODUE,IF($L19&gt;0,S_LATE,IF($H19&lt;&gt;"",S_WIP,IF(-$L19&lt;=FEN_ACT,S_RISK,IF(-$L19&lt;=HORIZON,S_COMING,S_ONTRACK)))))))</f>
        <v/>
      </c>
      <c r="N19" s="21" t="n"/>
      <c r="P19" s="24">
        <f>IF(AND($A19&lt;&gt;"",$K19&lt;&gt;A_DONE,N($L19)&gt;0),$L19+ROW()/1000000,"")</f>
        <v/>
      </c>
      <c r="Q19" s="24">
        <f>IF(AND($A19&lt;&gt;"",$K19&lt;&gt;A_DONE,OR($H19&lt;&gt;"",N($L19)&gt;0)),N($L19)+ROW()/1000000,"")</f>
        <v/>
      </c>
      <c r="R19" s="24">
        <f>IF(AND($A19&lt;&gt;"",$K19&lt;&gt;A_DONE,$H19="",$I19&lt;&gt;"",N($L19)&lt;=0,-N($L19)&lt;=HORIZON),N($L19)+ROW()/1000000,"")</f>
        <v/>
      </c>
    </row>
    <row r="20">
      <c r="A20" s="21" t="inlineStr">
        <is>
          <t>ACT-017</t>
        </is>
      </c>
      <c r="B20" s="21" t="inlineStr">
        <is>
          <t>Book UPS discharge test window with Operations</t>
        </is>
      </c>
      <c r="C20" s="21" t="inlineStr">
        <is>
          <t>Pre-commissioning</t>
        </is>
      </c>
      <c r="D20" s="21" t="inlineStr">
        <is>
          <t>SYS-LV</t>
        </is>
      </c>
      <c r="E20" s="21" t="inlineStr">
        <is>
          <t>LV-UPS-02 UPS Room A</t>
        </is>
      </c>
      <c r="F20" s="21" t="n"/>
      <c r="G20" s="21" t="inlineStr">
        <is>
          <t>R. Bellamy</t>
        </is>
      </c>
      <c r="H20" s="22" t="n"/>
      <c r="I20" s="22" t="n">
        <v>46327</v>
      </c>
      <c r="J20" s="22" t="n"/>
      <c r="K20" s="21" t="inlineStr">
        <is>
          <t>Open</t>
        </is>
      </c>
      <c r="L20" s="25">
        <f>IF($A20="","",IF($K20=A_DONE,IF($J20="","",$J20-$I20),IF($I20="","",TODAY()-$I20)))</f>
        <v/>
      </c>
      <c r="M20" s="24">
        <f>IF($A20="","",IF($K20=A_DONE,S_DONE,IF($I20="",S_NODUE,IF($L20&gt;0,S_LATE,IF($H20&lt;&gt;"",S_WIP,IF(-$L20&lt;=FEN_ACT,S_RISK,IF(-$L20&lt;=HORIZON,S_COMING,S_ONTRACK)))))))</f>
        <v/>
      </c>
      <c r="N20" s="21" t="n"/>
      <c r="P20" s="24">
        <f>IF(AND($A20&lt;&gt;"",$K20&lt;&gt;A_DONE,N($L20)&gt;0),$L20+ROW()/1000000,"")</f>
        <v/>
      </c>
      <c r="Q20" s="24">
        <f>IF(AND($A20&lt;&gt;"",$K20&lt;&gt;A_DONE,OR($H20&lt;&gt;"",N($L20)&gt;0)),N($L20)+ROW()/1000000,"")</f>
        <v/>
      </c>
      <c r="R20" s="24">
        <f>IF(AND($A20&lt;&gt;"",$K20&lt;&gt;A_DONE,$H20="",$I20&lt;&gt;"",N($L20)&lt;=0,-N($L20)&lt;=HORIZON),N($L20)+ROW()/1000000,"")</f>
        <v/>
      </c>
    </row>
    <row r="21">
      <c r="A21" s="21" t="inlineStr">
        <is>
          <t>ACT-018</t>
        </is>
      </c>
      <c r="B21" s="21" t="inlineStr">
        <is>
          <t>Issue Authority To Start evidence pack for traction power</t>
        </is>
      </c>
      <c r="C21" s="21" t="inlineStr">
        <is>
          <t>Pre-commissioning</t>
        </is>
      </c>
      <c r="D21" s="21" t="inlineStr">
        <is>
          <t>SYS-TP</t>
        </is>
      </c>
      <c r="E21" s="21" t="n"/>
      <c r="F21" s="21" t="n"/>
      <c r="G21" s="21" t="inlineStr">
        <is>
          <t>N. Bergstrom</t>
        </is>
      </c>
      <c r="H21" s="22" t="n">
        <v>46245</v>
      </c>
      <c r="I21" s="22" t="n">
        <v>46265</v>
      </c>
      <c r="J21" s="22" t="n"/>
      <c r="K21" s="21" t="inlineStr">
        <is>
          <t>In progress</t>
        </is>
      </c>
      <c r="L21" s="25">
        <f>IF($A21="","",IF($K21=A_DONE,IF($J21="","",$J21-$I21),IF($I21="","",TODAY()-$I21)))</f>
        <v/>
      </c>
      <c r="M21" s="24">
        <f>IF($A21="","",IF($K21=A_DONE,S_DONE,IF($I21="",S_NODUE,IF($L21&gt;0,S_LATE,IF($H21&lt;&gt;"",S_WIP,IF(-$L21&lt;=FEN_ACT,S_RISK,IF(-$L21&lt;=HORIZON,S_COMING,S_ONTRACK)))))))</f>
        <v/>
      </c>
      <c r="N21" s="21" t="n"/>
      <c r="P21" s="24">
        <f>IF(AND($A21&lt;&gt;"",$K21&lt;&gt;A_DONE,N($L21)&gt;0),$L21+ROW()/1000000,"")</f>
        <v/>
      </c>
      <c r="Q21" s="24">
        <f>IF(AND($A21&lt;&gt;"",$K21&lt;&gt;A_DONE,OR($H21&lt;&gt;"",N($L21)&gt;0)),N($L21)+ROW()/1000000,"")</f>
        <v/>
      </c>
      <c r="R21" s="24">
        <f>IF(AND($A21&lt;&gt;"",$K21&lt;&gt;A_DONE,$H21="",$I21&lt;&gt;"",N($L21)&lt;=0,-N($L21)&lt;=HORIZON),N($L21)+ROW()/1000000,"")</f>
        <v/>
      </c>
    </row>
    <row r="22">
      <c r="A22" s="21" t="n"/>
      <c r="B22" s="21" t="n"/>
      <c r="C22" s="21" t="n"/>
      <c r="D22" s="21" t="n"/>
      <c r="E22" s="21" t="n"/>
      <c r="F22" s="21" t="n"/>
      <c r="G22" s="21" t="n"/>
      <c r="H22" s="22" t="n"/>
      <c r="I22" s="22" t="n"/>
      <c r="J22" s="22" t="n"/>
      <c r="K22" s="21" t="n"/>
      <c r="L22" s="25">
        <f>IF($A22="","",IF($K22=A_DONE,IF($J22="","",$J22-$I22),IF($I22="","",TODAY()-$I22)))</f>
        <v/>
      </c>
      <c r="M22" s="24">
        <f>IF($A22="","",IF($K22=A_DONE,S_DONE,IF($I22="",S_NODUE,IF($L22&gt;0,S_LATE,IF($H22&lt;&gt;"",S_WIP,IF(-$L22&lt;=FEN_ACT,S_RISK,IF(-$L22&lt;=HORIZON,S_COMING,S_ONTRACK)))))))</f>
        <v/>
      </c>
      <c r="N22" s="21" t="n"/>
      <c r="P22" s="24">
        <f>IF(AND($A22&lt;&gt;"",$K22&lt;&gt;A_DONE,N($L22)&gt;0),$L22+ROW()/1000000,"")</f>
        <v/>
      </c>
      <c r="Q22" s="24">
        <f>IF(AND($A22&lt;&gt;"",$K22&lt;&gt;A_DONE,OR($H22&lt;&gt;"",N($L22)&gt;0)),N($L22)+ROW()/1000000,"")</f>
        <v/>
      </c>
      <c r="R22" s="24">
        <f>IF(AND($A22&lt;&gt;"",$K22&lt;&gt;A_DONE,$H22="",$I22&lt;&gt;"",N($L22)&lt;=0,-N($L22)&lt;=HORIZON),N($L22)+ROW()/1000000,"")</f>
        <v/>
      </c>
    </row>
    <row r="23">
      <c r="A23" s="21" t="n"/>
      <c r="B23" s="21" t="n"/>
      <c r="C23" s="21" t="n"/>
      <c r="D23" s="21" t="n"/>
      <c r="E23" s="21" t="n"/>
      <c r="F23" s="21" t="n"/>
      <c r="G23" s="21" t="n"/>
      <c r="H23" s="22" t="n"/>
      <c r="I23" s="22" t="n"/>
      <c r="J23" s="22" t="n"/>
      <c r="K23" s="21" t="n"/>
      <c r="L23" s="25">
        <f>IF($A23="","",IF($K23=A_DONE,IF($J23="","",$J23-$I23),IF($I23="","",TODAY()-$I23)))</f>
        <v/>
      </c>
      <c r="M23" s="24">
        <f>IF($A23="","",IF($K23=A_DONE,S_DONE,IF($I23="",S_NODUE,IF($L23&gt;0,S_LATE,IF($H23&lt;&gt;"",S_WIP,IF(-$L23&lt;=FEN_ACT,S_RISK,IF(-$L23&lt;=HORIZON,S_COMING,S_ONTRACK)))))))</f>
        <v/>
      </c>
      <c r="N23" s="21" t="n"/>
      <c r="P23" s="24">
        <f>IF(AND($A23&lt;&gt;"",$K23&lt;&gt;A_DONE,N($L23)&gt;0),$L23+ROW()/1000000,"")</f>
        <v/>
      </c>
      <c r="Q23" s="24">
        <f>IF(AND($A23&lt;&gt;"",$K23&lt;&gt;A_DONE,OR($H23&lt;&gt;"",N($L23)&gt;0)),N($L23)+ROW()/1000000,"")</f>
        <v/>
      </c>
      <c r="R23" s="24">
        <f>IF(AND($A23&lt;&gt;"",$K23&lt;&gt;A_DONE,$H23="",$I23&lt;&gt;"",N($L23)&lt;=0,-N($L23)&lt;=HORIZON),N($L23)+ROW()/1000000,"")</f>
        <v/>
      </c>
    </row>
    <row r="24">
      <c r="A24" s="21" t="n"/>
      <c r="B24" s="21" t="n"/>
      <c r="C24" s="21" t="n"/>
      <c r="D24" s="21" t="n"/>
      <c r="E24" s="21" t="n"/>
      <c r="F24" s="21" t="n"/>
      <c r="G24" s="21" t="n"/>
      <c r="H24" s="22" t="n"/>
      <c r="I24" s="22" t="n"/>
      <c r="J24" s="22" t="n"/>
      <c r="K24" s="21" t="n"/>
      <c r="L24" s="25">
        <f>IF($A24="","",IF($K24=A_DONE,IF($J24="","",$J24-$I24),IF($I24="","",TODAY()-$I24)))</f>
        <v/>
      </c>
      <c r="M24" s="24">
        <f>IF($A24="","",IF($K24=A_DONE,S_DONE,IF($I24="",S_NODUE,IF($L24&gt;0,S_LATE,IF($H24&lt;&gt;"",S_WIP,IF(-$L24&lt;=FEN_ACT,S_RISK,IF(-$L24&lt;=HORIZON,S_COMING,S_ONTRACK)))))))</f>
        <v/>
      </c>
      <c r="N24" s="21" t="n"/>
      <c r="P24" s="24">
        <f>IF(AND($A24&lt;&gt;"",$K24&lt;&gt;A_DONE,N($L24)&gt;0),$L24+ROW()/1000000,"")</f>
        <v/>
      </c>
      <c r="Q24" s="24">
        <f>IF(AND($A24&lt;&gt;"",$K24&lt;&gt;A_DONE,OR($H24&lt;&gt;"",N($L24)&gt;0)),N($L24)+ROW()/1000000,"")</f>
        <v/>
      </c>
      <c r="R24" s="24">
        <f>IF(AND($A24&lt;&gt;"",$K24&lt;&gt;A_DONE,$H24="",$I24&lt;&gt;"",N($L24)&lt;=0,-N($L24)&lt;=HORIZON),N($L24)+ROW()/1000000,"")</f>
        <v/>
      </c>
    </row>
    <row r="25">
      <c r="A25" s="21" t="n"/>
      <c r="B25" s="21" t="n"/>
      <c r="C25" s="21" t="n"/>
      <c r="D25" s="21" t="n"/>
      <c r="E25" s="21" t="n"/>
      <c r="F25" s="21" t="n"/>
      <c r="G25" s="21" t="n"/>
      <c r="H25" s="22" t="n"/>
      <c r="I25" s="22" t="n"/>
      <c r="J25" s="22" t="n"/>
      <c r="K25" s="21" t="n"/>
      <c r="L25" s="25">
        <f>IF($A25="","",IF($K25=A_DONE,IF($J25="","",$J25-$I25),IF($I25="","",TODAY()-$I25)))</f>
        <v/>
      </c>
      <c r="M25" s="24">
        <f>IF($A25="","",IF($K25=A_DONE,S_DONE,IF($I25="",S_NODUE,IF($L25&gt;0,S_LATE,IF($H25&lt;&gt;"",S_WIP,IF(-$L25&lt;=FEN_ACT,S_RISK,IF(-$L25&lt;=HORIZON,S_COMING,S_ONTRACK)))))))</f>
        <v/>
      </c>
      <c r="N25" s="21" t="n"/>
      <c r="P25" s="24">
        <f>IF(AND($A25&lt;&gt;"",$K25&lt;&gt;A_DONE,N($L25)&gt;0),$L25+ROW()/1000000,"")</f>
        <v/>
      </c>
      <c r="Q25" s="24">
        <f>IF(AND($A25&lt;&gt;"",$K25&lt;&gt;A_DONE,OR($H25&lt;&gt;"",N($L25)&gt;0)),N($L25)+ROW()/1000000,"")</f>
        <v/>
      </c>
      <c r="R25" s="24">
        <f>IF(AND($A25&lt;&gt;"",$K25&lt;&gt;A_DONE,$H25="",$I25&lt;&gt;"",N($L25)&lt;=0,-N($L25)&lt;=HORIZON),N($L25)+ROW()/1000000,"")</f>
        <v/>
      </c>
    </row>
    <row r="26">
      <c r="A26" s="21" t="n"/>
      <c r="B26" s="21" t="n"/>
      <c r="C26" s="21" t="n"/>
      <c r="D26" s="21" t="n"/>
      <c r="E26" s="21" t="n"/>
      <c r="F26" s="21" t="n"/>
      <c r="G26" s="21" t="n"/>
      <c r="H26" s="22" t="n"/>
      <c r="I26" s="22" t="n"/>
      <c r="J26" s="22" t="n"/>
      <c r="K26" s="21" t="n"/>
      <c r="L26" s="25">
        <f>IF($A26="","",IF($K26=A_DONE,IF($J26="","",$J26-$I26),IF($I26="","",TODAY()-$I26)))</f>
        <v/>
      </c>
      <c r="M26" s="24">
        <f>IF($A26="","",IF($K26=A_DONE,S_DONE,IF($I26="",S_NODUE,IF($L26&gt;0,S_LATE,IF($H26&lt;&gt;"",S_WIP,IF(-$L26&lt;=FEN_ACT,S_RISK,IF(-$L26&lt;=HORIZON,S_COMING,S_ONTRACK)))))))</f>
        <v/>
      </c>
      <c r="N26" s="21" t="n"/>
      <c r="P26" s="24">
        <f>IF(AND($A26&lt;&gt;"",$K26&lt;&gt;A_DONE,N($L26)&gt;0),$L26+ROW()/1000000,"")</f>
        <v/>
      </c>
      <c r="Q26" s="24">
        <f>IF(AND($A26&lt;&gt;"",$K26&lt;&gt;A_DONE,OR($H26&lt;&gt;"",N($L26)&gt;0)),N($L26)+ROW()/1000000,"")</f>
        <v/>
      </c>
      <c r="R26" s="24">
        <f>IF(AND($A26&lt;&gt;"",$K26&lt;&gt;A_DONE,$H26="",$I26&lt;&gt;"",N($L26)&lt;=0,-N($L26)&lt;=HORIZON),N($L26)+ROW()/1000000,"")</f>
        <v/>
      </c>
    </row>
    <row r="27">
      <c r="A27" s="21" t="n"/>
      <c r="B27" s="21" t="n"/>
      <c r="C27" s="21" t="n"/>
      <c r="D27" s="21" t="n"/>
      <c r="E27" s="21" t="n"/>
      <c r="F27" s="21" t="n"/>
      <c r="G27" s="21" t="n"/>
      <c r="H27" s="22" t="n"/>
      <c r="I27" s="22" t="n"/>
      <c r="J27" s="22" t="n"/>
      <c r="K27" s="21" t="n"/>
      <c r="L27" s="25">
        <f>IF($A27="","",IF($K27=A_DONE,IF($J27="","",$J27-$I27),IF($I27="","",TODAY()-$I27)))</f>
        <v/>
      </c>
      <c r="M27" s="24">
        <f>IF($A27="","",IF($K27=A_DONE,S_DONE,IF($I27="",S_NODUE,IF($L27&gt;0,S_LATE,IF($H27&lt;&gt;"",S_WIP,IF(-$L27&lt;=FEN_ACT,S_RISK,IF(-$L27&lt;=HORIZON,S_COMING,S_ONTRACK)))))))</f>
        <v/>
      </c>
      <c r="N27" s="21" t="n"/>
      <c r="P27" s="24">
        <f>IF(AND($A27&lt;&gt;"",$K27&lt;&gt;A_DONE,N($L27)&gt;0),$L27+ROW()/1000000,"")</f>
        <v/>
      </c>
      <c r="Q27" s="24">
        <f>IF(AND($A27&lt;&gt;"",$K27&lt;&gt;A_DONE,OR($H27&lt;&gt;"",N($L27)&gt;0)),N($L27)+ROW()/1000000,"")</f>
        <v/>
      </c>
      <c r="R27" s="24">
        <f>IF(AND($A27&lt;&gt;"",$K27&lt;&gt;A_DONE,$H27="",$I27&lt;&gt;"",N($L27)&lt;=0,-N($L27)&lt;=HORIZON),N($L27)+ROW()/1000000,"")</f>
        <v/>
      </c>
    </row>
    <row r="28">
      <c r="A28" s="21" t="n"/>
      <c r="B28" s="21" t="n"/>
      <c r="C28" s="21" t="n"/>
      <c r="D28" s="21" t="n"/>
      <c r="E28" s="21" t="n"/>
      <c r="F28" s="21" t="n"/>
      <c r="G28" s="21" t="n"/>
      <c r="H28" s="22" t="n"/>
      <c r="I28" s="22" t="n"/>
      <c r="J28" s="22" t="n"/>
      <c r="K28" s="21" t="n"/>
      <c r="L28" s="25">
        <f>IF($A28="","",IF($K28=A_DONE,IF($J28="","",$J28-$I28),IF($I28="","",TODAY()-$I28)))</f>
        <v/>
      </c>
      <c r="M28" s="24">
        <f>IF($A28="","",IF($K28=A_DONE,S_DONE,IF($I28="",S_NODUE,IF($L28&gt;0,S_LATE,IF($H28&lt;&gt;"",S_WIP,IF(-$L28&lt;=FEN_ACT,S_RISK,IF(-$L28&lt;=HORIZON,S_COMING,S_ONTRACK)))))))</f>
        <v/>
      </c>
      <c r="N28" s="21" t="n"/>
      <c r="P28" s="24">
        <f>IF(AND($A28&lt;&gt;"",$K28&lt;&gt;A_DONE,N($L28)&gt;0),$L28+ROW()/1000000,"")</f>
        <v/>
      </c>
      <c r="Q28" s="24">
        <f>IF(AND($A28&lt;&gt;"",$K28&lt;&gt;A_DONE,OR($H28&lt;&gt;"",N($L28)&gt;0)),N($L28)+ROW()/1000000,"")</f>
        <v/>
      </c>
      <c r="R28" s="24">
        <f>IF(AND($A28&lt;&gt;"",$K28&lt;&gt;A_DONE,$H28="",$I28&lt;&gt;"",N($L28)&lt;=0,-N($L28)&lt;=HORIZON),N($L28)+ROW()/1000000,"")</f>
        <v/>
      </c>
    </row>
    <row r="29">
      <c r="A29" s="21" t="n"/>
      <c r="B29" s="21" t="n"/>
      <c r="C29" s="21" t="n"/>
      <c r="D29" s="21" t="n"/>
      <c r="E29" s="21" t="n"/>
      <c r="F29" s="21" t="n"/>
      <c r="G29" s="21" t="n"/>
      <c r="H29" s="22" t="n"/>
      <c r="I29" s="22" t="n"/>
      <c r="J29" s="22" t="n"/>
      <c r="K29" s="21" t="n"/>
      <c r="L29" s="25">
        <f>IF($A29="","",IF($K29=A_DONE,IF($J29="","",$J29-$I29),IF($I29="","",TODAY()-$I29)))</f>
        <v/>
      </c>
      <c r="M29" s="24">
        <f>IF($A29="","",IF($K29=A_DONE,S_DONE,IF($I29="",S_NODUE,IF($L29&gt;0,S_LATE,IF($H29&lt;&gt;"",S_WIP,IF(-$L29&lt;=FEN_ACT,S_RISK,IF(-$L29&lt;=HORIZON,S_COMING,S_ONTRACK)))))))</f>
        <v/>
      </c>
      <c r="N29" s="21" t="n"/>
      <c r="P29" s="24">
        <f>IF(AND($A29&lt;&gt;"",$K29&lt;&gt;A_DONE,N($L29)&gt;0),$L29+ROW()/1000000,"")</f>
        <v/>
      </c>
      <c r="Q29" s="24">
        <f>IF(AND($A29&lt;&gt;"",$K29&lt;&gt;A_DONE,OR($H29&lt;&gt;"",N($L29)&gt;0)),N($L29)+ROW()/1000000,"")</f>
        <v/>
      </c>
      <c r="R29" s="24">
        <f>IF(AND($A29&lt;&gt;"",$K29&lt;&gt;A_DONE,$H29="",$I29&lt;&gt;"",N($L29)&lt;=0,-N($L29)&lt;=HORIZON),N($L29)+ROW()/1000000,"")</f>
        <v/>
      </c>
    </row>
    <row r="30">
      <c r="A30" s="21" t="n"/>
      <c r="B30" s="21" t="n"/>
      <c r="C30" s="21" t="n"/>
      <c r="D30" s="21" t="n"/>
      <c r="E30" s="21" t="n"/>
      <c r="F30" s="21" t="n"/>
      <c r="G30" s="21" t="n"/>
      <c r="H30" s="22" t="n"/>
      <c r="I30" s="22" t="n"/>
      <c r="J30" s="22" t="n"/>
      <c r="K30" s="21" t="n"/>
      <c r="L30" s="25">
        <f>IF($A30="","",IF($K30=A_DONE,IF($J30="","",$J30-$I30),IF($I30="","",TODAY()-$I30)))</f>
        <v/>
      </c>
      <c r="M30" s="24">
        <f>IF($A30="","",IF($K30=A_DONE,S_DONE,IF($I30="",S_NODUE,IF($L30&gt;0,S_LATE,IF($H30&lt;&gt;"",S_WIP,IF(-$L30&lt;=FEN_ACT,S_RISK,IF(-$L30&lt;=HORIZON,S_COMING,S_ONTRACK)))))))</f>
        <v/>
      </c>
      <c r="N30" s="21" t="n"/>
      <c r="P30" s="24">
        <f>IF(AND($A30&lt;&gt;"",$K30&lt;&gt;A_DONE,N($L30)&gt;0),$L30+ROW()/1000000,"")</f>
        <v/>
      </c>
      <c r="Q30" s="24">
        <f>IF(AND($A30&lt;&gt;"",$K30&lt;&gt;A_DONE,OR($H30&lt;&gt;"",N($L30)&gt;0)),N($L30)+ROW()/1000000,"")</f>
        <v/>
      </c>
      <c r="R30" s="24">
        <f>IF(AND($A30&lt;&gt;"",$K30&lt;&gt;A_DONE,$H30="",$I30&lt;&gt;"",N($L30)&lt;=0,-N($L30)&lt;=HORIZON),N($L30)+ROW()/1000000,"")</f>
        <v/>
      </c>
    </row>
    <row r="31">
      <c r="A31" s="21" t="n"/>
      <c r="B31" s="21" t="n"/>
      <c r="C31" s="21" t="n"/>
      <c r="D31" s="21" t="n"/>
      <c r="E31" s="21" t="n"/>
      <c r="F31" s="21" t="n"/>
      <c r="G31" s="21" t="n"/>
      <c r="H31" s="22" t="n"/>
      <c r="I31" s="22" t="n"/>
      <c r="J31" s="22" t="n"/>
      <c r="K31" s="21" t="n"/>
      <c r="L31" s="25">
        <f>IF($A31="","",IF($K31=A_DONE,IF($J31="","",$J31-$I31),IF($I31="","",TODAY()-$I31)))</f>
        <v/>
      </c>
      <c r="M31" s="24">
        <f>IF($A31="","",IF($K31=A_DONE,S_DONE,IF($I31="",S_NODUE,IF($L31&gt;0,S_LATE,IF($H31&lt;&gt;"",S_WIP,IF(-$L31&lt;=FEN_ACT,S_RISK,IF(-$L31&lt;=HORIZON,S_COMING,S_ONTRACK)))))))</f>
        <v/>
      </c>
      <c r="N31" s="21" t="n"/>
      <c r="P31" s="24">
        <f>IF(AND($A31&lt;&gt;"",$K31&lt;&gt;A_DONE,N($L31)&gt;0),$L31+ROW()/1000000,"")</f>
        <v/>
      </c>
      <c r="Q31" s="24">
        <f>IF(AND($A31&lt;&gt;"",$K31&lt;&gt;A_DONE,OR($H31&lt;&gt;"",N($L31)&gt;0)),N($L31)+ROW()/1000000,"")</f>
        <v/>
      </c>
      <c r="R31" s="24">
        <f>IF(AND($A31&lt;&gt;"",$K31&lt;&gt;A_DONE,$H31="",$I31&lt;&gt;"",N($L31)&lt;=0,-N($L31)&lt;=HORIZON),N($L31)+ROW()/1000000,"")</f>
        <v/>
      </c>
    </row>
    <row r="32">
      <c r="A32" s="21" t="n"/>
      <c r="B32" s="21" t="n"/>
      <c r="C32" s="21" t="n"/>
      <c r="D32" s="21" t="n"/>
      <c r="E32" s="21" t="n"/>
      <c r="F32" s="21" t="n"/>
      <c r="G32" s="21" t="n"/>
      <c r="H32" s="22" t="n"/>
      <c r="I32" s="22" t="n"/>
      <c r="J32" s="22" t="n"/>
      <c r="K32" s="21" t="n"/>
      <c r="L32" s="25">
        <f>IF($A32="","",IF($K32=A_DONE,IF($J32="","",$J32-$I32),IF($I32="","",TODAY()-$I32)))</f>
        <v/>
      </c>
      <c r="M32" s="24">
        <f>IF($A32="","",IF($K32=A_DONE,S_DONE,IF($I32="",S_NODUE,IF($L32&gt;0,S_LATE,IF($H32&lt;&gt;"",S_WIP,IF(-$L32&lt;=FEN_ACT,S_RISK,IF(-$L32&lt;=HORIZON,S_COMING,S_ONTRACK)))))))</f>
        <v/>
      </c>
      <c r="N32" s="21" t="n"/>
      <c r="P32" s="24">
        <f>IF(AND($A32&lt;&gt;"",$K32&lt;&gt;A_DONE,N($L32)&gt;0),$L32+ROW()/1000000,"")</f>
        <v/>
      </c>
      <c r="Q32" s="24">
        <f>IF(AND($A32&lt;&gt;"",$K32&lt;&gt;A_DONE,OR($H32&lt;&gt;"",N($L32)&gt;0)),N($L32)+ROW()/1000000,"")</f>
        <v/>
      </c>
      <c r="R32" s="24">
        <f>IF(AND($A32&lt;&gt;"",$K32&lt;&gt;A_DONE,$H32="",$I32&lt;&gt;"",N($L32)&lt;=0,-N($L32)&lt;=HORIZON),N($L32)+ROW()/1000000,"")</f>
        <v/>
      </c>
    </row>
    <row r="33">
      <c r="A33" s="21" t="n"/>
      <c r="B33" s="21" t="n"/>
      <c r="C33" s="21" t="n"/>
      <c r="D33" s="21" t="n"/>
      <c r="E33" s="21" t="n"/>
      <c r="F33" s="21" t="n"/>
      <c r="G33" s="21" t="n"/>
      <c r="H33" s="22" t="n"/>
      <c r="I33" s="22" t="n"/>
      <c r="J33" s="22" t="n"/>
      <c r="K33" s="21" t="n"/>
      <c r="L33" s="25">
        <f>IF($A33="","",IF($K33=A_DONE,IF($J33="","",$J33-$I33),IF($I33="","",TODAY()-$I33)))</f>
        <v/>
      </c>
      <c r="M33" s="24">
        <f>IF($A33="","",IF($K33=A_DONE,S_DONE,IF($I33="",S_NODUE,IF($L33&gt;0,S_LATE,IF($H33&lt;&gt;"",S_WIP,IF(-$L33&lt;=FEN_ACT,S_RISK,IF(-$L33&lt;=HORIZON,S_COMING,S_ONTRACK)))))))</f>
        <v/>
      </c>
      <c r="N33" s="21" t="n"/>
      <c r="P33" s="24">
        <f>IF(AND($A33&lt;&gt;"",$K33&lt;&gt;A_DONE,N($L33)&gt;0),$L33+ROW()/1000000,"")</f>
        <v/>
      </c>
      <c r="Q33" s="24">
        <f>IF(AND($A33&lt;&gt;"",$K33&lt;&gt;A_DONE,OR($H33&lt;&gt;"",N($L33)&gt;0)),N($L33)+ROW()/1000000,"")</f>
        <v/>
      </c>
      <c r="R33" s="24">
        <f>IF(AND($A33&lt;&gt;"",$K33&lt;&gt;A_DONE,$H33="",$I33&lt;&gt;"",N($L33)&lt;=0,-N($L33)&lt;=HORIZON),N($L33)+ROW()/1000000,"")</f>
        <v/>
      </c>
    </row>
    <row r="34">
      <c r="A34" s="21" t="n"/>
      <c r="B34" s="21" t="n"/>
      <c r="C34" s="21" t="n"/>
      <c r="D34" s="21" t="n"/>
      <c r="E34" s="21" t="n"/>
      <c r="F34" s="21" t="n"/>
      <c r="G34" s="21" t="n"/>
      <c r="H34" s="22" t="n"/>
      <c r="I34" s="22" t="n"/>
      <c r="J34" s="22" t="n"/>
      <c r="K34" s="21" t="n"/>
      <c r="L34" s="25">
        <f>IF($A34="","",IF($K34=A_DONE,IF($J34="","",$J34-$I34),IF($I34="","",TODAY()-$I34)))</f>
        <v/>
      </c>
      <c r="M34" s="24">
        <f>IF($A34="","",IF($K34=A_DONE,S_DONE,IF($I34="",S_NODUE,IF($L34&gt;0,S_LATE,IF($H34&lt;&gt;"",S_WIP,IF(-$L34&lt;=FEN_ACT,S_RISK,IF(-$L34&lt;=HORIZON,S_COMING,S_ONTRACK)))))))</f>
        <v/>
      </c>
      <c r="N34" s="21" t="n"/>
      <c r="P34" s="24">
        <f>IF(AND($A34&lt;&gt;"",$K34&lt;&gt;A_DONE,N($L34)&gt;0),$L34+ROW()/1000000,"")</f>
        <v/>
      </c>
      <c r="Q34" s="24">
        <f>IF(AND($A34&lt;&gt;"",$K34&lt;&gt;A_DONE,OR($H34&lt;&gt;"",N($L34)&gt;0)),N($L34)+ROW()/1000000,"")</f>
        <v/>
      </c>
      <c r="R34" s="24">
        <f>IF(AND($A34&lt;&gt;"",$K34&lt;&gt;A_DONE,$H34="",$I34&lt;&gt;"",N($L34)&lt;=0,-N($L34)&lt;=HORIZON),N($L34)+ROW()/1000000,"")</f>
        <v/>
      </c>
    </row>
    <row r="35">
      <c r="A35" s="21" t="n"/>
      <c r="B35" s="21" t="n"/>
      <c r="C35" s="21" t="n"/>
      <c r="D35" s="21" t="n"/>
      <c r="E35" s="21" t="n"/>
      <c r="F35" s="21" t="n"/>
      <c r="G35" s="21" t="n"/>
      <c r="H35" s="22" t="n"/>
      <c r="I35" s="22" t="n"/>
      <c r="J35" s="22" t="n"/>
      <c r="K35" s="21" t="n"/>
      <c r="L35" s="25">
        <f>IF($A35="","",IF($K35=A_DONE,IF($J35="","",$J35-$I35),IF($I35="","",TODAY()-$I35)))</f>
        <v/>
      </c>
      <c r="M35" s="24">
        <f>IF($A35="","",IF($K35=A_DONE,S_DONE,IF($I35="",S_NODUE,IF($L35&gt;0,S_LATE,IF($H35&lt;&gt;"",S_WIP,IF(-$L35&lt;=FEN_ACT,S_RISK,IF(-$L35&lt;=HORIZON,S_COMING,S_ONTRACK)))))))</f>
        <v/>
      </c>
      <c r="N35" s="21" t="n"/>
      <c r="P35" s="24">
        <f>IF(AND($A35&lt;&gt;"",$K35&lt;&gt;A_DONE,N($L35)&gt;0),$L35+ROW()/1000000,"")</f>
        <v/>
      </c>
      <c r="Q35" s="24">
        <f>IF(AND($A35&lt;&gt;"",$K35&lt;&gt;A_DONE,OR($H35&lt;&gt;"",N($L35)&gt;0)),N($L35)+ROW()/1000000,"")</f>
        <v/>
      </c>
      <c r="R35" s="24">
        <f>IF(AND($A35&lt;&gt;"",$K35&lt;&gt;A_DONE,$H35="",$I35&lt;&gt;"",N($L35)&lt;=0,-N($L35)&lt;=HORIZON),N($L35)+ROW()/1000000,"")</f>
        <v/>
      </c>
    </row>
    <row r="36">
      <c r="A36" s="21" t="n"/>
      <c r="B36" s="21" t="n"/>
      <c r="C36" s="21" t="n"/>
      <c r="D36" s="21" t="n"/>
      <c r="E36" s="21" t="n"/>
      <c r="F36" s="21" t="n"/>
      <c r="G36" s="21" t="n"/>
      <c r="H36" s="22" t="n"/>
      <c r="I36" s="22" t="n"/>
      <c r="J36" s="22" t="n"/>
      <c r="K36" s="21" t="n"/>
      <c r="L36" s="25">
        <f>IF($A36="","",IF($K36=A_DONE,IF($J36="","",$J36-$I36),IF($I36="","",TODAY()-$I36)))</f>
        <v/>
      </c>
      <c r="M36" s="24">
        <f>IF($A36="","",IF($K36=A_DONE,S_DONE,IF($I36="",S_NODUE,IF($L36&gt;0,S_LATE,IF($H36&lt;&gt;"",S_WIP,IF(-$L36&lt;=FEN_ACT,S_RISK,IF(-$L36&lt;=HORIZON,S_COMING,S_ONTRACK)))))))</f>
        <v/>
      </c>
      <c r="N36" s="21" t="n"/>
      <c r="P36" s="24">
        <f>IF(AND($A36&lt;&gt;"",$K36&lt;&gt;A_DONE,N($L36)&gt;0),$L36+ROW()/1000000,"")</f>
        <v/>
      </c>
      <c r="Q36" s="24">
        <f>IF(AND($A36&lt;&gt;"",$K36&lt;&gt;A_DONE,OR($H36&lt;&gt;"",N($L36)&gt;0)),N($L36)+ROW()/1000000,"")</f>
        <v/>
      </c>
      <c r="R36" s="24">
        <f>IF(AND($A36&lt;&gt;"",$K36&lt;&gt;A_DONE,$H36="",$I36&lt;&gt;"",N($L36)&lt;=0,-N($L36)&lt;=HORIZON),N($L36)+ROW()/1000000,"")</f>
        <v/>
      </c>
    </row>
    <row r="37">
      <c r="A37" s="21" t="n"/>
      <c r="B37" s="21" t="n"/>
      <c r="C37" s="21" t="n"/>
      <c r="D37" s="21" t="n"/>
      <c r="E37" s="21" t="n"/>
      <c r="F37" s="21" t="n"/>
      <c r="G37" s="21" t="n"/>
      <c r="H37" s="22" t="n"/>
      <c r="I37" s="22" t="n"/>
      <c r="J37" s="22" t="n"/>
      <c r="K37" s="21" t="n"/>
      <c r="L37" s="25">
        <f>IF($A37="","",IF($K37=A_DONE,IF($J37="","",$J37-$I37),IF($I37="","",TODAY()-$I37)))</f>
        <v/>
      </c>
      <c r="M37" s="24">
        <f>IF($A37="","",IF($K37=A_DONE,S_DONE,IF($I37="",S_NODUE,IF($L37&gt;0,S_LATE,IF($H37&lt;&gt;"",S_WIP,IF(-$L37&lt;=FEN_ACT,S_RISK,IF(-$L37&lt;=HORIZON,S_COMING,S_ONTRACK)))))))</f>
        <v/>
      </c>
      <c r="N37" s="21" t="n"/>
      <c r="P37" s="24">
        <f>IF(AND($A37&lt;&gt;"",$K37&lt;&gt;A_DONE,N($L37)&gt;0),$L37+ROW()/1000000,"")</f>
        <v/>
      </c>
      <c r="Q37" s="24">
        <f>IF(AND($A37&lt;&gt;"",$K37&lt;&gt;A_DONE,OR($H37&lt;&gt;"",N($L37)&gt;0)),N($L37)+ROW()/1000000,"")</f>
        <v/>
      </c>
      <c r="R37" s="24">
        <f>IF(AND($A37&lt;&gt;"",$K37&lt;&gt;A_DONE,$H37="",$I37&lt;&gt;"",N($L37)&lt;=0,-N($L37)&lt;=HORIZON),N($L37)+ROW()/1000000,"")</f>
        <v/>
      </c>
    </row>
    <row r="38">
      <c r="A38" s="21" t="n"/>
      <c r="B38" s="21" t="n"/>
      <c r="C38" s="21" t="n"/>
      <c r="D38" s="21" t="n"/>
      <c r="E38" s="21" t="n"/>
      <c r="F38" s="21" t="n"/>
      <c r="G38" s="21" t="n"/>
      <c r="H38" s="22" t="n"/>
      <c r="I38" s="22" t="n"/>
      <c r="J38" s="22" t="n"/>
      <c r="K38" s="21" t="n"/>
      <c r="L38" s="25">
        <f>IF($A38="","",IF($K38=A_DONE,IF($J38="","",$J38-$I38),IF($I38="","",TODAY()-$I38)))</f>
        <v/>
      </c>
      <c r="M38" s="24">
        <f>IF($A38="","",IF($K38=A_DONE,S_DONE,IF($I38="",S_NODUE,IF($L38&gt;0,S_LATE,IF($H38&lt;&gt;"",S_WIP,IF(-$L38&lt;=FEN_ACT,S_RISK,IF(-$L38&lt;=HORIZON,S_COMING,S_ONTRACK)))))))</f>
        <v/>
      </c>
      <c r="N38" s="21" t="n"/>
      <c r="P38" s="24">
        <f>IF(AND($A38&lt;&gt;"",$K38&lt;&gt;A_DONE,N($L38)&gt;0),$L38+ROW()/1000000,"")</f>
        <v/>
      </c>
      <c r="Q38" s="24">
        <f>IF(AND($A38&lt;&gt;"",$K38&lt;&gt;A_DONE,OR($H38&lt;&gt;"",N($L38)&gt;0)),N($L38)+ROW()/1000000,"")</f>
        <v/>
      </c>
      <c r="R38" s="24">
        <f>IF(AND($A38&lt;&gt;"",$K38&lt;&gt;A_DONE,$H38="",$I38&lt;&gt;"",N($L38)&lt;=0,-N($L38)&lt;=HORIZON),N($L38)+ROW()/1000000,"")</f>
        <v/>
      </c>
    </row>
    <row r="39">
      <c r="A39" s="21" t="n"/>
      <c r="B39" s="21" t="n"/>
      <c r="C39" s="21" t="n"/>
      <c r="D39" s="21" t="n"/>
      <c r="E39" s="21" t="n"/>
      <c r="F39" s="21" t="n"/>
      <c r="G39" s="21" t="n"/>
      <c r="H39" s="22" t="n"/>
      <c r="I39" s="22" t="n"/>
      <c r="J39" s="22" t="n"/>
      <c r="K39" s="21" t="n"/>
      <c r="L39" s="25">
        <f>IF($A39="","",IF($K39=A_DONE,IF($J39="","",$J39-$I39),IF($I39="","",TODAY()-$I39)))</f>
        <v/>
      </c>
      <c r="M39" s="24">
        <f>IF($A39="","",IF($K39=A_DONE,S_DONE,IF($I39="",S_NODUE,IF($L39&gt;0,S_LATE,IF($H39&lt;&gt;"",S_WIP,IF(-$L39&lt;=FEN_ACT,S_RISK,IF(-$L39&lt;=HORIZON,S_COMING,S_ONTRACK)))))))</f>
        <v/>
      </c>
      <c r="N39" s="21" t="n"/>
      <c r="P39" s="24">
        <f>IF(AND($A39&lt;&gt;"",$K39&lt;&gt;A_DONE,N($L39)&gt;0),$L39+ROW()/1000000,"")</f>
        <v/>
      </c>
      <c r="Q39" s="24">
        <f>IF(AND($A39&lt;&gt;"",$K39&lt;&gt;A_DONE,OR($H39&lt;&gt;"",N($L39)&gt;0)),N($L39)+ROW()/1000000,"")</f>
        <v/>
      </c>
      <c r="R39" s="24">
        <f>IF(AND($A39&lt;&gt;"",$K39&lt;&gt;A_DONE,$H39="",$I39&lt;&gt;"",N($L39)&lt;=0,-N($L39)&lt;=HORIZON),N($L39)+ROW()/1000000,"")</f>
        <v/>
      </c>
    </row>
    <row r="40">
      <c r="A40" s="21" t="n"/>
      <c r="B40" s="21" t="n"/>
      <c r="C40" s="21" t="n"/>
      <c r="D40" s="21" t="n"/>
      <c r="E40" s="21" t="n"/>
      <c r="F40" s="21" t="n"/>
      <c r="G40" s="21" t="n"/>
      <c r="H40" s="22" t="n"/>
      <c r="I40" s="22" t="n"/>
      <c r="J40" s="22" t="n"/>
      <c r="K40" s="21" t="n"/>
      <c r="L40" s="25">
        <f>IF($A40="","",IF($K40=A_DONE,IF($J40="","",$J40-$I40),IF($I40="","",TODAY()-$I40)))</f>
        <v/>
      </c>
      <c r="M40" s="24">
        <f>IF($A40="","",IF($K40=A_DONE,S_DONE,IF($I40="",S_NODUE,IF($L40&gt;0,S_LATE,IF($H40&lt;&gt;"",S_WIP,IF(-$L40&lt;=FEN_ACT,S_RISK,IF(-$L40&lt;=HORIZON,S_COMING,S_ONTRACK)))))))</f>
        <v/>
      </c>
      <c r="N40" s="21" t="n"/>
      <c r="P40" s="24">
        <f>IF(AND($A40&lt;&gt;"",$K40&lt;&gt;A_DONE,N($L40)&gt;0),$L40+ROW()/1000000,"")</f>
        <v/>
      </c>
      <c r="Q40" s="24">
        <f>IF(AND($A40&lt;&gt;"",$K40&lt;&gt;A_DONE,OR($H40&lt;&gt;"",N($L40)&gt;0)),N($L40)+ROW()/1000000,"")</f>
        <v/>
      </c>
      <c r="R40" s="24">
        <f>IF(AND($A40&lt;&gt;"",$K40&lt;&gt;A_DONE,$H40="",$I40&lt;&gt;"",N($L40)&lt;=0,-N($L40)&lt;=HORIZON),N($L40)+ROW()/1000000,"")</f>
        <v/>
      </c>
    </row>
    <row r="41">
      <c r="A41" s="21" t="n"/>
      <c r="B41" s="21" t="n"/>
      <c r="C41" s="21" t="n"/>
      <c r="D41" s="21" t="n"/>
      <c r="E41" s="21" t="n"/>
      <c r="F41" s="21" t="n"/>
      <c r="G41" s="21" t="n"/>
      <c r="H41" s="22" t="n"/>
      <c r="I41" s="22" t="n"/>
      <c r="J41" s="22" t="n"/>
      <c r="K41" s="21" t="n"/>
      <c r="L41" s="25">
        <f>IF($A41="","",IF($K41=A_DONE,IF($J41="","",$J41-$I41),IF($I41="","",TODAY()-$I41)))</f>
        <v/>
      </c>
      <c r="M41" s="24">
        <f>IF($A41="","",IF($K41=A_DONE,S_DONE,IF($I41="",S_NODUE,IF($L41&gt;0,S_LATE,IF($H41&lt;&gt;"",S_WIP,IF(-$L41&lt;=FEN_ACT,S_RISK,IF(-$L41&lt;=HORIZON,S_COMING,S_ONTRACK)))))))</f>
        <v/>
      </c>
      <c r="N41" s="21" t="n"/>
      <c r="P41" s="24">
        <f>IF(AND($A41&lt;&gt;"",$K41&lt;&gt;A_DONE,N($L41)&gt;0),$L41+ROW()/1000000,"")</f>
        <v/>
      </c>
      <c r="Q41" s="24">
        <f>IF(AND($A41&lt;&gt;"",$K41&lt;&gt;A_DONE,OR($H41&lt;&gt;"",N($L41)&gt;0)),N($L41)+ROW()/1000000,"")</f>
        <v/>
      </c>
      <c r="R41" s="24">
        <f>IF(AND($A41&lt;&gt;"",$K41&lt;&gt;A_DONE,$H41="",$I41&lt;&gt;"",N($L41)&lt;=0,-N($L41)&lt;=HORIZON),N($L41)+ROW()/1000000,"")</f>
        <v/>
      </c>
    </row>
    <row r="42">
      <c r="A42" s="21" t="n"/>
      <c r="B42" s="21" t="n"/>
      <c r="C42" s="21" t="n"/>
      <c r="D42" s="21" t="n"/>
      <c r="E42" s="21" t="n"/>
      <c r="F42" s="21" t="n"/>
      <c r="G42" s="21" t="n"/>
      <c r="H42" s="22" t="n"/>
      <c r="I42" s="22" t="n"/>
      <c r="J42" s="22" t="n"/>
      <c r="K42" s="21" t="n"/>
      <c r="L42" s="25">
        <f>IF($A42="","",IF($K42=A_DONE,IF($J42="","",$J42-$I42),IF($I42="","",TODAY()-$I42)))</f>
        <v/>
      </c>
      <c r="M42" s="24">
        <f>IF($A42="","",IF($K42=A_DONE,S_DONE,IF($I42="",S_NODUE,IF($L42&gt;0,S_LATE,IF($H42&lt;&gt;"",S_WIP,IF(-$L42&lt;=FEN_ACT,S_RISK,IF(-$L42&lt;=HORIZON,S_COMING,S_ONTRACK)))))))</f>
        <v/>
      </c>
      <c r="N42" s="21" t="n"/>
      <c r="P42" s="24">
        <f>IF(AND($A42&lt;&gt;"",$K42&lt;&gt;A_DONE,N($L42)&gt;0),$L42+ROW()/1000000,"")</f>
        <v/>
      </c>
      <c r="Q42" s="24">
        <f>IF(AND($A42&lt;&gt;"",$K42&lt;&gt;A_DONE,OR($H42&lt;&gt;"",N($L42)&gt;0)),N($L42)+ROW()/1000000,"")</f>
        <v/>
      </c>
      <c r="R42" s="24">
        <f>IF(AND($A42&lt;&gt;"",$K42&lt;&gt;A_DONE,$H42="",$I42&lt;&gt;"",N($L42)&lt;=0,-N($L42)&lt;=HORIZON),N($L42)+ROW()/1000000,"")</f>
        <v/>
      </c>
    </row>
    <row r="43">
      <c r="A43" s="21" t="n"/>
      <c r="B43" s="21" t="n"/>
      <c r="C43" s="21" t="n"/>
      <c r="D43" s="21" t="n"/>
      <c r="E43" s="21" t="n"/>
      <c r="F43" s="21" t="n"/>
      <c r="G43" s="21" t="n"/>
      <c r="H43" s="22" t="n"/>
      <c r="I43" s="22" t="n"/>
      <c r="J43" s="22" t="n"/>
      <c r="K43" s="21" t="n"/>
      <c r="L43" s="25">
        <f>IF($A43="","",IF($K43=A_DONE,IF($J43="","",$J43-$I43),IF($I43="","",TODAY()-$I43)))</f>
        <v/>
      </c>
      <c r="M43" s="24">
        <f>IF($A43="","",IF($K43=A_DONE,S_DONE,IF($I43="",S_NODUE,IF($L43&gt;0,S_LATE,IF($H43&lt;&gt;"",S_WIP,IF(-$L43&lt;=FEN_ACT,S_RISK,IF(-$L43&lt;=HORIZON,S_COMING,S_ONTRACK)))))))</f>
        <v/>
      </c>
      <c r="N43" s="21" t="n"/>
      <c r="P43" s="24">
        <f>IF(AND($A43&lt;&gt;"",$K43&lt;&gt;A_DONE,N($L43)&gt;0),$L43+ROW()/1000000,"")</f>
        <v/>
      </c>
      <c r="Q43" s="24">
        <f>IF(AND($A43&lt;&gt;"",$K43&lt;&gt;A_DONE,OR($H43&lt;&gt;"",N($L43)&gt;0)),N($L43)+ROW()/1000000,"")</f>
        <v/>
      </c>
      <c r="R43" s="24">
        <f>IF(AND($A43&lt;&gt;"",$K43&lt;&gt;A_DONE,$H43="",$I43&lt;&gt;"",N($L43)&lt;=0,-N($L43)&lt;=HORIZON),N($L43)+ROW()/1000000,"")</f>
        <v/>
      </c>
    </row>
    <row r="44">
      <c r="A44" s="21" t="n"/>
      <c r="B44" s="21" t="n"/>
      <c r="C44" s="21" t="n"/>
      <c r="D44" s="21" t="n"/>
      <c r="E44" s="21" t="n"/>
      <c r="F44" s="21" t="n"/>
      <c r="G44" s="21" t="n"/>
      <c r="H44" s="22" t="n"/>
      <c r="I44" s="22" t="n"/>
      <c r="J44" s="22" t="n"/>
      <c r="K44" s="21" t="n"/>
      <c r="L44" s="25">
        <f>IF($A44="","",IF($K44=A_DONE,IF($J44="","",$J44-$I44),IF($I44="","",TODAY()-$I44)))</f>
        <v/>
      </c>
      <c r="M44" s="24">
        <f>IF($A44="","",IF($K44=A_DONE,S_DONE,IF($I44="",S_NODUE,IF($L44&gt;0,S_LATE,IF($H44&lt;&gt;"",S_WIP,IF(-$L44&lt;=FEN_ACT,S_RISK,IF(-$L44&lt;=HORIZON,S_COMING,S_ONTRACK)))))))</f>
        <v/>
      </c>
      <c r="N44" s="21" t="n"/>
      <c r="P44" s="24">
        <f>IF(AND($A44&lt;&gt;"",$K44&lt;&gt;A_DONE,N($L44)&gt;0),$L44+ROW()/1000000,"")</f>
        <v/>
      </c>
      <c r="Q44" s="24">
        <f>IF(AND($A44&lt;&gt;"",$K44&lt;&gt;A_DONE,OR($H44&lt;&gt;"",N($L44)&gt;0)),N($L44)+ROW()/1000000,"")</f>
        <v/>
      </c>
      <c r="R44" s="24">
        <f>IF(AND($A44&lt;&gt;"",$K44&lt;&gt;A_DONE,$H44="",$I44&lt;&gt;"",N($L44)&lt;=0,-N($L44)&lt;=HORIZON),N($L44)+ROW()/1000000,"")</f>
        <v/>
      </c>
    </row>
    <row r="45">
      <c r="A45" s="21" t="n"/>
      <c r="B45" s="21" t="n"/>
      <c r="C45" s="21" t="n"/>
      <c r="D45" s="21" t="n"/>
      <c r="E45" s="21" t="n"/>
      <c r="F45" s="21" t="n"/>
      <c r="G45" s="21" t="n"/>
      <c r="H45" s="22" t="n"/>
      <c r="I45" s="22" t="n"/>
      <c r="J45" s="22" t="n"/>
      <c r="K45" s="21" t="n"/>
      <c r="L45" s="25">
        <f>IF($A45="","",IF($K45=A_DONE,IF($J45="","",$J45-$I45),IF($I45="","",TODAY()-$I45)))</f>
        <v/>
      </c>
      <c r="M45" s="24">
        <f>IF($A45="","",IF($K45=A_DONE,S_DONE,IF($I45="",S_NODUE,IF($L45&gt;0,S_LATE,IF($H45&lt;&gt;"",S_WIP,IF(-$L45&lt;=FEN_ACT,S_RISK,IF(-$L45&lt;=HORIZON,S_COMING,S_ONTRACK)))))))</f>
        <v/>
      </c>
      <c r="N45" s="21" t="n"/>
      <c r="P45" s="24">
        <f>IF(AND($A45&lt;&gt;"",$K45&lt;&gt;A_DONE,N($L45)&gt;0),$L45+ROW()/1000000,"")</f>
        <v/>
      </c>
      <c r="Q45" s="24">
        <f>IF(AND($A45&lt;&gt;"",$K45&lt;&gt;A_DONE,OR($H45&lt;&gt;"",N($L45)&gt;0)),N($L45)+ROW()/1000000,"")</f>
        <v/>
      </c>
      <c r="R45" s="24">
        <f>IF(AND($A45&lt;&gt;"",$K45&lt;&gt;A_DONE,$H45="",$I45&lt;&gt;"",N($L45)&lt;=0,-N($L45)&lt;=HORIZON),N($L45)+ROW()/1000000,"")</f>
        <v/>
      </c>
    </row>
    <row r="46">
      <c r="A46" s="21" t="n"/>
      <c r="B46" s="21" t="n"/>
      <c r="C46" s="21" t="n"/>
      <c r="D46" s="21" t="n"/>
      <c r="E46" s="21" t="n"/>
      <c r="F46" s="21" t="n"/>
      <c r="G46" s="21" t="n"/>
      <c r="H46" s="22" t="n"/>
      <c r="I46" s="22" t="n"/>
      <c r="J46" s="22" t="n"/>
      <c r="K46" s="21" t="n"/>
      <c r="L46" s="25">
        <f>IF($A46="","",IF($K46=A_DONE,IF($J46="","",$J46-$I46),IF($I46="","",TODAY()-$I46)))</f>
        <v/>
      </c>
      <c r="M46" s="24">
        <f>IF($A46="","",IF($K46=A_DONE,S_DONE,IF($I46="",S_NODUE,IF($L46&gt;0,S_LATE,IF($H46&lt;&gt;"",S_WIP,IF(-$L46&lt;=FEN_ACT,S_RISK,IF(-$L46&lt;=HORIZON,S_COMING,S_ONTRACK)))))))</f>
        <v/>
      </c>
      <c r="N46" s="21" t="n"/>
      <c r="P46" s="24">
        <f>IF(AND($A46&lt;&gt;"",$K46&lt;&gt;A_DONE,N($L46)&gt;0),$L46+ROW()/1000000,"")</f>
        <v/>
      </c>
      <c r="Q46" s="24">
        <f>IF(AND($A46&lt;&gt;"",$K46&lt;&gt;A_DONE,OR($H46&lt;&gt;"",N($L46)&gt;0)),N($L46)+ROW()/1000000,"")</f>
        <v/>
      </c>
      <c r="R46" s="24">
        <f>IF(AND($A46&lt;&gt;"",$K46&lt;&gt;A_DONE,$H46="",$I46&lt;&gt;"",N($L46)&lt;=0,-N($L46)&lt;=HORIZON),N($L46)+ROW()/1000000,"")</f>
        <v/>
      </c>
    </row>
    <row r="47">
      <c r="A47" s="21" t="n"/>
      <c r="B47" s="21" t="n"/>
      <c r="C47" s="21" t="n"/>
      <c r="D47" s="21" t="n"/>
      <c r="E47" s="21" t="n"/>
      <c r="F47" s="21" t="n"/>
      <c r="G47" s="21" t="n"/>
      <c r="H47" s="22" t="n"/>
      <c r="I47" s="22" t="n"/>
      <c r="J47" s="22" t="n"/>
      <c r="K47" s="21" t="n"/>
      <c r="L47" s="25">
        <f>IF($A47="","",IF($K47=A_DONE,IF($J47="","",$J47-$I47),IF($I47="","",TODAY()-$I47)))</f>
        <v/>
      </c>
      <c r="M47" s="24">
        <f>IF($A47="","",IF($K47=A_DONE,S_DONE,IF($I47="",S_NODUE,IF($L47&gt;0,S_LATE,IF($H47&lt;&gt;"",S_WIP,IF(-$L47&lt;=FEN_ACT,S_RISK,IF(-$L47&lt;=HORIZON,S_COMING,S_ONTRACK)))))))</f>
        <v/>
      </c>
      <c r="N47" s="21" t="n"/>
      <c r="P47" s="24">
        <f>IF(AND($A47&lt;&gt;"",$K47&lt;&gt;A_DONE,N($L47)&gt;0),$L47+ROW()/1000000,"")</f>
        <v/>
      </c>
      <c r="Q47" s="24">
        <f>IF(AND($A47&lt;&gt;"",$K47&lt;&gt;A_DONE,OR($H47&lt;&gt;"",N($L47)&gt;0)),N($L47)+ROW()/1000000,"")</f>
        <v/>
      </c>
      <c r="R47" s="24">
        <f>IF(AND($A47&lt;&gt;"",$K47&lt;&gt;A_DONE,$H47="",$I47&lt;&gt;"",N($L47)&lt;=0,-N($L47)&lt;=HORIZON),N($L47)+ROW()/1000000,"")</f>
        <v/>
      </c>
    </row>
    <row r="48">
      <c r="A48" s="21" t="n"/>
      <c r="B48" s="21" t="n"/>
      <c r="C48" s="21" t="n"/>
      <c r="D48" s="21" t="n"/>
      <c r="E48" s="21" t="n"/>
      <c r="F48" s="21" t="n"/>
      <c r="G48" s="21" t="n"/>
      <c r="H48" s="22" t="n"/>
      <c r="I48" s="22" t="n"/>
      <c r="J48" s="22" t="n"/>
      <c r="K48" s="21" t="n"/>
      <c r="L48" s="25">
        <f>IF($A48="","",IF($K48=A_DONE,IF($J48="","",$J48-$I48),IF($I48="","",TODAY()-$I48)))</f>
        <v/>
      </c>
      <c r="M48" s="24">
        <f>IF($A48="","",IF($K48=A_DONE,S_DONE,IF($I48="",S_NODUE,IF($L48&gt;0,S_LATE,IF($H48&lt;&gt;"",S_WIP,IF(-$L48&lt;=FEN_ACT,S_RISK,IF(-$L48&lt;=HORIZON,S_COMING,S_ONTRACK)))))))</f>
        <v/>
      </c>
      <c r="N48" s="21" t="n"/>
      <c r="P48" s="24">
        <f>IF(AND($A48&lt;&gt;"",$K48&lt;&gt;A_DONE,N($L48)&gt;0),$L48+ROW()/1000000,"")</f>
        <v/>
      </c>
      <c r="Q48" s="24">
        <f>IF(AND($A48&lt;&gt;"",$K48&lt;&gt;A_DONE,OR($H48&lt;&gt;"",N($L48)&gt;0)),N($L48)+ROW()/1000000,"")</f>
        <v/>
      </c>
      <c r="R48" s="24">
        <f>IF(AND($A48&lt;&gt;"",$K48&lt;&gt;A_DONE,$H48="",$I48&lt;&gt;"",N($L48)&lt;=0,-N($L48)&lt;=HORIZON),N($L48)+ROW()/1000000,"")</f>
        <v/>
      </c>
    </row>
    <row r="49">
      <c r="A49" s="21" t="n"/>
      <c r="B49" s="21" t="n"/>
      <c r="C49" s="21" t="n"/>
      <c r="D49" s="21" t="n"/>
      <c r="E49" s="21" t="n"/>
      <c r="F49" s="21" t="n"/>
      <c r="G49" s="21" t="n"/>
      <c r="H49" s="22" t="n"/>
      <c r="I49" s="22" t="n"/>
      <c r="J49" s="22" t="n"/>
      <c r="K49" s="21" t="n"/>
      <c r="L49" s="25">
        <f>IF($A49="","",IF($K49=A_DONE,IF($J49="","",$J49-$I49),IF($I49="","",TODAY()-$I49)))</f>
        <v/>
      </c>
      <c r="M49" s="24">
        <f>IF($A49="","",IF($K49=A_DONE,S_DONE,IF($I49="",S_NODUE,IF($L49&gt;0,S_LATE,IF($H49&lt;&gt;"",S_WIP,IF(-$L49&lt;=FEN_ACT,S_RISK,IF(-$L49&lt;=HORIZON,S_COMING,S_ONTRACK)))))))</f>
        <v/>
      </c>
      <c r="N49" s="21" t="n"/>
      <c r="P49" s="24">
        <f>IF(AND($A49&lt;&gt;"",$K49&lt;&gt;A_DONE,N($L49)&gt;0),$L49+ROW()/1000000,"")</f>
        <v/>
      </c>
      <c r="Q49" s="24">
        <f>IF(AND($A49&lt;&gt;"",$K49&lt;&gt;A_DONE,OR($H49&lt;&gt;"",N($L49)&gt;0)),N($L49)+ROW()/1000000,"")</f>
        <v/>
      </c>
      <c r="R49" s="24">
        <f>IF(AND($A49&lt;&gt;"",$K49&lt;&gt;A_DONE,$H49="",$I49&lt;&gt;"",N($L49)&lt;=0,-N($L49)&lt;=HORIZON),N($L49)+ROW()/1000000,"")</f>
        <v/>
      </c>
    </row>
    <row r="50">
      <c r="A50" s="21" t="n"/>
      <c r="B50" s="21" t="n"/>
      <c r="C50" s="21" t="n"/>
      <c r="D50" s="21" t="n"/>
      <c r="E50" s="21" t="n"/>
      <c r="F50" s="21" t="n"/>
      <c r="G50" s="21" t="n"/>
      <c r="H50" s="22" t="n"/>
      <c r="I50" s="22" t="n"/>
      <c r="J50" s="22" t="n"/>
      <c r="K50" s="21" t="n"/>
      <c r="L50" s="25">
        <f>IF($A50="","",IF($K50=A_DONE,IF($J50="","",$J50-$I50),IF($I50="","",TODAY()-$I50)))</f>
        <v/>
      </c>
      <c r="M50" s="24">
        <f>IF($A50="","",IF($K50=A_DONE,S_DONE,IF($I50="",S_NODUE,IF($L50&gt;0,S_LATE,IF($H50&lt;&gt;"",S_WIP,IF(-$L50&lt;=FEN_ACT,S_RISK,IF(-$L50&lt;=HORIZON,S_COMING,S_ONTRACK)))))))</f>
        <v/>
      </c>
      <c r="N50" s="21" t="n"/>
      <c r="P50" s="24">
        <f>IF(AND($A50&lt;&gt;"",$K50&lt;&gt;A_DONE,N($L50)&gt;0),$L50+ROW()/1000000,"")</f>
        <v/>
      </c>
      <c r="Q50" s="24">
        <f>IF(AND($A50&lt;&gt;"",$K50&lt;&gt;A_DONE,OR($H50&lt;&gt;"",N($L50)&gt;0)),N($L50)+ROW()/1000000,"")</f>
        <v/>
      </c>
      <c r="R50" s="24">
        <f>IF(AND($A50&lt;&gt;"",$K50&lt;&gt;A_DONE,$H50="",$I50&lt;&gt;"",N($L50)&lt;=0,-N($L50)&lt;=HORIZON),N($L50)+ROW()/1000000,"")</f>
        <v/>
      </c>
    </row>
    <row r="51">
      <c r="A51" s="21" t="n"/>
      <c r="B51" s="21" t="n"/>
      <c r="C51" s="21" t="n"/>
      <c r="D51" s="21" t="n"/>
      <c r="E51" s="21" t="n"/>
      <c r="F51" s="21" t="n"/>
      <c r="G51" s="21" t="n"/>
      <c r="H51" s="22" t="n"/>
      <c r="I51" s="22" t="n"/>
      <c r="J51" s="22" t="n"/>
      <c r="K51" s="21" t="n"/>
      <c r="L51" s="25">
        <f>IF($A51="","",IF($K51=A_DONE,IF($J51="","",$J51-$I51),IF($I51="","",TODAY()-$I51)))</f>
        <v/>
      </c>
      <c r="M51" s="24">
        <f>IF($A51="","",IF($K51=A_DONE,S_DONE,IF($I51="",S_NODUE,IF($L51&gt;0,S_LATE,IF($H51&lt;&gt;"",S_WIP,IF(-$L51&lt;=FEN_ACT,S_RISK,IF(-$L51&lt;=HORIZON,S_COMING,S_ONTRACK)))))))</f>
        <v/>
      </c>
      <c r="N51" s="21" t="n"/>
      <c r="P51" s="24">
        <f>IF(AND($A51&lt;&gt;"",$K51&lt;&gt;A_DONE,N($L51)&gt;0),$L51+ROW()/1000000,"")</f>
        <v/>
      </c>
      <c r="Q51" s="24">
        <f>IF(AND($A51&lt;&gt;"",$K51&lt;&gt;A_DONE,OR($H51&lt;&gt;"",N($L51)&gt;0)),N($L51)+ROW()/1000000,"")</f>
        <v/>
      </c>
      <c r="R51" s="24">
        <f>IF(AND($A51&lt;&gt;"",$K51&lt;&gt;A_DONE,$H51="",$I51&lt;&gt;"",N($L51)&lt;=0,-N($L51)&lt;=HORIZON),N($L51)+ROW()/1000000,"")</f>
        <v/>
      </c>
    </row>
    <row r="52">
      <c r="A52" s="21" t="n"/>
      <c r="B52" s="21" t="n"/>
      <c r="C52" s="21" t="n"/>
      <c r="D52" s="21" t="n"/>
      <c r="E52" s="21" t="n"/>
      <c r="F52" s="21" t="n"/>
      <c r="G52" s="21" t="n"/>
      <c r="H52" s="22" t="n"/>
      <c r="I52" s="22" t="n"/>
      <c r="J52" s="22" t="n"/>
      <c r="K52" s="21" t="n"/>
      <c r="L52" s="25">
        <f>IF($A52="","",IF($K52=A_DONE,IF($J52="","",$J52-$I52),IF($I52="","",TODAY()-$I52)))</f>
        <v/>
      </c>
      <c r="M52" s="24">
        <f>IF($A52="","",IF($K52=A_DONE,S_DONE,IF($I52="",S_NODUE,IF($L52&gt;0,S_LATE,IF($H52&lt;&gt;"",S_WIP,IF(-$L52&lt;=FEN_ACT,S_RISK,IF(-$L52&lt;=HORIZON,S_COMING,S_ONTRACK)))))))</f>
        <v/>
      </c>
      <c r="N52" s="21" t="n"/>
      <c r="P52" s="24">
        <f>IF(AND($A52&lt;&gt;"",$K52&lt;&gt;A_DONE,N($L52)&gt;0),$L52+ROW()/1000000,"")</f>
        <v/>
      </c>
      <c r="Q52" s="24">
        <f>IF(AND($A52&lt;&gt;"",$K52&lt;&gt;A_DONE,OR($H52&lt;&gt;"",N($L52)&gt;0)),N($L52)+ROW()/1000000,"")</f>
        <v/>
      </c>
      <c r="R52" s="24">
        <f>IF(AND($A52&lt;&gt;"",$K52&lt;&gt;A_DONE,$H52="",$I52&lt;&gt;"",N($L52)&lt;=0,-N($L52)&lt;=HORIZON),N($L52)+ROW()/1000000,"")</f>
        <v/>
      </c>
    </row>
    <row r="53">
      <c r="A53" s="21" t="n"/>
      <c r="B53" s="21" t="n"/>
      <c r="C53" s="21" t="n"/>
      <c r="D53" s="21" t="n"/>
      <c r="E53" s="21" t="n"/>
      <c r="F53" s="21" t="n"/>
      <c r="G53" s="21" t="n"/>
      <c r="H53" s="22" t="n"/>
      <c r="I53" s="22" t="n"/>
      <c r="J53" s="22" t="n"/>
      <c r="K53" s="21" t="n"/>
      <c r="L53" s="25">
        <f>IF($A53="","",IF($K53=A_DONE,IF($J53="","",$J53-$I53),IF($I53="","",TODAY()-$I53)))</f>
        <v/>
      </c>
      <c r="M53" s="24">
        <f>IF($A53="","",IF($K53=A_DONE,S_DONE,IF($I53="",S_NODUE,IF($L53&gt;0,S_LATE,IF($H53&lt;&gt;"",S_WIP,IF(-$L53&lt;=FEN_ACT,S_RISK,IF(-$L53&lt;=HORIZON,S_COMING,S_ONTRACK)))))))</f>
        <v/>
      </c>
      <c r="N53" s="21" t="n"/>
      <c r="P53" s="24">
        <f>IF(AND($A53&lt;&gt;"",$K53&lt;&gt;A_DONE,N($L53)&gt;0),$L53+ROW()/1000000,"")</f>
        <v/>
      </c>
      <c r="Q53" s="24">
        <f>IF(AND($A53&lt;&gt;"",$K53&lt;&gt;A_DONE,OR($H53&lt;&gt;"",N($L53)&gt;0)),N($L53)+ROW()/1000000,"")</f>
        <v/>
      </c>
      <c r="R53" s="24">
        <f>IF(AND($A53&lt;&gt;"",$K53&lt;&gt;A_DONE,$H53="",$I53&lt;&gt;"",N($L53)&lt;=0,-N($L53)&lt;=HORIZON),N($L53)+ROW()/1000000,"")</f>
        <v/>
      </c>
    </row>
    <row r="54">
      <c r="A54" s="21" t="n"/>
      <c r="B54" s="21" t="n"/>
      <c r="C54" s="21" t="n"/>
      <c r="D54" s="21" t="n"/>
      <c r="E54" s="21" t="n"/>
      <c r="F54" s="21" t="n"/>
      <c r="G54" s="21" t="n"/>
      <c r="H54" s="22" t="n"/>
      <c r="I54" s="22" t="n"/>
      <c r="J54" s="22" t="n"/>
      <c r="K54" s="21" t="n"/>
      <c r="L54" s="25">
        <f>IF($A54="","",IF($K54=A_DONE,IF($J54="","",$J54-$I54),IF($I54="","",TODAY()-$I54)))</f>
        <v/>
      </c>
      <c r="M54" s="24">
        <f>IF($A54="","",IF($K54=A_DONE,S_DONE,IF($I54="",S_NODUE,IF($L54&gt;0,S_LATE,IF($H54&lt;&gt;"",S_WIP,IF(-$L54&lt;=FEN_ACT,S_RISK,IF(-$L54&lt;=HORIZON,S_COMING,S_ONTRACK)))))))</f>
        <v/>
      </c>
      <c r="N54" s="21" t="n"/>
      <c r="P54" s="24">
        <f>IF(AND($A54&lt;&gt;"",$K54&lt;&gt;A_DONE,N($L54)&gt;0),$L54+ROW()/1000000,"")</f>
        <v/>
      </c>
      <c r="Q54" s="24">
        <f>IF(AND($A54&lt;&gt;"",$K54&lt;&gt;A_DONE,OR($H54&lt;&gt;"",N($L54)&gt;0)),N($L54)+ROW()/1000000,"")</f>
        <v/>
      </c>
      <c r="R54" s="24">
        <f>IF(AND($A54&lt;&gt;"",$K54&lt;&gt;A_DONE,$H54="",$I54&lt;&gt;"",N($L54)&lt;=0,-N($L54)&lt;=HORIZON),N($L54)+ROW()/1000000,"")</f>
        <v/>
      </c>
    </row>
    <row r="55">
      <c r="A55" s="21" t="n"/>
      <c r="B55" s="21" t="n"/>
      <c r="C55" s="21" t="n"/>
      <c r="D55" s="21" t="n"/>
      <c r="E55" s="21" t="n"/>
      <c r="F55" s="21" t="n"/>
      <c r="G55" s="21" t="n"/>
      <c r="H55" s="22" t="n"/>
      <c r="I55" s="22" t="n"/>
      <c r="J55" s="22" t="n"/>
      <c r="K55" s="21" t="n"/>
      <c r="L55" s="25">
        <f>IF($A55="","",IF($K55=A_DONE,IF($J55="","",$J55-$I55),IF($I55="","",TODAY()-$I55)))</f>
        <v/>
      </c>
      <c r="M55" s="24">
        <f>IF($A55="","",IF($K55=A_DONE,S_DONE,IF($I55="",S_NODUE,IF($L55&gt;0,S_LATE,IF($H55&lt;&gt;"",S_WIP,IF(-$L55&lt;=FEN_ACT,S_RISK,IF(-$L55&lt;=HORIZON,S_COMING,S_ONTRACK)))))))</f>
        <v/>
      </c>
      <c r="N55" s="21" t="n"/>
      <c r="P55" s="24">
        <f>IF(AND($A55&lt;&gt;"",$K55&lt;&gt;A_DONE,N($L55)&gt;0),$L55+ROW()/1000000,"")</f>
        <v/>
      </c>
      <c r="Q55" s="24">
        <f>IF(AND($A55&lt;&gt;"",$K55&lt;&gt;A_DONE,OR($H55&lt;&gt;"",N($L55)&gt;0)),N($L55)+ROW()/1000000,"")</f>
        <v/>
      </c>
      <c r="R55" s="24">
        <f>IF(AND($A55&lt;&gt;"",$K55&lt;&gt;A_DONE,$H55="",$I55&lt;&gt;"",N($L55)&lt;=0,-N($L55)&lt;=HORIZON),N($L55)+ROW()/1000000,"")</f>
        <v/>
      </c>
    </row>
    <row r="56">
      <c r="A56" s="21" t="n"/>
      <c r="B56" s="21" t="n"/>
      <c r="C56" s="21" t="n"/>
      <c r="D56" s="21" t="n"/>
      <c r="E56" s="21" t="n"/>
      <c r="F56" s="21" t="n"/>
      <c r="G56" s="21" t="n"/>
      <c r="H56" s="22" t="n"/>
      <c r="I56" s="22" t="n"/>
      <c r="J56" s="22" t="n"/>
      <c r="K56" s="21" t="n"/>
      <c r="L56" s="25">
        <f>IF($A56="","",IF($K56=A_DONE,IF($J56="","",$J56-$I56),IF($I56="","",TODAY()-$I56)))</f>
        <v/>
      </c>
      <c r="M56" s="24">
        <f>IF($A56="","",IF($K56=A_DONE,S_DONE,IF($I56="",S_NODUE,IF($L56&gt;0,S_LATE,IF($H56&lt;&gt;"",S_WIP,IF(-$L56&lt;=FEN_ACT,S_RISK,IF(-$L56&lt;=HORIZON,S_COMING,S_ONTRACK)))))))</f>
        <v/>
      </c>
      <c r="N56" s="21" t="n"/>
      <c r="P56" s="24">
        <f>IF(AND($A56&lt;&gt;"",$K56&lt;&gt;A_DONE,N($L56)&gt;0),$L56+ROW()/1000000,"")</f>
        <v/>
      </c>
      <c r="Q56" s="24">
        <f>IF(AND($A56&lt;&gt;"",$K56&lt;&gt;A_DONE,OR($H56&lt;&gt;"",N($L56)&gt;0)),N($L56)+ROW()/1000000,"")</f>
        <v/>
      </c>
      <c r="R56" s="24">
        <f>IF(AND($A56&lt;&gt;"",$K56&lt;&gt;A_DONE,$H56="",$I56&lt;&gt;"",N($L56)&lt;=0,-N($L56)&lt;=HORIZON),N($L56)+ROW()/1000000,"")</f>
        <v/>
      </c>
    </row>
    <row r="57">
      <c r="A57" s="21" t="n"/>
      <c r="B57" s="21" t="n"/>
      <c r="C57" s="21" t="n"/>
      <c r="D57" s="21" t="n"/>
      <c r="E57" s="21" t="n"/>
      <c r="F57" s="21" t="n"/>
      <c r="G57" s="21" t="n"/>
      <c r="H57" s="22" t="n"/>
      <c r="I57" s="22" t="n"/>
      <c r="J57" s="22" t="n"/>
      <c r="K57" s="21" t="n"/>
      <c r="L57" s="25">
        <f>IF($A57="","",IF($K57=A_DONE,IF($J57="","",$J57-$I57),IF($I57="","",TODAY()-$I57)))</f>
        <v/>
      </c>
      <c r="M57" s="24">
        <f>IF($A57="","",IF($K57=A_DONE,S_DONE,IF($I57="",S_NODUE,IF($L57&gt;0,S_LATE,IF($H57&lt;&gt;"",S_WIP,IF(-$L57&lt;=FEN_ACT,S_RISK,IF(-$L57&lt;=HORIZON,S_COMING,S_ONTRACK)))))))</f>
        <v/>
      </c>
      <c r="N57" s="21" t="n"/>
      <c r="P57" s="24">
        <f>IF(AND($A57&lt;&gt;"",$K57&lt;&gt;A_DONE,N($L57)&gt;0),$L57+ROW()/1000000,"")</f>
        <v/>
      </c>
      <c r="Q57" s="24">
        <f>IF(AND($A57&lt;&gt;"",$K57&lt;&gt;A_DONE,OR($H57&lt;&gt;"",N($L57)&gt;0)),N($L57)+ROW()/1000000,"")</f>
        <v/>
      </c>
      <c r="R57" s="24">
        <f>IF(AND($A57&lt;&gt;"",$K57&lt;&gt;A_DONE,$H57="",$I57&lt;&gt;"",N($L57)&lt;=0,-N($L57)&lt;=HORIZON),N($L57)+ROW()/1000000,"")</f>
        <v/>
      </c>
    </row>
    <row r="58">
      <c r="A58" s="21" t="n"/>
      <c r="B58" s="21" t="n"/>
      <c r="C58" s="21" t="n"/>
      <c r="D58" s="21" t="n"/>
      <c r="E58" s="21" t="n"/>
      <c r="F58" s="21" t="n"/>
      <c r="G58" s="21" t="n"/>
      <c r="H58" s="22" t="n"/>
      <c r="I58" s="22" t="n"/>
      <c r="J58" s="22" t="n"/>
      <c r="K58" s="21" t="n"/>
      <c r="L58" s="25">
        <f>IF($A58="","",IF($K58=A_DONE,IF($J58="","",$J58-$I58),IF($I58="","",TODAY()-$I58)))</f>
        <v/>
      </c>
      <c r="M58" s="24">
        <f>IF($A58="","",IF($K58=A_DONE,S_DONE,IF($I58="",S_NODUE,IF($L58&gt;0,S_LATE,IF($H58&lt;&gt;"",S_WIP,IF(-$L58&lt;=FEN_ACT,S_RISK,IF(-$L58&lt;=HORIZON,S_COMING,S_ONTRACK)))))))</f>
        <v/>
      </c>
      <c r="N58" s="21" t="n"/>
      <c r="P58" s="24">
        <f>IF(AND($A58&lt;&gt;"",$K58&lt;&gt;A_DONE,N($L58)&gt;0),$L58+ROW()/1000000,"")</f>
        <v/>
      </c>
      <c r="Q58" s="24">
        <f>IF(AND($A58&lt;&gt;"",$K58&lt;&gt;A_DONE,OR($H58&lt;&gt;"",N($L58)&gt;0)),N($L58)+ROW()/1000000,"")</f>
        <v/>
      </c>
      <c r="R58" s="24">
        <f>IF(AND($A58&lt;&gt;"",$K58&lt;&gt;A_DONE,$H58="",$I58&lt;&gt;"",N($L58)&lt;=0,-N($L58)&lt;=HORIZON),N($L58)+ROW()/1000000,"")</f>
        <v/>
      </c>
    </row>
    <row r="59">
      <c r="A59" s="21" t="n"/>
      <c r="B59" s="21" t="n"/>
      <c r="C59" s="21" t="n"/>
      <c r="D59" s="21" t="n"/>
      <c r="E59" s="21" t="n"/>
      <c r="F59" s="21" t="n"/>
      <c r="G59" s="21" t="n"/>
      <c r="H59" s="22" t="n"/>
      <c r="I59" s="22" t="n"/>
      <c r="J59" s="22" t="n"/>
      <c r="K59" s="21" t="n"/>
      <c r="L59" s="25">
        <f>IF($A59="","",IF($K59=A_DONE,IF($J59="","",$J59-$I59),IF($I59="","",TODAY()-$I59)))</f>
        <v/>
      </c>
      <c r="M59" s="24">
        <f>IF($A59="","",IF($K59=A_DONE,S_DONE,IF($I59="",S_NODUE,IF($L59&gt;0,S_LATE,IF($H59&lt;&gt;"",S_WIP,IF(-$L59&lt;=FEN_ACT,S_RISK,IF(-$L59&lt;=HORIZON,S_COMING,S_ONTRACK)))))))</f>
        <v/>
      </c>
      <c r="N59" s="21" t="n"/>
      <c r="P59" s="24">
        <f>IF(AND($A59&lt;&gt;"",$K59&lt;&gt;A_DONE,N($L59)&gt;0),$L59+ROW()/1000000,"")</f>
        <v/>
      </c>
      <c r="Q59" s="24">
        <f>IF(AND($A59&lt;&gt;"",$K59&lt;&gt;A_DONE,OR($H59&lt;&gt;"",N($L59)&gt;0)),N($L59)+ROW()/1000000,"")</f>
        <v/>
      </c>
      <c r="R59" s="24">
        <f>IF(AND($A59&lt;&gt;"",$K59&lt;&gt;A_DONE,$H59="",$I59&lt;&gt;"",N($L59)&lt;=0,-N($L59)&lt;=HORIZON),N($L59)+ROW()/1000000,"")</f>
        <v/>
      </c>
    </row>
    <row r="60">
      <c r="A60" s="21" t="n"/>
      <c r="B60" s="21" t="n"/>
      <c r="C60" s="21" t="n"/>
      <c r="D60" s="21" t="n"/>
      <c r="E60" s="21" t="n"/>
      <c r="F60" s="21" t="n"/>
      <c r="G60" s="21" t="n"/>
      <c r="H60" s="22" t="n"/>
      <c r="I60" s="22" t="n"/>
      <c r="J60" s="22" t="n"/>
      <c r="K60" s="21" t="n"/>
      <c r="L60" s="25">
        <f>IF($A60="","",IF($K60=A_DONE,IF($J60="","",$J60-$I60),IF($I60="","",TODAY()-$I60)))</f>
        <v/>
      </c>
      <c r="M60" s="24">
        <f>IF($A60="","",IF($K60=A_DONE,S_DONE,IF($I60="",S_NODUE,IF($L60&gt;0,S_LATE,IF($H60&lt;&gt;"",S_WIP,IF(-$L60&lt;=FEN_ACT,S_RISK,IF(-$L60&lt;=HORIZON,S_COMING,S_ONTRACK)))))))</f>
        <v/>
      </c>
      <c r="N60" s="21" t="n"/>
      <c r="P60" s="24">
        <f>IF(AND($A60&lt;&gt;"",$K60&lt;&gt;A_DONE,N($L60)&gt;0),$L60+ROW()/1000000,"")</f>
        <v/>
      </c>
      <c r="Q60" s="24">
        <f>IF(AND($A60&lt;&gt;"",$K60&lt;&gt;A_DONE,OR($H60&lt;&gt;"",N($L60)&gt;0)),N($L60)+ROW()/1000000,"")</f>
        <v/>
      </c>
      <c r="R60" s="24">
        <f>IF(AND($A60&lt;&gt;"",$K60&lt;&gt;A_DONE,$H60="",$I60&lt;&gt;"",N($L60)&lt;=0,-N($L60)&lt;=HORIZON),N($L60)+ROW()/1000000,"")</f>
        <v/>
      </c>
    </row>
    <row r="61">
      <c r="A61" s="21" t="n"/>
      <c r="B61" s="21" t="n"/>
      <c r="C61" s="21" t="n"/>
      <c r="D61" s="21" t="n"/>
      <c r="E61" s="21" t="n"/>
      <c r="F61" s="21" t="n"/>
      <c r="G61" s="21" t="n"/>
      <c r="H61" s="22" t="n"/>
      <c r="I61" s="22" t="n"/>
      <c r="J61" s="22" t="n"/>
      <c r="K61" s="21" t="n"/>
      <c r="L61" s="25">
        <f>IF($A61="","",IF($K61=A_DONE,IF($J61="","",$J61-$I61),IF($I61="","",TODAY()-$I61)))</f>
        <v/>
      </c>
      <c r="M61" s="24">
        <f>IF($A61="","",IF($K61=A_DONE,S_DONE,IF($I61="",S_NODUE,IF($L61&gt;0,S_LATE,IF($H61&lt;&gt;"",S_WIP,IF(-$L61&lt;=FEN_ACT,S_RISK,IF(-$L61&lt;=HORIZON,S_COMING,S_ONTRACK)))))))</f>
        <v/>
      </c>
      <c r="N61" s="21" t="n"/>
      <c r="P61" s="24">
        <f>IF(AND($A61&lt;&gt;"",$K61&lt;&gt;A_DONE,N($L61)&gt;0),$L61+ROW()/1000000,"")</f>
        <v/>
      </c>
      <c r="Q61" s="24">
        <f>IF(AND($A61&lt;&gt;"",$K61&lt;&gt;A_DONE,OR($H61&lt;&gt;"",N($L61)&gt;0)),N($L61)+ROW()/1000000,"")</f>
        <v/>
      </c>
      <c r="R61" s="24">
        <f>IF(AND($A61&lt;&gt;"",$K61&lt;&gt;A_DONE,$H61="",$I61&lt;&gt;"",N($L61)&lt;=0,-N($L61)&lt;=HORIZON),N($L61)+ROW()/1000000,"")</f>
        <v/>
      </c>
    </row>
    <row r="62">
      <c r="A62" s="21" t="n"/>
      <c r="B62" s="21" t="n"/>
      <c r="C62" s="21" t="n"/>
      <c r="D62" s="21" t="n"/>
      <c r="E62" s="21" t="n"/>
      <c r="F62" s="21" t="n"/>
      <c r="G62" s="21" t="n"/>
      <c r="H62" s="22" t="n"/>
      <c r="I62" s="22" t="n"/>
      <c r="J62" s="22" t="n"/>
      <c r="K62" s="21" t="n"/>
      <c r="L62" s="25">
        <f>IF($A62="","",IF($K62=A_DONE,IF($J62="","",$J62-$I62),IF($I62="","",TODAY()-$I62)))</f>
        <v/>
      </c>
      <c r="M62" s="24">
        <f>IF($A62="","",IF($K62=A_DONE,S_DONE,IF($I62="",S_NODUE,IF($L62&gt;0,S_LATE,IF($H62&lt;&gt;"",S_WIP,IF(-$L62&lt;=FEN_ACT,S_RISK,IF(-$L62&lt;=HORIZON,S_COMING,S_ONTRACK)))))))</f>
        <v/>
      </c>
      <c r="N62" s="21" t="n"/>
      <c r="P62" s="24">
        <f>IF(AND($A62&lt;&gt;"",$K62&lt;&gt;A_DONE,N($L62)&gt;0),$L62+ROW()/1000000,"")</f>
        <v/>
      </c>
      <c r="Q62" s="24">
        <f>IF(AND($A62&lt;&gt;"",$K62&lt;&gt;A_DONE,OR($H62&lt;&gt;"",N($L62)&gt;0)),N($L62)+ROW()/1000000,"")</f>
        <v/>
      </c>
      <c r="R62" s="24">
        <f>IF(AND($A62&lt;&gt;"",$K62&lt;&gt;A_DONE,$H62="",$I62&lt;&gt;"",N($L62)&lt;=0,-N($L62)&lt;=HORIZON),N($L62)+ROW()/1000000,"")</f>
        <v/>
      </c>
    </row>
    <row r="63">
      <c r="A63" s="21" t="n"/>
      <c r="B63" s="21" t="n"/>
      <c r="C63" s="21" t="n"/>
      <c r="D63" s="21" t="n"/>
      <c r="E63" s="21" t="n"/>
      <c r="F63" s="21" t="n"/>
      <c r="G63" s="21" t="n"/>
      <c r="H63" s="22" t="n"/>
      <c r="I63" s="22" t="n"/>
      <c r="J63" s="22" t="n"/>
      <c r="K63" s="21" t="n"/>
      <c r="L63" s="25">
        <f>IF($A63="","",IF($K63=A_DONE,IF($J63="","",$J63-$I63),IF($I63="","",TODAY()-$I63)))</f>
        <v/>
      </c>
      <c r="M63" s="24">
        <f>IF($A63="","",IF($K63=A_DONE,S_DONE,IF($I63="",S_NODUE,IF($L63&gt;0,S_LATE,IF($H63&lt;&gt;"",S_WIP,IF(-$L63&lt;=FEN_ACT,S_RISK,IF(-$L63&lt;=HORIZON,S_COMING,S_ONTRACK)))))))</f>
        <v/>
      </c>
      <c r="N63" s="21" t="n"/>
      <c r="P63" s="24">
        <f>IF(AND($A63&lt;&gt;"",$K63&lt;&gt;A_DONE,N($L63)&gt;0),$L63+ROW()/1000000,"")</f>
        <v/>
      </c>
      <c r="Q63" s="24">
        <f>IF(AND($A63&lt;&gt;"",$K63&lt;&gt;A_DONE,OR($H63&lt;&gt;"",N($L63)&gt;0)),N($L63)+ROW()/1000000,"")</f>
        <v/>
      </c>
      <c r="R63" s="24">
        <f>IF(AND($A63&lt;&gt;"",$K63&lt;&gt;A_DONE,$H63="",$I63&lt;&gt;"",N($L63)&lt;=0,-N($L63)&lt;=HORIZON),N($L63)+ROW()/1000000,"")</f>
        <v/>
      </c>
    </row>
    <row r="64">
      <c r="A64" s="21" t="n"/>
      <c r="B64" s="21" t="n"/>
      <c r="C64" s="21" t="n"/>
      <c r="D64" s="21" t="n"/>
      <c r="E64" s="21" t="n"/>
      <c r="F64" s="21" t="n"/>
      <c r="G64" s="21" t="n"/>
      <c r="H64" s="22" t="n"/>
      <c r="I64" s="22" t="n"/>
      <c r="J64" s="22" t="n"/>
      <c r="K64" s="21" t="n"/>
      <c r="L64" s="25">
        <f>IF($A64="","",IF($K64=A_DONE,IF($J64="","",$J64-$I64),IF($I64="","",TODAY()-$I64)))</f>
        <v/>
      </c>
      <c r="M64" s="24">
        <f>IF($A64="","",IF($K64=A_DONE,S_DONE,IF($I64="",S_NODUE,IF($L64&gt;0,S_LATE,IF($H64&lt;&gt;"",S_WIP,IF(-$L64&lt;=FEN_ACT,S_RISK,IF(-$L64&lt;=HORIZON,S_COMING,S_ONTRACK)))))))</f>
        <v/>
      </c>
      <c r="N64" s="21" t="n"/>
      <c r="P64" s="24">
        <f>IF(AND($A64&lt;&gt;"",$K64&lt;&gt;A_DONE,N($L64)&gt;0),$L64+ROW()/1000000,"")</f>
        <v/>
      </c>
      <c r="Q64" s="24">
        <f>IF(AND($A64&lt;&gt;"",$K64&lt;&gt;A_DONE,OR($H64&lt;&gt;"",N($L64)&gt;0)),N($L64)+ROW()/1000000,"")</f>
        <v/>
      </c>
      <c r="R64" s="24">
        <f>IF(AND($A64&lt;&gt;"",$K64&lt;&gt;A_DONE,$H64="",$I64&lt;&gt;"",N($L64)&lt;=0,-N($L64)&lt;=HORIZON),N($L64)+ROW()/1000000,"")</f>
        <v/>
      </c>
    </row>
    <row r="65">
      <c r="A65" s="21" t="n"/>
      <c r="B65" s="21" t="n"/>
      <c r="C65" s="21" t="n"/>
      <c r="D65" s="21" t="n"/>
      <c r="E65" s="21" t="n"/>
      <c r="F65" s="21" t="n"/>
      <c r="G65" s="21" t="n"/>
      <c r="H65" s="22" t="n"/>
      <c r="I65" s="22" t="n"/>
      <c r="J65" s="22" t="n"/>
      <c r="K65" s="21" t="n"/>
      <c r="L65" s="25">
        <f>IF($A65="","",IF($K65=A_DONE,IF($J65="","",$J65-$I65),IF($I65="","",TODAY()-$I65)))</f>
        <v/>
      </c>
      <c r="M65" s="24">
        <f>IF($A65="","",IF($K65=A_DONE,S_DONE,IF($I65="",S_NODUE,IF($L65&gt;0,S_LATE,IF($H65&lt;&gt;"",S_WIP,IF(-$L65&lt;=FEN_ACT,S_RISK,IF(-$L65&lt;=HORIZON,S_COMING,S_ONTRACK)))))))</f>
        <v/>
      </c>
      <c r="N65" s="21" t="n"/>
      <c r="P65" s="24">
        <f>IF(AND($A65&lt;&gt;"",$K65&lt;&gt;A_DONE,N($L65)&gt;0),$L65+ROW()/1000000,"")</f>
        <v/>
      </c>
      <c r="Q65" s="24">
        <f>IF(AND($A65&lt;&gt;"",$K65&lt;&gt;A_DONE,OR($H65&lt;&gt;"",N($L65)&gt;0)),N($L65)+ROW()/1000000,"")</f>
        <v/>
      </c>
      <c r="R65" s="24">
        <f>IF(AND($A65&lt;&gt;"",$K65&lt;&gt;A_DONE,$H65="",$I65&lt;&gt;"",N($L65)&lt;=0,-N($L65)&lt;=HORIZON),N($L65)+ROW()/1000000,"")</f>
        <v/>
      </c>
    </row>
    <row r="66">
      <c r="A66" s="21" t="n"/>
      <c r="B66" s="21" t="n"/>
      <c r="C66" s="21" t="n"/>
      <c r="D66" s="21" t="n"/>
      <c r="E66" s="21" t="n"/>
      <c r="F66" s="21" t="n"/>
      <c r="G66" s="21" t="n"/>
      <c r="H66" s="22" t="n"/>
      <c r="I66" s="22" t="n"/>
      <c r="J66" s="22" t="n"/>
      <c r="K66" s="21" t="n"/>
      <c r="L66" s="25">
        <f>IF($A66="","",IF($K66=A_DONE,IF($J66="","",$J66-$I66),IF($I66="","",TODAY()-$I66)))</f>
        <v/>
      </c>
      <c r="M66" s="24">
        <f>IF($A66="","",IF($K66=A_DONE,S_DONE,IF($I66="",S_NODUE,IF($L66&gt;0,S_LATE,IF($H66&lt;&gt;"",S_WIP,IF(-$L66&lt;=FEN_ACT,S_RISK,IF(-$L66&lt;=HORIZON,S_COMING,S_ONTRACK)))))))</f>
        <v/>
      </c>
      <c r="N66" s="21" t="n"/>
      <c r="P66" s="24">
        <f>IF(AND($A66&lt;&gt;"",$K66&lt;&gt;A_DONE,N($L66)&gt;0),$L66+ROW()/1000000,"")</f>
        <v/>
      </c>
      <c r="Q66" s="24">
        <f>IF(AND($A66&lt;&gt;"",$K66&lt;&gt;A_DONE,OR($H66&lt;&gt;"",N($L66)&gt;0)),N($L66)+ROW()/1000000,"")</f>
        <v/>
      </c>
      <c r="R66" s="24">
        <f>IF(AND($A66&lt;&gt;"",$K66&lt;&gt;A_DONE,$H66="",$I66&lt;&gt;"",N($L66)&lt;=0,-N($L66)&lt;=HORIZON),N($L66)+ROW()/1000000,"")</f>
        <v/>
      </c>
    </row>
    <row r="67">
      <c r="A67" s="21" t="n"/>
      <c r="B67" s="21" t="n"/>
      <c r="C67" s="21" t="n"/>
      <c r="D67" s="21" t="n"/>
      <c r="E67" s="21" t="n"/>
      <c r="F67" s="21" t="n"/>
      <c r="G67" s="21" t="n"/>
      <c r="H67" s="22" t="n"/>
      <c r="I67" s="22" t="n"/>
      <c r="J67" s="22" t="n"/>
      <c r="K67" s="21" t="n"/>
      <c r="L67" s="25">
        <f>IF($A67="","",IF($K67=A_DONE,IF($J67="","",$J67-$I67),IF($I67="","",TODAY()-$I67)))</f>
        <v/>
      </c>
      <c r="M67" s="24">
        <f>IF($A67="","",IF($K67=A_DONE,S_DONE,IF($I67="",S_NODUE,IF($L67&gt;0,S_LATE,IF($H67&lt;&gt;"",S_WIP,IF(-$L67&lt;=FEN_ACT,S_RISK,IF(-$L67&lt;=HORIZON,S_COMING,S_ONTRACK)))))))</f>
        <v/>
      </c>
      <c r="N67" s="21" t="n"/>
      <c r="P67" s="24">
        <f>IF(AND($A67&lt;&gt;"",$K67&lt;&gt;A_DONE,N($L67)&gt;0),$L67+ROW()/1000000,"")</f>
        <v/>
      </c>
      <c r="Q67" s="24">
        <f>IF(AND($A67&lt;&gt;"",$K67&lt;&gt;A_DONE,OR($H67&lt;&gt;"",N($L67)&gt;0)),N($L67)+ROW()/1000000,"")</f>
        <v/>
      </c>
      <c r="R67" s="24">
        <f>IF(AND($A67&lt;&gt;"",$K67&lt;&gt;A_DONE,$H67="",$I67&lt;&gt;"",N($L67)&lt;=0,-N($L67)&lt;=HORIZON),N($L67)+ROW()/1000000,"")</f>
        <v/>
      </c>
    </row>
    <row r="68">
      <c r="A68" s="21" t="n"/>
      <c r="B68" s="21" t="n"/>
      <c r="C68" s="21" t="n"/>
      <c r="D68" s="21" t="n"/>
      <c r="E68" s="21" t="n"/>
      <c r="F68" s="21" t="n"/>
      <c r="G68" s="21" t="n"/>
      <c r="H68" s="22" t="n"/>
      <c r="I68" s="22" t="n"/>
      <c r="J68" s="22" t="n"/>
      <c r="K68" s="21" t="n"/>
      <c r="L68" s="25">
        <f>IF($A68="","",IF($K68=A_DONE,IF($J68="","",$J68-$I68),IF($I68="","",TODAY()-$I68)))</f>
        <v/>
      </c>
      <c r="M68" s="24">
        <f>IF($A68="","",IF($K68=A_DONE,S_DONE,IF($I68="",S_NODUE,IF($L68&gt;0,S_LATE,IF($H68&lt;&gt;"",S_WIP,IF(-$L68&lt;=FEN_ACT,S_RISK,IF(-$L68&lt;=HORIZON,S_COMING,S_ONTRACK)))))))</f>
        <v/>
      </c>
      <c r="N68" s="21" t="n"/>
      <c r="P68" s="24">
        <f>IF(AND($A68&lt;&gt;"",$K68&lt;&gt;A_DONE,N($L68)&gt;0),$L68+ROW()/1000000,"")</f>
        <v/>
      </c>
      <c r="Q68" s="24">
        <f>IF(AND($A68&lt;&gt;"",$K68&lt;&gt;A_DONE,OR($H68&lt;&gt;"",N($L68)&gt;0)),N($L68)+ROW()/1000000,"")</f>
        <v/>
      </c>
      <c r="R68" s="24">
        <f>IF(AND($A68&lt;&gt;"",$K68&lt;&gt;A_DONE,$H68="",$I68&lt;&gt;"",N($L68)&lt;=0,-N($L68)&lt;=HORIZON),N($L68)+ROW()/1000000,"")</f>
        <v/>
      </c>
    </row>
    <row r="69">
      <c r="A69" s="21" t="n"/>
      <c r="B69" s="21" t="n"/>
      <c r="C69" s="21" t="n"/>
      <c r="D69" s="21" t="n"/>
      <c r="E69" s="21" t="n"/>
      <c r="F69" s="21" t="n"/>
      <c r="G69" s="21" t="n"/>
      <c r="H69" s="22" t="n"/>
      <c r="I69" s="22" t="n"/>
      <c r="J69" s="22" t="n"/>
      <c r="K69" s="21" t="n"/>
      <c r="L69" s="25">
        <f>IF($A69="","",IF($K69=A_DONE,IF($J69="","",$J69-$I69),IF($I69="","",TODAY()-$I69)))</f>
        <v/>
      </c>
      <c r="M69" s="24">
        <f>IF($A69="","",IF($K69=A_DONE,S_DONE,IF($I69="",S_NODUE,IF($L69&gt;0,S_LATE,IF($H69&lt;&gt;"",S_WIP,IF(-$L69&lt;=FEN_ACT,S_RISK,IF(-$L69&lt;=HORIZON,S_COMING,S_ONTRACK)))))))</f>
        <v/>
      </c>
      <c r="N69" s="21" t="n"/>
      <c r="P69" s="24">
        <f>IF(AND($A69&lt;&gt;"",$K69&lt;&gt;A_DONE,N($L69)&gt;0),$L69+ROW()/1000000,"")</f>
        <v/>
      </c>
      <c r="Q69" s="24">
        <f>IF(AND($A69&lt;&gt;"",$K69&lt;&gt;A_DONE,OR($H69&lt;&gt;"",N($L69)&gt;0)),N($L69)+ROW()/1000000,"")</f>
        <v/>
      </c>
      <c r="R69" s="24">
        <f>IF(AND($A69&lt;&gt;"",$K69&lt;&gt;A_DONE,$H69="",$I69&lt;&gt;"",N($L69)&lt;=0,-N($L69)&lt;=HORIZON),N($L69)+ROW()/1000000,"")</f>
        <v/>
      </c>
    </row>
    <row r="70">
      <c r="A70" s="21" t="n"/>
      <c r="B70" s="21" t="n"/>
      <c r="C70" s="21" t="n"/>
      <c r="D70" s="21" t="n"/>
      <c r="E70" s="21" t="n"/>
      <c r="F70" s="21" t="n"/>
      <c r="G70" s="21" t="n"/>
      <c r="H70" s="22" t="n"/>
      <c r="I70" s="22" t="n"/>
      <c r="J70" s="22" t="n"/>
      <c r="K70" s="21" t="n"/>
      <c r="L70" s="25">
        <f>IF($A70="","",IF($K70=A_DONE,IF($J70="","",$J70-$I70),IF($I70="","",TODAY()-$I70)))</f>
        <v/>
      </c>
      <c r="M70" s="24">
        <f>IF($A70="","",IF($K70=A_DONE,S_DONE,IF($I70="",S_NODUE,IF($L70&gt;0,S_LATE,IF($H70&lt;&gt;"",S_WIP,IF(-$L70&lt;=FEN_ACT,S_RISK,IF(-$L70&lt;=HORIZON,S_COMING,S_ONTRACK)))))))</f>
        <v/>
      </c>
      <c r="N70" s="21" t="n"/>
      <c r="P70" s="24">
        <f>IF(AND($A70&lt;&gt;"",$K70&lt;&gt;A_DONE,N($L70)&gt;0),$L70+ROW()/1000000,"")</f>
        <v/>
      </c>
      <c r="Q70" s="24">
        <f>IF(AND($A70&lt;&gt;"",$K70&lt;&gt;A_DONE,OR($H70&lt;&gt;"",N($L70)&gt;0)),N($L70)+ROW()/1000000,"")</f>
        <v/>
      </c>
      <c r="R70" s="24">
        <f>IF(AND($A70&lt;&gt;"",$K70&lt;&gt;A_DONE,$H70="",$I70&lt;&gt;"",N($L70)&lt;=0,-N($L70)&lt;=HORIZON),N($L70)+ROW()/1000000,"")</f>
        <v/>
      </c>
    </row>
    <row r="71">
      <c r="A71" s="21" t="n"/>
      <c r="B71" s="21" t="n"/>
      <c r="C71" s="21" t="n"/>
      <c r="D71" s="21" t="n"/>
      <c r="E71" s="21" t="n"/>
      <c r="F71" s="21" t="n"/>
      <c r="G71" s="21" t="n"/>
      <c r="H71" s="22" t="n"/>
      <c r="I71" s="22" t="n"/>
      <c r="J71" s="22" t="n"/>
      <c r="K71" s="21" t="n"/>
      <c r="L71" s="25">
        <f>IF($A71="","",IF($K71=A_DONE,IF($J71="","",$J71-$I71),IF($I71="","",TODAY()-$I71)))</f>
        <v/>
      </c>
      <c r="M71" s="24">
        <f>IF($A71="","",IF($K71=A_DONE,S_DONE,IF($I71="",S_NODUE,IF($L71&gt;0,S_LATE,IF($H71&lt;&gt;"",S_WIP,IF(-$L71&lt;=FEN_ACT,S_RISK,IF(-$L71&lt;=HORIZON,S_COMING,S_ONTRACK)))))))</f>
        <v/>
      </c>
      <c r="N71" s="21" t="n"/>
      <c r="P71" s="24">
        <f>IF(AND($A71&lt;&gt;"",$K71&lt;&gt;A_DONE,N($L71)&gt;0),$L71+ROW()/1000000,"")</f>
        <v/>
      </c>
      <c r="Q71" s="24">
        <f>IF(AND($A71&lt;&gt;"",$K71&lt;&gt;A_DONE,OR($H71&lt;&gt;"",N($L71)&gt;0)),N($L71)+ROW()/1000000,"")</f>
        <v/>
      </c>
      <c r="R71" s="24">
        <f>IF(AND($A71&lt;&gt;"",$K71&lt;&gt;A_DONE,$H71="",$I71&lt;&gt;"",N($L71)&lt;=0,-N($L71)&lt;=HORIZON),N($L71)+ROW()/1000000,"")</f>
        <v/>
      </c>
    </row>
    <row r="72">
      <c r="A72" s="21" t="n"/>
      <c r="B72" s="21" t="n"/>
      <c r="C72" s="21" t="n"/>
      <c r="D72" s="21" t="n"/>
      <c r="E72" s="21" t="n"/>
      <c r="F72" s="21" t="n"/>
      <c r="G72" s="21" t="n"/>
      <c r="H72" s="22" t="n"/>
      <c r="I72" s="22" t="n"/>
      <c r="J72" s="22" t="n"/>
      <c r="K72" s="21" t="n"/>
      <c r="L72" s="25">
        <f>IF($A72="","",IF($K72=A_DONE,IF($J72="","",$J72-$I72),IF($I72="","",TODAY()-$I72)))</f>
        <v/>
      </c>
      <c r="M72" s="24">
        <f>IF($A72="","",IF($K72=A_DONE,S_DONE,IF($I72="",S_NODUE,IF($L72&gt;0,S_LATE,IF($H72&lt;&gt;"",S_WIP,IF(-$L72&lt;=FEN_ACT,S_RISK,IF(-$L72&lt;=HORIZON,S_COMING,S_ONTRACK)))))))</f>
        <v/>
      </c>
      <c r="N72" s="21" t="n"/>
      <c r="P72" s="24">
        <f>IF(AND($A72&lt;&gt;"",$K72&lt;&gt;A_DONE,N($L72)&gt;0),$L72+ROW()/1000000,"")</f>
        <v/>
      </c>
      <c r="Q72" s="24">
        <f>IF(AND($A72&lt;&gt;"",$K72&lt;&gt;A_DONE,OR($H72&lt;&gt;"",N($L72)&gt;0)),N($L72)+ROW()/1000000,"")</f>
        <v/>
      </c>
      <c r="R72" s="24">
        <f>IF(AND($A72&lt;&gt;"",$K72&lt;&gt;A_DONE,$H72="",$I72&lt;&gt;"",N($L72)&lt;=0,-N($L72)&lt;=HORIZON),N($L72)+ROW()/1000000,"")</f>
        <v/>
      </c>
    </row>
    <row r="73">
      <c r="A73" s="21" t="n"/>
      <c r="B73" s="21" t="n"/>
      <c r="C73" s="21" t="n"/>
      <c r="D73" s="21" t="n"/>
      <c r="E73" s="21" t="n"/>
      <c r="F73" s="21" t="n"/>
      <c r="G73" s="21" t="n"/>
      <c r="H73" s="22" t="n"/>
      <c r="I73" s="22" t="n"/>
      <c r="J73" s="22" t="n"/>
      <c r="K73" s="21" t="n"/>
      <c r="L73" s="25">
        <f>IF($A73="","",IF($K73=A_DONE,IF($J73="","",$J73-$I73),IF($I73="","",TODAY()-$I73)))</f>
        <v/>
      </c>
      <c r="M73" s="24">
        <f>IF($A73="","",IF($K73=A_DONE,S_DONE,IF($I73="",S_NODUE,IF($L73&gt;0,S_LATE,IF($H73&lt;&gt;"",S_WIP,IF(-$L73&lt;=FEN_ACT,S_RISK,IF(-$L73&lt;=HORIZON,S_COMING,S_ONTRACK)))))))</f>
        <v/>
      </c>
      <c r="N73" s="21" t="n"/>
      <c r="P73" s="24">
        <f>IF(AND($A73&lt;&gt;"",$K73&lt;&gt;A_DONE,N($L73)&gt;0),$L73+ROW()/1000000,"")</f>
        <v/>
      </c>
      <c r="Q73" s="24">
        <f>IF(AND($A73&lt;&gt;"",$K73&lt;&gt;A_DONE,OR($H73&lt;&gt;"",N($L73)&gt;0)),N($L73)+ROW()/1000000,"")</f>
        <v/>
      </c>
      <c r="R73" s="24">
        <f>IF(AND($A73&lt;&gt;"",$K73&lt;&gt;A_DONE,$H73="",$I73&lt;&gt;"",N($L73)&lt;=0,-N($L73)&lt;=HORIZON),N($L73)+ROW()/1000000,"")</f>
        <v/>
      </c>
    </row>
    <row r="74">
      <c r="A74" s="21" t="n"/>
      <c r="B74" s="21" t="n"/>
      <c r="C74" s="21" t="n"/>
      <c r="D74" s="21" t="n"/>
      <c r="E74" s="21" t="n"/>
      <c r="F74" s="21" t="n"/>
      <c r="G74" s="21" t="n"/>
      <c r="H74" s="22" t="n"/>
      <c r="I74" s="22" t="n"/>
      <c r="J74" s="22" t="n"/>
      <c r="K74" s="21" t="n"/>
      <c r="L74" s="25">
        <f>IF($A74="","",IF($K74=A_DONE,IF($J74="","",$J74-$I74),IF($I74="","",TODAY()-$I74)))</f>
        <v/>
      </c>
      <c r="M74" s="24">
        <f>IF($A74="","",IF($K74=A_DONE,S_DONE,IF($I74="",S_NODUE,IF($L74&gt;0,S_LATE,IF($H74&lt;&gt;"",S_WIP,IF(-$L74&lt;=FEN_ACT,S_RISK,IF(-$L74&lt;=HORIZON,S_COMING,S_ONTRACK)))))))</f>
        <v/>
      </c>
      <c r="N74" s="21" t="n"/>
      <c r="P74" s="24">
        <f>IF(AND($A74&lt;&gt;"",$K74&lt;&gt;A_DONE,N($L74)&gt;0),$L74+ROW()/1000000,"")</f>
        <v/>
      </c>
      <c r="Q74" s="24">
        <f>IF(AND($A74&lt;&gt;"",$K74&lt;&gt;A_DONE,OR($H74&lt;&gt;"",N($L74)&gt;0)),N($L74)+ROW()/1000000,"")</f>
        <v/>
      </c>
      <c r="R74" s="24">
        <f>IF(AND($A74&lt;&gt;"",$K74&lt;&gt;A_DONE,$H74="",$I74&lt;&gt;"",N($L74)&lt;=0,-N($L74)&lt;=HORIZON),N($L74)+ROW()/1000000,"")</f>
        <v/>
      </c>
    </row>
    <row r="75">
      <c r="A75" s="21" t="n"/>
      <c r="B75" s="21" t="n"/>
      <c r="C75" s="21" t="n"/>
      <c r="D75" s="21" t="n"/>
      <c r="E75" s="21" t="n"/>
      <c r="F75" s="21" t="n"/>
      <c r="G75" s="21" t="n"/>
      <c r="H75" s="22" t="n"/>
      <c r="I75" s="22" t="n"/>
      <c r="J75" s="22" t="n"/>
      <c r="K75" s="21" t="n"/>
      <c r="L75" s="25">
        <f>IF($A75="","",IF($K75=A_DONE,IF($J75="","",$J75-$I75),IF($I75="","",TODAY()-$I75)))</f>
        <v/>
      </c>
      <c r="M75" s="24">
        <f>IF($A75="","",IF($K75=A_DONE,S_DONE,IF($I75="",S_NODUE,IF($L75&gt;0,S_LATE,IF($H75&lt;&gt;"",S_WIP,IF(-$L75&lt;=FEN_ACT,S_RISK,IF(-$L75&lt;=HORIZON,S_COMING,S_ONTRACK)))))))</f>
        <v/>
      </c>
      <c r="N75" s="21" t="n"/>
      <c r="P75" s="24">
        <f>IF(AND($A75&lt;&gt;"",$K75&lt;&gt;A_DONE,N($L75)&gt;0),$L75+ROW()/1000000,"")</f>
        <v/>
      </c>
      <c r="Q75" s="24">
        <f>IF(AND($A75&lt;&gt;"",$K75&lt;&gt;A_DONE,OR($H75&lt;&gt;"",N($L75)&gt;0)),N($L75)+ROW()/1000000,"")</f>
        <v/>
      </c>
      <c r="R75" s="24">
        <f>IF(AND($A75&lt;&gt;"",$K75&lt;&gt;A_DONE,$H75="",$I75&lt;&gt;"",N($L75)&lt;=0,-N($L75)&lt;=HORIZON),N($L75)+ROW()/1000000,"")</f>
        <v/>
      </c>
    </row>
    <row r="76">
      <c r="A76" s="21" t="n"/>
      <c r="B76" s="21" t="n"/>
      <c r="C76" s="21" t="n"/>
      <c r="D76" s="21" t="n"/>
      <c r="E76" s="21" t="n"/>
      <c r="F76" s="21" t="n"/>
      <c r="G76" s="21" t="n"/>
      <c r="H76" s="22" t="n"/>
      <c r="I76" s="22" t="n"/>
      <c r="J76" s="22" t="n"/>
      <c r="K76" s="21" t="n"/>
      <c r="L76" s="25">
        <f>IF($A76="","",IF($K76=A_DONE,IF($J76="","",$J76-$I76),IF($I76="","",TODAY()-$I76)))</f>
        <v/>
      </c>
      <c r="M76" s="24">
        <f>IF($A76="","",IF($K76=A_DONE,S_DONE,IF($I76="",S_NODUE,IF($L76&gt;0,S_LATE,IF($H76&lt;&gt;"",S_WIP,IF(-$L76&lt;=FEN_ACT,S_RISK,IF(-$L76&lt;=HORIZON,S_COMING,S_ONTRACK)))))))</f>
        <v/>
      </c>
      <c r="N76" s="21" t="n"/>
      <c r="P76" s="24">
        <f>IF(AND($A76&lt;&gt;"",$K76&lt;&gt;A_DONE,N($L76)&gt;0),$L76+ROW()/1000000,"")</f>
        <v/>
      </c>
      <c r="Q76" s="24">
        <f>IF(AND($A76&lt;&gt;"",$K76&lt;&gt;A_DONE,OR($H76&lt;&gt;"",N($L76)&gt;0)),N($L76)+ROW()/1000000,"")</f>
        <v/>
      </c>
      <c r="R76" s="24">
        <f>IF(AND($A76&lt;&gt;"",$K76&lt;&gt;A_DONE,$H76="",$I76&lt;&gt;"",N($L76)&lt;=0,-N($L76)&lt;=HORIZON),N($L76)+ROW()/1000000,"")</f>
        <v/>
      </c>
    </row>
    <row r="77">
      <c r="A77" s="21" t="n"/>
      <c r="B77" s="21" t="n"/>
      <c r="C77" s="21" t="n"/>
      <c r="D77" s="21" t="n"/>
      <c r="E77" s="21" t="n"/>
      <c r="F77" s="21" t="n"/>
      <c r="G77" s="21" t="n"/>
      <c r="H77" s="22" t="n"/>
      <c r="I77" s="22" t="n"/>
      <c r="J77" s="22" t="n"/>
      <c r="K77" s="21" t="n"/>
      <c r="L77" s="25">
        <f>IF($A77="","",IF($K77=A_DONE,IF($J77="","",$J77-$I77),IF($I77="","",TODAY()-$I77)))</f>
        <v/>
      </c>
      <c r="M77" s="24">
        <f>IF($A77="","",IF($K77=A_DONE,S_DONE,IF($I77="",S_NODUE,IF($L77&gt;0,S_LATE,IF($H77&lt;&gt;"",S_WIP,IF(-$L77&lt;=FEN_ACT,S_RISK,IF(-$L77&lt;=HORIZON,S_COMING,S_ONTRACK)))))))</f>
        <v/>
      </c>
      <c r="N77" s="21" t="n"/>
      <c r="P77" s="24">
        <f>IF(AND($A77&lt;&gt;"",$K77&lt;&gt;A_DONE,N($L77)&gt;0),$L77+ROW()/1000000,"")</f>
        <v/>
      </c>
      <c r="Q77" s="24">
        <f>IF(AND($A77&lt;&gt;"",$K77&lt;&gt;A_DONE,OR($H77&lt;&gt;"",N($L77)&gt;0)),N($L77)+ROW()/1000000,"")</f>
        <v/>
      </c>
      <c r="R77" s="24">
        <f>IF(AND($A77&lt;&gt;"",$K77&lt;&gt;A_DONE,$H77="",$I77&lt;&gt;"",N($L77)&lt;=0,-N($L77)&lt;=HORIZON),N($L77)+ROW()/1000000,"")</f>
        <v/>
      </c>
    </row>
    <row r="78">
      <c r="A78" s="21" t="n"/>
      <c r="B78" s="21" t="n"/>
      <c r="C78" s="21" t="n"/>
      <c r="D78" s="21" t="n"/>
      <c r="E78" s="21" t="n"/>
      <c r="F78" s="21" t="n"/>
      <c r="G78" s="21" t="n"/>
      <c r="H78" s="22" t="n"/>
      <c r="I78" s="22" t="n"/>
      <c r="J78" s="22" t="n"/>
      <c r="K78" s="21" t="n"/>
      <c r="L78" s="25">
        <f>IF($A78="","",IF($K78=A_DONE,IF($J78="","",$J78-$I78),IF($I78="","",TODAY()-$I78)))</f>
        <v/>
      </c>
      <c r="M78" s="24">
        <f>IF($A78="","",IF($K78=A_DONE,S_DONE,IF($I78="",S_NODUE,IF($L78&gt;0,S_LATE,IF($H78&lt;&gt;"",S_WIP,IF(-$L78&lt;=FEN_ACT,S_RISK,IF(-$L78&lt;=HORIZON,S_COMING,S_ONTRACK)))))))</f>
        <v/>
      </c>
      <c r="N78" s="21" t="n"/>
      <c r="P78" s="24">
        <f>IF(AND($A78&lt;&gt;"",$K78&lt;&gt;A_DONE,N($L78)&gt;0),$L78+ROW()/1000000,"")</f>
        <v/>
      </c>
      <c r="Q78" s="24">
        <f>IF(AND($A78&lt;&gt;"",$K78&lt;&gt;A_DONE,OR($H78&lt;&gt;"",N($L78)&gt;0)),N($L78)+ROW()/1000000,"")</f>
        <v/>
      </c>
      <c r="R78" s="24">
        <f>IF(AND($A78&lt;&gt;"",$K78&lt;&gt;A_DONE,$H78="",$I78&lt;&gt;"",N($L78)&lt;=0,-N($L78)&lt;=HORIZON),N($L78)+ROW()/1000000,"")</f>
        <v/>
      </c>
    </row>
    <row r="79">
      <c r="A79" s="21" t="n"/>
      <c r="B79" s="21" t="n"/>
      <c r="C79" s="21" t="n"/>
      <c r="D79" s="21" t="n"/>
      <c r="E79" s="21" t="n"/>
      <c r="F79" s="21" t="n"/>
      <c r="G79" s="21" t="n"/>
      <c r="H79" s="22" t="n"/>
      <c r="I79" s="22" t="n"/>
      <c r="J79" s="22" t="n"/>
      <c r="K79" s="21" t="n"/>
      <c r="L79" s="25">
        <f>IF($A79="","",IF($K79=A_DONE,IF($J79="","",$J79-$I79),IF($I79="","",TODAY()-$I79)))</f>
        <v/>
      </c>
      <c r="M79" s="24">
        <f>IF($A79="","",IF($K79=A_DONE,S_DONE,IF($I79="",S_NODUE,IF($L79&gt;0,S_LATE,IF($H79&lt;&gt;"",S_WIP,IF(-$L79&lt;=FEN_ACT,S_RISK,IF(-$L79&lt;=HORIZON,S_COMING,S_ONTRACK)))))))</f>
        <v/>
      </c>
      <c r="N79" s="21" t="n"/>
      <c r="P79" s="24">
        <f>IF(AND($A79&lt;&gt;"",$K79&lt;&gt;A_DONE,N($L79)&gt;0),$L79+ROW()/1000000,"")</f>
        <v/>
      </c>
      <c r="Q79" s="24">
        <f>IF(AND($A79&lt;&gt;"",$K79&lt;&gt;A_DONE,OR($H79&lt;&gt;"",N($L79)&gt;0)),N($L79)+ROW()/1000000,"")</f>
        <v/>
      </c>
      <c r="R79" s="24">
        <f>IF(AND($A79&lt;&gt;"",$K79&lt;&gt;A_DONE,$H79="",$I79&lt;&gt;"",N($L79)&lt;=0,-N($L79)&lt;=HORIZON),N($L79)+ROW()/1000000,"")</f>
        <v/>
      </c>
    </row>
    <row r="80">
      <c r="A80" s="21" t="n"/>
      <c r="B80" s="21" t="n"/>
      <c r="C80" s="21" t="n"/>
      <c r="D80" s="21" t="n"/>
      <c r="E80" s="21" t="n"/>
      <c r="F80" s="21" t="n"/>
      <c r="G80" s="21" t="n"/>
      <c r="H80" s="22" t="n"/>
      <c r="I80" s="22" t="n"/>
      <c r="J80" s="22" t="n"/>
      <c r="K80" s="21" t="n"/>
      <c r="L80" s="25">
        <f>IF($A80="","",IF($K80=A_DONE,IF($J80="","",$J80-$I80),IF($I80="","",TODAY()-$I80)))</f>
        <v/>
      </c>
      <c r="M80" s="24">
        <f>IF($A80="","",IF($K80=A_DONE,S_DONE,IF($I80="",S_NODUE,IF($L80&gt;0,S_LATE,IF($H80&lt;&gt;"",S_WIP,IF(-$L80&lt;=FEN_ACT,S_RISK,IF(-$L80&lt;=HORIZON,S_COMING,S_ONTRACK)))))))</f>
        <v/>
      </c>
      <c r="N80" s="21" t="n"/>
      <c r="P80" s="24">
        <f>IF(AND($A80&lt;&gt;"",$K80&lt;&gt;A_DONE,N($L80)&gt;0),$L80+ROW()/1000000,"")</f>
        <v/>
      </c>
      <c r="Q80" s="24">
        <f>IF(AND($A80&lt;&gt;"",$K80&lt;&gt;A_DONE,OR($H80&lt;&gt;"",N($L80)&gt;0)),N($L80)+ROW()/1000000,"")</f>
        <v/>
      </c>
      <c r="R80" s="24">
        <f>IF(AND($A80&lt;&gt;"",$K80&lt;&gt;A_DONE,$H80="",$I80&lt;&gt;"",N($L80)&lt;=0,-N($L80)&lt;=HORIZON),N($L80)+ROW()/1000000,"")</f>
        <v/>
      </c>
    </row>
    <row r="81">
      <c r="A81" s="21" t="n"/>
      <c r="B81" s="21" t="n"/>
      <c r="C81" s="21" t="n"/>
      <c r="D81" s="21" t="n"/>
      <c r="E81" s="21" t="n"/>
      <c r="F81" s="21" t="n"/>
      <c r="G81" s="21" t="n"/>
      <c r="H81" s="22" t="n"/>
      <c r="I81" s="22" t="n"/>
      <c r="J81" s="22" t="n"/>
      <c r="K81" s="21" t="n"/>
      <c r="L81" s="25">
        <f>IF($A81="","",IF($K81=A_DONE,IF($J81="","",$J81-$I81),IF($I81="","",TODAY()-$I81)))</f>
        <v/>
      </c>
      <c r="M81" s="24">
        <f>IF($A81="","",IF($K81=A_DONE,S_DONE,IF($I81="",S_NODUE,IF($L81&gt;0,S_LATE,IF($H81&lt;&gt;"",S_WIP,IF(-$L81&lt;=FEN_ACT,S_RISK,IF(-$L81&lt;=HORIZON,S_COMING,S_ONTRACK)))))))</f>
        <v/>
      </c>
      <c r="N81" s="21" t="n"/>
      <c r="P81" s="24">
        <f>IF(AND($A81&lt;&gt;"",$K81&lt;&gt;A_DONE,N($L81)&gt;0),$L81+ROW()/1000000,"")</f>
        <v/>
      </c>
      <c r="Q81" s="24">
        <f>IF(AND($A81&lt;&gt;"",$K81&lt;&gt;A_DONE,OR($H81&lt;&gt;"",N($L81)&gt;0)),N($L81)+ROW()/1000000,"")</f>
        <v/>
      </c>
      <c r="R81" s="24">
        <f>IF(AND($A81&lt;&gt;"",$K81&lt;&gt;A_DONE,$H81="",$I81&lt;&gt;"",N($L81)&lt;=0,-N($L81)&lt;=HORIZON),N($L81)+ROW()/1000000,"")</f>
        <v/>
      </c>
    </row>
    <row r="82">
      <c r="A82" s="21" t="n"/>
      <c r="B82" s="21" t="n"/>
      <c r="C82" s="21" t="n"/>
      <c r="D82" s="21" t="n"/>
      <c r="E82" s="21" t="n"/>
      <c r="F82" s="21" t="n"/>
      <c r="G82" s="21" t="n"/>
      <c r="H82" s="22" t="n"/>
      <c r="I82" s="22" t="n"/>
      <c r="J82" s="22" t="n"/>
      <c r="K82" s="21" t="n"/>
      <c r="L82" s="25">
        <f>IF($A82="","",IF($K82=A_DONE,IF($J82="","",$J82-$I82),IF($I82="","",TODAY()-$I82)))</f>
        <v/>
      </c>
      <c r="M82" s="24">
        <f>IF($A82="","",IF($K82=A_DONE,S_DONE,IF($I82="",S_NODUE,IF($L82&gt;0,S_LATE,IF($H82&lt;&gt;"",S_WIP,IF(-$L82&lt;=FEN_ACT,S_RISK,IF(-$L82&lt;=HORIZON,S_COMING,S_ONTRACK)))))))</f>
        <v/>
      </c>
      <c r="N82" s="21" t="n"/>
      <c r="P82" s="24">
        <f>IF(AND($A82&lt;&gt;"",$K82&lt;&gt;A_DONE,N($L82)&gt;0),$L82+ROW()/1000000,"")</f>
        <v/>
      </c>
      <c r="Q82" s="24">
        <f>IF(AND($A82&lt;&gt;"",$K82&lt;&gt;A_DONE,OR($H82&lt;&gt;"",N($L82)&gt;0)),N($L82)+ROW()/1000000,"")</f>
        <v/>
      </c>
      <c r="R82" s="24">
        <f>IF(AND($A82&lt;&gt;"",$K82&lt;&gt;A_DONE,$H82="",$I82&lt;&gt;"",N($L82)&lt;=0,-N($L82)&lt;=HORIZON),N($L82)+ROW()/1000000,"")</f>
        <v/>
      </c>
    </row>
    <row r="83">
      <c r="A83" s="21" t="n"/>
      <c r="B83" s="21" t="n"/>
      <c r="C83" s="21" t="n"/>
      <c r="D83" s="21" t="n"/>
      <c r="E83" s="21" t="n"/>
      <c r="F83" s="21" t="n"/>
      <c r="G83" s="21" t="n"/>
      <c r="H83" s="22" t="n"/>
      <c r="I83" s="22" t="n"/>
      <c r="J83" s="22" t="n"/>
      <c r="K83" s="21" t="n"/>
      <c r="L83" s="25">
        <f>IF($A83="","",IF($K83=A_DONE,IF($J83="","",$J83-$I83),IF($I83="","",TODAY()-$I83)))</f>
        <v/>
      </c>
      <c r="M83" s="24">
        <f>IF($A83="","",IF($K83=A_DONE,S_DONE,IF($I83="",S_NODUE,IF($L83&gt;0,S_LATE,IF($H83&lt;&gt;"",S_WIP,IF(-$L83&lt;=FEN_ACT,S_RISK,IF(-$L83&lt;=HORIZON,S_COMING,S_ONTRACK)))))))</f>
        <v/>
      </c>
      <c r="N83" s="21" t="n"/>
      <c r="P83" s="24">
        <f>IF(AND($A83&lt;&gt;"",$K83&lt;&gt;A_DONE,N($L83)&gt;0),$L83+ROW()/1000000,"")</f>
        <v/>
      </c>
      <c r="Q83" s="24">
        <f>IF(AND($A83&lt;&gt;"",$K83&lt;&gt;A_DONE,OR($H83&lt;&gt;"",N($L83)&gt;0)),N($L83)+ROW()/1000000,"")</f>
        <v/>
      </c>
      <c r="R83" s="24">
        <f>IF(AND($A83&lt;&gt;"",$K83&lt;&gt;A_DONE,$H83="",$I83&lt;&gt;"",N($L83)&lt;=0,-N($L83)&lt;=HORIZON),N($L83)+ROW()/1000000,"")</f>
        <v/>
      </c>
    </row>
    <row r="84">
      <c r="A84" s="21" t="n"/>
      <c r="B84" s="21" t="n"/>
      <c r="C84" s="21" t="n"/>
      <c r="D84" s="21" t="n"/>
      <c r="E84" s="21" t="n"/>
      <c r="F84" s="21" t="n"/>
      <c r="G84" s="21" t="n"/>
      <c r="H84" s="22" t="n"/>
      <c r="I84" s="22" t="n"/>
      <c r="J84" s="22" t="n"/>
      <c r="K84" s="21" t="n"/>
      <c r="L84" s="25">
        <f>IF($A84="","",IF($K84=A_DONE,IF($J84="","",$J84-$I84),IF($I84="","",TODAY()-$I84)))</f>
        <v/>
      </c>
      <c r="M84" s="24">
        <f>IF($A84="","",IF($K84=A_DONE,S_DONE,IF($I84="",S_NODUE,IF($L84&gt;0,S_LATE,IF($H84&lt;&gt;"",S_WIP,IF(-$L84&lt;=FEN_ACT,S_RISK,IF(-$L84&lt;=HORIZON,S_COMING,S_ONTRACK)))))))</f>
        <v/>
      </c>
      <c r="N84" s="21" t="n"/>
      <c r="P84" s="24">
        <f>IF(AND($A84&lt;&gt;"",$K84&lt;&gt;A_DONE,N($L84)&gt;0),$L84+ROW()/1000000,"")</f>
        <v/>
      </c>
      <c r="Q84" s="24">
        <f>IF(AND($A84&lt;&gt;"",$K84&lt;&gt;A_DONE,OR($H84&lt;&gt;"",N($L84)&gt;0)),N($L84)+ROW()/1000000,"")</f>
        <v/>
      </c>
      <c r="R84" s="24">
        <f>IF(AND($A84&lt;&gt;"",$K84&lt;&gt;A_DONE,$H84="",$I84&lt;&gt;"",N($L84)&lt;=0,-N($L84)&lt;=HORIZON),N($L84)+ROW()/1000000,"")</f>
        <v/>
      </c>
    </row>
    <row r="85">
      <c r="A85" s="21" t="n"/>
      <c r="B85" s="21" t="n"/>
      <c r="C85" s="21" t="n"/>
      <c r="D85" s="21" t="n"/>
      <c r="E85" s="21" t="n"/>
      <c r="F85" s="21" t="n"/>
      <c r="G85" s="21" t="n"/>
      <c r="H85" s="22" t="n"/>
      <c r="I85" s="22" t="n"/>
      <c r="J85" s="22" t="n"/>
      <c r="K85" s="21" t="n"/>
      <c r="L85" s="25">
        <f>IF($A85="","",IF($K85=A_DONE,IF($J85="","",$J85-$I85),IF($I85="","",TODAY()-$I85)))</f>
        <v/>
      </c>
      <c r="M85" s="24">
        <f>IF($A85="","",IF($K85=A_DONE,S_DONE,IF($I85="",S_NODUE,IF($L85&gt;0,S_LATE,IF($H85&lt;&gt;"",S_WIP,IF(-$L85&lt;=FEN_ACT,S_RISK,IF(-$L85&lt;=HORIZON,S_COMING,S_ONTRACK)))))))</f>
        <v/>
      </c>
      <c r="N85" s="21" t="n"/>
      <c r="P85" s="24">
        <f>IF(AND($A85&lt;&gt;"",$K85&lt;&gt;A_DONE,N($L85)&gt;0),$L85+ROW()/1000000,"")</f>
        <v/>
      </c>
      <c r="Q85" s="24">
        <f>IF(AND($A85&lt;&gt;"",$K85&lt;&gt;A_DONE,OR($H85&lt;&gt;"",N($L85)&gt;0)),N($L85)+ROW()/1000000,"")</f>
        <v/>
      </c>
      <c r="R85" s="24">
        <f>IF(AND($A85&lt;&gt;"",$K85&lt;&gt;A_DONE,$H85="",$I85&lt;&gt;"",N($L85)&lt;=0,-N($L85)&lt;=HORIZON),N($L85)+ROW()/1000000,"")</f>
        <v/>
      </c>
    </row>
    <row r="86">
      <c r="A86" s="21" t="n"/>
      <c r="B86" s="21" t="n"/>
      <c r="C86" s="21" t="n"/>
      <c r="D86" s="21" t="n"/>
      <c r="E86" s="21" t="n"/>
      <c r="F86" s="21" t="n"/>
      <c r="G86" s="21" t="n"/>
      <c r="H86" s="22" t="n"/>
      <c r="I86" s="22" t="n"/>
      <c r="J86" s="22" t="n"/>
      <c r="K86" s="21" t="n"/>
      <c r="L86" s="25">
        <f>IF($A86="","",IF($K86=A_DONE,IF($J86="","",$J86-$I86),IF($I86="","",TODAY()-$I86)))</f>
        <v/>
      </c>
      <c r="M86" s="24">
        <f>IF($A86="","",IF($K86=A_DONE,S_DONE,IF($I86="",S_NODUE,IF($L86&gt;0,S_LATE,IF($H86&lt;&gt;"",S_WIP,IF(-$L86&lt;=FEN_ACT,S_RISK,IF(-$L86&lt;=HORIZON,S_COMING,S_ONTRACK)))))))</f>
        <v/>
      </c>
      <c r="N86" s="21" t="n"/>
      <c r="P86" s="24">
        <f>IF(AND($A86&lt;&gt;"",$K86&lt;&gt;A_DONE,N($L86)&gt;0),$L86+ROW()/1000000,"")</f>
        <v/>
      </c>
      <c r="Q86" s="24">
        <f>IF(AND($A86&lt;&gt;"",$K86&lt;&gt;A_DONE,OR($H86&lt;&gt;"",N($L86)&gt;0)),N($L86)+ROW()/1000000,"")</f>
        <v/>
      </c>
      <c r="R86" s="24">
        <f>IF(AND($A86&lt;&gt;"",$K86&lt;&gt;A_DONE,$H86="",$I86&lt;&gt;"",N($L86)&lt;=0,-N($L86)&lt;=HORIZON),N($L86)+ROW()/1000000,"")</f>
        <v/>
      </c>
    </row>
    <row r="87">
      <c r="A87" s="21" t="n"/>
      <c r="B87" s="21" t="n"/>
      <c r="C87" s="21" t="n"/>
      <c r="D87" s="21" t="n"/>
      <c r="E87" s="21" t="n"/>
      <c r="F87" s="21" t="n"/>
      <c r="G87" s="21" t="n"/>
      <c r="H87" s="22" t="n"/>
      <c r="I87" s="22" t="n"/>
      <c r="J87" s="22" t="n"/>
      <c r="K87" s="21" t="n"/>
      <c r="L87" s="25">
        <f>IF($A87="","",IF($K87=A_DONE,IF($J87="","",$J87-$I87),IF($I87="","",TODAY()-$I87)))</f>
        <v/>
      </c>
      <c r="M87" s="24">
        <f>IF($A87="","",IF($K87=A_DONE,S_DONE,IF($I87="",S_NODUE,IF($L87&gt;0,S_LATE,IF($H87&lt;&gt;"",S_WIP,IF(-$L87&lt;=FEN_ACT,S_RISK,IF(-$L87&lt;=HORIZON,S_COMING,S_ONTRACK)))))))</f>
        <v/>
      </c>
      <c r="N87" s="21" t="n"/>
      <c r="P87" s="24">
        <f>IF(AND($A87&lt;&gt;"",$K87&lt;&gt;A_DONE,N($L87)&gt;0),$L87+ROW()/1000000,"")</f>
        <v/>
      </c>
      <c r="Q87" s="24">
        <f>IF(AND($A87&lt;&gt;"",$K87&lt;&gt;A_DONE,OR($H87&lt;&gt;"",N($L87)&gt;0)),N($L87)+ROW()/1000000,"")</f>
        <v/>
      </c>
      <c r="R87" s="24">
        <f>IF(AND($A87&lt;&gt;"",$K87&lt;&gt;A_DONE,$H87="",$I87&lt;&gt;"",N($L87)&lt;=0,-N($L87)&lt;=HORIZON),N($L87)+ROW()/1000000,"")</f>
        <v/>
      </c>
    </row>
    <row r="88">
      <c r="A88" s="21" t="n"/>
      <c r="B88" s="21" t="n"/>
      <c r="C88" s="21" t="n"/>
      <c r="D88" s="21" t="n"/>
      <c r="E88" s="21" t="n"/>
      <c r="F88" s="21" t="n"/>
      <c r="G88" s="21" t="n"/>
      <c r="H88" s="22" t="n"/>
      <c r="I88" s="22" t="n"/>
      <c r="J88" s="22" t="n"/>
      <c r="K88" s="21" t="n"/>
      <c r="L88" s="25">
        <f>IF($A88="","",IF($K88=A_DONE,IF($J88="","",$J88-$I88),IF($I88="","",TODAY()-$I88)))</f>
        <v/>
      </c>
      <c r="M88" s="24">
        <f>IF($A88="","",IF($K88=A_DONE,S_DONE,IF($I88="",S_NODUE,IF($L88&gt;0,S_LATE,IF($H88&lt;&gt;"",S_WIP,IF(-$L88&lt;=FEN_ACT,S_RISK,IF(-$L88&lt;=HORIZON,S_COMING,S_ONTRACK)))))))</f>
        <v/>
      </c>
      <c r="N88" s="21" t="n"/>
      <c r="P88" s="24">
        <f>IF(AND($A88&lt;&gt;"",$K88&lt;&gt;A_DONE,N($L88)&gt;0),$L88+ROW()/1000000,"")</f>
        <v/>
      </c>
      <c r="Q88" s="24">
        <f>IF(AND($A88&lt;&gt;"",$K88&lt;&gt;A_DONE,OR($H88&lt;&gt;"",N($L88)&gt;0)),N($L88)+ROW()/1000000,"")</f>
        <v/>
      </c>
      <c r="R88" s="24">
        <f>IF(AND($A88&lt;&gt;"",$K88&lt;&gt;A_DONE,$H88="",$I88&lt;&gt;"",N($L88)&lt;=0,-N($L88)&lt;=HORIZON),N($L88)+ROW()/1000000,"")</f>
        <v/>
      </c>
    </row>
    <row r="89">
      <c r="A89" s="21" t="n"/>
      <c r="B89" s="21" t="n"/>
      <c r="C89" s="21" t="n"/>
      <c r="D89" s="21" t="n"/>
      <c r="E89" s="21" t="n"/>
      <c r="F89" s="21" t="n"/>
      <c r="G89" s="21" t="n"/>
      <c r="H89" s="22" t="n"/>
      <c r="I89" s="22" t="n"/>
      <c r="J89" s="22" t="n"/>
      <c r="K89" s="21" t="n"/>
      <c r="L89" s="25">
        <f>IF($A89="","",IF($K89=A_DONE,IF($J89="","",$J89-$I89),IF($I89="","",TODAY()-$I89)))</f>
        <v/>
      </c>
      <c r="M89" s="24">
        <f>IF($A89="","",IF($K89=A_DONE,S_DONE,IF($I89="",S_NODUE,IF($L89&gt;0,S_LATE,IF($H89&lt;&gt;"",S_WIP,IF(-$L89&lt;=FEN_ACT,S_RISK,IF(-$L89&lt;=HORIZON,S_COMING,S_ONTRACK)))))))</f>
        <v/>
      </c>
      <c r="N89" s="21" t="n"/>
      <c r="P89" s="24">
        <f>IF(AND($A89&lt;&gt;"",$K89&lt;&gt;A_DONE,N($L89)&gt;0),$L89+ROW()/1000000,"")</f>
        <v/>
      </c>
      <c r="Q89" s="24">
        <f>IF(AND($A89&lt;&gt;"",$K89&lt;&gt;A_DONE,OR($H89&lt;&gt;"",N($L89)&gt;0)),N($L89)+ROW()/1000000,"")</f>
        <v/>
      </c>
      <c r="R89" s="24">
        <f>IF(AND($A89&lt;&gt;"",$K89&lt;&gt;A_DONE,$H89="",$I89&lt;&gt;"",N($L89)&lt;=0,-N($L89)&lt;=HORIZON),N($L89)+ROW()/1000000,"")</f>
        <v/>
      </c>
    </row>
    <row r="90">
      <c r="A90" s="21" t="n"/>
      <c r="B90" s="21" t="n"/>
      <c r="C90" s="21" t="n"/>
      <c r="D90" s="21" t="n"/>
      <c r="E90" s="21" t="n"/>
      <c r="F90" s="21" t="n"/>
      <c r="G90" s="21" t="n"/>
      <c r="H90" s="22" t="n"/>
      <c r="I90" s="22" t="n"/>
      <c r="J90" s="22" t="n"/>
      <c r="K90" s="21" t="n"/>
      <c r="L90" s="25">
        <f>IF($A90="","",IF($K90=A_DONE,IF($J90="","",$J90-$I90),IF($I90="","",TODAY()-$I90)))</f>
        <v/>
      </c>
      <c r="M90" s="24">
        <f>IF($A90="","",IF($K90=A_DONE,S_DONE,IF($I90="",S_NODUE,IF($L90&gt;0,S_LATE,IF($H90&lt;&gt;"",S_WIP,IF(-$L90&lt;=FEN_ACT,S_RISK,IF(-$L90&lt;=HORIZON,S_COMING,S_ONTRACK)))))))</f>
        <v/>
      </c>
      <c r="N90" s="21" t="n"/>
      <c r="P90" s="24">
        <f>IF(AND($A90&lt;&gt;"",$K90&lt;&gt;A_DONE,N($L90)&gt;0),$L90+ROW()/1000000,"")</f>
        <v/>
      </c>
      <c r="Q90" s="24">
        <f>IF(AND($A90&lt;&gt;"",$K90&lt;&gt;A_DONE,OR($H90&lt;&gt;"",N($L90)&gt;0)),N($L90)+ROW()/1000000,"")</f>
        <v/>
      </c>
      <c r="R90" s="24">
        <f>IF(AND($A90&lt;&gt;"",$K90&lt;&gt;A_DONE,$H90="",$I90&lt;&gt;"",N($L90)&lt;=0,-N($L90)&lt;=HORIZON),N($L90)+ROW()/1000000,"")</f>
        <v/>
      </c>
    </row>
    <row r="91">
      <c r="A91" s="21" t="n"/>
      <c r="B91" s="21" t="n"/>
      <c r="C91" s="21" t="n"/>
      <c r="D91" s="21" t="n"/>
      <c r="E91" s="21" t="n"/>
      <c r="F91" s="21" t="n"/>
      <c r="G91" s="21" t="n"/>
      <c r="H91" s="22" t="n"/>
      <c r="I91" s="22" t="n"/>
      <c r="J91" s="22" t="n"/>
      <c r="K91" s="21" t="n"/>
      <c r="L91" s="25">
        <f>IF($A91="","",IF($K91=A_DONE,IF($J91="","",$J91-$I91),IF($I91="","",TODAY()-$I91)))</f>
        <v/>
      </c>
      <c r="M91" s="24">
        <f>IF($A91="","",IF($K91=A_DONE,S_DONE,IF($I91="",S_NODUE,IF($L91&gt;0,S_LATE,IF($H91&lt;&gt;"",S_WIP,IF(-$L91&lt;=FEN_ACT,S_RISK,IF(-$L91&lt;=HORIZON,S_COMING,S_ONTRACK)))))))</f>
        <v/>
      </c>
      <c r="N91" s="21" t="n"/>
      <c r="P91" s="24">
        <f>IF(AND($A91&lt;&gt;"",$K91&lt;&gt;A_DONE,N($L91)&gt;0),$L91+ROW()/1000000,"")</f>
        <v/>
      </c>
      <c r="Q91" s="24">
        <f>IF(AND($A91&lt;&gt;"",$K91&lt;&gt;A_DONE,OR($H91&lt;&gt;"",N($L91)&gt;0)),N($L91)+ROW()/1000000,"")</f>
        <v/>
      </c>
      <c r="R91" s="24">
        <f>IF(AND($A91&lt;&gt;"",$K91&lt;&gt;A_DONE,$H91="",$I91&lt;&gt;"",N($L91)&lt;=0,-N($L91)&lt;=HORIZON),N($L91)+ROW()/1000000,"")</f>
        <v/>
      </c>
    </row>
    <row r="92">
      <c r="A92" s="21" t="n"/>
      <c r="B92" s="21" t="n"/>
      <c r="C92" s="21" t="n"/>
      <c r="D92" s="21" t="n"/>
      <c r="E92" s="21" t="n"/>
      <c r="F92" s="21" t="n"/>
      <c r="G92" s="21" t="n"/>
      <c r="H92" s="22" t="n"/>
      <c r="I92" s="22" t="n"/>
      <c r="J92" s="22" t="n"/>
      <c r="K92" s="21" t="n"/>
      <c r="L92" s="25">
        <f>IF($A92="","",IF($K92=A_DONE,IF($J92="","",$J92-$I92),IF($I92="","",TODAY()-$I92)))</f>
        <v/>
      </c>
      <c r="M92" s="24">
        <f>IF($A92="","",IF($K92=A_DONE,S_DONE,IF($I92="",S_NODUE,IF($L92&gt;0,S_LATE,IF($H92&lt;&gt;"",S_WIP,IF(-$L92&lt;=FEN_ACT,S_RISK,IF(-$L92&lt;=HORIZON,S_COMING,S_ONTRACK)))))))</f>
        <v/>
      </c>
      <c r="N92" s="21" t="n"/>
      <c r="P92" s="24">
        <f>IF(AND($A92&lt;&gt;"",$K92&lt;&gt;A_DONE,N($L92)&gt;0),$L92+ROW()/1000000,"")</f>
        <v/>
      </c>
      <c r="Q92" s="24">
        <f>IF(AND($A92&lt;&gt;"",$K92&lt;&gt;A_DONE,OR($H92&lt;&gt;"",N($L92)&gt;0)),N($L92)+ROW()/1000000,"")</f>
        <v/>
      </c>
      <c r="R92" s="24">
        <f>IF(AND($A92&lt;&gt;"",$K92&lt;&gt;A_DONE,$H92="",$I92&lt;&gt;"",N($L92)&lt;=0,-N($L92)&lt;=HORIZON),N($L92)+ROW()/1000000,"")</f>
        <v/>
      </c>
    </row>
    <row r="93">
      <c r="A93" s="21" t="n"/>
      <c r="B93" s="21" t="n"/>
      <c r="C93" s="21" t="n"/>
      <c r="D93" s="21" t="n"/>
      <c r="E93" s="21" t="n"/>
      <c r="F93" s="21" t="n"/>
      <c r="G93" s="21" t="n"/>
      <c r="H93" s="22" t="n"/>
      <c r="I93" s="22" t="n"/>
      <c r="J93" s="22" t="n"/>
      <c r="K93" s="21" t="n"/>
      <c r="L93" s="25">
        <f>IF($A93="","",IF($K93=A_DONE,IF($J93="","",$J93-$I93),IF($I93="","",TODAY()-$I93)))</f>
        <v/>
      </c>
      <c r="M93" s="24">
        <f>IF($A93="","",IF($K93=A_DONE,S_DONE,IF($I93="",S_NODUE,IF($L93&gt;0,S_LATE,IF($H93&lt;&gt;"",S_WIP,IF(-$L93&lt;=FEN_ACT,S_RISK,IF(-$L93&lt;=HORIZON,S_COMING,S_ONTRACK)))))))</f>
        <v/>
      </c>
      <c r="N93" s="21" t="n"/>
      <c r="P93" s="24">
        <f>IF(AND($A93&lt;&gt;"",$K93&lt;&gt;A_DONE,N($L93)&gt;0),$L93+ROW()/1000000,"")</f>
        <v/>
      </c>
      <c r="Q93" s="24">
        <f>IF(AND($A93&lt;&gt;"",$K93&lt;&gt;A_DONE,OR($H93&lt;&gt;"",N($L93)&gt;0)),N($L93)+ROW()/1000000,"")</f>
        <v/>
      </c>
      <c r="R93" s="24">
        <f>IF(AND($A93&lt;&gt;"",$K93&lt;&gt;A_DONE,$H93="",$I93&lt;&gt;"",N($L93)&lt;=0,-N($L93)&lt;=HORIZON),N($L93)+ROW()/1000000,"")</f>
        <v/>
      </c>
    </row>
    <row r="94">
      <c r="A94" s="21" t="n"/>
      <c r="B94" s="21" t="n"/>
      <c r="C94" s="21" t="n"/>
      <c r="D94" s="21" t="n"/>
      <c r="E94" s="21" t="n"/>
      <c r="F94" s="21" t="n"/>
      <c r="G94" s="21" t="n"/>
      <c r="H94" s="22" t="n"/>
      <c r="I94" s="22" t="n"/>
      <c r="J94" s="22" t="n"/>
      <c r="K94" s="21" t="n"/>
      <c r="L94" s="25">
        <f>IF($A94="","",IF($K94=A_DONE,IF($J94="","",$J94-$I94),IF($I94="","",TODAY()-$I94)))</f>
        <v/>
      </c>
      <c r="M94" s="24">
        <f>IF($A94="","",IF($K94=A_DONE,S_DONE,IF($I94="",S_NODUE,IF($L94&gt;0,S_LATE,IF($H94&lt;&gt;"",S_WIP,IF(-$L94&lt;=FEN_ACT,S_RISK,IF(-$L94&lt;=HORIZON,S_COMING,S_ONTRACK)))))))</f>
        <v/>
      </c>
      <c r="N94" s="21" t="n"/>
      <c r="P94" s="24">
        <f>IF(AND($A94&lt;&gt;"",$K94&lt;&gt;A_DONE,N($L94)&gt;0),$L94+ROW()/1000000,"")</f>
        <v/>
      </c>
      <c r="Q94" s="24">
        <f>IF(AND($A94&lt;&gt;"",$K94&lt;&gt;A_DONE,OR($H94&lt;&gt;"",N($L94)&gt;0)),N($L94)+ROW()/1000000,"")</f>
        <v/>
      </c>
      <c r="R94" s="24">
        <f>IF(AND($A94&lt;&gt;"",$K94&lt;&gt;A_DONE,$H94="",$I94&lt;&gt;"",N($L94)&lt;=0,-N($L94)&lt;=HORIZON),N($L94)+ROW()/1000000,"")</f>
        <v/>
      </c>
    </row>
    <row r="95">
      <c r="A95" s="21" t="n"/>
      <c r="B95" s="21" t="n"/>
      <c r="C95" s="21" t="n"/>
      <c r="D95" s="21" t="n"/>
      <c r="E95" s="21" t="n"/>
      <c r="F95" s="21" t="n"/>
      <c r="G95" s="21" t="n"/>
      <c r="H95" s="22" t="n"/>
      <c r="I95" s="22" t="n"/>
      <c r="J95" s="22" t="n"/>
      <c r="K95" s="21" t="n"/>
      <c r="L95" s="25">
        <f>IF($A95="","",IF($K95=A_DONE,IF($J95="","",$J95-$I95),IF($I95="","",TODAY()-$I95)))</f>
        <v/>
      </c>
      <c r="M95" s="24">
        <f>IF($A95="","",IF($K95=A_DONE,S_DONE,IF($I95="",S_NODUE,IF($L95&gt;0,S_LATE,IF($H95&lt;&gt;"",S_WIP,IF(-$L95&lt;=FEN_ACT,S_RISK,IF(-$L95&lt;=HORIZON,S_COMING,S_ONTRACK)))))))</f>
        <v/>
      </c>
      <c r="N95" s="21" t="n"/>
      <c r="P95" s="24">
        <f>IF(AND($A95&lt;&gt;"",$K95&lt;&gt;A_DONE,N($L95)&gt;0),$L95+ROW()/1000000,"")</f>
        <v/>
      </c>
      <c r="Q95" s="24">
        <f>IF(AND($A95&lt;&gt;"",$K95&lt;&gt;A_DONE,OR($H95&lt;&gt;"",N($L95)&gt;0)),N($L95)+ROW()/1000000,"")</f>
        <v/>
      </c>
      <c r="R95" s="24">
        <f>IF(AND($A95&lt;&gt;"",$K95&lt;&gt;A_DONE,$H95="",$I95&lt;&gt;"",N($L95)&lt;=0,-N($L95)&lt;=HORIZON),N($L95)+ROW()/1000000,"")</f>
        <v/>
      </c>
    </row>
    <row r="96">
      <c r="A96" s="21" t="n"/>
      <c r="B96" s="21" t="n"/>
      <c r="C96" s="21" t="n"/>
      <c r="D96" s="21" t="n"/>
      <c r="E96" s="21" t="n"/>
      <c r="F96" s="21" t="n"/>
      <c r="G96" s="21" t="n"/>
      <c r="H96" s="22" t="n"/>
      <c r="I96" s="22" t="n"/>
      <c r="J96" s="22" t="n"/>
      <c r="K96" s="21" t="n"/>
      <c r="L96" s="25">
        <f>IF($A96="","",IF($K96=A_DONE,IF($J96="","",$J96-$I96),IF($I96="","",TODAY()-$I96)))</f>
        <v/>
      </c>
      <c r="M96" s="24">
        <f>IF($A96="","",IF($K96=A_DONE,S_DONE,IF($I96="",S_NODUE,IF($L96&gt;0,S_LATE,IF($H96&lt;&gt;"",S_WIP,IF(-$L96&lt;=FEN_ACT,S_RISK,IF(-$L96&lt;=HORIZON,S_COMING,S_ONTRACK)))))))</f>
        <v/>
      </c>
      <c r="N96" s="21" t="n"/>
      <c r="P96" s="24">
        <f>IF(AND($A96&lt;&gt;"",$K96&lt;&gt;A_DONE,N($L96)&gt;0),$L96+ROW()/1000000,"")</f>
        <v/>
      </c>
      <c r="Q96" s="24">
        <f>IF(AND($A96&lt;&gt;"",$K96&lt;&gt;A_DONE,OR($H96&lt;&gt;"",N($L96)&gt;0)),N($L96)+ROW()/1000000,"")</f>
        <v/>
      </c>
      <c r="R96" s="24">
        <f>IF(AND($A96&lt;&gt;"",$K96&lt;&gt;A_DONE,$H96="",$I96&lt;&gt;"",N($L96)&lt;=0,-N($L96)&lt;=HORIZON),N($L96)+ROW()/1000000,"")</f>
        <v/>
      </c>
    </row>
    <row r="97">
      <c r="A97" s="21" t="n"/>
      <c r="B97" s="21" t="n"/>
      <c r="C97" s="21" t="n"/>
      <c r="D97" s="21" t="n"/>
      <c r="E97" s="21" t="n"/>
      <c r="F97" s="21" t="n"/>
      <c r="G97" s="21" t="n"/>
      <c r="H97" s="22" t="n"/>
      <c r="I97" s="22" t="n"/>
      <c r="J97" s="22" t="n"/>
      <c r="K97" s="21" t="n"/>
      <c r="L97" s="25">
        <f>IF($A97="","",IF($K97=A_DONE,IF($J97="","",$J97-$I97),IF($I97="","",TODAY()-$I97)))</f>
        <v/>
      </c>
      <c r="M97" s="24">
        <f>IF($A97="","",IF($K97=A_DONE,S_DONE,IF($I97="",S_NODUE,IF($L97&gt;0,S_LATE,IF($H97&lt;&gt;"",S_WIP,IF(-$L97&lt;=FEN_ACT,S_RISK,IF(-$L97&lt;=HORIZON,S_COMING,S_ONTRACK)))))))</f>
        <v/>
      </c>
      <c r="N97" s="21" t="n"/>
      <c r="P97" s="24">
        <f>IF(AND($A97&lt;&gt;"",$K97&lt;&gt;A_DONE,N($L97)&gt;0),$L97+ROW()/1000000,"")</f>
        <v/>
      </c>
      <c r="Q97" s="24">
        <f>IF(AND($A97&lt;&gt;"",$K97&lt;&gt;A_DONE,OR($H97&lt;&gt;"",N($L97)&gt;0)),N($L97)+ROW()/1000000,"")</f>
        <v/>
      </c>
      <c r="R97" s="24">
        <f>IF(AND($A97&lt;&gt;"",$K97&lt;&gt;A_DONE,$H97="",$I97&lt;&gt;"",N($L97)&lt;=0,-N($L97)&lt;=HORIZON),N($L97)+ROW()/1000000,"")</f>
        <v/>
      </c>
    </row>
    <row r="98">
      <c r="A98" s="21" t="n"/>
      <c r="B98" s="21" t="n"/>
      <c r="C98" s="21" t="n"/>
      <c r="D98" s="21" t="n"/>
      <c r="E98" s="21" t="n"/>
      <c r="F98" s="21" t="n"/>
      <c r="G98" s="21" t="n"/>
      <c r="H98" s="22" t="n"/>
      <c r="I98" s="22" t="n"/>
      <c r="J98" s="22" t="n"/>
      <c r="K98" s="21" t="n"/>
      <c r="L98" s="25">
        <f>IF($A98="","",IF($K98=A_DONE,IF($J98="","",$J98-$I98),IF($I98="","",TODAY()-$I98)))</f>
        <v/>
      </c>
      <c r="M98" s="24">
        <f>IF($A98="","",IF($K98=A_DONE,S_DONE,IF($I98="",S_NODUE,IF($L98&gt;0,S_LATE,IF($H98&lt;&gt;"",S_WIP,IF(-$L98&lt;=FEN_ACT,S_RISK,IF(-$L98&lt;=HORIZON,S_COMING,S_ONTRACK)))))))</f>
        <v/>
      </c>
      <c r="N98" s="21" t="n"/>
      <c r="P98" s="24">
        <f>IF(AND($A98&lt;&gt;"",$K98&lt;&gt;A_DONE,N($L98)&gt;0),$L98+ROW()/1000000,"")</f>
        <v/>
      </c>
      <c r="Q98" s="24">
        <f>IF(AND($A98&lt;&gt;"",$K98&lt;&gt;A_DONE,OR($H98&lt;&gt;"",N($L98)&gt;0)),N($L98)+ROW()/1000000,"")</f>
        <v/>
      </c>
      <c r="R98" s="24">
        <f>IF(AND($A98&lt;&gt;"",$K98&lt;&gt;A_DONE,$H98="",$I98&lt;&gt;"",N($L98)&lt;=0,-N($L98)&lt;=HORIZON),N($L98)+ROW()/1000000,"")</f>
        <v/>
      </c>
    </row>
    <row r="99">
      <c r="A99" s="21" t="n"/>
      <c r="B99" s="21" t="n"/>
      <c r="C99" s="21" t="n"/>
      <c r="D99" s="21" t="n"/>
      <c r="E99" s="21" t="n"/>
      <c r="F99" s="21" t="n"/>
      <c r="G99" s="21" t="n"/>
      <c r="H99" s="22" t="n"/>
      <c r="I99" s="22" t="n"/>
      <c r="J99" s="22" t="n"/>
      <c r="K99" s="21" t="n"/>
      <c r="L99" s="25">
        <f>IF($A99="","",IF($K99=A_DONE,IF($J99="","",$J99-$I99),IF($I99="","",TODAY()-$I99)))</f>
        <v/>
      </c>
      <c r="M99" s="24">
        <f>IF($A99="","",IF($K99=A_DONE,S_DONE,IF($I99="",S_NODUE,IF($L99&gt;0,S_LATE,IF($H99&lt;&gt;"",S_WIP,IF(-$L99&lt;=FEN_ACT,S_RISK,IF(-$L99&lt;=HORIZON,S_COMING,S_ONTRACK)))))))</f>
        <v/>
      </c>
      <c r="N99" s="21" t="n"/>
      <c r="P99" s="24">
        <f>IF(AND($A99&lt;&gt;"",$K99&lt;&gt;A_DONE,N($L99)&gt;0),$L99+ROW()/1000000,"")</f>
        <v/>
      </c>
      <c r="Q99" s="24">
        <f>IF(AND($A99&lt;&gt;"",$K99&lt;&gt;A_DONE,OR($H99&lt;&gt;"",N($L99)&gt;0)),N($L99)+ROW()/1000000,"")</f>
        <v/>
      </c>
      <c r="R99" s="24">
        <f>IF(AND($A99&lt;&gt;"",$K99&lt;&gt;A_DONE,$H99="",$I99&lt;&gt;"",N($L99)&lt;=0,-N($L99)&lt;=HORIZON),N($L99)+ROW()/1000000,"")</f>
        <v/>
      </c>
    </row>
    <row r="100">
      <c r="A100" s="21" t="n"/>
      <c r="B100" s="21" t="n"/>
      <c r="C100" s="21" t="n"/>
      <c r="D100" s="21" t="n"/>
      <c r="E100" s="21" t="n"/>
      <c r="F100" s="21" t="n"/>
      <c r="G100" s="21" t="n"/>
      <c r="H100" s="22" t="n"/>
      <c r="I100" s="22" t="n"/>
      <c r="J100" s="22" t="n"/>
      <c r="K100" s="21" t="n"/>
      <c r="L100" s="25">
        <f>IF($A100="","",IF($K100=A_DONE,IF($J100="","",$J100-$I100),IF($I100="","",TODAY()-$I100)))</f>
        <v/>
      </c>
      <c r="M100" s="24">
        <f>IF($A100="","",IF($K100=A_DONE,S_DONE,IF($I100="",S_NODUE,IF($L100&gt;0,S_LATE,IF($H100&lt;&gt;"",S_WIP,IF(-$L100&lt;=FEN_ACT,S_RISK,IF(-$L100&lt;=HORIZON,S_COMING,S_ONTRACK)))))))</f>
        <v/>
      </c>
      <c r="N100" s="21" t="n"/>
      <c r="P100" s="24">
        <f>IF(AND($A100&lt;&gt;"",$K100&lt;&gt;A_DONE,N($L100)&gt;0),$L100+ROW()/1000000,"")</f>
        <v/>
      </c>
      <c r="Q100" s="24">
        <f>IF(AND($A100&lt;&gt;"",$K100&lt;&gt;A_DONE,OR($H100&lt;&gt;"",N($L100)&gt;0)),N($L100)+ROW()/1000000,"")</f>
        <v/>
      </c>
      <c r="R100" s="24">
        <f>IF(AND($A100&lt;&gt;"",$K100&lt;&gt;A_DONE,$H100="",$I100&lt;&gt;"",N($L100)&lt;=0,-N($L100)&lt;=HORIZON),N($L100)+ROW()/1000000,"")</f>
        <v/>
      </c>
    </row>
    <row r="101">
      <c r="A101" s="21" t="n"/>
      <c r="B101" s="21" t="n"/>
      <c r="C101" s="21" t="n"/>
      <c r="D101" s="21" t="n"/>
      <c r="E101" s="21" t="n"/>
      <c r="F101" s="21" t="n"/>
      <c r="G101" s="21" t="n"/>
      <c r="H101" s="22" t="n"/>
      <c r="I101" s="22" t="n"/>
      <c r="J101" s="22" t="n"/>
      <c r="K101" s="21" t="n"/>
      <c r="L101" s="25">
        <f>IF($A101="","",IF($K101=A_DONE,IF($J101="","",$J101-$I101),IF($I101="","",TODAY()-$I101)))</f>
        <v/>
      </c>
      <c r="M101" s="24">
        <f>IF($A101="","",IF($K101=A_DONE,S_DONE,IF($I101="",S_NODUE,IF($L101&gt;0,S_LATE,IF($H101&lt;&gt;"",S_WIP,IF(-$L101&lt;=FEN_ACT,S_RISK,IF(-$L101&lt;=HORIZON,S_COMING,S_ONTRACK)))))))</f>
        <v/>
      </c>
      <c r="N101" s="21" t="n"/>
      <c r="P101" s="24">
        <f>IF(AND($A101&lt;&gt;"",$K101&lt;&gt;A_DONE,N($L101)&gt;0),$L101+ROW()/1000000,"")</f>
        <v/>
      </c>
      <c r="Q101" s="24">
        <f>IF(AND($A101&lt;&gt;"",$K101&lt;&gt;A_DONE,OR($H101&lt;&gt;"",N($L101)&gt;0)),N($L101)+ROW()/1000000,"")</f>
        <v/>
      </c>
      <c r="R101" s="24">
        <f>IF(AND($A101&lt;&gt;"",$K101&lt;&gt;A_DONE,$H101="",$I101&lt;&gt;"",N($L101)&lt;=0,-N($L101)&lt;=HORIZON),N($L101)+ROW()/1000000,"")</f>
        <v/>
      </c>
    </row>
    <row r="102">
      <c r="A102" s="21" t="n"/>
      <c r="B102" s="21" t="n"/>
      <c r="C102" s="21" t="n"/>
      <c r="D102" s="21" t="n"/>
      <c r="E102" s="21" t="n"/>
      <c r="F102" s="21" t="n"/>
      <c r="G102" s="21" t="n"/>
      <c r="H102" s="22" t="n"/>
      <c r="I102" s="22" t="n"/>
      <c r="J102" s="22" t="n"/>
      <c r="K102" s="21" t="n"/>
      <c r="L102" s="25">
        <f>IF($A102="","",IF($K102=A_DONE,IF($J102="","",$J102-$I102),IF($I102="","",TODAY()-$I102)))</f>
        <v/>
      </c>
      <c r="M102" s="24">
        <f>IF($A102="","",IF($K102=A_DONE,S_DONE,IF($I102="",S_NODUE,IF($L102&gt;0,S_LATE,IF($H102&lt;&gt;"",S_WIP,IF(-$L102&lt;=FEN_ACT,S_RISK,IF(-$L102&lt;=HORIZON,S_COMING,S_ONTRACK)))))))</f>
        <v/>
      </c>
      <c r="N102" s="21" t="n"/>
      <c r="P102" s="24">
        <f>IF(AND($A102&lt;&gt;"",$K102&lt;&gt;A_DONE,N($L102)&gt;0),$L102+ROW()/1000000,"")</f>
        <v/>
      </c>
      <c r="Q102" s="24">
        <f>IF(AND($A102&lt;&gt;"",$K102&lt;&gt;A_DONE,OR($H102&lt;&gt;"",N($L102)&gt;0)),N($L102)+ROW()/1000000,"")</f>
        <v/>
      </c>
      <c r="R102" s="24">
        <f>IF(AND($A102&lt;&gt;"",$K102&lt;&gt;A_DONE,$H102="",$I102&lt;&gt;"",N($L102)&lt;=0,-N($L102)&lt;=HORIZON),N($L102)+ROW()/1000000,"")</f>
        <v/>
      </c>
    </row>
    <row r="103">
      <c r="A103" s="21" t="n"/>
      <c r="B103" s="21" t="n"/>
      <c r="C103" s="21" t="n"/>
      <c r="D103" s="21" t="n"/>
      <c r="E103" s="21" t="n"/>
      <c r="F103" s="21" t="n"/>
      <c r="G103" s="21" t="n"/>
      <c r="H103" s="22" t="n"/>
      <c r="I103" s="22" t="n"/>
      <c r="J103" s="22" t="n"/>
      <c r="K103" s="21" t="n"/>
      <c r="L103" s="25">
        <f>IF($A103="","",IF($K103=A_DONE,IF($J103="","",$J103-$I103),IF($I103="","",TODAY()-$I103)))</f>
        <v/>
      </c>
      <c r="M103" s="24">
        <f>IF($A103="","",IF($K103=A_DONE,S_DONE,IF($I103="",S_NODUE,IF($L103&gt;0,S_LATE,IF($H103&lt;&gt;"",S_WIP,IF(-$L103&lt;=FEN_ACT,S_RISK,IF(-$L103&lt;=HORIZON,S_COMING,S_ONTRACK)))))))</f>
        <v/>
      </c>
      <c r="N103" s="21" t="n"/>
      <c r="P103" s="24">
        <f>IF(AND($A103&lt;&gt;"",$K103&lt;&gt;A_DONE,N($L103)&gt;0),$L103+ROW()/1000000,"")</f>
        <v/>
      </c>
      <c r="Q103" s="24">
        <f>IF(AND($A103&lt;&gt;"",$K103&lt;&gt;A_DONE,OR($H103&lt;&gt;"",N($L103)&gt;0)),N($L103)+ROW()/1000000,"")</f>
        <v/>
      </c>
      <c r="R103" s="24">
        <f>IF(AND($A103&lt;&gt;"",$K103&lt;&gt;A_DONE,$H103="",$I103&lt;&gt;"",N($L103)&lt;=0,-N($L103)&lt;=HORIZON),N($L103)+ROW()/1000000,"")</f>
        <v/>
      </c>
    </row>
    <row r="104">
      <c r="A104" s="21" t="n"/>
      <c r="B104" s="21" t="n"/>
      <c r="C104" s="21" t="n"/>
      <c r="D104" s="21" t="n"/>
      <c r="E104" s="21" t="n"/>
      <c r="F104" s="21" t="n"/>
      <c r="G104" s="21" t="n"/>
      <c r="H104" s="22" t="n"/>
      <c r="I104" s="22" t="n"/>
      <c r="J104" s="22" t="n"/>
      <c r="K104" s="21" t="n"/>
      <c r="L104" s="25">
        <f>IF($A104="","",IF($K104=A_DONE,IF($J104="","",$J104-$I104),IF($I104="","",TODAY()-$I104)))</f>
        <v/>
      </c>
      <c r="M104" s="24">
        <f>IF($A104="","",IF($K104=A_DONE,S_DONE,IF($I104="",S_NODUE,IF($L104&gt;0,S_LATE,IF($H104&lt;&gt;"",S_WIP,IF(-$L104&lt;=FEN_ACT,S_RISK,IF(-$L104&lt;=HORIZON,S_COMING,S_ONTRACK)))))))</f>
        <v/>
      </c>
      <c r="N104" s="21" t="n"/>
      <c r="P104" s="24">
        <f>IF(AND($A104&lt;&gt;"",$K104&lt;&gt;A_DONE,N($L104)&gt;0),$L104+ROW()/1000000,"")</f>
        <v/>
      </c>
      <c r="Q104" s="24">
        <f>IF(AND($A104&lt;&gt;"",$K104&lt;&gt;A_DONE,OR($H104&lt;&gt;"",N($L104)&gt;0)),N($L104)+ROW()/1000000,"")</f>
        <v/>
      </c>
      <c r="R104" s="24">
        <f>IF(AND($A104&lt;&gt;"",$K104&lt;&gt;A_DONE,$H104="",$I104&lt;&gt;"",N($L104)&lt;=0,-N($L104)&lt;=HORIZON),N($L104)+ROW()/1000000,"")</f>
        <v/>
      </c>
    </row>
    <row r="105">
      <c r="A105" s="21" t="n"/>
      <c r="B105" s="21" t="n"/>
      <c r="C105" s="21" t="n"/>
      <c r="D105" s="21" t="n"/>
      <c r="E105" s="21" t="n"/>
      <c r="F105" s="21" t="n"/>
      <c r="G105" s="21" t="n"/>
      <c r="H105" s="22" t="n"/>
      <c r="I105" s="22" t="n"/>
      <c r="J105" s="22" t="n"/>
      <c r="K105" s="21" t="n"/>
      <c r="L105" s="25">
        <f>IF($A105="","",IF($K105=A_DONE,IF($J105="","",$J105-$I105),IF($I105="","",TODAY()-$I105)))</f>
        <v/>
      </c>
      <c r="M105" s="24">
        <f>IF($A105="","",IF($K105=A_DONE,S_DONE,IF($I105="",S_NODUE,IF($L105&gt;0,S_LATE,IF($H105&lt;&gt;"",S_WIP,IF(-$L105&lt;=FEN_ACT,S_RISK,IF(-$L105&lt;=HORIZON,S_COMING,S_ONTRACK)))))))</f>
        <v/>
      </c>
      <c r="N105" s="21" t="n"/>
      <c r="P105" s="24">
        <f>IF(AND($A105&lt;&gt;"",$K105&lt;&gt;A_DONE,N($L105)&gt;0),$L105+ROW()/1000000,"")</f>
        <v/>
      </c>
      <c r="Q105" s="24">
        <f>IF(AND($A105&lt;&gt;"",$K105&lt;&gt;A_DONE,OR($H105&lt;&gt;"",N($L105)&gt;0)),N($L105)+ROW()/1000000,"")</f>
        <v/>
      </c>
      <c r="R105" s="24">
        <f>IF(AND($A105&lt;&gt;"",$K105&lt;&gt;A_DONE,$H105="",$I105&lt;&gt;"",N($L105)&lt;=0,-N($L105)&lt;=HORIZON),N($L105)+ROW()/1000000,"")</f>
        <v/>
      </c>
    </row>
    <row r="106">
      <c r="A106" s="21" t="n"/>
      <c r="B106" s="21" t="n"/>
      <c r="C106" s="21" t="n"/>
      <c r="D106" s="21" t="n"/>
      <c r="E106" s="21" t="n"/>
      <c r="F106" s="21" t="n"/>
      <c r="G106" s="21" t="n"/>
      <c r="H106" s="22" t="n"/>
      <c r="I106" s="22" t="n"/>
      <c r="J106" s="22" t="n"/>
      <c r="K106" s="21" t="n"/>
      <c r="L106" s="25">
        <f>IF($A106="","",IF($K106=A_DONE,IF($J106="","",$J106-$I106),IF($I106="","",TODAY()-$I106)))</f>
        <v/>
      </c>
      <c r="M106" s="24">
        <f>IF($A106="","",IF($K106=A_DONE,S_DONE,IF($I106="",S_NODUE,IF($L106&gt;0,S_LATE,IF($H106&lt;&gt;"",S_WIP,IF(-$L106&lt;=FEN_ACT,S_RISK,IF(-$L106&lt;=HORIZON,S_COMING,S_ONTRACK)))))))</f>
        <v/>
      </c>
      <c r="N106" s="21" t="n"/>
      <c r="P106" s="24">
        <f>IF(AND($A106&lt;&gt;"",$K106&lt;&gt;A_DONE,N($L106)&gt;0),$L106+ROW()/1000000,"")</f>
        <v/>
      </c>
      <c r="Q106" s="24">
        <f>IF(AND($A106&lt;&gt;"",$K106&lt;&gt;A_DONE,OR($H106&lt;&gt;"",N($L106)&gt;0)),N($L106)+ROW()/1000000,"")</f>
        <v/>
      </c>
      <c r="R106" s="24">
        <f>IF(AND($A106&lt;&gt;"",$K106&lt;&gt;A_DONE,$H106="",$I106&lt;&gt;"",N($L106)&lt;=0,-N($L106)&lt;=HORIZON),N($L106)+ROW()/1000000,"")</f>
        <v/>
      </c>
    </row>
    <row r="107">
      <c r="A107" s="21" t="n"/>
      <c r="B107" s="21" t="n"/>
      <c r="C107" s="21" t="n"/>
      <c r="D107" s="21" t="n"/>
      <c r="E107" s="21" t="n"/>
      <c r="F107" s="21" t="n"/>
      <c r="G107" s="21" t="n"/>
      <c r="H107" s="22" t="n"/>
      <c r="I107" s="22" t="n"/>
      <c r="J107" s="22" t="n"/>
      <c r="K107" s="21" t="n"/>
      <c r="L107" s="25">
        <f>IF($A107="","",IF($K107=A_DONE,IF($J107="","",$J107-$I107),IF($I107="","",TODAY()-$I107)))</f>
        <v/>
      </c>
      <c r="M107" s="24">
        <f>IF($A107="","",IF($K107=A_DONE,S_DONE,IF($I107="",S_NODUE,IF($L107&gt;0,S_LATE,IF($H107&lt;&gt;"",S_WIP,IF(-$L107&lt;=FEN_ACT,S_RISK,IF(-$L107&lt;=HORIZON,S_COMING,S_ONTRACK)))))))</f>
        <v/>
      </c>
      <c r="N107" s="21" t="n"/>
      <c r="P107" s="24">
        <f>IF(AND($A107&lt;&gt;"",$K107&lt;&gt;A_DONE,N($L107)&gt;0),$L107+ROW()/1000000,"")</f>
        <v/>
      </c>
      <c r="Q107" s="24">
        <f>IF(AND($A107&lt;&gt;"",$K107&lt;&gt;A_DONE,OR($H107&lt;&gt;"",N($L107)&gt;0)),N($L107)+ROW()/1000000,"")</f>
        <v/>
      </c>
      <c r="R107" s="24">
        <f>IF(AND($A107&lt;&gt;"",$K107&lt;&gt;A_DONE,$H107="",$I107&lt;&gt;"",N($L107)&lt;=0,-N($L107)&lt;=HORIZON),N($L107)+ROW()/1000000,"")</f>
        <v/>
      </c>
    </row>
    <row r="108">
      <c r="A108" s="21" t="n"/>
      <c r="B108" s="21" t="n"/>
      <c r="C108" s="21" t="n"/>
      <c r="D108" s="21" t="n"/>
      <c r="E108" s="21" t="n"/>
      <c r="F108" s="21" t="n"/>
      <c r="G108" s="21" t="n"/>
      <c r="H108" s="22" t="n"/>
      <c r="I108" s="22" t="n"/>
      <c r="J108" s="22" t="n"/>
      <c r="K108" s="21" t="n"/>
      <c r="L108" s="25">
        <f>IF($A108="","",IF($K108=A_DONE,IF($J108="","",$J108-$I108),IF($I108="","",TODAY()-$I108)))</f>
        <v/>
      </c>
      <c r="M108" s="24">
        <f>IF($A108="","",IF($K108=A_DONE,S_DONE,IF($I108="",S_NODUE,IF($L108&gt;0,S_LATE,IF($H108&lt;&gt;"",S_WIP,IF(-$L108&lt;=FEN_ACT,S_RISK,IF(-$L108&lt;=HORIZON,S_COMING,S_ONTRACK)))))))</f>
        <v/>
      </c>
      <c r="N108" s="21" t="n"/>
      <c r="P108" s="24">
        <f>IF(AND($A108&lt;&gt;"",$K108&lt;&gt;A_DONE,N($L108)&gt;0),$L108+ROW()/1000000,"")</f>
        <v/>
      </c>
      <c r="Q108" s="24">
        <f>IF(AND($A108&lt;&gt;"",$K108&lt;&gt;A_DONE,OR($H108&lt;&gt;"",N($L108)&gt;0)),N($L108)+ROW()/1000000,"")</f>
        <v/>
      </c>
      <c r="R108" s="24">
        <f>IF(AND($A108&lt;&gt;"",$K108&lt;&gt;A_DONE,$H108="",$I108&lt;&gt;"",N($L108)&lt;=0,-N($L108)&lt;=HORIZON),N($L108)+ROW()/1000000,"")</f>
        <v/>
      </c>
    </row>
    <row r="109">
      <c r="A109" s="21" t="n"/>
      <c r="B109" s="21" t="n"/>
      <c r="C109" s="21" t="n"/>
      <c r="D109" s="21" t="n"/>
      <c r="E109" s="21" t="n"/>
      <c r="F109" s="21" t="n"/>
      <c r="G109" s="21" t="n"/>
      <c r="H109" s="22" t="n"/>
      <c r="I109" s="22" t="n"/>
      <c r="J109" s="22" t="n"/>
      <c r="K109" s="21" t="n"/>
      <c r="L109" s="25">
        <f>IF($A109="","",IF($K109=A_DONE,IF($J109="","",$J109-$I109),IF($I109="","",TODAY()-$I109)))</f>
        <v/>
      </c>
      <c r="M109" s="24">
        <f>IF($A109="","",IF($K109=A_DONE,S_DONE,IF($I109="",S_NODUE,IF($L109&gt;0,S_LATE,IF($H109&lt;&gt;"",S_WIP,IF(-$L109&lt;=FEN_ACT,S_RISK,IF(-$L109&lt;=HORIZON,S_COMING,S_ONTRACK)))))))</f>
        <v/>
      </c>
      <c r="N109" s="21" t="n"/>
      <c r="P109" s="24">
        <f>IF(AND($A109&lt;&gt;"",$K109&lt;&gt;A_DONE,N($L109)&gt;0),$L109+ROW()/1000000,"")</f>
        <v/>
      </c>
      <c r="Q109" s="24">
        <f>IF(AND($A109&lt;&gt;"",$K109&lt;&gt;A_DONE,OR($H109&lt;&gt;"",N($L109)&gt;0)),N($L109)+ROW()/1000000,"")</f>
        <v/>
      </c>
      <c r="R109" s="24">
        <f>IF(AND($A109&lt;&gt;"",$K109&lt;&gt;A_DONE,$H109="",$I109&lt;&gt;"",N($L109)&lt;=0,-N($L109)&lt;=HORIZON),N($L109)+ROW()/1000000,"")</f>
        <v/>
      </c>
    </row>
    <row r="110">
      <c r="A110" s="21" t="n"/>
      <c r="B110" s="21" t="n"/>
      <c r="C110" s="21" t="n"/>
      <c r="D110" s="21" t="n"/>
      <c r="E110" s="21" t="n"/>
      <c r="F110" s="21" t="n"/>
      <c r="G110" s="21" t="n"/>
      <c r="H110" s="22" t="n"/>
      <c r="I110" s="22" t="n"/>
      <c r="J110" s="22" t="n"/>
      <c r="K110" s="21" t="n"/>
      <c r="L110" s="25">
        <f>IF($A110="","",IF($K110=A_DONE,IF($J110="","",$J110-$I110),IF($I110="","",TODAY()-$I110)))</f>
        <v/>
      </c>
      <c r="M110" s="24">
        <f>IF($A110="","",IF($K110=A_DONE,S_DONE,IF($I110="",S_NODUE,IF($L110&gt;0,S_LATE,IF($H110&lt;&gt;"",S_WIP,IF(-$L110&lt;=FEN_ACT,S_RISK,IF(-$L110&lt;=HORIZON,S_COMING,S_ONTRACK)))))))</f>
        <v/>
      </c>
      <c r="N110" s="21" t="n"/>
      <c r="P110" s="24">
        <f>IF(AND($A110&lt;&gt;"",$K110&lt;&gt;A_DONE,N($L110)&gt;0),$L110+ROW()/1000000,"")</f>
        <v/>
      </c>
      <c r="Q110" s="24">
        <f>IF(AND($A110&lt;&gt;"",$K110&lt;&gt;A_DONE,OR($H110&lt;&gt;"",N($L110)&gt;0)),N($L110)+ROW()/1000000,"")</f>
        <v/>
      </c>
      <c r="R110" s="24">
        <f>IF(AND($A110&lt;&gt;"",$K110&lt;&gt;A_DONE,$H110="",$I110&lt;&gt;"",N($L110)&lt;=0,-N($L110)&lt;=HORIZON),N($L110)+ROW()/1000000,"")</f>
        <v/>
      </c>
    </row>
    <row r="111">
      <c r="A111" s="21" t="n"/>
      <c r="B111" s="21" t="n"/>
      <c r="C111" s="21" t="n"/>
      <c r="D111" s="21" t="n"/>
      <c r="E111" s="21" t="n"/>
      <c r="F111" s="21" t="n"/>
      <c r="G111" s="21" t="n"/>
      <c r="H111" s="22" t="n"/>
      <c r="I111" s="22" t="n"/>
      <c r="J111" s="22" t="n"/>
      <c r="K111" s="21" t="n"/>
      <c r="L111" s="25">
        <f>IF($A111="","",IF($K111=A_DONE,IF($J111="","",$J111-$I111),IF($I111="","",TODAY()-$I111)))</f>
        <v/>
      </c>
      <c r="M111" s="24">
        <f>IF($A111="","",IF($K111=A_DONE,S_DONE,IF($I111="",S_NODUE,IF($L111&gt;0,S_LATE,IF($H111&lt;&gt;"",S_WIP,IF(-$L111&lt;=FEN_ACT,S_RISK,IF(-$L111&lt;=HORIZON,S_COMING,S_ONTRACK)))))))</f>
        <v/>
      </c>
      <c r="N111" s="21" t="n"/>
      <c r="P111" s="24">
        <f>IF(AND($A111&lt;&gt;"",$K111&lt;&gt;A_DONE,N($L111)&gt;0),$L111+ROW()/1000000,"")</f>
        <v/>
      </c>
      <c r="Q111" s="24">
        <f>IF(AND($A111&lt;&gt;"",$K111&lt;&gt;A_DONE,OR($H111&lt;&gt;"",N($L111)&gt;0)),N($L111)+ROW()/1000000,"")</f>
        <v/>
      </c>
      <c r="R111" s="24">
        <f>IF(AND($A111&lt;&gt;"",$K111&lt;&gt;A_DONE,$H111="",$I111&lt;&gt;"",N($L111)&lt;=0,-N($L111)&lt;=HORIZON),N($L111)+ROW()/1000000,"")</f>
        <v/>
      </c>
    </row>
    <row r="112">
      <c r="A112" s="21" t="n"/>
      <c r="B112" s="21" t="n"/>
      <c r="C112" s="21" t="n"/>
      <c r="D112" s="21" t="n"/>
      <c r="E112" s="21" t="n"/>
      <c r="F112" s="21" t="n"/>
      <c r="G112" s="21" t="n"/>
      <c r="H112" s="22" t="n"/>
      <c r="I112" s="22" t="n"/>
      <c r="J112" s="22" t="n"/>
      <c r="K112" s="21" t="n"/>
      <c r="L112" s="25">
        <f>IF($A112="","",IF($K112=A_DONE,IF($J112="","",$J112-$I112),IF($I112="","",TODAY()-$I112)))</f>
        <v/>
      </c>
      <c r="M112" s="24">
        <f>IF($A112="","",IF($K112=A_DONE,S_DONE,IF($I112="",S_NODUE,IF($L112&gt;0,S_LATE,IF($H112&lt;&gt;"",S_WIP,IF(-$L112&lt;=FEN_ACT,S_RISK,IF(-$L112&lt;=HORIZON,S_COMING,S_ONTRACK)))))))</f>
        <v/>
      </c>
      <c r="N112" s="21" t="n"/>
      <c r="P112" s="24">
        <f>IF(AND($A112&lt;&gt;"",$K112&lt;&gt;A_DONE,N($L112)&gt;0),$L112+ROW()/1000000,"")</f>
        <v/>
      </c>
      <c r="Q112" s="24">
        <f>IF(AND($A112&lt;&gt;"",$K112&lt;&gt;A_DONE,OR($H112&lt;&gt;"",N($L112)&gt;0)),N($L112)+ROW()/1000000,"")</f>
        <v/>
      </c>
      <c r="R112" s="24">
        <f>IF(AND($A112&lt;&gt;"",$K112&lt;&gt;A_DONE,$H112="",$I112&lt;&gt;"",N($L112)&lt;=0,-N($L112)&lt;=HORIZON),N($L112)+ROW()/1000000,"")</f>
        <v/>
      </c>
    </row>
    <row r="113">
      <c r="A113" s="21" t="n"/>
      <c r="B113" s="21" t="n"/>
      <c r="C113" s="21" t="n"/>
      <c r="D113" s="21" t="n"/>
      <c r="E113" s="21" t="n"/>
      <c r="F113" s="21" t="n"/>
      <c r="G113" s="21" t="n"/>
      <c r="H113" s="22" t="n"/>
      <c r="I113" s="22" t="n"/>
      <c r="J113" s="22" t="n"/>
      <c r="K113" s="21" t="n"/>
      <c r="L113" s="25">
        <f>IF($A113="","",IF($K113=A_DONE,IF($J113="","",$J113-$I113),IF($I113="","",TODAY()-$I113)))</f>
        <v/>
      </c>
      <c r="M113" s="24">
        <f>IF($A113="","",IF($K113=A_DONE,S_DONE,IF($I113="",S_NODUE,IF($L113&gt;0,S_LATE,IF($H113&lt;&gt;"",S_WIP,IF(-$L113&lt;=FEN_ACT,S_RISK,IF(-$L113&lt;=HORIZON,S_COMING,S_ONTRACK)))))))</f>
        <v/>
      </c>
      <c r="N113" s="21" t="n"/>
      <c r="P113" s="24">
        <f>IF(AND($A113&lt;&gt;"",$K113&lt;&gt;A_DONE,N($L113)&gt;0),$L113+ROW()/1000000,"")</f>
        <v/>
      </c>
      <c r="Q113" s="24">
        <f>IF(AND($A113&lt;&gt;"",$K113&lt;&gt;A_DONE,OR($H113&lt;&gt;"",N($L113)&gt;0)),N($L113)+ROW()/1000000,"")</f>
        <v/>
      </c>
      <c r="R113" s="24">
        <f>IF(AND($A113&lt;&gt;"",$K113&lt;&gt;A_DONE,$H113="",$I113&lt;&gt;"",N($L113)&lt;=0,-N($L113)&lt;=HORIZON),N($L113)+ROW()/1000000,"")</f>
        <v/>
      </c>
    </row>
    <row r="114">
      <c r="A114" s="21" t="n"/>
      <c r="B114" s="21" t="n"/>
      <c r="C114" s="21" t="n"/>
      <c r="D114" s="21" t="n"/>
      <c r="E114" s="21" t="n"/>
      <c r="F114" s="21" t="n"/>
      <c r="G114" s="21" t="n"/>
      <c r="H114" s="22" t="n"/>
      <c r="I114" s="22" t="n"/>
      <c r="J114" s="22" t="n"/>
      <c r="K114" s="21" t="n"/>
      <c r="L114" s="25">
        <f>IF($A114="","",IF($K114=A_DONE,IF($J114="","",$J114-$I114),IF($I114="","",TODAY()-$I114)))</f>
        <v/>
      </c>
      <c r="M114" s="24">
        <f>IF($A114="","",IF($K114=A_DONE,S_DONE,IF($I114="",S_NODUE,IF($L114&gt;0,S_LATE,IF($H114&lt;&gt;"",S_WIP,IF(-$L114&lt;=FEN_ACT,S_RISK,IF(-$L114&lt;=HORIZON,S_COMING,S_ONTRACK)))))))</f>
        <v/>
      </c>
      <c r="N114" s="21" t="n"/>
      <c r="P114" s="24">
        <f>IF(AND($A114&lt;&gt;"",$K114&lt;&gt;A_DONE,N($L114)&gt;0),$L114+ROW()/1000000,"")</f>
        <v/>
      </c>
      <c r="Q114" s="24">
        <f>IF(AND($A114&lt;&gt;"",$K114&lt;&gt;A_DONE,OR($H114&lt;&gt;"",N($L114)&gt;0)),N($L114)+ROW()/1000000,"")</f>
        <v/>
      </c>
      <c r="R114" s="24">
        <f>IF(AND($A114&lt;&gt;"",$K114&lt;&gt;A_DONE,$H114="",$I114&lt;&gt;"",N($L114)&lt;=0,-N($L114)&lt;=HORIZON),N($L114)+ROW()/1000000,"")</f>
        <v/>
      </c>
    </row>
    <row r="115">
      <c r="A115" s="21" t="n"/>
      <c r="B115" s="21" t="n"/>
      <c r="C115" s="21" t="n"/>
      <c r="D115" s="21" t="n"/>
      <c r="E115" s="21" t="n"/>
      <c r="F115" s="21" t="n"/>
      <c r="G115" s="21" t="n"/>
      <c r="H115" s="22" t="n"/>
      <c r="I115" s="22" t="n"/>
      <c r="J115" s="22" t="n"/>
      <c r="K115" s="21" t="n"/>
      <c r="L115" s="25">
        <f>IF($A115="","",IF($K115=A_DONE,IF($J115="","",$J115-$I115),IF($I115="","",TODAY()-$I115)))</f>
        <v/>
      </c>
      <c r="M115" s="24">
        <f>IF($A115="","",IF($K115=A_DONE,S_DONE,IF($I115="",S_NODUE,IF($L115&gt;0,S_LATE,IF($H115&lt;&gt;"",S_WIP,IF(-$L115&lt;=FEN_ACT,S_RISK,IF(-$L115&lt;=HORIZON,S_COMING,S_ONTRACK)))))))</f>
        <v/>
      </c>
      <c r="N115" s="21" t="n"/>
      <c r="P115" s="24">
        <f>IF(AND($A115&lt;&gt;"",$K115&lt;&gt;A_DONE,N($L115)&gt;0),$L115+ROW()/1000000,"")</f>
        <v/>
      </c>
      <c r="Q115" s="24">
        <f>IF(AND($A115&lt;&gt;"",$K115&lt;&gt;A_DONE,OR($H115&lt;&gt;"",N($L115)&gt;0)),N($L115)+ROW()/1000000,"")</f>
        <v/>
      </c>
      <c r="R115" s="24">
        <f>IF(AND($A115&lt;&gt;"",$K115&lt;&gt;A_DONE,$H115="",$I115&lt;&gt;"",N($L115)&lt;=0,-N($L115)&lt;=HORIZON),N($L115)+ROW()/1000000,"")</f>
        <v/>
      </c>
    </row>
    <row r="116">
      <c r="A116" s="21" t="n"/>
      <c r="B116" s="21" t="n"/>
      <c r="C116" s="21" t="n"/>
      <c r="D116" s="21" t="n"/>
      <c r="E116" s="21" t="n"/>
      <c r="F116" s="21" t="n"/>
      <c r="G116" s="21" t="n"/>
      <c r="H116" s="22" t="n"/>
      <c r="I116" s="22" t="n"/>
      <c r="J116" s="22" t="n"/>
      <c r="K116" s="21" t="n"/>
      <c r="L116" s="25">
        <f>IF($A116="","",IF($K116=A_DONE,IF($J116="","",$J116-$I116),IF($I116="","",TODAY()-$I116)))</f>
        <v/>
      </c>
      <c r="M116" s="24">
        <f>IF($A116="","",IF($K116=A_DONE,S_DONE,IF($I116="",S_NODUE,IF($L116&gt;0,S_LATE,IF($H116&lt;&gt;"",S_WIP,IF(-$L116&lt;=FEN_ACT,S_RISK,IF(-$L116&lt;=HORIZON,S_COMING,S_ONTRACK)))))))</f>
        <v/>
      </c>
      <c r="N116" s="21" t="n"/>
      <c r="P116" s="24">
        <f>IF(AND($A116&lt;&gt;"",$K116&lt;&gt;A_DONE,N($L116)&gt;0),$L116+ROW()/1000000,"")</f>
        <v/>
      </c>
      <c r="Q116" s="24">
        <f>IF(AND($A116&lt;&gt;"",$K116&lt;&gt;A_DONE,OR($H116&lt;&gt;"",N($L116)&gt;0)),N($L116)+ROW()/1000000,"")</f>
        <v/>
      </c>
      <c r="R116" s="24">
        <f>IF(AND($A116&lt;&gt;"",$K116&lt;&gt;A_DONE,$H116="",$I116&lt;&gt;"",N($L116)&lt;=0,-N($L116)&lt;=HORIZON),N($L116)+ROW()/1000000,"")</f>
        <v/>
      </c>
    </row>
    <row r="117">
      <c r="A117" s="21" t="n"/>
      <c r="B117" s="21" t="n"/>
      <c r="C117" s="21" t="n"/>
      <c r="D117" s="21" t="n"/>
      <c r="E117" s="21" t="n"/>
      <c r="F117" s="21" t="n"/>
      <c r="G117" s="21" t="n"/>
      <c r="H117" s="22" t="n"/>
      <c r="I117" s="22" t="n"/>
      <c r="J117" s="22" t="n"/>
      <c r="K117" s="21" t="n"/>
      <c r="L117" s="25">
        <f>IF($A117="","",IF($K117=A_DONE,IF($J117="","",$J117-$I117),IF($I117="","",TODAY()-$I117)))</f>
        <v/>
      </c>
      <c r="M117" s="24">
        <f>IF($A117="","",IF($K117=A_DONE,S_DONE,IF($I117="",S_NODUE,IF($L117&gt;0,S_LATE,IF($H117&lt;&gt;"",S_WIP,IF(-$L117&lt;=FEN_ACT,S_RISK,IF(-$L117&lt;=HORIZON,S_COMING,S_ONTRACK)))))))</f>
        <v/>
      </c>
      <c r="N117" s="21" t="n"/>
      <c r="P117" s="24">
        <f>IF(AND($A117&lt;&gt;"",$K117&lt;&gt;A_DONE,N($L117)&gt;0),$L117+ROW()/1000000,"")</f>
        <v/>
      </c>
      <c r="Q117" s="24">
        <f>IF(AND($A117&lt;&gt;"",$K117&lt;&gt;A_DONE,OR($H117&lt;&gt;"",N($L117)&gt;0)),N($L117)+ROW()/1000000,"")</f>
        <v/>
      </c>
      <c r="R117" s="24">
        <f>IF(AND($A117&lt;&gt;"",$K117&lt;&gt;A_DONE,$H117="",$I117&lt;&gt;"",N($L117)&lt;=0,-N($L117)&lt;=HORIZON),N($L117)+ROW()/1000000,"")</f>
        <v/>
      </c>
    </row>
    <row r="118">
      <c r="A118" s="21" t="n"/>
      <c r="B118" s="21" t="n"/>
      <c r="C118" s="21" t="n"/>
      <c r="D118" s="21" t="n"/>
      <c r="E118" s="21" t="n"/>
      <c r="F118" s="21" t="n"/>
      <c r="G118" s="21" t="n"/>
      <c r="H118" s="22" t="n"/>
      <c r="I118" s="22" t="n"/>
      <c r="J118" s="22" t="n"/>
      <c r="K118" s="21" t="n"/>
      <c r="L118" s="25">
        <f>IF($A118="","",IF($K118=A_DONE,IF($J118="","",$J118-$I118),IF($I118="","",TODAY()-$I118)))</f>
        <v/>
      </c>
      <c r="M118" s="24">
        <f>IF($A118="","",IF($K118=A_DONE,S_DONE,IF($I118="",S_NODUE,IF($L118&gt;0,S_LATE,IF($H118&lt;&gt;"",S_WIP,IF(-$L118&lt;=FEN_ACT,S_RISK,IF(-$L118&lt;=HORIZON,S_COMING,S_ONTRACK)))))))</f>
        <v/>
      </c>
      <c r="N118" s="21" t="n"/>
      <c r="P118" s="24">
        <f>IF(AND($A118&lt;&gt;"",$K118&lt;&gt;A_DONE,N($L118)&gt;0),$L118+ROW()/1000000,"")</f>
        <v/>
      </c>
      <c r="Q118" s="24">
        <f>IF(AND($A118&lt;&gt;"",$K118&lt;&gt;A_DONE,OR($H118&lt;&gt;"",N($L118)&gt;0)),N($L118)+ROW()/1000000,"")</f>
        <v/>
      </c>
      <c r="R118" s="24">
        <f>IF(AND($A118&lt;&gt;"",$K118&lt;&gt;A_DONE,$H118="",$I118&lt;&gt;"",N($L118)&lt;=0,-N($L118)&lt;=HORIZON),N($L118)+ROW()/1000000,"")</f>
        <v/>
      </c>
    </row>
    <row r="119">
      <c r="A119" s="21" t="n"/>
      <c r="B119" s="21" t="n"/>
      <c r="C119" s="21" t="n"/>
      <c r="D119" s="21" t="n"/>
      <c r="E119" s="21" t="n"/>
      <c r="F119" s="21" t="n"/>
      <c r="G119" s="21" t="n"/>
      <c r="H119" s="22" t="n"/>
      <c r="I119" s="22" t="n"/>
      <c r="J119" s="22" t="n"/>
      <c r="K119" s="21" t="n"/>
      <c r="L119" s="25">
        <f>IF($A119="","",IF($K119=A_DONE,IF($J119="","",$J119-$I119),IF($I119="","",TODAY()-$I119)))</f>
        <v/>
      </c>
      <c r="M119" s="24">
        <f>IF($A119="","",IF($K119=A_DONE,S_DONE,IF($I119="",S_NODUE,IF($L119&gt;0,S_LATE,IF($H119&lt;&gt;"",S_WIP,IF(-$L119&lt;=FEN_ACT,S_RISK,IF(-$L119&lt;=HORIZON,S_COMING,S_ONTRACK)))))))</f>
        <v/>
      </c>
      <c r="N119" s="21" t="n"/>
      <c r="P119" s="24">
        <f>IF(AND($A119&lt;&gt;"",$K119&lt;&gt;A_DONE,N($L119)&gt;0),$L119+ROW()/1000000,"")</f>
        <v/>
      </c>
      <c r="Q119" s="24">
        <f>IF(AND($A119&lt;&gt;"",$K119&lt;&gt;A_DONE,OR($H119&lt;&gt;"",N($L119)&gt;0)),N($L119)+ROW()/1000000,"")</f>
        <v/>
      </c>
      <c r="R119" s="24">
        <f>IF(AND($A119&lt;&gt;"",$K119&lt;&gt;A_DONE,$H119="",$I119&lt;&gt;"",N($L119)&lt;=0,-N($L119)&lt;=HORIZON),N($L119)+ROW()/1000000,"")</f>
        <v/>
      </c>
    </row>
    <row r="120">
      <c r="A120" s="21" t="n"/>
      <c r="B120" s="21" t="n"/>
      <c r="C120" s="21" t="n"/>
      <c r="D120" s="21" t="n"/>
      <c r="E120" s="21" t="n"/>
      <c r="F120" s="21" t="n"/>
      <c r="G120" s="21" t="n"/>
      <c r="H120" s="22" t="n"/>
      <c r="I120" s="22" t="n"/>
      <c r="J120" s="22" t="n"/>
      <c r="K120" s="21" t="n"/>
      <c r="L120" s="25">
        <f>IF($A120="","",IF($K120=A_DONE,IF($J120="","",$J120-$I120),IF($I120="","",TODAY()-$I120)))</f>
        <v/>
      </c>
      <c r="M120" s="24">
        <f>IF($A120="","",IF($K120=A_DONE,S_DONE,IF($I120="",S_NODUE,IF($L120&gt;0,S_LATE,IF($H120&lt;&gt;"",S_WIP,IF(-$L120&lt;=FEN_ACT,S_RISK,IF(-$L120&lt;=HORIZON,S_COMING,S_ONTRACK)))))))</f>
        <v/>
      </c>
      <c r="N120" s="21" t="n"/>
      <c r="P120" s="24">
        <f>IF(AND($A120&lt;&gt;"",$K120&lt;&gt;A_DONE,N($L120)&gt;0),$L120+ROW()/1000000,"")</f>
        <v/>
      </c>
      <c r="Q120" s="24">
        <f>IF(AND($A120&lt;&gt;"",$K120&lt;&gt;A_DONE,OR($H120&lt;&gt;"",N($L120)&gt;0)),N($L120)+ROW()/1000000,"")</f>
        <v/>
      </c>
      <c r="R120" s="24">
        <f>IF(AND($A120&lt;&gt;"",$K120&lt;&gt;A_DONE,$H120="",$I120&lt;&gt;"",N($L120)&lt;=0,-N($L120)&lt;=HORIZON),N($L120)+ROW()/1000000,"")</f>
        <v/>
      </c>
    </row>
    <row r="121">
      <c r="A121" s="21" t="n"/>
      <c r="B121" s="21" t="n"/>
      <c r="C121" s="21" t="n"/>
      <c r="D121" s="21" t="n"/>
      <c r="E121" s="21" t="n"/>
      <c r="F121" s="21" t="n"/>
      <c r="G121" s="21" t="n"/>
      <c r="H121" s="22" t="n"/>
      <c r="I121" s="22" t="n"/>
      <c r="J121" s="22" t="n"/>
      <c r="K121" s="21" t="n"/>
      <c r="L121" s="25">
        <f>IF($A121="","",IF($K121=A_DONE,IF($J121="","",$J121-$I121),IF($I121="","",TODAY()-$I121)))</f>
        <v/>
      </c>
      <c r="M121" s="24">
        <f>IF($A121="","",IF($K121=A_DONE,S_DONE,IF($I121="",S_NODUE,IF($L121&gt;0,S_LATE,IF($H121&lt;&gt;"",S_WIP,IF(-$L121&lt;=FEN_ACT,S_RISK,IF(-$L121&lt;=HORIZON,S_COMING,S_ONTRACK)))))))</f>
        <v/>
      </c>
      <c r="N121" s="21" t="n"/>
      <c r="P121" s="24">
        <f>IF(AND($A121&lt;&gt;"",$K121&lt;&gt;A_DONE,N($L121)&gt;0),$L121+ROW()/1000000,"")</f>
        <v/>
      </c>
      <c r="Q121" s="24">
        <f>IF(AND($A121&lt;&gt;"",$K121&lt;&gt;A_DONE,OR($H121&lt;&gt;"",N($L121)&gt;0)),N($L121)+ROW()/1000000,"")</f>
        <v/>
      </c>
      <c r="R121" s="24">
        <f>IF(AND($A121&lt;&gt;"",$K121&lt;&gt;A_DONE,$H121="",$I121&lt;&gt;"",N($L121)&lt;=0,-N($L121)&lt;=HORIZON),N($L121)+ROW()/1000000,"")</f>
        <v/>
      </c>
    </row>
    <row r="122">
      <c r="A122" s="21" t="n"/>
      <c r="B122" s="21" t="n"/>
      <c r="C122" s="21" t="n"/>
      <c r="D122" s="21" t="n"/>
      <c r="E122" s="21" t="n"/>
      <c r="F122" s="21" t="n"/>
      <c r="G122" s="21" t="n"/>
      <c r="H122" s="22" t="n"/>
      <c r="I122" s="22" t="n"/>
      <c r="J122" s="22" t="n"/>
      <c r="K122" s="21" t="n"/>
      <c r="L122" s="25">
        <f>IF($A122="","",IF($K122=A_DONE,IF($J122="","",$J122-$I122),IF($I122="","",TODAY()-$I122)))</f>
        <v/>
      </c>
      <c r="M122" s="24">
        <f>IF($A122="","",IF($K122=A_DONE,S_DONE,IF($I122="",S_NODUE,IF($L122&gt;0,S_LATE,IF($H122&lt;&gt;"",S_WIP,IF(-$L122&lt;=FEN_ACT,S_RISK,IF(-$L122&lt;=HORIZON,S_COMING,S_ONTRACK)))))))</f>
        <v/>
      </c>
      <c r="N122" s="21" t="n"/>
      <c r="P122" s="24">
        <f>IF(AND($A122&lt;&gt;"",$K122&lt;&gt;A_DONE,N($L122)&gt;0),$L122+ROW()/1000000,"")</f>
        <v/>
      </c>
      <c r="Q122" s="24">
        <f>IF(AND($A122&lt;&gt;"",$K122&lt;&gt;A_DONE,OR($H122&lt;&gt;"",N($L122)&gt;0)),N($L122)+ROW()/1000000,"")</f>
        <v/>
      </c>
      <c r="R122" s="24">
        <f>IF(AND($A122&lt;&gt;"",$K122&lt;&gt;A_DONE,$H122="",$I122&lt;&gt;"",N($L122)&lt;=0,-N($L122)&lt;=HORIZON),N($L122)+ROW()/1000000,"")</f>
        <v/>
      </c>
    </row>
    <row r="123">
      <c r="A123" s="21" t="n"/>
      <c r="B123" s="21" t="n"/>
      <c r="C123" s="21" t="n"/>
      <c r="D123" s="21" t="n"/>
      <c r="E123" s="21" t="n"/>
      <c r="F123" s="21" t="n"/>
      <c r="G123" s="21" t="n"/>
      <c r="H123" s="22" t="n"/>
      <c r="I123" s="22" t="n"/>
      <c r="J123" s="22" t="n"/>
      <c r="K123" s="21" t="n"/>
      <c r="L123" s="25">
        <f>IF($A123="","",IF($K123=A_DONE,IF($J123="","",$J123-$I123),IF($I123="","",TODAY()-$I123)))</f>
        <v/>
      </c>
      <c r="M123" s="24">
        <f>IF($A123="","",IF($K123=A_DONE,S_DONE,IF($I123="",S_NODUE,IF($L123&gt;0,S_LATE,IF($H123&lt;&gt;"",S_WIP,IF(-$L123&lt;=FEN_ACT,S_RISK,IF(-$L123&lt;=HORIZON,S_COMING,S_ONTRACK)))))))</f>
        <v/>
      </c>
      <c r="N123" s="21" t="n"/>
      <c r="P123" s="24">
        <f>IF(AND($A123&lt;&gt;"",$K123&lt;&gt;A_DONE,N($L123)&gt;0),$L123+ROW()/1000000,"")</f>
        <v/>
      </c>
      <c r="Q123" s="24">
        <f>IF(AND($A123&lt;&gt;"",$K123&lt;&gt;A_DONE,OR($H123&lt;&gt;"",N($L123)&gt;0)),N($L123)+ROW()/1000000,"")</f>
        <v/>
      </c>
      <c r="R123" s="24">
        <f>IF(AND($A123&lt;&gt;"",$K123&lt;&gt;A_DONE,$H123="",$I123&lt;&gt;"",N($L123)&lt;=0,-N($L123)&lt;=HORIZON),N($L123)+ROW()/1000000,"")</f>
        <v/>
      </c>
    </row>
    <row r="124">
      <c r="A124" s="21" t="n"/>
      <c r="B124" s="21" t="n"/>
      <c r="C124" s="21" t="n"/>
      <c r="D124" s="21" t="n"/>
      <c r="E124" s="21" t="n"/>
      <c r="F124" s="21" t="n"/>
      <c r="G124" s="21" t="n"/>
      <c r="H124" s="22" t="n"/>
      <c r="I124" s="22" t="n"/>
      <c r="J124" s="22" t="n"/>
      <c r="K124" s="21" t="n"/>
      <c r="L124" s="25">
        <f>IF($A124="","",IF($K124=A_DONE,IF($J124="","",$J124-$I124),IF($I124="","",TODAY()-$I124)))</f>
        <v/>
      </c>
      <c r="M124" s="24">
        <f>IF($A124="","",IF($K124=A_DONE,S_DONE,IF($I124="",S_NODUE,IF($L124&gt;0,S_LATE,IF($H124&lt;&gt;"",S_WIP,IF(-$L124&lt;=FEN_ACT,S_RISK,IF(-$L124&lt;=HORIZON,S_COMING,S_ONTRACK)))))))</f>
        <v/>
      </c>
      <c r="N124" s="21" t="n"/>
      <c r="P124" s="24">
        <f>IF(AND($A124&lt;&gt;"",$K124&lt;&gt;A_DONE,N($L124)&gt;0),$L124+ROW()/1000000,"")</f>
        <v/>
      </c>
      <c r="Q124" s="24">
        <f>IF(AND($A124&lt;&gt;"",$K124&lt;&gt;A_DONE,OR($H124&lt;&gt;"",N($L124)&gt;0)),N($L124)+ROW()/1000000,"")</f>
        <v/>
      </c>
      <c r="R124" s="24">
        <f>IF(AND($A124&lt;&gt;"",$K124&lt;&gt;A_DONE,$H124="",$I124&lt;&gt;"",N($L124)&lt;=0,-N($L124)&lt;=HORIZON),N($L124)+ROW()/1000000,"")</f>
        <v/>
      </c>
    </row>
    <row r="125">
      <c r="A125" s="21" t="n"/>
      <c r="B125" s="21" t="n"/>
      <c r="C125" s="21" t="n"/>
      <c r="D125" s="21" t="n"/>
      <c r="E125" s="21" t="n"/>
      <c r="F125" s="21" t="n"/>
      <c r="G125" s="21" t="n"/>
      <c r="H125" s="22" t="n"/>
      <c r="I125" s="22" t="n"/>
      <c r="J125" s="22" t="n"/>
      <c r="K125" s="21" t="n"/>
      <c r="L125" s="25">
        <f>IF($A125="","",IF($K125=A_DONE,IF($J125="","",$J125-$I125),IF($I125="","",TODAY()-$I125)))</f>
        <v/>
      </c>
      <c r="M125" s="24">
        <f>IF($A125="","",IF($K125=A_DONE,S_DONE,IF($I125="",S_NODUE,IF($L125&gt;0,S_LATE,IF($H125&lt;&gt;"",S_WIP,IF(-$L125&lt;=FEN_ACT,S_RISK,IF(-$L125&lt;=HORIZON,S_COMING,S_ONTRACK)))))))</f>
        <v/>
      </c>
      <c r="N125" s="21" t="n"/>
      <c r="P125" s="24">
        <f>IF(AND($A125&lt;&gt;"",$K125&lt;&gt;A_DONE,N($L125)&gt;0),$L125+ROW()/1000000,"")</f>
        <v/>
      </c>
      <c r="Q125" s="24">
        <f>IF(AND($A125&lt;&gt;"",$K125&lt;&gt;A_DONE,OR($H125&lt;&gt;"",N($L125)&gt;0)),N($L125)+ROW()/1000000,"")</f>
        <v/>
      </c>
      <c r="R125" s="24">
        <f>IF(AND($A125&lt;&gt;"",$K125&lt;&gt;A_DONE,$H125="",$I125&lt;&gt;"",N($L125)&lt;=0,-N($L125)&lt;=HORIZON),N($L125)+ROW()/1000000,"")</f>
        <v/>
      </c>
    </row>
    <row r="126">
      <c r="A126" s="21" t="n"/>
      <c r="B126" s="21" t="n"/>
      <c r="C126" s="21" t="n"/>
      <c r="D126" s="21" t="n"/>
      <c r="E126" s="21" t="n"/>
      <c r="F126" s="21" t="n"/>
      <c r="G126" s="21" t="n"/>
      <c r="H126" s="22" t="n"/>
      <c r="I126" s="22" t="n"/>
      <c r="J126" s="22" t="n"/>
      <c r="K126" s="21" t="n"/>
      <c r="L126" s="25">
        <f>IF($A126="","",IF($K126=A_DONE,IF($J126="","",$J126-$I126),IF($I126="","",TODAY()-$I126)))</f>
        <v/>
      </c>
      <c r="M126" s="24">
        <f>IF($A126="","",IF($K126=A_DONE,S_DONE,IF($I126="",S_NODUE,IF($L126&gt;0,S_LATE,IF($H126&lt;&gt;"",S_WIP,IF(-$L126&lt;=FEN_ACT,S_RISK,IF(-$L126&lt;=HORIZON,S_COMING,S_ONTRACK)))))))</f>
        <v/>
      </c>
      <c r="N126" s="21" t="n"/>
      <c r="P126" s="24">
        <f>IF(AND($A126&lt;&gt;"",$K126&lt;&gt;A_DONE,N($L126)&gt;0),$L126+ROW()/1000000,"")</f>
        <v/>
      </c>
      <c r="Q126" s="24">
        <f>IF(AND($A126&lt;&gt;"",$K126&lt;&gt;A_DONE,OR($H126&lt;&gt;"",N($L126)&gt;0)),N($L126)+ROW()/1000000,"")</f>
        <v/>
      </c>
      <c r="R126" s="24">
        <f>IF(AND($A126&lt;&gt;"",$K126&lt;&gt;A_DONE,$H126="",$I126&lt;&gt;"",N($L126)&lt;=0,-N($L126)&lt;=HORIZON),N($L126)+ROW()/1000000,"")</f>
        <v/>
      </c>
    </row>
    <row r="127">
      <c r="A127" s="21" t="n"/>
      <c r="B127" s="21" t="n"/>
      <c r="C127" s="21" t="n"/>
      <c r="D127" s="21" t="n"/>
      <c r="E127" s="21" t="n"/>
      <c r="F127" s="21" t="n"/>
      <c r="G127" s="21" t="n"/>
      <c r="H127" s="22" t="n"/>
      <c r="I127" s="22" t="n"/>
      <c r="J127" s="22" t="n"/>
      <c r="K127" s="21" t="n"/>
      <c r="L127" s="25">
        <f>IF($A127="","",IF($K127=A_DONE,IF($J127="","",$J127-$I127),IF($I127="","",TODAY()-$I127)))</f>
        <v/>
      </c>
      <c r="M127" s="24">
        <f>IF($A127="","",IF($K127=A_DONE,S_DONE,IF($I127="",S_NODUE,IF($L127&gt;0,S_LATE,IF($H127&lt;&gt;"",S_WIP,IF(-$L127&lt;=FEN_ACT,S_RISK,IF(-$L127&lt;=HORIZON,S_COMING,S_ONTRACK)))))))</f>
        <v/>
      </c>
      <c r="N127" s="21" t="n"/>
      <c r="P127" s="24">
        <f>IF(AND($A127&lt;&gt;"",$K127&lt;&gt;A_DONE,N($L127)&gt;0),$L127+ROW()/1000000,"")</f>
        <v/>
      </c>
      <c r="Q127" s="24">
        <f>IF(AND($A127&lt;&gt;"",$K127&lt;&gt;A_DONE,OR($H127&lt;&gt;"",N($L127)&gt;0)),N($L127)+ROW()/1000000,"")</f>
        <v/>
      </c>
      <c r="R127" s="24">
        <f>IF(AND($A127&lt;&gt;"",$K127&lt;&gt;A_DONE,$H127="",$I127&lt;&gt;"",N($L127)&lt;=0,-N($L127)&lt;=HORIZON),N($L127)+ROW()/1000000,"")</f>
        <v/>
      </c>
    </row>
    <row r="128">
      <c r="A128" s="21" t="n"/>
      <c r="B128" s="21" t="n"/>
      <c r="C128" s="21" t="n"/>
      <c r="D128" s="21" t="n"/>
      <c r="E128" s="21" t="n"/>
      <c r="F128" s="21" t="n"/>
      <c r="G128" s="21" t="n"/>
      <c r="H128" s="22" t="n"/>
      <c r="I128" s="22" t="n"/>
      <c r="J128" s="22" t="n"/>
      <c r="K128" s="21" t="n"/>
      <c r="L128" s="25">
        <f>IF($A128="","",IF($K128=A_DONE,IF($J128="","",$J128-$I128),IF($I128="","",TODAY()-$I128)))</f>
        <v/>
      </c>
      <c r="M128" s="24">
        <f>IF($A128="","",IF($K128=A_DONE,S_DONE,IF($I128="",S_NODUE,IF($L128&gt;0,S_LATE,IF($H128&lt;&gt;"",S_WIP,IF(-$L128&lt;=FEN_ACT,S_RISK,IF(-$L128&lt;=HORIZON,S_COMING,S_ONTRACK)))))))</f>
        <v/>
      </c>
      <c r="N128" s="21" t="n"/>
      <c r="P128" s="24">
        <f>IF(AND($A128&lt;&gt;"",$K128&lt;&gt;A_DONE,N($L128)&gt;0),$L128+ROW()/1000000,"")</f>
        <v/>
      </c>
      <c r="Q128" s="24">
        <f>IF(AND($A128&lt;&gt;"",$K128&lt;&gt;A_DONE,OR($H128&lt;&gt;"",N($L128)&gt;0)),N($L128)+ROW()/1000000,"")</f>
        <v/>
      </c>
      <c r="R128" s="24">
        <f>IF(AND($A128&lt;&gt;"",$K128&lt;&gt;A_DONE,$H128="",$I128&lt;&gt;"",N($L128)&lt;=0,-N($L128)&lt;=HORIZON),N($L128)+ROW()/1000000,"")</f>
        <v/>
      </c>
    </row>
    <row r="129">
      <c r="A129" s="21" t="n"/>
      <c r="B129" s="21" t="n"/>
      <c r="C129" s="21" t="n"/>
      <c r="D129" s="21" t="n"/>
      <c r="E129" s="21" t="n"/>
      <c r="F129" s="21" t="n"/>
      <c r="G129" s="21" t="n"/>
      <c r="H129" s="22" t="n"/>
      <c r="I129" s="22" t="n"/>
      <c r="J129" s="22" t="n"/>
      <c r="K129" s="21" t="n"/>
      <c r="L129" s="25">
        <f>IF($A129="","",IF($K129=A_DONE,IF($J129="","",$J129-$I129),IF($I129="","",TODAY()-$I129)))</f>
        <v/>
      </c>
      <c r="M129" s="24">
        <f>IF($A129="","",IF($K129=A_DONE,S_DONE,IF($I129="",S_NODUE,IF($L129&gt;0,S_LATE,IF($H129&lt;&gt;"",S_WIP,IF(-$L129&lt;=FEN_ACT,S_RISK,IF(-$L129&lt;=HORIZON,S_COMING,S_ONTRACK)))))))</f>
        <v/>
      </c>
      <c r="N129" s="21" t="n"/>
      <c r="P129" s="24">
        <f>IF(AND($A129&lt;&gt;"",$K129&lt;&gt;A_DONE,N($L129)&gt;0),$L129+ROW()/1000000,"")</f>
        <v/>
      </c>
      <c r="Q129" s="24">
        <f>IF(AND($A129&lt;&gt;"",$K129&lt;&gt;A_DONE,OR($H129&lt;&gt;"",N($L129)&gt;0)),N($L129)+ROW()/1000000,"")</f>
        <v/>
      </c>
      <c r="R129" s="24">
        <f>IF(AND($A129&lt;&gt;"",$K129&lt;&gt;A_DONE,$H129="",$I129&lt;&gt;"",N($L129)&lt;=0,-N($L129)&lt;=HORIZON),N($L129)+ROW()/1000000,"")</f>
        <v/>
      </c>
    </row>
    <row r="130">
      <c r="A130" s="21" t="n"/>
      <c r="B130" s="21" t="n"/>
      <c r="C130" s="21" t="n"/>
      <c r="D130" s="21" t="n"/>
      <c r="E130" s="21" t="n"/>
      <c r="F130" s="21" t="n"/>
      <c r="G130" s="21" t="n"/>
      <c r="H130" s="22" t="n"/>
      <c r="I130" s="22" t="n"/>
      <c r="J130" s="22" t="n"/>
      <c r="K130" s="21" t="n"/>
      <c r="L130" s="25">
        <f>IF($A130="","",IF($K130=A_DONE,IF($J130="","",$J130-$I130),IF($I130="","",TODAY()-$I130)))</f>
        <v/>
      </c>
      <c r="M130" s="24">
        <f>IF($A130="","",IF($K130=A_DONE,S_DONE,IF($I130="",S_NODUE,IF($L130&gt;0,S_LATE,IF($H130&lt;&gt;"",S_WIP,IF(-$L130&lt;=FEN_ACT,S_RISK,IF(-$L130&lt;=HORIZON,S_COMING,S_ONTRACK)))))))</f>
        <v/>
      </c>
      <c r="N130" s="21" t="n"/>
      <c r="P130" s="24">
        <f>IF(AND($A130&lt;&gt;"",$K130&lt;&gt;A_DONE,N($L130)&gt;0),$L130+ROW()/1000000,"")</f>
        <v/>
      </c>
      <c r="Q130" s="24">
        <f>IF(AND($A130&lt;&gt;"",$K130&lt;&gt;A_DONE,OR($H130&lt;&gt;"",N($L130)&gt;0)),N($L130)+ROW()/1000000,"")</f>
        <v/>
      </c>
      <c r="R130" s="24">
        <f>IF(AND($A130&lt;&gt;"",$K130&lt;&gt;A_DONE,$H130="",$I130&lt;&gt;"",N($L130)&lt;=0,-N($L130)&lt;=HORIZON),N($L130)+ROW()/1000000,"")</f>
        <v/>
      </c>
    </row>
    <row r="131">
      <c r="A131" s="21" t="n"/>
      <c r="B131" s="21" t="n"/>
      <c r="C131" s="21" t="n"/>
      <c r="D131" s="21" t="n"/>
      <c r="E131" s="21" t="n"/>
      <c r="F131" s="21" t="n"/>
      <c r="G131" s="21" t="n"/>
      <c r="H131" s="22" t="n"/>
      <c r="I131" s="22" t="n"/>
      <c r="J131" s="22" t="n"/>
      <c r="K131" s="21" t="n"/>
      <c r="L131" s="25">
        <f>IF($A131="","",IF($K131=A_DONE,IF($J131="","",$J131-$I131),IF($I131="","",TODAY()-$I131)))</f>
        <v/>
      </c>
      <c r="M131" s="24">
        <f>IF($A131="","",IF($K131=A_DONE,S_DONE,IF($I131="",S_NODUE,IF($L131&gt;0,S_LATE,IF($H131&lt;&gt;"",S_WIP,IF(-$L131&lt;=FEN_ACT,S_RISK,IF(-$L131&lt;=HORIZON,S_COMING,S_ONTRACK)))))))</f>
        <v/>
      </c>
      <c r="N131" s="21" t="n"/>
      <c r="P131" s="24">
        <f>IF(AND($A131&lt;&gt;"",$K131&lt;&gt;A_DONE,N($L131)&gt;0),$L131+ROW()/1000000,"")</f>
        <v/>
      </c>
      <c r="Q131" s="24">
        <f>IF(AND($A131&lt;&gt;"",$K131&lt;&gt;A_DONE,OR($H131&lt;&gt;"",N($L131)&gt;0)),N($L131)+ROW()/1000000,"")</f>
        <v/>
      </c>
      <c r="R131" s="24">
        <f>IF(AND($A131&lt;&gt;"",$K131&lt;&gt;A_DONE,$H131="",$I131&lt;&gt;"",N($L131)&lt;=0,-N($L131)&lt;=HORIZON),N($L131)+ROW()/1000000,"")</f>
        <v/>
      </c>
    </row>
    <row r="132">
      <c r="A132" s="21" t="n"/>
      <c r="B132" s="21" t="n"/>
      <c r="C132" s="21" t="n"/>
      <c r="D132" s="21" t="n"/>
      <c r="E132" s="21" t="n"/>
      <c r="F132" s="21" t="n"/>
      <c r="G132" s="21" t="n"/>
      <c r="H132" s="22" t="n"/>
      <c r="I132" s="22" t="n"/>
      <c r="J132" s="22" t="n"/>
      <c r="K132" s="21" t="n"/>
      <c r="L132" s="25">
        <f>IF($A132="","",IF($K132=A_DONE,IF($J132="","",$J132-$I132),IF($I132="","",TODAY()-$I132)))</f>
        <v/>
      </c>
      <c r="M132" s="24">
        <f>IF($A132="","",IF($K132=A_DONE,S_DONE,IF($I132="",S_NODUE,IF($L132&gt;0,S_LATE,IF($H132&lt;&gt;"",S_WIP,IF(-$L132&lt;=FEN_ACT,S_RISK,IF(-$L132&lt;=HORIZON,S_COMING,S_ONTRACK)))))))</f>
        <v/>
      </c>
      <c r="N132" s="21" t="n"/>
      <c r="P132" s="24">
        <f>IF(AND($A132&lt;&gt;"",$K132&lt;&gt;A_DONE,N($L132)&gt;0),$L132+ROW()/1000000,"")</f>
        <v/>
      </c>
      <c r="Q132" s="24">
        <f>IF(AND($A132&lt;&gt;"",$K132&lt;&gt;A_DONE,OR($H132&lt;&gt;"",N($L132)&gt;0)),N($L132)+ROW()/1000000,"")</f>
        <v/>
      </c>
      <c r="R132" s="24">
        <f>IF(AND($A132&lt;&gt;"",$K132&lt;&gt;A_DONE,$H132="",$I132&lt;&gt;"",N($L132)&lt;=0,-N($L132)&lt;=HORIZON),N($L132)+ROW()/1000000,"")</f>
        <v/>
      </c>
    </row>
    <row r="133">
      <c r="A133" s="21" t="n"/>
      <c r="B133" s="21" t="n"/>
      <c r="C133" s="21" t="n"/>
      <c r="D133" s="21" t="n"/>
      <c r="E133" s="21" t="n"/>
      <c r="F133" s="21" t="n"/>
      <c r="G133" s="21" t="n"/>
      <c r="H133" s="22" t="n"/>
      <c r="I133" s="22" t="n"/>
      <c r="J133" s="22" t="n"/>
      <c r="K133" s="21" t="n"/>
      <c r="L133" s="25">
        <f>IF($A133="","",IF($K133=A_DONE,IF($J133="","",$J133-$I133),IF($I133="","",TODAY()-$I133)))</f>
        <v/>
      </c>
      <c r="M133" s="24">
        <f>IF($A133="","",IF($K133=A_DONE,S_DONE,IF($I133="",S_NODUE,IF($L133&gt;0,S_LATE,IF($H133&lt;&gt;"",S_WIP,IF(-$L133&lt;=FEN_ACT,S_RISK,IF(-$L133&lt;=HORIZON,S_COMING,S_ONTRACK)))))))</f>
        <v/>
      </c>
      <c r="N133" s="21" t="n"/>
      <c r="P133" s="24">
        <f>IF(AND($A133&lt;&gt;"",$K133&lt;&gt;A_DONE,N($L133)&gt;0),$L133+ROW()/1000000,"")</f>
        <v/>
      </c>
      <c r="Q133" s="24">
        <f>IF(AND($A133&lt;&gt;"",$K133&lt;&gt;A_DONE,OR($H133&lt;&gt;"",N($L133)&gt;0)),N($L133)+ROW()/1000000,"")</f>
        <v/>
      </c>
      <c r="R133" s="24">
        <f>IF(AND($A133&lt;&gt;"",$K133&lt;&gt;A_DONE,$H133="",$I133&lt;&gt;"",N($L133)&lt;=0,-N($L133)&lt;=HORIZON),N($L133)+ROW()/1000000,"")</f>
        <v/>
      </c>
    </row>
    <row r="134">
      <c r="A134" s="21" t="n"/>
      <c r="B134" s="21" t="n"/>
      <c r="C134" s="21" t="n"/>
      <c r="D134" s="21" t="n"/>
      <c r="E134" s="21" t="n"/>
      <c r="F134" s="21" t="n"/>
      <c r="G134" s="21" t="n"/>
      <c r="H134" s="22" t="n"/>
      <c r="I134" s="22" t="n"/>
      <c r="J134" s="22" t="n"/>
      <c r="K134" s="21" t="n"/>
      <c r="L134" s="25">
        <f>IF($A134="","",IF($K134=A_DONE,IF($J134="","",$J134-$I134),IF($I134="","",TODAY()-$I134)))</f>
        <v/>
      </c>
      <c r="M134" s="24">
        <f>IF($A134="","",IF($K134=A_DONE,S_DONE,IF($I134="",S_NODUE,IF($L134&gt;0,S_LATE,IF($H134&lt;&gt;"",S_WIP,IF(-$L134&lt;=FEN_ACT,S_RISK,IF(-$L134&lt;=HORIZON,S_COMING,S_ONTRACK)))))))</f>
        <v/>
      </c>
      <c r="N134" s="21" t="n"/>
      <c r="P134" s="24">
        <f>IF(AND($A134&lt;&gt;"",$K134&lt;&gt;A_DONE,N($L134)&gt;0),$L134+ROW()/1000000,"")</f>
        <v/>
      </c>
      <c r="Q134" s="24">
        <f>IF(AND($A134&lt;&gt;"",$K134&lt;&gt;A_DONE,OR($H134&lt;&gt;"",N($L134)&gt;0)),N($L134)+ROW()/1000000,"")</f>
        <v/>
      </c>
      <c r="R134" s="24">
        <f>IF(AND($A134&lt;&gt;"",$K134&lt;&gt;A_DONE,$H134="",$I134&lt;&gt;"",N($L134)&lt;=0,-N($L134)&lt;=HORIZON),N($L134)+ROW()/1000000,"")</f>
        <v/>
      </c>
    </row>
    <row r="135">
      <c r="A135" s="21" t="n"/>
      <c r="B135" s="21" t="n"/>
      <c r="C135" s="21" t="n"/>
      <c r="D135" s="21" t="n"/>
      <c r="E135" s="21" t="n"/>
      <c r="F135" s="21" t="n"/>
      <c r="G135" s="21" t="n"/>
      <c r="H135" s="22" t="n"/>
      <c r="I135" s="22" t="n"/>
      <c r="J135" s="22" t="n"/>
      <c r="K135" s="21" t="n"/>
      <c r="L135" s="25">
        <f>IF($A135="","",IF($K135=A_DONE,IF($J135="","",$J135-$I135),IF($I135="","",TODAY()-$I135)))</f>
        <v/>
      </c>
      <c r="M135" s="24">
        <f>IF($A135="","",IF($K135=A_DONE,S_DONE,IF($I135="",S_NODUE,IF($L135&gt;0,S_LATE,IF($H135&lt;&gt;"",S_WIP,IF(-$L135&lt;=FEN_ACT,S_RISK,IF(-$L135&lt;=HORIZON,S_COMING,S_ONTRACK)))))))</f>
        <v/>
      </c>
      <c r="N135" s="21" t="n"/>
      <c r="P135" s="24">
        <f>IF(AND($A135&lt;&gt;"",$K135&lt;&gt;A_DONE,N($L135)&gt;0),$L135+ROW()/1000000,"")</f>
        <v/>
      </c>
      <c r="Q135" s="24">
        <f>IF(AND($A135&lt;&gt;"",$K135&lt;&gt;A_DONE,OR($H135&lt;&gt;"",N($L135)&gt;0)),N($L135)+ROW()/1000000,"")</f>
        <v/>
      </c>
      <c r="R135" s="24">
        <f>IF(AND($A135&lt;&gt;"",$K135&lt;&gt;A_DONE,$H135="",$I135&lt;&gt;"",N($L135)&lt;=0,-N($L135)&lt;=HORIZON),N($L135)+ROW()/1000000,"")</f>
        <v/>
      </c>
    </row>
    <row r="136">
      <c r="A136" s="21" t="n"/>
      <c r="B136" s="21" t="n"/>
      <c r="C136" s="21" t="n"/>
      <c r="D136" s="21" t="n"/>
      <c r="E136" s="21" t="n"/>
      <c r="F136" s="21" t="n"/>
      <c r="G136" s="21" t="n"/>
      <c r="H136" s="22" t="n"/>
      <c r="I136" s="22" t="n"/>
      <c r="J136" s="22" t="n"/>
      <c r="K136" s="21" t="n"/>
      <c r="L136" s="25">
        <f>IF($A136="","",IF($K136=A_DONE,IF($J136="","",$J136-$I136),IF($I136="","",TODAY()-$I136)))</f>
        <v/>
      </c>
      <c r="M136" s="24">
        <f>IF($A136="","",IF($K136=A_DONE,S_DONE,IF($I136="",S_NODUE,IF($L136&gt;0,S_LATE,IF($H136&lt;&gt;"",S_WIP,IF(-$L136&lt;=FEN_ACT,S_RISK,IF(-$L136&lt;=HORIZON,S_COMING,S_ONTRACK)))))))</f>
        <v/>
      </c>
      <c r="N136" s="21" t="n"/>
      <c r="P136" s="24">
        <f>IF(AND($A136&lt;&gt;"",$K136&lt;&gt;A_DONE,N($L136)&gt;0),$L136+ROW()/1000000,"")</f>
        <v/>
      </c>
      <c r="Q136" s="24">
        <f>IF(AND($A136&lt;&gt;"",$K136&lt;&gt;A_DONE,OR($H136&lt;&gt;"",N($L136)&gt;0)),N($L136)+ROW()/1000000,"")</f>
        <v/>
      </c>
      <c r="R136" s="24">
        <f>IF(AND($A136&lt;&gt;"",$K136&lt;&gt;A_DONE,$H136="",$I136&lt;&gt;"",N($L136)&lt;=0,-N($L136)&lt;=HORIZON),N($L136)+ROW()/1000000,"")</f>
        <v/>
      </c>
    </row>
    <row r="137">
      <c r="A137" s="21" t="n"/>
      <c r="B137" s="21" t="n"/>
      <c r="C137" s="21" t="n"/>
      <c r="D137" s="21" t="n"/>
      <c r="E137" s="21" t="n"/>
      <c r="F137" s="21" t="n"/>
      <c r="G137" s="21" t="n"/>
      <c r="H137" s="22" t="n"/>
      <c r="I137" s="22" t="n"/>
      <c r="J137" s="22" t="n"/>
      <c r="K137" s="21" t="n"/>
      <c r="L137" s="25">
        <f>IF($A137="","",IF($K137=A_DONE,IF($J137="","",$J137-$I137),IF($I137="","",TODAY()-$I137)))</f>
        <v/>
      </c>
      <c r="M137" s="24">
        <f>IF($A137="","",IF($K137=A_DONE,S_DONE,IF($I137="",S_NODUE,IF($L137&gt;0,S_LATE,IF($H137&lt;&gt;"",S_WIP,IF(-$L137&lt;=FEN_ACT,S_RISK,IF(-$L137&lt;=HORIZON,S_COMING,S_ONTRACK)))))))</f>
        <v/>
      </c>
      <c r="N137" s="21" t="n"/>
      <c r="P137" s="24">
        <f>IF(AND($A137&lt;&gt;"",$K137&lt;&gt;A_DONE,N($L137)&gt;0),$L137+ROW()/1000000,"")</f>
        <v/>
      </c>
      <c r="Q137" s="24">
        <f>IF(AND($A137&lt;&gt;"",$K137&lt;&gt;A_DONE,OR($H137&lt;&gt;"",N($L137)&gt;0)),N($L137)+ROW()/1000000,"")</f>
        <v/>
      </c>
      <c r="R137" s="24">
        <f>IF(AND($A137&lt;&gt;"",$K137&lt;&gt;A_DONE,$H137="",$I137&lt;&gt;"",N($L137)&lt;=0,-N($L137)&lt;=HORIZON),N($L137)+ROW()/1000000,"")</f>
        <v/>
      </c>
    </row>
    <row r="138">
      <c r="A138" s="21" t="n"/>
      <c r="B138" s="21" t="n"/>
      <c r="C138" s="21" t="n"/>
      <c r="D138" s="21" t="n"/>
      <c r="E138" s="21" t="n"/>
      <c r="F138" s="21" t="n"/>
      <c r="G138" s="21" t="n"/>
      <c r="H138" s="22" t="n"/>
      <c r="I138" s="22" t="n"/>
      <c r="J138" s="22" t="n"/>
      <c r="K138" s="21" t="n"/>
      <c r="L138" s="25">
        <f>IF($A138="","",IF($K138=A_DONE,IF($J138="","",$J138-$I138),IF($I138="","",TODAY()-$I138)))</f>
        <v/>
      </c>
      <c r="M138" s="24">
        <f>IF($A138="","",IF($K138=A_DONE,S_DONE,IF($I138="",S_NODUE,IF($L138&gt;0,S_LATE,IF($H138&lt;&gt;"",S_WIP,IF(-$L138&lt;=FEN_ACT,S_RISK,IF(-$L138&lt;=HORIZON,S_COMING,S_ONTRACK)))))))</f>
        <v/>
      </c>
      <c r="N138" s="21" t="n"/>
      <c r="P138" s="24">
        <f>IF(AND($A138&lt;&gt;"",$K138&lt;&gt;A_DONE,N($L138)&gt;0),$L138+ROW()/1000000,"")</f>
        <v/>
      </c>
      <c r="Q138" s="24">
        <f>IF(AND($A138&lt;&gt;"",$K138&lt;&gt;A_DONE,OR($H138&lt;&gt;"",N($L138)&gt;0)),N($L138)+ROW()/1000000,"")</f>
        <v/>
      </c>
      <c r="R138" s="24">
        <f>IF(AND($A138&lt;&gt;"",$K138&lt;&gt;A_DONE,$H138="",$I138&lt;&gt;"",N($L138)&lt;=0,-N($L138)&lt;=HORIZON),N($L138)+ROW()/1000000,"")</f>
        <v/>
      </c>
    </row>
    <row r="139">
      <c r="A139" s="21" t="n"/>
      <c r="B139" s="21" t="n"/>
      <c r="C139" s="21" t="n"/>
      <c r="D139" s="21" t="n"/>
      <c r="E139" s="21" t="n"/>
      <c r="F139" s="21" t="n"/>
      <c r="G139" s="21" t="n"/>
      <c r="H139" s="22" t="n"/>
      <c r="I139" s="22" t="n"/>
      <c r="J139" s="22" t="n"/>
      <c r="K139" s="21" t="n"/>
      <c r="L139" s="25">
        <f>IF($A139="","",IF($K139=A_DONE,IF($J139="","",$J139-$I139),IF($I139="","",TODAY()-$I139)))</f>
        <v/>
      </c>
      <c r="M139" s="24">
        <f>IF($A139="","",IF($K139=A_DONE,S_DONE,IF($I139="",S_NODUE,IF($L139&gt;0,S_LATE,IF($H139&lt;&gt;"",S_WIP,IF(-$L139&lt;=FEN_ACT,S_RISK,IF(-$L139&lt;=HORIZON,S_COMING,S_ONTRACK)))))))</f>
        <v/>
      </c>
      <c r="N139" s="21" t="n"/>
      <c r="P139" s="24">
        <f>IF(AND($A139&lt;&gt;"",$K139&lt;&gt;A_DONE,N($L139)&gt;0),$L139+ROW()/1000000,"")</f>
        <v/>
      </c>
      <c r="Q139" s="24">
        <f>IF(AND($A139&lt;&gt;"",$K139&lt;&gt;A_DONE,OR($H139&lt;&gt;"",N($L139)&gt;0)),N($L139)+ROW()/1000000,"")</f>
        <v/>
      </c>
      <c r="R139" s="24">
        <f>IF(AND($A139&lt;&gt;"",$K139&lt;&gt;A_DONE,$H139="",$I139&lt;&gt;"",N($L139)&lt;=0,-N($L139)&lt;=HORIZON),N($L139)+ROW()/1000000,"")</f>
        <v/>
      </c>
    </row>
    <row r="140">
      <c r="A140" s="21" t="n"/>
      <c r="B140" s="21" t="n"/>
      <c r="C140" s="21" t="n"/>
      <c r="D140" s="21" t="n"/>
      <c r="E140" s="21" t="n"/>
      <c r="F140" s="21" t="n"/>
      <c r="G140" s="21" t="n"/>
      <c r="H140" s="22" t="n"/>
      <c r="I140" s="22" t="n"/>
      <c r="J140" s="22" t="n"/>
      <c r="K140" s="21" t="n"/>
      <c r="L140" s="25">
        <f>IF($A140="","",IF($K140=A_DONE,IF($J140="","",$J140-$I140),IF($I140="","",TODAY()-$I140)))</f>
        <v/>
      </c>
      <c r="M140" s="24">
        <f>IF($A140="","",IF($K140=A_DONE,S_DONE,IF($I140="",S_NODUE,IF($L140&gt;0,S_LATE,IF($H140&lt;&gt;"",S_WIP,IF(-$L140&lt;=FEN_ACT,S_RISK,IF(-$L140&lt;=HORIZON,S_COMING,S_ONTRACK)))))))</f>
        <v/>
      </c>
      <c r="N140" s="21" t="n"/>
      <c r="P140" s="24">
        <f>IF(AND($A140&lt;&gt;"",$K140&lt;&gt;A_DONE,N($L140)&gt;0),$L140+ROW()/1000000,"")</f>
        <v/>
      </c>
      <c r="Q140" s="24">
        <f>IF(AND($A140&lt;&gt;"",$K140&lt;&gt;A_DONE,OR($H140&lt;&gt;"",N($L140)&gt;0)),N($L140)+ROW()/1000000,"")</f>
        <v/>
      </c>
      <c r="R140" s="24">
        <f>IF(AND($A140&lt;&gt;"",$K140&lt;&gt;A_DONE,$H140="",$I140&lt;&gt;"",N($L140)&lt;=0,-N($L140)&lt;=HORIZON),N($L140)+ROW()/1000000,"")</f>
        <v/>
      </c>
    </row>
    <row r="141">
      <c r="A141" s="21" t="n"/>
      <c r="B141" s="21" t="n"/>
      <c r="C141" s="21" t="n"/>
      <c r="D141" s="21" t="n"/>
      <c r="E141" s="21" t="n"/>
      <c r="F141" s="21" t="n"/>
      <c r="G141" s="21" t="n"/>
      <c r="H141" s="22" t="n"/>
      <c r="I141" s="22" t="n"/>
      <c r="J141" s="22" t="n"/>
      <c r="K141" s="21" t="n"/>
      <c r="L141" s="25">
        <f>IF($A141="","",IF($K141=A_DONE,IF($J141="","",$J141-$I141),IF($I141="","",TODAY()-$I141)))</f>
        <v/>
      </c>
      <c r="M141" s="24">
        <f>IF($A141="","",IF($K141=A_DONE,S_DONE,IF($I141="",S_NODUE,IF($L141&gt;0,S_LATE,IF($H141&lt;&gt;"",S_WIP,IF(-$L141&lt;=FEN_ACT,S_RISK,IF(-$L141&lt;=HORIZON,S_COMING,S_ONTRACK)))))))</f>
        <v/>
      </c>
      <c r="N141" s="21" t="n"/>
      <c r="P141" s="24">
        <f>IF(AND($A141&lt;&gt;"",$K141&lt;&gt;A_DONE,N($L141)&gt;0),$L141+ROW()/1000000,"")</f>
        <v/>
      </c>
      <c r="Q141" s="24">
        <f>IF(AND($A141&lt;&gt;"",$K141&lt;&gt;A_DONE,OR($H141&lt;&gt;"",N($L141)&gt;0)),N($L141)+ROW()/1000000,"")</f>
        <v/>
      </c>
      <c r="R141" s="24">
        <f>IF(AND($A141&lt;&gt;"",$K141&lt;&gt;A_DONE,$H141="",$I141&lt;&gt;"",N($L141)&lt;=0,-N($L141)&lt;=HORIZON),N($L141)+ROW()/1000000,"")</f>
        <v/>
      </c>
    </row>
    <row r="142">
      <c r="A142" s="21" t="n"/>
      <c r="B142" s="21" t="n"/>
      <c r="C142" s="21" t="n"/>
      <c r="D142" s="21" t="n"/>
      <c r="E142" s="21" t="n"/>
      <c r="F142" s="21" t="n"/>
      <c r="G142" s="21" t="n"/>
      <c r="H142" s="22" t="n"/>
      <c r="I142" s="22" t="n"/>
      <c r="J142" s="22" t="n"/>
      <c r="K142" s="21" t="n"/>
      <c r="L142" s="25">
        <f>IF($A142="","",IF($K142=A_DONE,IF($J142="","",$J142-$I142),IF($I142="","",TODAY()-$I142)))</f>
        <v/>
      </c>
      <c r="M142" s="24">
        <f>IF($A142="","",IF($K142=A_DONE,S_DONE,IF($I142="",S_NODUE,IF($L142&gt;0,S_LATE,IF($H142&lt;&gt;"",S_WIP,IF(-$L142&lt;=FEN_ACT,S_RISK,IF(-$L142&lt;=HORIZON,S_COMING,S_ONTRACK)))))))</f>
        <v/>
      </c>
      <c r="N142" s="21" t="n"/>
      <c r="P142" s="24">
        <f>IF(AND($A142&lt;&gt;"",$K142&lt;&gt;A_DONE,N($L142)&gt;0),$L142+ROW()/1000000,"")</f>
        <v/>
      </c>
      <c r="Q142" s="24">
        <f>IF(AND($A142&lt;&gt;"",$K142&lt;&gt;A_DONE,OR($H142&lt;&gt;"",N($L142)&gt;0)),N($L142)+ROW()/1000000,"")</f>
        <v/>
      </c>
      <c r="R142" s="24">
        <f>IF(AND($A142&lt;&gt;"",$K142&lt;&gt;A_DONE,$H142="",$I142&lt;&gt;"",N($L142)&lt;=0,-N($L142)&lt;=HORIZON),N($L142)+ROW()/1000000,"")</f>
        <v/>
      </c>
    </row>
    <row r="143">
      <c r="A143" s="21" t="n"/>
      <c r="B143" s="21" t="n"/>
      <c r="C143" s="21" t="n"/>
      <c r="D143" s="21" t="n"/>
      <c r="E143" s="21" t="n"/>
      <c r="F143" s="21" t="n"/>
      <c r="G143" s="21" t="n"/>
      <c r="H143" s="22" t="n"/>
      <c r="I143" s="22" t="n"/>
      <c r="J143" s="22" t="n"/>
      <c r="K143" s="21" t="n"/>
      <c r="L143" s="25">
        <f>IF($A143="","",IF($K143=A_DONE,IF($J143="","",$J143-$I143),IF($I143="","",TODAY()-$I143)))</f>
        <v/>
      </c>
      <c r="M143" s="24">
        <f>IF($A143="","",IF($K143=A_DONE,S_DONE,IF($I143="",S_NODUE,IF($L143&gt;0,S_LATE,IF($H143&lt;&gt;"",S_WIP,IF(-$L143&lt;=FEN_ACT,S_RISK,IF(-$L143&lt;=HORIZON,S_COMING,S_ONTRACK)))))))</f>
        <v/>
      </c>
      <c r="N143" s="21" t="n"/>
      <c r="P143" s="24">
        <f>IF(AND($A143&lt;&gt;"",$K143&lt;&gt;A_DONE,N($L143)&gt;0),$L143+ROW()/1000000,"")</f>
        <v/>
      </c>
      <c r="Q143" s="24">
        <f>IF(AND($A143&lt;&gt;"",$K143&lt;&gt;A_DONE,OR($H143&lt;&gt;"",N($L143)&gt;0)),N($L143)+ROW()/1000000,"")</f>
        <v/>
      </c>
      <c r="R143" s="24">
        <f>IF(AND($A143&lt;&gt;"",$K143&lt;&gt;A_DONE,$H143="",$I143&lt;&gt;"",N($L143)&lt;=0,-N($L143)&lt;=HORIZON),N($L143)+ROW()/1000000,"")</f>
        <v/>
      </c>
    </row>
    <row r="144">
      <c r="A144" s="21" t="n"/>
      <c r="B144" s="21" t="n"/>
      <c r="C144" s="21" t="n"/>
      <c r="D144" s="21" t="n"/>
      <c r="E144" s="21" t="n"/>
      <c r="F144" s="21" t="n"/>
      <c r="G144" s="21" t="n"/>
      <c r="H144" s="22" t="n"/>
      <c r="I144" s="22" t="n"/>
      <c r="J144" s="22" t="n"/>
      <c r="K144" s="21" t="n"/>
      <c r="L144" s="25">
        <f>IF($A144="","",IF($K144=A_DONE,IF($J144="","",$J144-$I144),IF($I144="","",TODAY()-$I144)))</f>
        <v/>
      </c>
      <c r="M144" s="24">
        <f>IF($A144="","",IF($K144=A_DONE,S_DONE,IF($I144="",S_NODUE,IF($L144&gt;0,S_LATE,IF($H144&lt;&gt;"",S_WIP,IF(-$L144&lt;=FEN_ACT,S_RISK,IF(-$L144&lt;=HORIZON,S_COMING,S_ONTRACK)))))))</f>
        <v/>
      </c>
      <c r="N144" s="21" t="n"/>
      <c r="P144" s="24">
        <f>IF(AND($A144&lt;&gt;"",$K144&lt;&gt;A_DONE,N($L144)&gt;0),$L144+ROW()/1000000,"")</f>
        <v/>
      </c>
      <c r="Q144" s="24">
        <f>IF(AND($A144&lt;&gt;"",$K144&lt;&gt;A_DONE,OR($H144&lt;&gt;"",N($L144)&gt;0)),N($L144)+ROW()/1000000,"")</f>
        <v/>
      </c>
      <c r="R144" s="24">
        <f>IF(AND($A144&lt;&gt;"",$K144&lt;&gt;A_DONE,$H144="",$I144&lt;&gt;"",N($L144)&lt;=0,-N($L144)&lt;=HORIZON),N($L144)+ROW()/1000000,"")</f>
        <v/>
      </c>
    </row>
    <row r="145">
      <c r="A145" s="21" t="n"/>
      <c r="B145" s="21" t="n"/>
      <c r="C145" s="21" t="n"/>
      <c r="D145" s="21" t="n"/>
      <c r="E145" s="21" t="n"/>
      <c r="F145" s="21" t="n"/>
      <c r="G145" s="21" t="n"/>
      <c r="H145" s="22" t="n"/>
      <c r="I145" s="22" t="n"/>
      <c r="J145" s="22" t="n"/>
      <c r="K145" s="21" t="n"/>
      <c r="L145" s="25">
        <f>IF($A145="","",IF($K145=A_DONE,IF($J145="","",$J145-$I145),IF($I145="","",TODAY()-$I145)))</f>
        <v/>
      </c>
      <c r="M145" s="24">
        <f>IF($A145="","",IF($K145=A_DONE,S_DONE,IF($I145="",S_NODUE,IF($L145&gt;0,S_LATE,IF($H145&lt;&gt;"",S_WIP,IF(-$L145&lt;=FEN_ACT,S_RISK,IF(-$L145&lt;=HORIZON,S_COMING,S_ONTRACK)))))))</f>
        <v/>
      </c>
      <c r="N145" s="21" t="n"/>
      <c r="P145" s="24">
        <f>IF(AND($A145&lt;&gt;"",$K145&lt;&gt;A_DONE,N($L145)&gt;0),$L145+ROW()/1000000,"")</f>
        <v/>
      </c>
      <c r="Q145" s="24">
        <f>IF(AND($A145&lt;&gt;"",$K145&lt;&gt;A_DONE,OR($H145&lt;&gt;"",N($L145)&gt;0)),N($L145)+ROW()/1000000,"")</f>
        <v/>
      </c>
      <c r="R145" s="24">
        <f>IF(AND($A145&lt;&gt;"",$K145&lt;&gt;A_DONE,$H145="",$I145&lt;&gt;"",N($L145)&lt;=0,-N($L145)&lt;=HORIZON),N($L145)+ROW()/1000000,"")</f>
        <v/>
      </c>
    </row>
    <row r="146">
      <c r="A146" s="21" t="n"/>
      <c r="B146" s="21" t="n"/>
      <c r="C146" s="21" t="n"/>
      <c r="D146" s="21" t="n"/>
      <c r="E146" s="21" t="n"/>
      <c r="F146" s="21" t="n"/>
      <c r="G146" s="21" t="n"/>
      <c r="H146" s="22" t="n"/>
      <c r="I146" s="22" t="n"/>
      <c r="J146" s="22" t="n"/>
      <c r="K146" s="21" t="n"/>
      <c r="L146" s="25">
        <f>IF($A146="","",IF($K146=A_DONE,IF($J146="","",$J146-$I146),IF($I146="","",TODAY()-$I146)))</f>
        <v/>
      </c>
      <c r="M146" s="24">
        <f>IF($A146="","",IF($K146=A_DONE,S_DONE,IF($I146="",S_NODUE,IF($L146&gt;0,S_LATE,IF($H146&lt;&gt;"",S_WIP,IF(-$L146&lt;=FEN_ACT,S_RISK,IF(-$L146&lt;=HORIZON,S_COMING,S_ONTRACK)))))))</f>
        <v/>
      </c>
      <c r="N146" s="21" t="n"/>
      <c r="P146" s="24">
        <f>IF(AND($A146&lt;&gt;"",$K146&lt;&gt;A_DONE,N($L146)&gt;0),$L146+ROW()/1000000,"")</f>
        <v/>
      </c>
      <c r="Q146" s="24">
        <f>IF(AND($A146&lt;&gt;"",$K146&lt;&gt;A_DONE,OR($H146&lt;&gt;"",N($L146)&gt;0)),N($L146)+ROW()/1000000,"")</f>
        <v/>
      </c>
      <c r="R146" s="24">
        <f>IF(AND($A146&lt;&gt;"",$K146&lt;&gt;A_DONE,$H146="",$I146&lt;&gt;"",N($L146)&lt;=0,-N($L146)&lt;=HORIZON),N($L146)+ROW()/1000000,"")</f>
        <v/>
      </c>
    </row>
    <row r="147">
      <c r="A147" s="21" t="n"/>
      <c r="B147" s="21" t="n"/>
      <c r="C147" s="21" t="n"/>
      <c r="D147" s="21" t="n"/>
      <c r="E147" s="21" t="n"/>
      <c r="F147" s="21" t="n"/>
      <c r="G147" s="21" t="n"/>
      <c r="H147" s="22" t="n"/>
      <c r="I147" s="22" t="n"/>
      <c r="J147" s="22" t="n"/>
      <c r="K147" s="21" t="n"/>
      <c r="L147" s="25">
        <f>IF($A147="","",IF($K147=A_DONE,IF($J147="","",$J147-$I147),IF($I147="","",TODAY()-$I147)))</f>
        <v/>
      </c>
      <c r="M147" s="24">
        <f>IF($A147="","",IF($K147=A_DONE,S_DONE,IF($I147="",S_NODUE,IF($L147&gt;0,S_LATE,IF($H147&lt;&gt;"",S_WIP,IF(-$L147&lt;=FEN_ACT,S_RISK,IF(-$L147&lt;=HORIZON,S_COMING,S_ONTRACK)))))))</f>
        <v/>
      </c>
      <c r="N147" s="21" t="n"/>
      <c r="P147" s="24">
        <f>IF(AND($A147&lt;&gt;"",$K147&lt;&gt;A_DONE,N($L147)&gt;0),$L147+ROW()/1000000,"")</f>
        <v/>
      </c>
      <c r="Q147" s="24">
        <f>IF(AND($A147&lt;&gt;"",$K147&lt;&gt;A_DONE,OR($H147&lt;&gt;"",N($L147)&gt;0)),N($L147)+ROW()/1000000,"")</f>
        <v/>
      </c>
      <c r="R147" s="24">
        <f>IF(AND($A147&lt;&gt;"",$K147&lt;&gt;A_DONE,$H147="",$I147&lt;&gt;"",N($L147)&lt;=0,-N($L147)&lt;=HORIZON),N($L147)+ROW()/1000000,"")</f>
        <v/>
      </c>
    </row>
    <row r="148">
      <c r="A148" s="21" t="n"/>
      <c r="B148" s="21" t="n"/>
      <c r="C148" s="21" t="n"/>
      <c r="D148" s="21" t="n"/>
      <c r="E148" s="21" t="n"/>
      <c r="F148" s="21" t="n"/>
      <c r="G148" s="21" t="n"/>
      <c r="H148" s="22" t="n"/>
      <c r="I148" s="22" t="n"/>
      <c r="J148" s="22" t="n"/>
      <c r="K148" s="21" t="n"/>
      <c r="L148" s="25">
        <f>IF($A148="","",IF($K148=A_DONE,IF($J148="","",$J148-$I148),IF($I148="","",TODAY()-$I148)))</f>
        <v/>
      </c>
      <c r="M148" s="24">
        <f>IF($A148="","",IF($K148=A_DONE,S_DONE,IF($I148="",S_NODUE,IF($L148&gt;0,S_LATE,IF($H148&lt;&gt;"",S_WIP,IF(-$L148&lt;=FEN_ACT,S_RISK,IF(-$L148&lt;=HORIZON,S_COMING,S_ONTRACK)))))))</f>
        <v/>
      </c>
      <c r="N148" s="21" t="n"/>
      <c r="P148" s="24">
        <f>IF(AND($A148&lt;&gt;"",$K148&lt;&gt;A_DONE,N($L148)&gt;0),$L148+ROW()/1000000,"")</f>
        <v/>
      </c>
      <c r="Q148" s="24">
        <f>IF(AND($A148&lt;&gt;"",$K148&lt;&gt;A_DONE,OR($H148&lt;&gt;"",N($L148)&gt;0)),N($L148)+ROW()/1000000,"")</f>
        <v/>
      </c>
      <c r="R148" s="24">
        <f>IF(AND($A148&lt;&gt;"",$K148&lt;&gt;A_DONE,$H148="",$I148&lt;&gt;"",N($L148)&lt;=0,-N($L148)&lt;=HORIZON),N($L148)+ROW()/1000000,"")</f>
        <v/>
      </c>
    </row>
    <row r="149">
      <c r="A149" s="21" t="n"/>
      <c r="B149" s="21" t="n"/>
      <c r="C149" s="21" t="n"/>
      <c r="D149" s="21" t="n"/>
      <c r="E149" s="21" t="n"/>
      <c r="F149" s="21" t="n"/>
      <c r="G149" s="21" t="n"/>
      <c r="H149" s="22" t="n"/>
      <c r="I149" s="22" t="n"/>
      <c r="J149" s="22" t="n"/>
      <c r="K149" s="21" t="n"/>
      <c r="L149" s="25">
        <f>IF($A149="","",IF($K149=A_DONE,IF($J149="","",$J149-$I149),IF($I149="","",TODAY()-$I149)))</f>
        <v/>
      </c>
      <c r="M149" s="24">
        <f>IF($A149="","",IF($K149=A_DONE,S_DONE,IF($I149="",S_NODUE,IF($L149&gt;0,S_LATE,IF($H149&lt;&gt;"",S_WIP,IF(-$L149&lt;=FEN_ACT,S_RISK,IF(-$L149&lt;=HORIZON,S_COMING,S_ONTRACK)))))))</f>
        <v/>
      </c>
      <c r="N149" s="21" t="n"/>
      <c r="P149" s="24">
        <f>IF(AND($A149&lt;&gt;"",$K149&lt;&gt;A_DONE,N($L149)&gt;0),$L149+ROW()/1000000,"")</f>
        <v/>
      </c>
      <c r="Q149" s="24">
        <f>IF(AND($A149&lt;&gt;"",$K149&lt;&gt;A_DONE,OR($H149&lt;&gt;"",N($L149)&gt;0)),N($L149)+ROW()/1000000,"")</f>
        <v/>
      </c>
      <c r="R149" s="24">
        <f>IF(AND($A149&lt;&gt;"",$K149&lt;&gt;A_DONE,$H149="",$I149&lt;&gt;"",N($L149)&lt;=0,-N($L149)&lt;=HORIZON),N($L149)+ROW()/1000000,"")</f>
        <v/>
      </c>
    </row>
    <row r="150">
      <c r="A150" s="21" t="n"/>
      <c r="B150" s="21" t="n"/>
      <c r="C150" s="21" t="n"/>
      <c r="D150" s="21" t="n"/>
      <c r="E150" s="21" t="n"/>
      <c r="F150" s="21" t="n"/>
      <c r="G150" s="21" t="n"/>
      <c r="H150" s="22" t="n"/>
      <c r="I150" s="22" t="n"/>
      <c r="J150" s="22" t="n"/>
      <c r="K150" s="21" t="n"/>
      <c r="L150" s="25">
        <f>IF($A150="","",IF($K150=A_DONE,IF($J150="","",$J150-$I150),IF($I150="","",TODAY()-$I150)))</f>
        <v/>
      </c>
      <c r="M150" s="24">
        <f>IF($A150="","",IF($K150=A_DONE,S_DONE,IF($I150="",S_NODUE,IF($L150&gt;0,S_LATE,IF($H150&lt;&gt;"",S_WIP,IF(-$L150&lt;=FEN_ACT,S_RISK,IF(-$L150&lt;=HORIZON,S_COMING,S_ONTRACK)))))))</f>
        <v/>
      </c>
      <c r="N150" s="21" t="n"/>
      <c r="P150" s="24">
        <f>IF(AND($A150&lt;&gt;"",$K150&lt;&gt;A_DONE,N($L150)&gt;0),$L150+ROW()/1000000,"")</f>
        <v/>
      </c>
      <c r="Q150" s="24">
        <f>IF(AND($A150&lt;&gt;"",$K150&lt;&gt;A_DONE,OR($H150&lt;&gt;"",N($L150)&gt;0)),N($L150)+ROW()/1000000,"")</f>
        <v/>
      </c>
      <c r="R150" s="24">
        <f>IF(AND($A150&lt;&gt;"",$K150&lt;&gt;A_DONE,$H150="",$I150&lt;&gt;"",N($L150)&lt;=0,-N($L150)&lt;=HORIZON),N($L150)+ROW()/1000000,"")</f>
        <v/>
      </c>
    </row>
    <row r="151">
      <c r="A151" s="21" t="n"/>
      <c r="B151" s="21" t="n"/>
      <c r="C151" s="21" t="n"/>
      <c r="D151" s="21" t="n"/>
      <c r="E151" s="21" t="n"/>
      <c r="F151" s="21" t="n"/>
      <c r="G151" s="21" t="n"/>
      <c r="H151" s="22" t="n"/>
      <c r="I151" s="22" t="n"/>
      <c r="J151" s="22" t="n"/>
      <c r="K151" s="21" t="n"/>
      <c r="L151" s="25">
        <f>IF($A151="","",IF($K151=A_DONE,IF($J151="","",$J151-$I151),IF($I151="","",TODAY()-$I151)))</f>
        <v/>
      </c>
      <c r="M151" s="24">
        <f>IF($A151="","",IF($K151=A_DONE,S_DONE,IF($I151="",S_NODUE,IF($L151&gt;0,S_LATE,IF($H151&lt;&gt;"",S_WIP,IF(-$L151&lt;=FEN_ACT,S_RISK,IF(-$L151&lt;=HORIZON,S_COMING,S_ONTRACK)))))))</f>
        <v/>
      </c>
      <c r="N151" s="21" t="n"/>
      <c r="P151" s="24">
        <f>IF(AND($A151&lt;&gt;"",$K151&lt;&gt;A_DONE,N($L151)&gt;0),$L151+ROW()/1000000,"")</f>
        <v/>
      </c>
      <c r="Q151" s="24">
        <f>IF(AND($A151&lt;&gt;"",$K151&lt;&gt;A_DONE,OR($H151&lt;&gt;"",N($L151)&gt;0)),N($L151)+ROW()/1000000,"")</f>
        <v/>
      </c>
      <c r="R151" s="24">
        <f>IF(AND($A151&lt;&gt;"",$K151&lt;&gt;A_DONE,$H151="",$I151&lt;&gt;"",N($L151)&lt;=0,-N($L151)&lt;=HORIZON),N($L151)+ROW()/1000000,"")</f>
        <v/>
      </c>
    </row>
    <row r="152">
      <c r="A152" s="21" t="n"/>
      <c r="B152" s="21" t="n"/>
      <c r="C152" s="21" t="n"/>
      <c r="D152" s="21" t="n"/>
      <c r="E152" s="21" t="n"/>
      <c r="F152" s="21" t="n"/>
      <c r="G152" s="21" t="n"/>
      <c r="H152" s="22" t="n"/>
      <c r="I152" s="22" t="n"/>
      <c r="J152" s="22" t="n"/>
      <c r="K152" s="21" t="n"/>
      <c r="L152" s="25">
        <f>IF($A152="","",IF($K152=A_DONE,IF($J152="","",$J152-$I152),IF($I152="","",TODAY()-$I152)))</f>
        <v/>
      </c>
      <c r="M152" s="24">
        <f>IF($A152="","",IF($K152=A_DONE,S_DONE,IF($I152="",S_NODUE,IF($L152&gt;0,S_LATE,IF($H152&lt;&gt;"",S_WIP,IF(-$L152&lt;=FEN_ACT,S_RISK,IF(-$L152&lt;=HORIZON,S_COMING,S_ONTRACK)))))))</f>
        <v/>
      </c>
      <c r="N152" s="21" t="n"/>
      <c r="P152" s="24">
        <f>IF(AND($A152&lt;&gt;"",$K152&lt;&gt;A_DONE,N($L152)&gt;0),$L152+ROW()/1000000,"")</f>
        <v/>
      </c>
      <c r="Q152" s="24">
        <f>IF(AND($A152&lt;&gt;"",$K152&lt;&gt;A_DONE,OR($H152&lt;&gt;"",N($L152)&gt;0)),N($L152)+ROW()/1000000,"")</f>
        <v/>
      </c>
      <c r="R152" s="24">
        <f>IF(AND($A152&lt;&gt;"",$K152&lt;&gt;A_DONE,$H152="",$I152&lt;&gt;"",N($L152)&lt;=0,-N($L152)&lt;=HORIZON),N($L152)+ROW()/1000000,"")</f>
        <v/>
      </c>
    </row>
    <row r="153">
      <c r="A153" s="21" t="n"/>
      <c r="B153" s="21" t="n"/>
      <c r="C153" s="21" t="n"/>
      <c r="D153" s="21" t="n"/>
      <c r="E153" s="21" t="n"/>
      <c r="F153" s="21" t="n"/>
      <c r="G153" s="21" t="n"/>
      <c r="H153" s="22" t="n"/>
      <c r="I153" s="22" t="n"/>
      <c r="J153" s="22" t="n"/>
      <c r="K153" s="21" t="n"/>
      <c r="L153" s="25">
        <f>IF($A153="","",IF($K153=A_DONE,IF($J153="","",$J153-$I153),IF($I153="","",TODAY()-$I153)))</f>
        <v/>
      </c>
      <c r="M153" s="24">
        <f>IF($A153="","",IF($K153=A_DONE,S_DONE,IF($I153="",S_NODUE,IF($L153&gt;0,S_LATE,IF($H153&lt;&gt;"",S_WIP,IF(-$L153&lt;=FEN_ACT,S_RISK,IF(-$L153&lt;=HORIZON,S_COMING,S_ONTRACK)))))))</f>
        <v/>
      </c>
      <c r="N153" s="21" t="n"/>
      <c r="P153" s="24">
        <f>IF(AND($A153&lt;&gt;"",$K153&lt;&gt;A_DONE,N($L153)&gt;0),$L153+ROW()/1000000,"")</f>
        <v/>
      </c>
      <c r="Q153" s="24">
        <f>IF(AND($A153&lt;&gt;"",$K153&lt;&gt;A_DONE,OR($H153&lt;&gt;"",N($L153)&gt;0)),N($L153)+ROW()/1000000,"")</f>
        <v/>
      </c>
      <c r="R153" s="24">
        <f>IF(AND($A153&lt;&gt;"",$K153&lt;&gt;A_DONE,$H153="",$I153&lt;&gt;"",N($L153)&lt;=0,-N($L153)&lt;=HORIZON),N($L153)+ROW()/1000000,"")</f>
        <v/>
      </c>
    </row>
  </sheetData>
  <autoFilter ref="A3:N153"/>
  <conditionalFormatting sqref="A4:N153">
    <cfRule type="expression" priority="1" dxfId="6" stopIfTrue="1">
      <formula>$A4=""</formula>
    </cfRule>
    <cfRule type="expression" priority="2" dxfId="0" stopIfTrue="1">
      <formula>AND($A4&lt;&gt;"",AND($M4=S_LATE,$K4="Critical"))</formula>
    </cfRule>
    <cfRule type="expression" priority="3" dxfId="3" stopIfTrue="1">
      <formula>AND($A4&lt;&gt;"",$M4=S_LATE)</formula>
    </cfRule>
    <cfRule type="expression" priority="4" dxfId="7" stopIfTrue="1">
      <formula>AND($A4&lt;&gt;"",$M4=S_RISK)</formula>
    </cfRule>
    <cfRule type="expression" priority="5" dxfId="8" stopIfTrue="1">
      <formula>AND($A4&lt;&gt;"",$M4=S_WIP)</formula>
    </cfRule>
    <cfRule type="expression" priority="6" dxfId="9" stopIfTrue="1">
      <formula>AND($A4&lt;&gt;"",$M4=S_COMING)</formula>
    </cfRule>
    <cfRule type="expression" priority="7" dxfId="4" stopIfTrue="1">
      <formula>AND($A4&lt;&gt;"",$M4=S_DONE)</formula>
    </cfRule>
    <cfRule type="expression" priority="8" dxfId="5" stopIfTrue="1">
      <formula>AND($A4&lt;&gt;"",$K4=A_HOLD)</formula>
    </cfRule>
    <cfRule type="expression" priority="9" dxfId="10" stopIfTrue="1">
      <formula>AND($A4&lt;&gt;"",$M4=S_NODUE)</formula>
    </cfRule>
  </conditionalFormatting>
  <dataValidations count="6">
    <dataValidation sqref="C4:C153" showDropDown="0" showInputMessage="0" showErrorMessage="0" allowBlank="1" type="list">
      <formula1>PHASE_LIST</formula1>
    </dataValidation>
    <dataValidation sqref="D4:D153" showDropDown="0" showInputMessage="0" showErrorMessage="0" allowBlank="1" type="list">
      <formula1>SYS_ID</formula1>
    </dataValidation>
    <dataValidation sqref="E4:E153" showDropDown="0" showInputMessage="0" showErrorMessage="0" allowBlank="1" type="list">
      <formula1>EQP_NOM</formula1>
    </dataValidation>
    <dataValidation sqref="F4:F153" showDropDown="0" showInputMessage="0" showErrorMessage="0" allowBlank="1" type="list">
      <formula1>DOC_NUM</formula1>
    </dataValidation>
    <dataValidation sqref="G4:G153" showDropDown="0" showInputMessage="0" showErrorMessage="0" allowBlank="1" type="list">
      <formula1>PPL_NAME</formula1>
    </dataValidation>
    <dataValidation sqref="K4:K153" showDropDown="0" showInputMessage="0" showErrorMessage="0" allowBlank="1" type="list">
      <formula1>ACT_STATUS_LIST</formula1>
    </dataValidation>
  </dataValidation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B1:N258"/>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22" customWidth="1" min="3" max="3"/>
    <col width="20" customWidth="1" min="4" max="4"/>
    <col width="20" customWidth="1" min="5" max="5"/>
    <col width="18" customWidth="1" min="6" max="6"/>
    <col width="16" customWidth="1" min="7" max="7"/>
    <col width="14" customWidth="1" min="8" max="8"/>
    <col hidden="1" width="14" customWidth="1" min="9" max="9"/>
    <col width="14" customWidth="1" min="10" max="10"/>
    <col width="12" customWidth="1" min="11" max="11"/>
    <col width="18" customWidth="1" min="12" max="12"/>
    <col width="30" customWidth="1" min="13" max="13"/>
    <col hidden="1" width="12" customWidth="1" min="14" max="14"/>
  </cols>
  <sheetData>
    <row r="1">
      <c r="B1" s="1" t="inlineStr">
        <is>
          <t>SETUP - CONTROL PANEL</t>
        </is>
      </c>
    </row>
    <row r="2">
      <c r="B2" s="2" t="inlineStr">
        <is>
          <t>Everything in the workbook is driven from this sheet. Blue cells are yours to edit; grey cells calculate themselves. Nothing else needs rebuilding.</t>
        </is>
      </c>
    </row>
    <row r="4" ht="18" customHeight="1">
      <c r="B4" s="3" t="inlineStr">
        <is>
          <t>1 - CONTRACT</t>
        </is>
      </c>
      <c r="C4" s="4" t="n"/>
      <c r="D4" s="4" t="n"/>
      <c r="E4" s="4" t="n"/>
      <c r="F4" s="4" t="n"/>
      <c r="G4" s="4" t="n"/>
    </row>
    <row r="5">
      <c r="B5" s="7" t="inlineStr">
        <is>
          <t>Contract number</t>
        </is>
      </c>
      <c r="C5" s="27" t="inlineStr">
        <is>
          <t>DMIC-HPC-04</t>
        </is>
      </c>
      <c r="D5" s="10" t="n"/>
    </row>
    <row r="6">
      <c r="B6" s="7" t="inlineStr">
        <is>
          <t>Contract name</t>
        </is>
      </c>
      <c r="C6" s="27" t="inlineStr">
        <is>
          <t>DMIC Commissioning - Hinkley Point C</t>
        </is>
      </c>
      <c r="D6" s="10" t="n"/>
    </row>
    <row r="7">
      <c r="B7" s="7" t="inlineStr">
        <is>
          <t>Contract Manager</t>
        </is>
      </c>
      <c r="C7" s="27" t="inlineStr">
        <is>
          <t>A. Mercer</t>
        </is>
      </c>
      <c r="D7" s="10" t="n"/>
    </row>
    <row r="8">
      <c r="B8" s="7" t="inlineStr">
        <is>
          <t>Commissioning Manager</t>
        </is>
      </c>
      <c r="C8" s="27" t="inlineStr">
        <is>
          <t>S. Okonkwo</t>
        </is>
      </c>
      <c r="D8" s="10" t="n"/>
    </row>
    <row r="9">
      <c r="B9" s="7" t="inlineStr">
        <is>
          <t>Quality Lead</t>
        </is>
      </c>
      <c r="C9" s="27" t="inlineStr">
        <is>
          <t>L. Fontaine</t>
        </is>
      </c>
      <c r="D9" s="10" t="n"/>
    </row>
    <row r="11" ht="18" customHeight="1">
      <c r="B11" s="3" t="inlineStr">
        <is>
          <t>2 - THRESHOLDS</t>
        </is>
      </c>
      <c r="C11" s="4" t="n"/>
      <c r="D11" s="4" t="n"/>
      <c r="E11" s="4" t="n"/>
      <c r="F11" s="4" t="n"/>
      <c r="G11" s="4" t="n"/>
    </row>
    <row r="12">
      <c r="B12" s="7" t="inlineStr">
        <is>
          <t>Document alert window (days)</t>
        </is>
      </c>
      <c r="C12" s="28" t="n">
        <v>30</v>
      </c>
      <c r="D12" s="29" t="inlineStr">
        <is>
          <t>An unapproved document turns At risk inside this many days before its target.</t>
        </is>
      </c>
    </row>
    <row r="13">
      <c r="B13" s="7" t="inlineStr">
        <is>
          <t>Action alert window (days)</t>
        </is>
      </c>
      <c r="C13" s="28" t="n">
        <v>3</v>
      </c>
      <c r="D13" s="29" t="inlineStr">
        <is>
          <t>Same idea, for actions.</t>
        </is>
      </c>
    </row>
    <row r="14">
      <c r="B14" s="7" t="inlineStr">
        <is>
          <t>Coming horizon (days)</t>
        </is>
      </c>
      <c r="C14" s="28" t="n">
        <v>90</v>
      </c>
      <c r="D14" s="29" t="inlineStr">
        <is>
          <t>How far ahead the COMING block looks.</t>
        </is>
      </c>
    </row>
    <row r="15">
      <c r="B15" s="7" t="inlineStr">
        <is>
          <t>Earliest commissioning start (calculated)</t>
        </is>
      </c>
      <c r="C15" s="23">
        <f>IFERROR(SMALL(EQP_START,1),"")</f>
        <v/>
      </c>
      <c r="D15" s="29" t="inlineStr">
        <is>
          <t>Drives the milestone dates in section 5.</t>
        </is>
      </c>
    </row>
    <row r="17" ht="18" customHeight="1">
      <c r="B17" s="3" t="inlineStr">
        <is>
          <t>3 - WORDING      rename anything here: the whole workbook follows</t>
        </is>
      </c>
      <c r="C17" s="4" t="n"/>
      <c r="D17" s="4" t="n"/>
      <c r="E17" s="4" t="n"/>
      <c r="F17" s="4" t="n"/>
      <c r="G17" s="4" t="n"/>
    </row>
    <row r="18">
      <c r="B18" s="30" t="inlineStr">
        <is>
          <t>Document approved (S4A reached) or published</t>
        </is>
      </c>
      <c r="C18" s="31" t="inlineStr">
        <is>
          <t>Done</t>
        </is>
      </c>
    </row>
    <row r="19">
      <c r="B19" s="30" t="inlineStr">
        <is>
          <t>Target approval date passed without approval</t>
        </is>
      </c>
      <c r="C19" s="31" t="inlineStr">
        <is>
          <t>Late</t>
        </is>
      </c>
    </row>
    <row r="20">
      <c r="B20" s="30" t="inlineStr">
        <is>
          <t>Actual start filled in, not late</t>
        </is>
      </c>
      <c r="C20" s="31" t="inlineStr">
        <is>
          <t>In progress</t>
        </is>
      </c>
    </row>
    <row r="21">
      <c r="B21" s="30" t="inlineStr">
        <is>
          <t>Due inside the document alert window</t>
        </is>
      </c>
      <c r="C21" s="31" t="inlineStr">
        <is>
          <t>At risk</t>
        </is>
      </c>
    </row>
    <row r="22">
      <c r="B22" s="30" t="inlineStr">
        <is>
          <t>Due inside the coming horizon, not started</t>
        </is>
      </c>
      <c r="C22" s="31" t="inlineStr">
        <is>
          <t>Coming</t>
        </is>
      </c>
    </row>
    <row r="23">
      <c r="B23" s="30" t="inlineStr">
        <is>
          <t>Due beyond the horizon</t>
        </is>
      </c>
      <c r="C23" s="31" t="inlineStr">
        <is>
          <t>Not yet due</t>
        </is>
      </c>
    </row>
    <row r="24">
      <c r="B24" s="30" t="inlineStr">
        <is>
          <t>Cancelled, revoked, superseded, transferred, destroyed</t>
        </is>
      </c>
      <c r="C24" s="31" t="inlineStr">
        <is>
          <t>Inactive</t>
        </is>
      </c>
    </row>
    <row r="25">
      <c r="B25" s="30" t="inlineStr">
        <is>
          <t>Actions only: due beyond the action alert window</t>
        </is>
      </c>
      <c r="C25" s="31" t="inlineStr">
        <is>
          <t>On track</t>
        </is>
      </c>
    </row>
    <row r="26">
      <c r="B26" s="30" t="inlineStr">
        <is>
          <t>No commissioning start date behind this row</t>
        </is>
      </c>
      <c r="C26" s="31" t="inlineStr">
        <is>
          <t>Scope not resolved</t>
        </is>
      </c>
    </row>
    <row r="27">
      <c r="B27" s="30" t="inlineStr">
        <is>
          <t>Anchor milestone has no date</t>
        </is>
      </c>
      <c r="C27" s="31" t="inlineStr">
        <is>
          <t>No target date</t>
        </is>
      </c>
    </row>
    <row r="28">
      <c r="B28" s="30" t="inlineStr">
        <is>
          <t>Type missing from the library</t>
        </is>
      </c>
      <c r="C28" s="31" t="inlineStr">
        <is>
          <t>Type not configured</t>
        </is>
      </c>
    </row>
    <row r="29">
      <c r="B29" s="30" t="inlineStr">
        <is>
          <t>Actions only: due date not filled in</t>
        </is>
      </c>
      <c r="C29" s="31" t="inlineStr">
        <is>
          <t>No due date</t>
        </is>
      </c>
    </row>
    <row r="31" ht="18" customHeight="1">
      <c r="B31" s="32" t="inlineStr">
        <is>
          <t>3b - CONTRACT STATUS WORDING</t>
        </is>
      </c>
      <c r="C31" s="33" t="n"/>
      <c r="D31" s="33" t="n"/>
      <c r="E31" s="33" t="n"/>
      <c r="F31" s="33" t="n"/>
      <c r="G31" s="33" t="n"/>
    </row>
    <row r="32">
      <c r="B32" s="30" t="inlineStr">
        <is>
          <t>At least one document or action is late</t>
        </is>
      </c>
      <c r="C32" s="31" t="inlineStr">
        <is>
          <t>DELAYED</t>
        </is>
      </c>
    </row>
    <row r="33">
      <c r="B33" s="30" t="inlineStr">
        <is>
          <t>Nothing late, but something is at risk or missing</t>
        </is>
      </c>
      <c r="C33" s="31" t="inlineStr">
        <is>
          <t>AT RISK OF DELAY</t>
        </is>
      </c>
    </row>
    <row r="34">
      <c r="B34" s="30" t="inlineStr">
        <is>
          <t>Nothing late, nothing at risk</t>
        </is>
      </c>
      <c r="C34" s="31" t="inlineStr">
        <is>
          <t>ON SCHEDULE</t>
        </is>
      </c>
    </row>
    <row r="36" ht="18" customHeight="1">
      <c r="B36" s="32" t="inlineStr">
        <is>
          <t>3c - ACTION STATUS WORDING</t>
        </is>
      </c>
      <c r="C36" s="33" t="n"/>
      <c r="D36" s="33" t="n"/>
      <c r="E36" s="33" t="n"/>
      <c r="F36" s="33" t="n"/>
      <c r="G36" s="33" t="n"/>
    </row>
    <row r="37">
      <c r="B37" s="30" t="inlineStr">
        <is>
          <t>Action status 1</t>
        </is>
      </c>
      <c r="C37" s="31" t="inlineStr">
        <is>
          <t>Open</t>
        </is>
      </c>
    </row>
    <row r="38">
      <c r="B38" s="30" t="inlineStr">
        <is>
          <t>Action status 2</t>
        </is>
      </c>
      <c r="C38" s="31" t="inlineStr">
        <is>
          <t>In progress</t>
        </is>
      </c>
    </row>
    <row r="39">
      <c r="B39" s="30" t="inlineStr">
        <is>
          <t>Action status 3</t>
        </is>
      </c>
      <c r="C39" s="31" t="inlineStr">
        <is>
          <t>On hold</t>
        </is>
      </c>
    </row>
    <row r="40">
      <c r="B40" s="30" t="inlineStr">
        <is>
          <t>Action status 4</t>
        </is>
      </c>
      <c r="C40" s="31" t="inlineStr">
        <is>
          <t>Done</t>
        </is>
      </c>
    </row>
    <row r="42" ht="18" customHeight="1">
      <c r="B42" s="3" t="inlineStr">
        <is>
          <t>4 - DOCUMENT STATUS CODES      'Counts as' is how each code is read everywhere else</t>
        </is>
      </c>
      <c r="C42" s="4" t="n"/>
      <c r="D42" s="4" t="n"/>
      <c r="E42" s="4" t="n"/>
      <c r="F42" s="4" t="n"/>
      <c r="G42" s="4" t="n"/>
    </row>
    <row r="43" ht="28" customHeight="1">
      <c r="B43" s="13" t="inlineStr">
        <is>
          <t>Status code</t>
        </is>
      </c>
      <c r="C43" s="13" t="inlineStr">
        <is>
          <t>Family</t>
        </is>
      </c>
      <c r="D43" s="13" t="inlineStr">
        <is>
          <t>Counts as</t>
        </is>
      </c>
    </row>
    <row r="44">
      <c r="B44" s="34" t="inlineStr">
        <is>
          <t>W0 - Work In Progress</t>
        </is>
      </c>
      <c r="C44" s="34" t="inlineStr">
        <is>
          <t>Preparation</t>
        </is>
      </c>
      <c r="D44" s="31" t="inlineStr">
        <is>
          <t>In progress</t>
        </is>
      </c>
    </row>
    <row r="45">
      <c r="B45" s="34" t="inlineStr">
        <is>
          <t>W1 - Draft</t>
        </is>
      </c>
      <c r="C45" s="34" t="inlineStr">
        <is>
          <t>Preparation</t>
        </is>
      </c>
      <c r="D45" s="31" t="inlineStr">
        <is>
          <t>In progress</t>
        </is>
      </c>
    </row>
    <row r="46">
      <c r="B46" s="34" t="inlineStr">
        <is>
          <t>W2 - Revoked</t>
        </is>
      </c>
      <c r="C46" s="34" t="inlineStr">
        <is>
          <t>Preparation</t>
        </is>
      </c>
      <c r="D46" s="31" t="inlineStr">
        <is>
          <t>Inactive</t>
        </is>
      </c>
    </row>
    <row r="47">
      <c r="B47" s="34" t="inlineStr">
        <is>
          <t>S2 - For Information</t>
        </is>
      </c>
      <c r="C47" s="34" t="inlineStr">
        <is>
          <t>Review</t>
        </is>
      </c>
      <c r="D47" s="31" t="inlineStr">
        <is>
          <t>In progress</t>
        </is>
      </c>
    </row>
    <row r="48">
      <c r="B48" s="34" t="inlineStr">
        <is>
          <t>S3 - For Review</t>
        </is>
      </c>
      <c r="C48" s="34" t="inlineStr">
        <is>
          <t>Review</t>
        </is>
      </c>
      <c r="D48" s="31" t="inlineStr">
        <is>
          <t>In progress</t>
        </is>
      </c>
    </row>
    <row r="49">
      <c r="B49" s="34" t="inlineStr">
        <is>
          <t>S4 - For Internal Approval</t>
        </is>
      </c>
      <c r="C49" s="34" t="inlineStr">
        <is>
          <t>Review</t>
        </is>
      </c>
      <c r="D49" s="31" t="inlineStr">
        <is>
          <t>In progress</t>
        </is>
      </c>
    </row>
    <row r="50">
      <c r="B50" s="34" t="inlineStr">
        <is>
          <t>S4A - Approved</t>
        </is>
      </c>
      <c r="C50" s="34" t="inlineStr">
        <is>
          <t>Approval result</t>
        </is>
      </c>
      <c r="D50" s="31" t="inlineStr">
        <is>
          <t>Done</t>
        </is>
      </c>
    </row>
    <row r="51">
      <c r="B51" s="34" t="inlineStr">
        <is>
          <t>S4B - Comments</t>
        </is>
      </c>
      <c r="C51" s="34" t="inlineStr">
        <is>
          <t>Approval result</t>
        </is>
      </c>
      <c r="D51" s="31" t="inlineStr">
        <is>
          <t>In progress</t>
        </is>
      </c>
    </row>
    <row r="52">
      <c r="B52" s="34" t="inlineStr">
        <is>
          <t>S4C - Rejected</t>
        </is>
      </c>
      <c r="C52" s="34" t="inlineStr">
        <is>
          <t>Approval result</t>
        </is>
      </c>
      <c r="D52" s="31" t="inlineStr">
        <is>
          <t>In progress</t>
        </is>
      </c>
    </row>
    <row r="53">
      <c r="B53" s="34" t="inlineStr">
        <is>
          <t>S6 - For Acceptance</t>
        </is>
      </c>
      <c r="C53" s="34" t="inlineStr">
        <is>
          <t>Acceptance</t>
        </is>
      </c>
      <c r="D53" s="31" t="inlineStr">
        <is>
          <t>In progress</t>
        </is>
      </c>
    </row>
    <row r="54">
      <c r="B54" s="34" t="inlineStr">
        <is>
          <t>S6Q - Quality Checked</t>
        </is>
      </c>
      <c r="C54" s="34" t="inlineStr">
        <is>
          <t>Acceptance</t>
        </is>
      </c>
      <c r="D54" s="31" t="inlineStr">
        <is>
          <t>In progress</t>
        </is>
      </c>
    </row>
    <row r="55">
      <c r="B55" s="34" t="inlineStr">
        <is>
          <t>S6B - Comments</t>
        </is>
      </c>
      <c r="C55" s="34" t="inlineStr">
        <is>
          <t>Acceptance</t>
        </is>
      </c>
      <c r="D55" s="31" t="inlineStr">
        <is>
          <t>In progress</t>
        </is>
      </c>
    </row>
    <row r="56">
      <c r="B56" s="34" t="inlineStr">
        <is>
          <t>S6C - Rejected</t>
        </is>
      </c>
      <c r="C56" s="34" t="inlineStr">
        <is>
          <t>Acceptance</t>
        </is>
      </c>
      <c r="D56" s="31" t="inlineStr">
        <is>
          <t>In progress</t>
        </is>
      </c>
    </row>
    <row r="57">
      <c r="B57" s="34" t="inlineStr">
        <is>
          <t>P1 - For Implementation</t>
        </is>
      </c>
      <c r="C57" s="34" t="inlineStr">
        <is>
          <t>Published</t>
        </is>
      </c>
      <c r="D57" s="31" t="inlineStr">
        <is>
          <t>Done</t>
        </is>
      </c>
    </row>
    <row r="58">
      <c r="B58" s="34" t="inlineStr">
        <is>
          <t>P2 - For Costing</t>
        </is>
      </c>
      <c r="C58" s="34" t="inlineStr">
        <is>
          <t>Published</t>
        </is>
      </c>
      <c r="D58" s="31" t="inlineStr">
        <is>
          <t>Done</t>
        </is>
      </c>
    </row>
    <row r="59">
      <c r="B59" s="34" t="inlineStr">
        <is>
          <t>P3 - For Tender</t>
        </is>
      </c>
      <c r="C59" s="34" t="inlineStr">
        <is>
          <t>Published</t>
        </is>
      </c>
      <c r="D59" s="31" t="inlineStr">
        <is>
          <t>Done</t>
        </is>
      </c>
    </row>
    <row r="60">
      <c r="B60" s="34" t="inlineStr">
        <is>
          <t>P4 - For Contractor Design</t>
        </is>
      </c>
      <c r="C60" s="34" t="inlineStr">
        <is>
          <t>Published</t>
        </is>
      </c>
      <c r="D60" s="31" t="inlineStr">
        <is>
          <t>Done</t>
        </is>
      </c>
    </row>
    <row r="61">
      <c r="B61" s="34" t="inlineStr">
        <is>
          <t>P5 - For Manufacture / Procurement</t>
        </is>
      </c>
      <c r="C61" s="34" t="inlineStr">
        <is>
          <t>Published</t>
        </is>
      </c>
      <c r="D61" s="31" t="inlineStr">
        <is>
          <t>Done</t>
        </is>
      </c>
    </row>
    <row r="62">
      <c r="B62" s="34" t="inlineStr">
        <is>
          <t>P6 - For Construction</t>
        </is>
      </c>
      <c r="C62" s="34" t="inlineStr">
        <is>
          <t>Published</t>
        </is>
      </c>
      <c r="D62" s="31" t="inlineStr">
        <is>
          <t>Done</t>
        </is>
      </c>
    </row>
    <row r="63">
      <c r="B63" s="34" t="inlineStr">
        <is>
          <t>P7 - As-Built</t>
        </is>
      </c>
      <c r="C63" s="34" t="inlineStr">
        <is>
          <t>Published</t>
        </is>
      </c>
      <c r="D63" s="31" t="inlineStr">
        <is>
          <t>Done</t>
        </is>
      </c>
    </row>
    <row r="64">
      <c r="B64" s="34" t="inlineStr">
        <is>
          <t>A1 - Cancelled</t>
        </is>
      </c>
      <c r="C64" s="34" t="inlineStr">
        <is>
          <t>Closed</t>
        </is>
      </c>
      <c r="D64" s="31" t="inlineStr">
        <is>
          <t>Inactive</t>
        </is>
      </c>
    </row>
    <row r="65">
      <c r="B65" s="34" t="inlineStr">
        <is>
          <t>A2 - Superseded</t>
        </is>
      </c>
      <c r="C65" s="34" t="inlineStr">
        <is>
          <t>Closed</t>
        </is>
      </c>
      <c r="D65" s="31" t="inlineStr">
        <is>
          <t>Inactive</t>
        </is>
      </c>
    </row>
    <row r="66">
      <c r="B66" s="34" t="inlineStr">
        <is>
          <t>A3 - Transferred</t>
        </is>
      </c>
      <c r="C66" s="34" t="inlineStr">
        <is>
          <t>Closed</t>
        </is>
      </c>
      <c r="D66" s="31" t="inlineStr">
        <is>
          <t>Inactive</t>
        </is>
      </c>
    </row>
    <row r="67">
      <c r="B67" s="34" t="inlineStr">
        <is>
          <t>A4 - Destroyed</t>
        </is>
      </c>
      <c r="C67" s="34" t="inlineStr">
        <is>
          <t>Closed</t>
        </is>
      </c>
      <c r="D67" s="31" t="inlineStr">
        <is>
          <t>Inactive</t>
        </is>
      </c>
    </row>
    <row r="68">
      <c r="B68" s="29" t="inlineStr">
        <is>
          <t>S4A and the P-codes stop the delay counter. A-codes and W2 are Inactive: they leave every active counter, stay visible in their own column, and no longer count as coverage for a required deliverable.</t>
        </is>
      </c>
    </row>
    <row r="69" ht="18" customHeight="1">
      <c r="B69" s="3" t="inlineStr">
        <is>
          <t>5 - MILESTONES      dates only; anything to organise goes in ACTIONS</t>
        </is>
      </c>
      <c r="C69" s="4" t="n"/>
      <c r="D69" s="4" t="n"/>
      <c r="E69" s="4" t="n"/>
      <c r="F69" s="4" t="n"/>
      <c r="G69" s="4" t="n"/>
      <c r="H69" s="4" t="n"/>
    </row>
    <row r="70" ht="28" customHeight="1">
      <c r="B70" s="13" t="inlineStr">
        <is>
          <t>Milestone</t>
        </is>
      </c>
      <c r="C70" s="13" t="inlineStr">
        <is>
          <t>Offset from earliest start (days)</t>
        </is>
      </c>
      <c r="D70" s="13" t="inlineStr">
        <is>
          <t>Date typed (optional)</t>
        </is>
      </c>
      <c r="E70" s="13" t="inlineStr">
        <is>
          <t>Planned date</t>
        </is>
      </c>
      <c r="F70" s="13" t="inlineStr">
        <is>
          <t>Actual date</t>
        </is>
      </c>
      <c r="G70" s="13" t="inlineStr">
        <is>
          <t>Note</t>
        </is>
      </c>
    </row>
    <row r="71">
      <c r="B71" s="34" t="inlineStr">
        <is>
          <t>Kick Off Meeting</t>
        </is>
      </c>
      <c r="C71" s="28" t="n">
        <v>-360</v>
      </c>
      <c r="D71" s="35" t="n"/>
      <c r="E71" s="23">
        <f>IF($D71&lt;&gt;"",$D71,IF(OR($B71="",$C71="",CTR_EARLIEST=""),"",CTR_EARLIEST+$C71))</f>
        <v/>
      </c>
      <c r="F71" s="35" t="n"/>
      <c r="G71" s="27" t="n"/>
    </row>
    <row r="72">
      <c r="B72" s="34" t="inlineStr">
        <is>
          <t>Commissioning Readiness Review</t>
        </is>
      </c>
      <c r="C72" s="28" t="n">
        <v>-60</v>
      </c>
      <c r="D72" s="35" t="n"/>
      <c r="E72" s="23">
        <f>IF($D72&lt;&gt;"",$D72,IF(OR($B72="",$C72="",CTR_EARLIEST=""),"",CTR_EARLIEST+$C72))</f>
        <v/>
      </c>
      <c r="F72" s="35" t="n"/>
      <c r="G72" s="27" t="n"/>
    </row>
    <row r="73">
      <c r="B73" s="34" t="inlineStr">
        <is>
          <t>Authority To Start</t>
        </is>
      </c>
      <c r="C73" s="28" t="n">
        <v>-14</v>
      </c>
      <c r="D73" s="35" t="n"/>
      <c r="E73" s="23">
        <f>IF($D73&lt;&gt;"",$D73,IF(OR($B73="",$C73="",CTR_EARLIEST=""),"",CTR_EARLIEST+$C73))</f>
        <v/>
      </c>
      <c r="F73" s="35" t="n"/>
      <c r="G73" s="27" t="n"/>
    </row>
    <row r="74">
      <c r="B74" s="34" t="inlineStr">
        <is>
          <t>NTP</t>
        </is>
      </c>
      <c r="C74" s="28" t="n">
        <v>-7</v>
      </c>
      <c r="D74" s="35" t="n"/>
      <c r="E74" s="23">
        <f>IF($D74&lt;&gt;"",$D74,IF(OR($B74="",$C74="",CTR_EARLIEST=""),"",CTR_EARLIEST+$C74))</f>
        <v/>
      </c>
      <c r="F74" s="35" t="n"/>
      <c r="G74" s="27" t="n"/>
    </row>
    <row r="75">
      <c r="B75" s="34" t="inlineStr">
        <is>
          <t>Commissioning Start</t>
        </is>
      </c>
      <c r="C75" s="28" t="n">
        <v>0</v>
      </c>
      <c r="D75" s="35" t="n"/>
      <c r="E75" s="23">
        <f>IF($D75&lt;&gt;"",$D75,IF(OR($B75="",$C75="",CTR_EARLIEST=""),"",CTR_EARLIEST+$C75))</f>
        <v/>
      </c>
      <c r="F75" s="35" t="n"/>
      <c r="G75" s="27" t="n"/>
    </row>
    <row r="76">
      <c r="B76" s="34" t="inlineStr">
        <is>
          <t>Commissioning Finish</t>
        </is>
      </c>
      <c r="C76" s="28" t="n">
        <v>180</v>
      </c>
      <c r="D76" s="35" t="n"/>
      <c r="E76" s="23">
        <f>IF($D76&lt;&gt;"",$D76,IF(OR($B76="",$C76="",CTR_EARLIEST=""),"",CTR_EARLIEST+$C76))</f>
        <v/>
      </c>
      <c r="F76" s="35" t="n"/>
      <c r="G76" s="27" t="n"/>
    </row>
    <row r="77">
      <c r="B77" s="34" t="inlineStr">
        <is>
          <t>Functional Takeover</t>
        </is>
      </c>
      <c r="C77" s="28" t="n">
        <v>195</v>
      </c>
      <c r="D77" s="35" t="n"/>
      <c r="E77" s="23">
        <f>IF($D77&lt;&gt;"",$D77,IF(OR($B77="",$C77="",CTR_EARLIEST=""),"",CTR_EARLIEST+$C77))</f>
        <v/>
      </c>
      <c r="F77" s="35" t="n"/>
      <c r="G77" s="27" t="n"/>
    </row>
    <row r="78">
      <c r="B78" s="34" t="inlineStr">
        <is>
          <t>Beneficial Use</t>
        </is>
      </c>
      <c r="C78" s="28" t="n">
        <v>205</v>
      </c>
      <c r="D78" s="35" t="n"/>
      <c r="E78" s="23">
        <f>IF($D78&lt;&gt;"",$D78,IF(OR($B78="",$C78="",CTR_EARLIEST=""),"",CTR_EARLIEST+$C78))</f>
        <v/>
      </c>
      <c r="F78" s="35" t="n"/>
      <c r="G78" s="27" t="n"/>
    </row>
    <row r="79">
      <c r="B79" s="34" t="inlineStr">
        <is>
          <t>Maintenance Transfer</t>
        </is>
      </c>
      <c r="C79" s="28" t="n">
        <v>220</v>
      </c>
      <c r="D79" s="35" t="n"/>
      <c r="E79" s="23">
        <f>IF($D79&lt;&gt;"",$D79,IF(OR($B79="",$C79="",CTR_EARLIEST=""),"",CTR_EARLIEST+$C79))</f>
        <v/>
      </c>
      <c r="F79" s="35" t="n"/>
      <c r="G79" s="27" t="n"/>
    </row>
    <row r="80">
      <c r="B80" s="34" t="inlineStr">
        <is>
          <t>Temporary Operations Transfer</t>
        </is>
      </c>
      <c r="C80" s="28" t="n">
        <v>235</v>
      </c>
      <c r="D80" s="35" t="n"/>
      <c r="E80" s="23">
        <f>IF($D80&lt;&gt;"",$D80,IF(OR($B80="",$C80="",CTR_EARLIEST=""),"",CTR_EARLIEST+$C80))</f>
        <v/>
      </c>
      <c r="F80" s="35" t="n"/>
      <c r="G80" s="27" t="n"/>
    </row>
    <row r="81">
      <c r="B81" s="34" t="inlineStr">
        <is>
          <t>Final Takeover</t>
        </is>
      </c>
      <c r="C81" s="28" t="n">
        <v>250</v>
      </c>
      <c r="D81" s="35" t="n"/>
      <c r="E81" s="23">
        <f>IF($D81&lt;&gt;"",$D81,IF(OR($B81="",$C81="",CTR_EARLIEST=""),"",CTR_EARLIEST+$C81))</f>
        <v/>
      </c>
      <c r="F81" s="35" t="n"/>
      <c r="G81" s="27" t="n"/>
    </row>
    <row r="82">
      <c r="B82" s="27" t="n"/>
      <c r="C82" s="28" t="n"/>
      <c r="D82" s="35" t="n"/>
      <c r="E82" s="23">
        <f>IF($D82&lt;&gt;"",$D82,IF(OR($B82="",$C82="",CTR_EARLIEST=""),"",CTR_EARLIEST+$C82))</f>
        <v/>
      </c>
      <c r="F82" s="35" t="n"/>
      <c r="G82" s="27" t="n"/>
    </row>
    <row r="83">
      <c r="B83" s="27" t="n"/>
      <c r="C83" s="28" t="n"/>
      <c r="D83" s="35" t="n"/>
      <c r="E83" s="23">
        <f>IF($D83&lt;&gt;"",$D83,IF(OR($B83="",$C83="",CTR_EARLIEST=""),"",CTR_EARLIEST+$C83))</f>
        <v/>
      </c>
      <c r="F83" s="35" t="n"/>
      <c r="G83" s="27" t="n"/>
    </row>
    <row r="84">
      <c r="B84" s="27" t="n"/>
      <c r="C84" s="28" t="n"/>
      <c r="D84" s="35" t="n"/>
      <c r="E84" s="23">
        <f>IF($D84&lt;&gt;"",$D84,IF(OR($B84="",$C84="",CTR_EARLIEST=""),"",CTR_EARLIEST+$C84))</f>
        <v/>
      </c>
      <c r="F84" s="35" t="n"/>
      <c r="G84" s="27" t="n"/>
    </row>
    <row r="85">
      <c r="B85" s="27" t="n"/>
      <c r="C85" s="28" t="n"/>
      <c r="D85" s="35" t="n"/>
      <c r="E85" s="23">
        <f>IF($D85&lt;&gt;"",$D85,IF(OR($B85="",$C85="",CTR_EARLIEST=""),"",CTR_EARLIEST+$C85))</f>
        <v/>
      </c>
      <c r="F85" s="35" t="n"/>
      <c r="G85" s="27" t="n"/>
    </row>
    <row r="87" ht="18" customHeight="1">
      <c r="B87" s="3" t="inlineStr">
        <is>
          <t>6 - SYSTEMS</t>
        </is>
      </c>
      <c r="C87" s="4" t="n"/>
      <c r="D87" s="4" t="n"/>
      <c r="E87" s="4" t="n"/>
      <c r="F87" s="4" t="n"/>
      <c r="G87" s="4" t="n"/>
      <c r="H87" s="4" t="n"/>
      <c r="I87" s="4" t="n"/>
      <c r="J87" s="4" t="n"/>
      <c r="K87" s="4" t="n"/>
      <c r="L87" s="4" t="n"/>
      <c r="M87" s="4" t="n"/>
    </row>
    <row r="88" ht="28" customHeight="1">
      <c r="B88" s="13" t="inlineStr">
        <is>
          <t>System ID</t>
        </is>
      </c>
      <c r="C88" s="13" t="inlineStr">
        <is>
          <t>System name</t>
        </is>
      </c>
      <c r="D88" s="13" t="inlineStr">
        <is>
          <t>Commissioning Engineer</t>
        </is>
      </c>
      <c r="E88" s="13" t="inlineStr">
        <is>
          <t>Earliest equipment start</t>
        </is>
      </c>
      <c r="F88" s="13" t="inlineStr">
        <is>
          <t>Equip.</t>
        </is>
      </c>
      <c r="G88" s="13" t="inlineStr">
        <is>
          <t>Docs</t>
        </is>
      </c>
      <c r="H88" s="13" t="inlineStr">
        <is>
          <t>Done</t>
        </is>
      </c>
      <c r="I88" s="13" t="inlineStr">
        <is>
          <t>Late</t>
        </is>
      </c>
      <c r="J88" s="13" t="inlineStr">
        <is>
          <t>At risk</t>
        </is>
      </c>
      <c r="K88" s="13" t="inlineStr">
        <is>
          <t>Core missing</t>
        </is>
      </c>
      <c r="L88" s="13" t="inlineStr">
        <is>
          <t>% done</t>
        </is>
      </c>
      <c r="M88" s="13" t="inlineStr">
        <is>
          <t>Status</t>
        </is>
      </c>
    </row>
    <row r="89">
      <c r="B89" s="21" t="inlineStr">
        <is>
          <t>SYS-TP</t>
        </is>
      </c>
      <c r="C89" s="21" t="inlineStr">
        <is>
          <t>Traction Power &amp; 33kV Distribution</t>
        </is>
      </c>
      <c r="D89" s="21" t="inlineStr">
        <is>
          <t>D. Petrov</t>
        </is>
      </c>
      <c r="E89" s="23">
        <f>IF($B89="","",IF(COUNTIFS(EQP_SYS,$B89,EQP_START,"&gt;0")=0,"",SUMPRODUCT(MIN((EQP_SYS=$B89)*(EQP_START&gt;0)*EQP_START+((EQP_SYS=$B89)*(EQP_START&gt;0)=0)*2958465))))</f>
        <v/>
      </c>
      <c r="F89" s="26">
        <f>IF($B89="","",COUNTIF(EQP_SYS,$B89))</f>
        <v/>
      </c>
      <c r="G89" s="26">
        <f>IF($B89="","",COUNTIFS(DOC_SYS,$B89,DOC_ACTIVE,1))</f>
        <v/>
      </c>
      <c r="H89" s="26">
        <f>IF($B89="","",COUNTIFS(DOC_SYS,$B89,DOC_DONE,1))</f>
        <v/>
      </c>
      <c r="I89" s="26">
        <f>IF($B89="","",COUNTIFS(DOC_SYS,$B89,DOC_STATE,S_LATE))</f>
        <v/>
      </c>
      <c r="J89" s="26">
        <f>IF($B89="","",COUNTIFS(DOC_SYS,$B89,DOC_STATE,S_RISK))</f>
        <v/>
      </c>
      <c r="K89" s="26">
        <f>IF($B89="","",COUNTIFS(GAP_WHERE,$B89,GAP_KIND,"System",GAP_KEY,"&gt;0"))</f>
        <v/>
      </c>
      <c r="L89" s="36">
        <f>IF($B89="","",IF($G89=0,"",$H89/$G89))</f>
        <v/>
      </c>
      <c r="M89" s="24">
        <f>IF($B89="","",IF($I89&gt;0,S_LATE,IF(OR($J89&gt;0,$K89&gt;0),S_RISK,IF(AND($G89&gt;0,$H89=$G89),S_DONE,S_WIP))))</f>
        <v/>
      </c>
    </row>
    <row r="90">
      <c r="B90" s="21" t="inlineStr">
        <is>
          <t>SYS-SG</t>
        </is>
      </c>
      <c r="C90" s="21" t="inlineStr">
        <is>
          <t>Signalling &amp; Train Control</t>
        </is>
      </c>
      <c r="D90" s="21" t="inlineStr">
        <is>
          <t>J. Whitfield</t>
        </is>
      </c>
      <c r="E90" s="23">
        <f>IF($B90="","",IF(COUNTIFS(EQP_SYS,$B90,EQP_START,"&gt;0")=0,"",SUMPRODUCT(MIN((EQP_SYS=$B90)*(EQP_START&gt;0)*EQP_START+((EQP_SYS=$B90)*(EQP_START&gt;0)=0)*2958465))))</f>
        <v/>
      </c>
      <c r="F90" s="26">
        <f>IF($B90="","",COUNTIF(EQP_SYS,$B90))</f>
        <v/>
      </c>
      <c r="G90" s="26">
        <f>IF($B90="","",COUNTIFS(DOC_SYS,$B90,DOC_ACTIVE,1))</f>
        <v/>
      </c>
      <c r="H90" s="26">
        <f>IF($B90="","",COUNTIFS(DOC_SYS,$B90,DOC_DONE,1))</f>
        <v/>
      </c>
      <c r="I90" s="26">
        <f>IF($B90="","",COUNTIFS(DOC_SYS,$B90,DOC_STATE,S_LATE))</f>
        <v/>
      </c>
      <c r="J90" s="26">
        <f>IF($B90="","",COUNTIFS(DOC_SYS,$B90,DOC_STATE,S_RISK))</f>
        <v/>
      </c>
      <c r="K90" s="26">
        <f>IF($B90="","",COUNTIFS(GAP_WHERE,$B90,GAP_KIND,"System",GAP_KEY,"&gt;0"))</f>
        <v/>
      </c>
      <c r="L90" s="36">
        <f>IF($B90="","",IF($G90=0,"",$H90/$G90))</f>
        <v/>
      </c>
      <c r="M90" s="24">
        <f>IF($B90="","",IF($I90&gt;0,S_LATE,IF(OR($J90&gt;0,$K90&gt;0),S_RISK,IF(AND($G90&gt;0,$H90=$G90),S_DONE,S_WIP))))</f>
        <v/>
      </c>
    </row>
    <row r="91">
      <c r="B91" s="21" t="inlineStr">
        <is>
          <t>SYS-TV</t>
        </is>
      </c>
      <c r="C91" s="21" t="inlineStr">
        <is>
          <t>Tunnel Ventilation</t>
        </is>
      </c>
      <c r="D91" s="21" t="inlineStr">
        <is>
          <t>P. Nakamura</t>
        </is>
      </c>
      <c r="E91" s="23">
        <f>IF($B91="","",IF(COUNTIFS(EQP_SYS,$B91,EQP_START,"&gt;0")=0,"",SUMPRODUCT(MIN((EQP_SYS=$B91)*(EQP_START&gt;0)*EQP_START+((EQP_SYS=$B91)*(EQP_START&gt;0)=0)*2958465))))</f>
        <v/>
      </c>
      <c r="F91" s="26">
        <f>IF($B91="","",COUNTIF(EQP_SYS,$B91))</f>
        <v/>
      </c>
      <c r="G91" s="26">
        <f>IF($B91="","",COUNTIFS(DOC_SYS,$B91,DOC_ACTIVE,1))</f>
        <v/>
      </c>
      <c r="H91" s="26">
        <f>IF($B91="","",COUNTIFS(DOC_SYS,$B91,DOC_DONE,1))</f>
        <v/>
      </c>
      <c r="I91" s="26">
        <f>IF($B91="","",COUNTIFS(DOC_SYS,$B91,DOC_STATE,S_LATE))</f>
        <v/>
      </c>
      <c r="J91" s="26">
        <f>IF($B91="","",COUNTIFS(DOC_SYS,$B91,DOC_STATE,S_RISK))</f>
        <v/>
      </c>
      <c r="K91" s="26">
        <f>IF($B91="","",COUNTIFS(GAP_WHERE,$B91,GAP_KIND,"System",GAP_KEY,"&gt;0"))</f>
        <v/>
      </c>
      <c r="L91" s="36">
        <f>IF($B91="","",IF($G91=0,"",$H91/$G91))</f>
        <v/>
      </c>
      <c r="M91" s="24">
        <f>IF($B91="","",IF($I91&gt;0,S_LATE,IF(OR($J91&gt;0,$K91&gt;0),S_RISK,IF(AND($G91&gt;0,$H91=$G91),S_DONE,S_WIP))))</f>
        <v/>
      </c>
    </row>
    <row r="92">
      <c r="B92" s="21" t="inlineStr">
        <is>
          <t>SYS-FA</t>
        </is>
      </c>
      <c r="C92" s="21" t="inlineStr">
        <is>
          <t>Fire Alarm &amp; Detection</t>
        </is>
      </c>
      <c r="D92" s="21" t="inlineStr">
        <is>
          <t>K. Rasmussen</t>
        </is>
      </c>
      <c r="E92" s="23">
        <f>IF($B92="","",IF(COUNTIFS(EQP_SYS,$B92,EQP_START,"&gt;0")=0,"",SUMPRODUCT(MIN((EQP_SYS=$B92)*(EQP_START&gt;0)*EQP_START+((EQP_SYS=$B92)*(EQP_START&gt;0)=0)*2958465))))</f>
        <v/>
      </c>
      <c r="F92" s="26">
        <f>IF($B92="","",COUNTIF(EQP_SYS,$B92))</f>
        <v/>
      </c>
      <c r="G92" s="26">
        <f>IF($B92="","",COUNTIFS(DOC_SYS,$B92,DOC_ACTIVE,1))</f>
        <v/>
      </c>
      <c r="H92" s="26">
        <f>IF($B92="","",COUNTIFS(DOC_SYS,$B92,DOC_DONE,1))</f>
        <v/>
      </c>
      <c r="I92" s="26">
        <f>IF($B92="","",COUNTIFS(DOC_SYS,$B92,DOC_STATE,S_LATE))</f>
        <v/>
      </c>
      <c r="J92" s="26">
        <f>IF($B92="","",COUNTIFS(DOC_SYS,$B92,DOC_STATE,S_RISK))</f>
        <v/>
      </c>
      <c r="K92" s="26">
        <f>IF($B92="","",COUNTIFS(GAP_WHERE,$B92,GAP_KIND,"System",GAP_KEY,"&gt;0"))</f>
        <v/>
      </c>
      <c r="L92" s="36">
        <f>IF($B92="","",IF($G92=0,"",$H92/$G92))</f>
        <v/>
      </c>
      <c r="M92" s="24">
        <f>IF($B92="","",IF($I92&gt;0,S_LATE,IF(OR($J92&gt;0,$K92&gt;0),S_RISK,IF(AND($G92&gt;0,$H92=$G92),S_DONE,S_WIP))))</f>
        <v/>
      </c>
    </row>
    <row r="93">
      <c r="B93" s="21" t="inlineStr">
        <is>
          <t>SYS-LV</t>
        </is>
      </c>
      <c r="C93" s="21" t="inlineStr">
        <is>
          <t>LV Distribution &amp; UPS</t>
        </is>
      </c>
      <c r="D93" s="21" t="inlineStr">
        <is>
          <t>R. Bellamy</t>
        </is>
      </c>
      <c r="E93" s="23">
        <f>IF($B93="","",IF(COUNTIFS(EQP_SYS,$B93,EQP_START,"&gt;0")=0,"",SUMPRODUCT(MIN((EQP_SYS=$B93)*(EQP_START&gt;0)*EQP_START+((EQP_SYS=$B93)*(EQP_START&gt;0)=0)*2958465))))</f>
        <v/>
      </c>
      <c r="F93" s="26">
        <f>IF($B93="","",COUNTIF(EQP_SYS,$B93))</f>
        <v/>
      </c>
      <c r="G93" s="26">
        <f>IF($B93="","",COUNTIFS(DOC_SYS,$B93,DOC_ACTIVE,1))</f>
        <v/>
      </c>
      <c r="H93" s="26">
        <f>IF($B93="","",COUNTIFS(DOC_SYS,$B93,DOC_DONE,1))</f>
        <v/>
      </c>
      <c r="I93" s="26">
        <f>IF($B93="","",COUNTIFS(DOC_SYS,$B93,DOC_STATE,S_LATE))</f>
        <v/>
      </c>
      <c r="J93" s="26">
        <f>IF($B93="","",COUNTIFS(DOC_SYS,$B93,DOC_STATE,S_RISK))</f>
        <v/>
      </c>
      <c r="K93" s="26">
        <f>IF($B93="","",COUNTIFS(GAP_WHERE,$B93,GAP_KIND,"System",GAP_KEY,"&gt;0"))</f>
        <v/>
      </c>
      <c r="L93" s="36">
        <f>IF($B93="","",IF($G93=0,"",$H93/$G93))</f>
        <v/>
      </c>
      <c r="M93" s="24">
        <f>IF($B93="","",IF($I93&gt;0,S_LATE,IF(OR($J93&gt;0,$K93&gt;0),S_RISK,IF(AND($G93&gt;0,$H93=$G93),S_DONE,S_WIP))))</f>
        <v/>
      </c>
    </row>
    <row r="94">
      <c r="B94" s="21" t="inlineStr">
        <is>
          <t>SYS-CC</t>
        </is>
      </c>
      <c r="C94" s="21" t="inlineStr">
        <is>
          <t>Control Centre SCADA</t>
        </is>
      </c>
      <c r="D94" s="21" t="inlineStr">
        <is>
          <t>N. Bergstrom</t>
        </is>
      </c>
      <c r="E94" s="23">
        <f>IF($B94="","",IF(COUNTIFS(EQP_SYS,$B94,EQP_START,"&gt;0")=0,"",SUMPRODUCT(MIN((EQP_SYS=$B94)*(EQP_START&gt;0)*EQP_START+((EQP_SYS=$B94)*(EQP_START&gt;0)=0)*2958465))))</f>
        <v/>
      </c>
      <c r="F94" s="26">
        <f>IF($B94="","",COUNTIF(EQP_SYS,$B94))</f>
        <v/>
      </c>
      <c r="G94" s="26">
        <f>IF($B94="","",COUNTIFS(DOC_SYS,$B94,DOC_ACTIVE,1))</f>
        <v/>
      </c>
      <c r="H94" s="26">
        <f>IF($B94="","",COUNTIFS(DOC_SYS,$B94,DOC_DONE,1))</f>
        <v/>
      </c>
      <c r="I94" s="26">
        <f>IF($B94="","",COUNTIFS(DOC_SYS,$B94,DOC_STATE,S_LATE))</f>
        <v/>
      </c>
      <c r="J94" s="26">
        <f>IF($B94="","",COUNTIFS(DOC_SYS,$B94,DOC_STATE,S_RISK))</f>
        <v/>
      </c>
      <c r="K94" s="26">
        <f>IF($B94="","",COUNTIFS(GAP_WHERE,$B94,GAP_KIND,"System",GAP_KEY,"&gt;0"))</f>
        <v/>
      </c>
      <c r="L94" s="36">
        <f>IF($B94="","",IF($G94=0,"",$H94/$G94))</f>
        <v/>
      </c>
      <c r="M94" s="24">
        <f>IF($B94="","",IF($I94&gt;0,S_LATE,IF(OR($J94&gt;0,$K94&gt;0),S_RISK,IF(AND($G94&gt;0,$H94=$G94),S_DONE,S_WIP))))</f>
        <v/>
      </c>
    </row>
    <row r="95">
      <c r="B95" s="21" t="n"/>
      <c r="C95" s="21" t="n"/>
      <c r="D95" s="21" t="n"/>
      <c r="E95" s="23">
        <f>IF($B95="","",IF(COUNTIFS(EQP_SYS,$B95,EQP_START,"&gt;0")=0,"",SUMPRODUCT(MIN((EQP_SYS=$B95)*(EQP_START&gt;0)*EQP_START+((EQP_SYS=$B95)*(EQP_START&gt;0)=0)*2958465))))</f>
        <v/>
      </c>
      <c r="F95" s="26">
        <f>IF($B95="","",COUNTIF(EQP_SYS,$B95))</f>
        <v/>
      </c>
      <c r="G95" s="26">
        <f>IF($B95="","",COUNTIFS(DOC_SYS,$B95,DOC_ACTIVE,1))</f>
        <v/>
      </c>
      <c r="H95" s="26">
        <f>IF($B95="","",COUNTIFS(DOC_SYS,$B95,DOC_DONE,1))</f>
        <v/>
      </c>
      <c r="I95" s="26">
        <f>IF($B95="","",COUNTIFS(DOC_SYS,$B95,DOC_STATE,S_LATE))</f>
        <v/>
      </c>
      <c r="J95" s="26">
        <f>IF($B95="","",COUNTIFS(DOC_SYS,$B95,DOC_STATE,S_RISK))</f>
        <v/>
      </c>
      <c r="K95" s="26">
        <f>IF($B95="","",COUNTIFS(GAP_WHERE,$B95,GAP_KIND,"System",GAP_KEY,"&gt;0"))</f>
        <v/>
      </c>
      <c r="L95" s="36">
        <f>IF($B95="","",IF($G95=0,"",$H95/$G95))</f>
        <v/>
      </c>
      <c r="M95" s="24">
        <f>IF($B95="","",IF($I95&gt;0,S_LATE,IF(OR($J95&gt;0,$K95&gt;0),S_RISK,IF(AND($G95&gt;0,$H95=$G95),S_DONE,S_WIP))))</f>
        <v/>
      </c>
    </row>
    <row r="96">
      <c r="B96" s="21" t="n"/>
      <c r="C96" s="21" t="n"/>
      <c r="D96" s="21" t="n"/>
      <c r="E96" s="23">
        <f>IF($B96="","",IF(COUNTIFS(EQP_SYS,$B96,EQP_START,"&gt;0")=0,"",SUMPRODUCT(MIN((EQP_SYS=$B96)*(EQP_START&gt;0)*EQP_START+((EQP_SYS=$B96)*(EQP_START&gt;0)=0)*2958465))))</f>
        <v/>
      </c>
      <c r="F96" s="26">
        <f>IF($B96="","",COUNTIF(EQP_SYS,$B96))</f>
        <v/>
      </c>
      <c r="G96" s="26">
        <f>IF($B96="","",COUNTIFS(DOC_SYS,$B96,DOC_ACTIVE,1))</f>
        <v/>
      </c>
      <c r="H96" s="26">
        <f>IF($B96="","",COUNTIFS(DOC_SYS,$B96,DOC_DONE,1))</f>
        <v/>
      </c>
      <c r="I96" s="26">
        <f>IF($B96="","",COUNTIFS(DOC_SYS,$B96,DOC_STATE,S_LATE))</f>
        <v/>
      </c>
      <c r="J96" s="26">
        <f>IF($B96="","",COUNTIFS(DOC_SYS,$B96,DOC_STATE,S_RISK))</f>
        <v/>
      </c>
      <c r="K96" s="26">
        <f>IF($B96="","",COUNTIFS(GAP_WHERE,$B96,GAP_KIND,"System",GAP_KEY,"&gt;0"))</f>
        <v/>
      </c>
      <c r="L96" s="36">
        <f>IF($B96="","",IF($G96=0,"",$H96/$G96))</f>
        <v/>
      </c>
      <c r="M96" s="24">
        <f>IF($B96="","",IF($I96&gt;0,S_LATE,IF(OR($J96&gt;0,$K96&gt;0),S_RISK,IF(AND($G96&gt;0,$H96=$G96),S_DONE,S_WIP))))</f>
        <v/>
      </c>
    </row>
    <row r="97">
      <c r="B97" s="21" t="n"/>
      <c r="C97" s="21" t="n"/>
      <c r="D97" s="21" t="n"/>
      <c r="E97" s="23">
        <f>IF($B97="","",IF(COUNTIFS(EQP_SYS,$B97,EQP_START,"&gt;0")=0,"",SUMPRODUCT(MIN((EQP_SYS=$B97)*(EQP_START&gt;0)*EQP_START+((EQP_SYS=$B97)*(EQP_START&gt;0)=0)*2958465))))</f>
        <v/>
      </c>
      <c r="F97" s="26">
        <f>IF($B97="","",COUNTIF(EQP_SYS,$B97))</f>
        <v/>
      </c>
      <c r="G97" s="26">
        <f>IF($B97="","",COUNTIFS(DOC_SYS,$B97,DOC_ACTIVE,1))</f>
        <v/>
      </c>
      <c r="H97" s="26">
        <f>IF($B97="","",COUNTIFS(DOC_SYS,$B97,DOC_DONE,1))</f>
        <v/>
      </c>
      <c r="I97" s="26">
        <f>IF($B97="","",COUNTIFS(DOC_SYS,$B97,DOC_STATE,S_LATE))</f>
        <v/>
      </c>
      <c r="J97" s="26">
        <f>IF($B97="","",COUNTIFS(DOC_SYS,$B97,DOC_STATE,S_RISK))</f>
        <v/>
      </c>
      <c r="K97" s="26">
        <f>IF($B97="","",COUNTIFS(GAP_WHERE,$B97,GAP_KIND,"System",GAP_KEY,"&gt;0"))</f>
        <v/>
      </c>
      <c r="L97" s="36">
        <f>IF($B97="","",IF($G97=0,"",$H97/$G97))</f>
        <v/>
      </c>
      <c r="M97" s="24">
        <f>IF($B97="","",IF($I97&gt;0,S_LATE,IF(OR($J97&gt;0,$K97&gt;0),S_RISK,IF(AND($G97&gt;0,$H97=$G97),S_DONE,S_WIP))))</f>
        <v/>
      </c>
    </row>
    <row r="98">
      <c r="B98" s="21" t="n"/>
      <c r="C98" s="21" t="n"/>
      <c r="D98" s="21" t="n"/>
      <c r="E98" s="23">
        <f>IF($B98="","",IF(COUNTIFS(EQP_SYS,$B98,EQP_START,"&gt;0")=0,"",SUMPRODUCT(MIN((EQP_SYS=$B98)*(EQP_START&gt;0)*EQP_START+((EQP_SYS=$B98)*(EQP_START&gt;0)=0)*2958465))))</f>
        <v/>
      </c>
      <c r="F98" s="26">
        <f>IF($B98="","",COUNTIF(EQP_SYS,$B98))</f>
        <v/>
      </c>
      <c r="G98" s="26">
        <f>IF($B98="","",COUNTIFS(DOC_SYS,$B98,DOC_ACTIVE,1))</f>
        <v/>
      </c>
      <c r="H98" s="26">
        <f>IF($B98="","",COUNTIFS(DOC_SYS,$B98,DOC_DONE,1))</f>
        <v/>
      </c>
      <c r="I98" s="26">
        <f>IF($B98="","",COUNTIFS(DOC_SYS,$B98,DOC_STATE,S_LATE))</f>
        <v/>
      </c>
      <c r="J98" s="26">
        <f>IF($B98="","",COUNTIFS(DOC_SYS,$B98,DOC_STATE,S_RISK))</f>
        <v/>
      </c>
      <c r="K98" s="26">
        <f>IF($B98="","",COUNTIFS(GAP_WHERE,$B98,GAP_KIND,"System",GAP_KEY,"&gt;0"))</f>
        <v/>
      </c>
      <c r="L98" s="36">
        <f>IF($B98="","",IF($G98=0,"",$H98/$G98))</f>
        <v/>
      </c>
      <c r="M98" s="24">
        <f>IF($B98="","",IF($I98&gt;0,S_LATE,IF(OR($J98&gt;0,$K98&gt;0),S_RISK,IF(AND($G98&gt;0,$H98=$G98),S_DONE,S_WIP))))</f>
        <v/>
      </c>
    </row>
    <row r="99">
      <c r="B99" s="21" t="n"/>
      <c r="C99" s="21" t="n"/>
      <c r="D99" s="21" t="n"/>
      <c r="E99" s="23">
        <f>IF($B99="","",IF(COUNTIFS(EQP_SYS,$B99,EQP_START,"&gt;0")=0,"",SUMPRODUCT(MIN((EQP_SYS=$B99)*(EQP_START&gt;0)*EQP_START+((EQP_SYS=$B99)*(EQP_START&gt;0)=0)*2958465))))</f>
        <v/>
      </c>
      <c r="F99" s="26">
        <f>IF($B99="","",COUNTIF(EQP_SYS,$B99))</f>
        <v/>
      </c>
      <c r="G99" s="26">
        <f>IF($B99="","",COUNTIFS(DOC_SYS,$B99,DOC_ACTIVE,1))</f>
        <v/>
      </c>
      <c r="H99" s="26">
        <f>IF($B99="","",COUNTIFS(DOC_SYS,$B99,DOC_DONE,1))</f>
        <v/>
      </c>
      <c r="I99" s="26">
        <f>IF($B99="","",COUNTIFS(DOC_SYS,$B99,DOC_STATE,S_LATE))</f>
        <v/>
      </c>
      <c r="J99" s="26">
        <f>IF($B99="","",COUNTIFS(DOC_SYS,$B99,DOC_STATE,S_RISK))</f>
        <v/>
      </c>
      <c r="K99" s="26">
        <f>IF($B99="","",COUNTIFS(GAP_WHERE,$B99,GAP_KIND,"System",GAP_KEY,"&gt;0"))</f>
        <v/>
      </c>
      <c r="L99" s="36">
        <f>IF($B99="","",IF($G99=0,"",$H99/$G99))</f>
        <v/>
      </c>
      <c r="M99" s="24">
        <f>IF($B99="","",IF($I99&gt;0,S_LATE,IF(OR($J99&gt;0,$K99&gt;0),S_RISK,IF(AND($G99&gt;0,$H99=$G99),S_DONE,S_WIP))))</f>
        <v/>
      </c>
    </row>
    <row r="100">
      <c r="B100" s="21" t="n"/>
      <c r="C100" s="21" t="n"/>
      <c r="D100" s="21" t="n"/>
      <c r="E100" s="23">
        <f>IF($B100="","",IF(COUNTIFS(EQP_SYS,$B100,EQP_START,"&gt;0")=0,"",SUMPRODUCT(MIN((EQP_SYS=$B100)*(EQP_START&gt;0)*EQP_START+((EQP_SYS=$B100)*(EQP_START&gt;0)=0)*2958465))))</f>
        <v/>
      </c>
      <c r="F100" s="26">
        <f>IF($B100="","",COUNTIF(EQP_SYS,$B100))</f>
        <v/>
      </c>
      <c r="G100" s="26">
        <f>IF($B100="","",COUNTIFS(DOC_SYS,$B100,DOC_ACTIVE,1))</f>
        <v/>
      </c>
      <c r="H100" s="26">
        <f>IF($B100="","",COUNTIFS(DOC_SYS,$B100,DOC_DONE,1))</f>
        <v/>
      </c>
      <c r="I100" s="26">
        <f>IF($B100="","",COUNTIFS(DOC_SYS,$B100,DOC_STATE,S_LATE))</f>
        <v/>
      </c>
      <c r="J100" s="26">
        <f>IF($B100="","",COUNTIFS(DOC_SYS,$B100,DOC_STATE,S_RISK))</f>
        <v/>
      </c>
      <c r="K100" s="26">
        <f>IF($B100="","",COUNTIFS(GAP_WHERE,$B100,GAP_KIND,"System",GAP_KEY,"&gt;0"))</f>
        <v/>
      </c>
      <c r="L100" s="36">
        <f>IF($B100="","",IF($G100=0,"",$H100/$G100))</f>
        <v/>
      </c>
      <c r="M100" s="24">
        <f>IF($B100="","",IF($I100&gt;0,S_LATE,IF(OR($J100&gt;0,$K100&gt;0),S_RISK,IF(AND($G100&gt;0,$H100=$G100),S_DONE,S_WIP))))</f>
        <v/>
      </c>
    </row>
    <row r="101">
      <c r="B101" s="21" t="n"/>
      <c r="C101" s="21" t="n"/>
      <c r="D101" s="21" t="n"/>
      <c r="E101" s="23">
        <f>IF($B101="","",IF(COUNTIFS(EQP_SYS,$B101,EQP_START,"&gt;0")=0,"",SUMPRODUCT(MIN((EQP_SYS=$B101)*(EQP_START&gt;0)*EQP_START+((EQP_SYS=$B101)*(EQP_START&gt;0)=0)*2958465))))</f>
        <v/>
      </c>
      <c r="F101" s="26">
        <f>IF($B101="","",COUNTIF(EQP_SYS,$B101))</f>
        <v/>
      </c>
      <c r="G101" s="26">
        <f>IF($B101="","",COUNTIFS(DOC_SYS,$B101,DOC_ACTIVE,1))</f>
        <v/>
      </c>
      <c r="H101" s="26">
        <f>IF($B101="","",COUNTIFS(DOC_SYS,$B101,DOC_DONE,1))</f>
        <v/>
      </c>
      <c r="I101" s="26">
        <f>IF($B101="","",COUNTIFS(DOC_SYS,$B101,DOC_STATE,S_LATE))</f>
        <v/>
      </c>
      <c r="J101" s="26">
        <f>IF($B101="","",COUNTIFS(DOC_SYS,$B101,DOC_STATE,S_RISK))</f>
        <v/>
      </c>
      <c r="K101" s="26">
        <f>IF($B101="","",COUNTIFS(GAP_WHERE,$B101,GAP_KIND,"System",GAP_KEY,"&gt;0"))</f>
        <v/>
      </c>
      <c r="L101" s="36">
        <f>IF($B101="","",IF($G101=0,"",$H101/$G101))</f>
        <v/>
      </c>
      <c r="M101" s="24">
        <f>IF($B101="","",IF($I101&gt;0,S_LATE,IF(OR($J101&gt;0,$K101&gt;0),S_RISK,IF(AND($G101&gt;0,$H101=$G101),S_DONE,S_WIP))))</f>
        <v/>
      </c>
    </row>
    <row r="102">
      <c r="B102" s="21" t="n"/>
      <c r="C102" s="21" t="n"/>
      <c r="D102" s="21" t="n"/>
      <c r="E102" s="23">
        <f>IF($B102="","",IF(COUNTIFS(EQP_SYS,$B102,EQP_START,"&gt;0")=0,"",SUMPRODUCT(MIN((EQP_SYS=$B102)*(EQP_START&gt;0)*EQP_START+((EQP_SYS=$B102)*(EQP_START&gt;0)=0)*2958465))))</f>
        <v/>
      </c>
      <c r="F102" s="26">
        <f>IF($B102="","",COUNTIF(EQP_SYS,$B102))</f>
        <v/>
      </c>
      <c r="G102" s="26">
        <f>IF($B102="","",COUNTIFS(DOC_SYS,$B102,DOC_ACTIVE,1))</f>
        <v/>
      </c>
      <c r="H102" s="26">
        <f>IF($B102="","",COUNTIFS(DOC_SYS,$B102,DOC_DONE,1))</f>
        <v/>
      </c>
      <c r="I102" s="26">
        <f>IF($B102="","",COUNTIFS(DOC_SYS,$B102,DOC_STATE,S_LATE))</f>
        <v/>
      </c>
      <c r="J102" s="26">
        <f>IF($B102="","",COUNTIFS(DOC_SYS,$B102,DOC_STATE,S_RISK))</f>
        <v/>
      </c>
      <c r="K102" s="26">
        <f>IF($B102="","",COUNTIFS(GAP_WHERE,$B102,GAP_KIND,"System",GAP_KEY,"&gt;0"))</f>
        <v/>
      </c>
      <c r="L102" s="36">
        <f>IF($B102="","",IF($G102=0,"",$H102/$G102))</f>
        <v/>
      </c>
      <c r="M102" s="24">
        <f>IF($B102="","",IF($I102&gt;0,S_LATE,IF(OR($J102&gt;0,$K102&gt;0),S_RISK,IF(AND($G102&gt;0,$H102=$G102),S_DONE,S_WIP))))</f>
        <v/>
      </c>
    </row>
    <row r="103">
      <c r="B103" s="21" t="n"/>
      <c r="C103" s="21" t="n"/>
      <c r="D103" s="21" t="n"/>
      <c r="E103" s="23">
        <f>IF($B103="","",IF(COUNTIFS(EQP_SYS,$B103,EQP_START,"&gt;0")=0,"",SUMPRODUCT(MIN((EQP_SYS=$B103)*(EQP_START&gt;0)*EQP_START+((EQP_SYS=$B103)*(EQP_START&gt;0)=0)*2958465))))</f>
        <v/>
      </c>
      <c r="F103" s="26">
        <f>IF($B103="","",COUNTIF(EQP_SYS,$B103))</f>
        <v/>
      </c>
      <c r="G103" s="26">
        <f>IF($B103="","",COUNTIFS(DOC_SYS,$B103,DOC_ACTIVE,1))</f>
        <v/>
      </c>
      <c r="H103" s="26">
        <f>IF($B103="","",COUNTIFS(DOC_SYS,$B103,DOC_DONE,1))</f>
        <v/>
      </c>
      <c r="I103" s="26">
        <f>IF($B103="","",COUNTIFS(DOC_SYS,$B103,DOC_STATE,S_LATE))</f>
        <v/>
      </c>
      <c r="J103" s="26">
        <f>IF($B103="","",COUNTIFS(DOC_SYS,$B103,DOC_STATE,S_RISK))</f>
        <v/>
      </c>
      <c r="K103" s="26">
        <f>IF($B103="","",COUNTIFS(GAP_WHERE,$B103,GAP_KIND,"System",GAP_KEY,"&gt;0"))</f>
        <v/>
      </c>
      <c r="L103" s="36">
        <f>IF($B103="","",IF($G103=0,"",$H103/$G103))</f>
        <v/>
      </c>
      <c r="M103" s="24">
        <f>IF($B103="","",IF($I103&gt;0,S_LATE,IF(OR($J103&gt;0,$K103&gt;0),S_RISK,IF(AND($G103&gt;0,$H103=$G103),S_DONE,S_WIP))))</f>
        <v/>
      </c>
    </row>
    <row r="104">
      <c r="B104" s="21" t="n"/>
      <c r="C104" s="21" t="n"/>
      <c r="D104" s="21" t="n"/>
      <c r="E104" s="23">
        <f>IF($B104="","",IF(COUNTIFS(EQP_SYS,$B104,EQP_START,"&gt;0")=0,"",SUMPRODUCT(MIN((EQP_SYS=$B104)*(EQP_START&gt;0)*EQP_START+((EQP_SYS=$B104)*(EQP_START&gt;0)=0)*2958465))))</f>
        <v/>
      </c>
      <c r="F104" s="26">
        <f>IF($B104="","",COUNTIF(EQP_SYS,$B104))</f>
        <v/>
      </c>
      <c r="G104" s="26">
        <f>IF($B104="","",COUNTIFS(DOC_SYS,$B104,DOC_ACTIVE,1))</f>
        <v/>
      </c>
      <c r="H104" s="26">
        <f>IF($B104="","",COUNTIFS(DOC_SYS,$B104,DOC_DONE,1))</f>
        <v/>
      </c>
      <c r="I104" s="26">
        <f>IF($B104="","",COUNTIFS(DOC_SYS,$B104,DOC_STATE,S_LATE))</f>
        <v/>
      </c>
      <c r="J104" s="26">
        <f>IF($B104="","",COUNTIFS(DOC_SYS,$B104,DOC_STATE,S_RISK))</f>
        <v/>
      </c>
      <c r="K104" s="26">
        <f>IF($B104="","",COUNTIFS(GAP_WHERE,$B104,GAP_KIND,"System",GAP_KEY,"&gt;0"))</f>
        <v/>
      </c>
      <c r="L104" s="36">
        <f>IF($B104="","",IF($G104=0,"",$H104/$G104))</f>
        <v/>
      </c>
      <c r="M104" s="24">
        <f>IF($B104="","",IF($I104&gt;0,S_LATE,IF(OR($J104&gt;0,$K104&gt;0),S_RISK,IF(AND($G104&gt;0,$H104=$G104),S_DONE,S_WIP))))</f>
        <v/>
      </c>
    </row>
    <row r="105">
      <c r="B105" s="21" t="n"/>
      <c r="C105" s="21" t="n"/>
      <c r="D105" s="21" t="n"/>
      <c r="E105" s="23">
        <f>IF($B105="","",IF(COUNTIFS(EQP_SYS,$B105,EQP_START,"&gt;0")=0,"",SUMPRODUCT(MIN((EQP_SYS=$B105)*(EQP_START&gt;0)*EQP_START+((EQP_SYS=$B105)*(EQP_START&gt;0)=0)*2958465))))</f>
        <v/>
      </c>
      <c r="F105" s="26">
        <f>IF($B105="","",COUNTIF(EQP_SYS,$B105))</f>
        <v/>
      </c>
      <c r="G105" s="26">
        <f>IF($B105="","",COUNTIFS(DOC_SYS,$B105,DOC_ACTIVE,1))</f>
        <v/>
      </c>
      <c r="H105" s="26">
        <f>IF($B105="","",COUNTIFS(DOC_SYS,$B105,DOC_DONE,1))</f>
        <v/>
      </c>
      <c r="I105" s="26">
        <f>IF($B105="","",COUNTIFS(DOC_SYS,$B105,DOC_STATE,S_LATE))</f>
        <v/>
      </c>
      <c r="J105" s="26">
        <f>IF($B105="","",COUNTIFS(DOC_SYS,$B105,DOC_STATE,S_RISK))</f>
        <v/>
      </c>
      <c r="K105" s="26">
        <f>IF($B105="","",COUNTIFS(GAP_WHERE,$B105,GAP_KIND,"System",GAP_KEY,"&gt;0"))</f>
        <v/>
      </c>
      <c r="L105" s="36">
        <f>IF($B105="","",IF($G105=0,"",$H105/$G105))</f>
        <v/>
      </c>
      <c r="M105" s="24">
        <f>IF($B105="","",IF($I105&gt;0,S_LATE,IF(OR($J105&gt;0,$K105&gt;0),S_RISK,IF(AND($G105&gt;0,$H105=$G105),S_DONE,S_WIP))))</f>
        <v/>
      </c>
    </row>
    <row r="106">
      <c r="B106" s="21" t="n"/>
      <c r="C106" s="21" t="n"/>
      <c r="D106" s="21" t="n"/>
      <c r="E106" s="23">
        <f>IF($B106="","",IF(COUNTIFS(EQP_SYS,$B106,EQP_START,"&gt;0")=0,"",SUMPRODUCT(MIN((EQP_SYS=$B106)*(EQP_START&gt;0)*EQP_START+((EQP_SYS=$B106)*(EQP_START&gt;0)=0)*2958465))))</f>
        <v/>
      </c>
      <c r="F106" s="26">
        <f>IF($B106="","",COUNTIF(EQP_SYS,$B106))</f>
        <v/>
      </c>
      <c r="G106" s="26">
        <f>IF($B106="","",COUNTIFS(DOC_SYS,$B106,DOC_ACTIVE,1))</f>
        <v/>
      </c>
      <c r="H106" s="26">
        <f>IF($B106="","",COUNTIFS(DOC_SYS,$B106,DOC_DONE,1))</f>
        <v/>
      </c>
      <c r="I106" s="26">
        <f>IF($B106="","",COUNTIFS(DOC_SYS,$B106,DOC_STATE,S_LATE))</f>
        <v/>
      </c>
      <c r="J106" s="26">
        <f>IF($B106="","",COUNTIFS(DOC_SYS,$B106,DOC_STATE,S_RISK))</f>
        <v/>
      </c>
      <c r="K106" s="26">
        <f>IF($B106="","",COUNTIFS(GAP_WHERE,$B106,GAP_KIND,"System",GAP_KEY,"&gt;0"))</f>
        <v/>
      </c>
      <c r="L106" s="36">
        <f>IF($B106="","",IF($G106=0,"",$H106/$G106))</f>
        <v/>
      </c>
      <c r="M106" s="24">
        <f>IF($B106="","",IF($I106&gt;0,S_LATE,IF(OR($J106&gt;0,$K106&gt;0),S_RISK,IF(AND($G106&gt;0,$H106=$G106),S_DONE,S_WIP))))</f>
        <v/>
      </c>
    </row>
    <row r="107">
      <c r="B107" s="21" t="n"/>
      <c r="C107" s="21" t="n"/>
      <c r="D107" s="21" t="n"/>
      <c r="E107" s="23">
        <f>IF($B107="","",IF(COUNTIFS(EQP_SYS,$B107,EQP_START,"&gt;0")=0,"",SUMPRODUCT(MIN((EQP_SYS=$B107)*(EQP_START&gt;0)*EQP_START+((EQP_SYS=$B107)*(EQP_START&gt;0)=0)*2958465))))</f>
        <v/>
      </c>
      <c r="F107" s="26">
        <f>IF($B107="","",COUNTIF(EQP_SYS,$B107))</f>
        <v/>
      </c>
      <c r="G107" s="26">
        <f>IF($B107="","",COUNTIFS(DOC_SYS,$B107,DOC_ACTIVE,1))</f>
        <v/>
      </c>
      <c r="H107" s="26">
        <f>IF($B107="","",COUNTIFS(DOC_SYS,$B107,DOC_DONE,1))</f>
        <v/>
      </c>
      <c r="I107" s="26">
        <f>IF($B107="","",COUNTIFS(DOC_SYS,$B107,DOC_STATE,S_LATE))</f>
        <v/>
      </c>
      <c r="J107" s="26">
        <f>IF($B107="","",COUNTIFS(DOC_SYS,$B107,DOC_STATE,S_RISK))</f>
        <v/>
      </c>
      <c r="K107" s="26">
        <f>IF($B107="","",COUNTIFS(GAP_WHERE,$B107,GAP_KIND,"System",GAP_KEY,"&gt;0"))</f>
        <v/>
      </c>
      <c r="L107" s="36">
        <f>IF($B107="","",IF($G107=0,"",$H107/$G107))</f>
        <v/>
      </c>
      <c r="M107" s="24">
        <f>IF($B107="","",IF($I107&gt;0,S_LATE,IF(OR($J107&gt;0,$K107&gt;0),S_RISK,IF(AND($G107&gt;0,$H107=$G107),S_DONE,S_WIP))))</f>
        <v/>
      </c>
    </row>
    <row r="108">
      <c r="B108" s="21" t="n"/>
      <c r="C108" s="21" t="n"/>
      <c r="D108" s="21" t="n"/>
      <c r="E108" s="23">
        <f>IF($B108="","",IF(COUNTIFS(EQP_SYS,$B108,EQP_START,"&gt;0")=0,"",SUMPRODUCT(MIN((EQP_SYS=$B108)*(EQP_START&gt;0)*EQP_START+((EQP_SYS=$B108)*(EQP_START&gt;0)=0)*2958465))))</f>
        <v/>
      </c>
      <c r="F108" s="26">
        <f>IF($B108="","",COUNTIF(EQP_SYS,$B108))</f>
        <v/>
      </c>
      <c r="G108" s="26">
        <f>IF($B108="","",COUNTIFS(DOC_SYS,$B108,DOC_ACTIVE,1))</f>
        <v/>
      </c>
      <c r="H108" s="26">
        <f>IF($B108="","",COUNTIFS(DOC_SYS,$B108,DOC_DONE,1))</f>
        <v/>
      </c>
      <c r="I108" s="26">
        <f>IF($B108="","",COUNTIFS(DOC_SYS,$B108,DOC_STATE,S_LATE))</f>
        <v/>
      </c>
      <c r="J108" s="26">
        <f>IF($B108="","",COUNTIFS(DOC_SYS,$B108,DOC_STATE,S_RISK))</f>
        <v/>
      </c>
      <c r="K108" s="26">
        <f>IF($B108="","",COUNTIFS(GAP_WHERE,$B108,GAP_KIND,"System",GAP_KEY,"&gt;0"))</f>
        <v/>
      </c>
      <c r="L108" s="36">
        <f>IF($B108="","",IF($G108=0,"",$H108/$G108))</f>
        <v/>
      </c>
      <c r="M108" s="24">
        <f>IF($B108="","",IF($I108&gt;0,S_LATE,IF(OR($J108&gt;0,$K108&gt;0),S_RISK,IF(AND($G108&gt;0,$H108=$G108),S_DONE,S_WIP))))</f>
        <v/>
      </c>
    </row>
    <row r="109">
      <c r="B109" s="21" t="n"/>
      <c r="C109" s="21" t="n"/>
      <c r="D109" s="21" t="n"/>
      <c r="E109" s="23">
        <f>IF($B109="","",IF(COUNTIFS(EQP_SYS,$B109,EQP_START,"&gt;0")=0,"",SUMPRODUCT(MIN((EQP_SYS=$B109)*(EQP_START&gt;0)*EQP_START+((EQP_SYS=$B109)*(EQP_START&gt;0)=0)*2958465))))</f>
        <v/>
      </c>
      <c r="F109" s="26">
        <f>IF($B109="","",COUNTIF(EQP_SYS,$B109))</f>
        <v/>
      </c>
      <c r="G109" s="26">
        <f>IF($B109="","",COUNTIFS(DOC_SYS,$B109,DOC_ACTIVE,1))</f>
        <v/>
      </c>
      <c r="H109" s="26">
        <f>IF($B109="","",COUNTIFS(DOC_SYS,$B109,DOC_DONE,1))</f>
        <v/>
      </c>
      <c r="I109" s="26">
        <f>IF($B109="","",COUNTIFS(DOC_SYS,$B109,DOC_STATE,S_LATE))</f>
        <v/>
      </c>
      <c r="J109" s="26">
        <f>IF($B109="","",COUNTIFS(DOC_SYS,$B109,DOC_STATE,S_RISK))</f>
        <v/>
      </c>
      <c r="K109" s="26">
        <f>IF($B109="","",COUNTIFS(GAP_WHERE,$B109,GAP_KIND,"System",GAP_KEY,"&gt;0"))</f>
        <v/>
      </c>
      <c r="L109" s="36">
        <f>IF($B109="","",IF($G109=0,"",$H109/$G109))</f>
        <v/>
      </c>
      <c r="M109" s="24">
        <f>IF($B109="","",IF($I109&gt;0,S_LATE,IF(OR($J109&gt;0,$K109&gt;0),S_RISK,IF(AND($G109&gt;0,$H109=$G109),S_DONE,S_WIP))))</f>
        <v/>
      </c>
    </row>
    <row r="110">
      <c r="B110" s="21" t="n"/>
      <c r="C110" s="21" t="n"/>
      <c r="D110" s="21" t="n"/>
      <c r="E110" s="23">
        <f>IF($B110="","",IF(COUNTIFS(EQP_SYS,$B110,EQP_START,"&gt;0")=0,"",SUMPRODUCT(MIN((EQP_SYS=$B110)*(EQP_START&gt;0)*EQP_START+((EQP_SYS=$B110)*(EQP_START&gt;0)=0)*2958465))))</f>
        <v/>
      </c>
      <c r="F110" s="26">
        <f>IF($B110="","",COUNTIF(EQP_SYS,$B110))</f>
        <v/>
      </c>
      <c r="G110" s="26">
        <f>IF($B110="","",COUNTIFS(DOC_SYS,$B110,DOC_ACTIVE,1))</f>
        <v/>
      </c>
      <c r="H110" s="26">
        <f>IF($B110="","",COUNTIFS(DOC_SYS,$B110,DOC_DONE,1))</f>
        <v/>
      </c>
      <c r="I110" s="26">
        <f>IF($B110="","",COUNTIFS(DOC_SYS,$B110,DOC_STATE,S_LATE))</f>
        <v/>
      </c>
      <c r="J110" s="26">
        <f>IF($B110="","",COUNTIFS(DOC_SYS,$B110,DOC_STATE,S_RISK))</f>
        <v/>
      </c>
      <c r="K110" s="26">
        <f>IF($B110="","",COUNTIFS(GAP_WHERE,$B110,GAP_KIND,"System",GAP_KEY,"&gt;0"))</f>
        <v/>
      </c>
      <c r="L110" s="36">
        <f>IF($B110="","",IF($G110=0,"",$H110/$G110))</f>
        <v/>
      </c>
      <c r="M110" s="24">
        <f>IF($B110="","",IF($I110&gt;0,S_LATE,IF(OR($J110&gt;0,$K110&gt;0),S_RISK,IF(AND($G110&gt;0,$H110=$G110),S_DONE,S_WIP))))</f>
        <v/>
      </c>
    </row>
    <row r="111">
      <c r="B111" s="21" t="n"/>
      <c r="C111" s="21" t="n"/>
      <c r="D111" s="21" t="n"/>
      <c r="E111" s="23">
        <f>IF($B111="","",IF(COUNTIFS(EQP_SYS,$B111,EQP_START,"&gt;0")=0,"",SUMPRODUCT(MIN((EQP_SYS=$B111)*(EQP_START&gt;0)*EQP_START+((EQP_SYS=$B111)*(EQP_START&gt;0)=0)*2958465))))</f>
        <v/>
      </c>
      <c r="F111" s="26">
        <f>IF($B111="","",COUNTIF(EQP_SYS,$B111))</f>
        <v/>
      </c>
      <c r="G111" s="26">
        <f>IF($B111="","",COUNTIFS(DOC_SYS,$B111,DOC_ACTIVE,1))</f>
        <v/>
      </c>
      <c r="H111" s="26">
        <f>IF($B111="","",COUNTIFS(DOC_SYS,$B111,DOC_DONE,1))</f>
        <v/>
      </c>
      <c r="I111" s="26">
        <f>IF($B111="","",COUNTIFS(DOC_SYS,$B111,DOC_STATE,S_LATE))</f>
        <v/>
      </c>
      <c r="J111" s="26">
        <f>IF($B111="","",COUNTIFS(DOC_SYS,$B111,DOC_STATE,S_RISK))</f>
        <v/>
      </c>
      <c r="K111" s="26">
        <f>IF($B111="","",COUNTIFS(GAP_WHERE,$B111,GAP_KIND,"System",GAP_KEY,"&gt;0"))</f>
        <v/>
      </c>
      <c r="L111" s="36">
        <f>IF($B111="","",IF($G111=0,"",$H111/$G111))</f>
        <v/>
      </c>
      <c r="M111" s="24">
        <f>IF($B111="","",IF($I111&gt;0,S_LATE,IF(OR($J111&gt;0,$K111&gt;0),S_RISK,IF(AND($G111&gt;0,$H111=$G111),S_DONE,S_WIP))))</f>
        <v/>
      </c>
    </row>
    <row r="112">
      <c r="B112" s="21" t="n"/>
      <c r="C112" s="21" t="n"/>
      <c r="D112" s="21" t="n"/>
      <c r="E112" s="23">
        <f>IF($B112="","",IF(COUNTIFS(EQP_SYS,$B112,EQP_START,"&gt;0")=0,"",SUMPRODUCT(MIN((EQP_SYS=$B112)*(EQP_START&gt;0)*EQP_START+((EQP_SYS=$B112)*(EQP_START&gt;0)=0)*2958465))))</f>
        <v/>
      </c>
      <c r="F112" s="26">
        <f>IF($B112="","",COUNTIF(EQP_SYS,$B112))</f>
        <v/>
      </c>
      <c r="G112" s="26">
        <f>IF($B112="","",COUNTIFS(DOC_SYS,$B112,DOC_ACTIVE,1))</f>
        <v/>
      </c>
      <c r="H112" s="26">
        <f>IF($B112="","",COUNTIFS(DOC_SYS,$B112,DOC_DONE,1))</f>
        <v/>
      </c>
      <c r="I112" s="26">
        <f>IF($B112="","",COUNTIFS(DOC_SYS,$B112,DOC_STATE,S_LATE))</f>
        <v/>
      </c>
      <c r="J112" s="26">
        <f>IF($B112="","",COUNTIFS(DOC_SYS,$B112,DOC_STATE,S_RISK))</f>
        <v/>
      </c>
      <c r="K112" s="26">
        <f>IF($B112="","",COUNTIFS(GAP_WHERE,$B112,GAP_KIND,"System",GAP_KEY,"&gt;0"))</f>
        <v/>
      </c>
      <c r="L112" s="36">
        <f>IF($B112="","",IF($G112=0,"",$H112/$G112))</f>
        <v/>
      </c>
      <c r="M112" s="24">
        <f>IF($B112="","",IF($I112&gt;0,S_LATE,IF(OR($J112&gt;0,$K112&gt;0),S_RISK,IF(AND($G112&gt;0,$H112=$G112),S_DONE,S_WIP))))</f>
        <v/>
      </c>
    </row>
    <row r="113">
      <c r="B113" s="21" t="n"/>
      <c r="C113" s="21" t="n"/>
      <c r="D113" s="21" t="n"/>
      <c r="E113" s="23">
        <f>IF($B113="","",IF(COUNTIFS(EQP_SYS,$B113,EQP_START,"&gt;0")=0,"",SUMPRODUCT(MIN((EQP_SYS=$B113)*(EQP_START&gt;0)*EQP_START+((EQP_SYS=$B113)*(EQP_START&gt;0)=0)*2958465))))</f>
        <v/>
      </c>
      <c r="F113" s="26">
        <f>IF($B113="","",COUNTIF(EQP_SYS,$B113))</f>
        <v/>
      </c>
      <c r="G113" s="26">
        <f>IF($B113="","",COUNTIFS(DOC_SYS,$B113,DOC_ACTIVE,1))</f>
        <v/>
      </c>
      <c r="H113" s="26">
        <f>IF($B113="","",COUNTIFS(DOC_SYS,$B113,DOC_DONE,1))</f>
        <v/>
      </c>
      <c r="I113" s="26">
        <f>IF($B113="","",COUNTIFS(DOC_SYS,$B113,DOC_STATE,S_LATE))</f>
        <v/>
      </c>
      <c r="J113" s="26">
        <f>IF($B113="","",COUNTIFS(DOC_SYS,$B113,DOC_STATE,S_RISK))</f>
        <v/>
      </c>
      <c r="K113" s="26">
        <f>IF($B113="","",COUNTIFS(GAP_WHERE,$B113,GAP_KIND,"System",GAP_KEY,"&gt;0"))</f>
        <v/>
      </c>
      <c r="L113" s="36">
        <f>IF($B113="","",IF($G113=0,"",$H113/$G113))</f>
        <v/>
      </c>
      <c r="M113" s="24">
        <f>IF($B113="","",IF($I113&gt;0,S_LATE,IF(OR($J113&gt;0,$K113&gt;0),S_RISK,IF(AND($G113&gt;0,$H113=$G113),S_DONE,S_WIP))))</f>
        <v/>
      </c>
    </row>
    <row r="115" ht="18" customHeight="1">
      <c r="B115" s="3" t="inlineStr">
        <is>
          <t>7 - EQUIPMENT      the planned commissioning start typed here drives every target date behind that equipment</t>
        </is>
      </c>
      <c r="C115" s="4" t="n"/>
      <c r="D115" s="4" t="n"/>
      <c r="E115" s="4" t="n"/>
      <c r="F115" s="4" t="n"/>
      <c r="G115" s="4" t="n"/>
      <c r="H115" s="4" t="n"/>
      <c r="I115" s="4" t="n"/>
      <c r="J115" s="4" t="n"/>
      <c r="K115" s="4" t="n"/>
      <c r="L115" s="4" t="n"/>
      <c r="M115" s="4" t="n"/>
      <c r="N115" s="4" t="n"/>
    </row>
    <row r="116" ht="28" customHeight="1">
      <c r="B116" s="13" t="inlineStr">
        <is>
          <t>Parent system</t>
        </is>
      </c>
      <c r="C116" s="13" t="inlineStr">
        <is>
          <t>Equipment</t>
        </is>
      </c>
      <c r="D116" s="13" t="inlineStr">
        <is>
          <t>Planned comm. start</t>
        </is>
      </c>
      <c r="E116" s="13" t="inlineStr">
        <is>
          <t>Planned comm. finish</t>
        </is>
      </c>
      <c r="F116" s="13" t="inlineStr">
        <is>
          <t>Actual start</t>
        </is>
      </c>
      <c r="G116" s="13" t="inlineStr">
        <is>
          <t>Actual finish</t>
        </is>
      </c>
      <c r="H116" s="13" t="inlineStr">
        <is>
          <t>Docs</t>
        </is>
      </c>
      <c r="I116" s="13" t="inlineStr">
        <is>
          <t>Done</t>
        </is>
      </c>
      <c r="J116" s="13" t="inlineStr">
        <is>
          <t>Late</t>
        </is>
      </c>
      <c r="K116" s="13" t="inlineStr">
        <is>
          <t>Core missing</t>
        </is>
      </c>
      <c r="L116" s="13" t="inlineStr">
        <is>
          <t>% done</t>
        </is>
      </c>
      <c r="M116" s="13" t="inlineStr">
        <is>
          <t>Status</t>
        </is>
      </c>
      <c r="N116" s="13" t="inlineStr">
        <is>
          <t>Key</t>
        </is>
      </c>
    </row>
    <row r="117">
      <c r="B117" s="21" t="inlineStr">
        <is>
          <t>SYS-TP</t>
        </is>
      </c>
      <c r="C117" s="21" t="inlineStr">
        <is>
          <t>TP-BSS-01 Bulk Supply Substation</t>
        </is>
      </c>
      <c r="D117" s="22" t="n">
        <v>46319</v>
      </c>
      <c r="E117" s="22" t="n">
        <v>46364</v>
      </c>
      <c r="F117" s="22" t="n"/>
      <c r="G117" s="22" t="n"/>
      <c r="H117" s="26">
        <f>IF($C117="","",COUNTIFS(DOC_EQP,$C117,DOC_ACTIVE,1))</f>
        <v/>
      </c>
      <c r="I117" s="26">
        <f>IF($C117="","",COUNTIFS(DOC_EQP,$C117,DOC_DONE,1))</f>
        <v/>
      </c>
      <c r="J117" s="26">
        <f>IF($C117="","",COUNTIFS(DOC_EQP,$C117,DOC_STATE,S_LATE))</f>
        <v/>
      </c>
      <c r="K117" s="26">
        <f>IF($C117="","",COUNTIFS(GAP_WHERE,$C117,GAP_KIND,"Equipment",GAP_KEY,"&gt;0"))</f>
        <v/>
      </c>
      <c r="L117" s="36">
        <f>IF($C117="","",IF($H117=0,"",$I117/$H117))</f>
        <v/>
      </c>
      <c r="M117" s="24">
        <f>IF($C117="","",IF($J117&gt;0,S_LATE,IF($K117&gt;0,S_RISK,IF(AND($H117&gt;0,$I117=$H117),S_DONE,S_WIP))))</f>
        <v/>
      </c>
      <c r="N117" s="24">
        <f>IF($C117="","",$J117*1000+$K117*10+IF($H117=0,0,(1-$I117/$H117))+ROW()/1000000)</f>
        <v/>
      </c>
    </row>
    <row r="118">
      <c r="B118" s="21" t="inlineStr">
        <is>
          <t>SYS-TP</t>
        </is>
      </c>
      <c r="C118" s="21" t="inlineStr">
        <is>
          <t>TP-TSS-02 Traction Substation Alpha</t>
        </is>
      </c>
      <c r="D118" s="22" t="n">
        <v>46339</v>
      </c>
      <c r="E118" s="22" t="n">
        <v>46384</v>
      </c>
      <c r="F118" s="22" t="n"/>
      <c r="G118" s="22" t="n"/>
      <c r="H118" s="26">
        <f>IF($C118="","",COUNTIFS(DOC_EQP,$C118,DOC_ACTIVE,1))</f>
        <v/>
      </c>
      <c r="I118" s="26">
        <f>IF($C118="","",COUNTIFS(DOC_EQP,$C118,DOC_DONE,1))</f>
        <v/>
      </c>
      <c r="J118" s="26">
        <f>IF($C118="","",COUNTIFS(DOC_EQP,$C118,DOC_STATE,S_LATE))</f>
        <v/>
      </c>
      <c r="K118" s="26">
        <f>IF($C118="","",COUNTIFS(GAP_WHERE,$C118,GAP_KIND,"Equipment",GAP_KEY,"&gt;0"))</f>
        <v/>
      </c>
      <c r="L118" s="36">
        <f>IF($C118="","",IF($H118=0,"",$I118/$H118))</f>
        <v/>
      </c>
      <c r="M118" s="24">
        <f>IF($C118="","",IF($J118&gt;0,S_LATE,IF($K118&gt;0,S_RISK,IF(AND($H118&gt;0,$I118=$H118),S_DONE,S_WIP))))</f>
        <v/>
      </c>
      <c r="N118" s="24">
        <f>IF($C118="","",$J118*1000+$K118*10+IF($H118=0,0,(1-$I118/$H118))+ROW()/1000000)</f>
        <v/>
      </c>
    </row>
    <row r="119">
      <c r="B119" s="21" t="inlineStr">
        <is>
          <t>SYS-TP</t>
        </is>
      </c>
      <c r="C119" s="21" t="inlineStr">
        <is>
          <t>TP-TSS-03 Traction Substation Bravo</t>
        </is>
      </c>
      <c r="D119" s="22" t="n">
        <v>46359</v>
      </c>
      <c r="E119" s="22" t="n">
        <v>46404</v>
      </c>
      <c r="F119" s="22" t="n"/>
      <c r="G119" s="22" t="n"/>
      <c r="H119" s="26">
        <f>IF($C119="","",COUNTIFS(DOC_EQP,$C119,DOC_ACTIVE,1))</f>
        <v/>
      </c>
      <c r="I119" s="26">
        <f>IF($C119="","",COUNTIFS(DOC_EQP,$C119,DOC_DONE,1))</f>
        <v/>
      </c>
      <c r="J119" s="26">
        <f>IF($C119="","",COUNTIFS(DOC_EQP,$C119,DOC_STATE,S_LATE))</f>
        <v/>
      </c>
      <c r="K119" s="26">
        <f>IF($C119="","",COUNTIFS(GAP_WHERE,$C119,GAP_KIND,"Equipment",GAP_KEY,"&gt;0"))</f>
        <v/>
      </c>
      <c r="L119" s="36">
        <f>IF($C119="","",IF($H119=0,"",$I119/$H119))</f>
        <v/>
      </c>
      <c r="M119" s="24">
        <f>IF($C119="","",IF($J119&gt;0,S_LATE,IF($K119&gt;0,S_RISK,IF(AND($H119&gt;0,$I119=$H119),S_DONE,S_WIP))))</f>
        <v/>
      </c>
      <c r="N119" s="24">
        <f>IF($C119="","",$J119*1000+$K119*10+IF($H119=0,0,(1-$I119/$H119))+ROW()/1000000)</f>
        <v/>
      </c>
    </row>
    <row r="120">
      <c r="B120" s="21" t="inlineStr">
        <is>
          <t>SYS-TP</t>
        </is>
      </c>
      <c r="C120" s="21" t="inlineStr">
        <is>
          <t>TP-OHL-04 Overhead Line Section A</t>
        </is>
      </c>
      <c r="D120" s="22" t="n">
        <v>46374</v>
      </c>
      <c r="E120" s="22" t="n">
        <v>46419</v>
      </c>
      <c r="F120" s="22" t="n"/>
      <c r="G120" s="22" t="n"/>
      <c r="H120" s="26">
        <f>IF($C120="","",COUNTIFS(DOC_EQP,$C120,DOC_ACTIVE,1))</f>
        <v/>
      </c>
      <c r="I120" s="26">
        <f>IF($C120="","",COUNTIFS(DOC_EQP,$C120,DOC_DONE,1))</f>
        <v/>
      </c>
      <c r="J120" s="26">
        <f>IF($C120="","",COUNTIFS(DOC_EQP,$C120,DOC_STATE,S_LATE))</f>
        <v/>
      </c>
      <c r="K120" s="26">
        <f>IF($C120="","",COUNTIFS(GAP_WHERE,$C120,GAP_KIND,"Equipment",GAP_KEY,"&gt;0"))</f>
        <v/>
      </c>
      <c r="L120" s="36">
        <f>IF($C120="","",IF($H120=0,"",$I120/$H120))</f>
        <v/>
      </c>
      <c r="M120" s="24">
        <f>IF($C120="","",IF($J120&gt;0,S_LATE,IF($K120&gt;0,S_RISK,IF(AND($H120&gt;0,$I120=$H120),S_DONE,S_WIP))))</f>
        <v/>
      </c>
      <c r="N120" s="24">
        <f>IF($C120="","",$J120*1000+$K120*10+IF($H120=0,0,(1-$I120/$H120))+ROW()/1000000)</f>
        <v/>
      </c>
    </row>
    <row r="121">
      <c r="B121" s="21" t="inlineStr">
        <is>
          <t>SYS-SG</t>
        </is>
      </c>
      <c r="C121" s="21" t="inlineStr">
        <is>
          <t>SG-IXL-01 Interlocking Cabinet North</t>
        </is>
      </c>
      <c r="D121" s="22" t="n">
        <v>46409</v>
      </c>
      <c r="E121" s="22" t="n">
        <v>46454</v>
      </c>
      <c r="F121" s="22" t="n"/>
      <c r="G121" s="22" t="n"/>
      <c r="H121" s="26">
        <f>IF($C121="","",COUNTIFS(DOC_EQP,$C121,DOC_ACTIVE,1))</f>
        <v/>
      </c>
      <c r="I121" s="26">
        <f>IF($C121="","",COUNTIFS(DOC_EQP,$C121,DOC_DONE,1))</f>
        <v/>
      </c>
      <c r="J121" s="26">
        <f>IF($C121="","",COUNTIFS(DOC_EQP,$C121,DOC_STATE,S_LATE))</f>
        <v/>
      </c>
      <c r="K121" s="26">
        <f>IF($C121="","",COUNTIFS(GAP_WHERE,$C121,GAP_KIND,"Equipment",GAP_KEY,"&gt;0"))</f>
        <v/>
      </c>
      <c r="L121" s="36">
        <f>IF($C121="","",IF($H121=0,"",$I121/$H121))</f>
        <v/>
      </c>
      <c r="M121" s="24">
        <f>IF($C121="","",IF($J121&gt;0,S_LATE,IF($K121&gt;0,S_RISK,IF(AND($H121&gt;0,$I121=$H121),S_DONE,S_WIP))))</f>
        <v/>
      </c>
      <c r="N121" s="24">
        <f>IF($C121="","",$J121*1000+$K121*10+IF($H121=0,0,(1-$I121/$H121))+ROW()/1000000)</f>
        <v/>
      </c>
    </row>
    <row r="122">
      <c r="B122" s="21" t="inlineStr">
        <is>
          <t>SYS-SG</t>
        </is>
      </c>
      <c r="C122" s="21" t="inlineStr">
        <is>
          <t>SG-IXL-02 Interlocking Cabinet South</t>
        </is>
      </c>
      <c r="D122" s="22" t="n">
        <v>46434</v>
      </c>
      <c r="E122" s="22" t="n">
        <v>46479</v>
      </c>
      <c r="F122" s="22" t="n"/>
      <c r="G122" s="22" t="n"/>
      <c r="H122" s="26">
        <f>IF($C122="","",COUNTIFS(DOC_EQP,$C122,DOC_ACTIVE,1))</f>
        <v/>
      </c>
      <c r="I122" s="26">
        <f>IF($C122="","",COUNTIFS(DOC_EQP,$C122,DOC_DONE,1))</f>
        <v/>
      </c>
      <c r="J122" s="26">
        <f>IF($C122="","",COUNTIFS(DOC_EQP,$C122,DOC_STATE,S_LATE))</f>
        <v/>
      </c>
      <c r="K122" s="26">
        <f>IF($C122="","",COUNTIFS(GAP_WHERE,$C122,GAP_KIND,"Equipment",GAP_KEY,"&gt;0"))</f>
        <v/>
      </c>
      <c r="L122" s="36">
        <f>IF($C122="","",IF($H122=0,"",$I122/$H122))</f>
        <v/>
      </c>
      <c r="M122" s="24">
        <f>IF($C122="","",IF($J122&gt;0,S_LATE,IF($K122&gt;0,S_RISK,IF(AND($H122&gt;0,$I122=$H122),S_DONE,S_WIP))))</f>
        <v/>
      </c>
      <c r="N122" s="24">
        <f>IF($C122="","",$J122*1000+$K122*10+IF($H122=0,0,(1-$I122/$H122))+ROW()/1000000)</f>
        <v/>
      </c>
    </row>
    <row r="123">
      <c r="B123" s="21" t="inlineStr">
        <is>
          <t>SYS-SG</t>
        </is>
      </c>
      <c r="C123" s="21" t="inlineStr">
        <is>
          <t>SG-ATP-03 ATP Trackside Equipment</t>
        </is>
      </c>
      <c r="D123" s="22" t="n">
        <v>46454</v>
      </c>
      <c r="E123" s="22" t="n">
        <v>46499</v>
      </c>
      <c r="F123" s="22" t="n"/>
      <c r="G123" s="22" t="n"/>
      <c r="H123" s="26">
        <f>IF($C123="","",COUNTIFS(DOC_EQP,$C123,DOC_ACTIVE,1))</f>
        <v/>
      </c>
      <c r="I123" s="26">
        <f>IF($C123="","",COUNTIFS(DOC_EQP,$C123,DOC_DONE,1))</f>
        <v/>
      </c>
      <c r="J123" s="26">
        <f>IF($C123="","",COUNTIFS(DOC_EQP,$C123,DOC_STATE,S_LATE))</f>
        <v/>
      </c>
      <c r="K123" s="26">
        <f>IF($C123="","",COUNTIFS(GAP_WHERE,$C123,GAP_KIND,"Equipment",GAP_KEY,"&gt;0"))</f>
        <v/>
      </c>
      <c r="L123" s="36">
        <f>IF($C123="","",IF($H123=0,"",$I123/$H123))</f>
        <v/>
      </c>
      <c r="M123" s="24">
        <f>IF($C123="","",IF($J123&gt;0,S_LATE,IF($K123&gt;0,S_RISK,IF(AND($H123&gt;0,$I123=$H123),S_DONE,S_WIP))))</f>
        <v/>
      </c>
      <c r="N123" s="24">
        <f>IF($C123="","",$J123*1000+$K123*10+IF($H123=0,0,(1-$I123/$H123))+ROW()/1000000)</f>
        <v/>
      </c>
    </row>
    <row r="124">
      <c r="B124" s="21" t="inlineStr">
        <is>
          <t>SYS-SG</t>
        </is>
      </c>
      <c r="C124" s="21" t="inlineStr">
        <is>
          <t>SG-OCC-04 Signalling Workstations</t>
        </is>
      </c>
      <c r="D124" s="22" t="n">
        <v>46479</v>
      </c>
      <c r="E124" s="22" t="n">
        <v>46524</v>
      </c>
      <c r="F124" s="22" t="n"/>
      <c r="G124" s="22" t="n"/>
      <c r="H124" s="26">
        <f>IF($C124="","",COUNTIFS(DOC_EQP,$C124,DOC_ACTIVE,1))</f>
        <v/>
      </c>
      <c r="I124" s="26">
        <f>IF($C124="","",COUNTIFS(DOC_EQP,$C124,DOC_DONE,1))</f>
        <v/>
      </c>
      <c r="J124" s="26">
        <f>IF($C124="","",COUNTIFS(DOC_EQP,$C124,DOC_STATE,S_LATE))</f>
        <v/>
      </c>
      <c r="K124" s="26">
        <f>IF($C124="","",COUNTIFS(GAP_WHERE,$C124,GAP_KIND,"Equipment",GAP_KEY,"&gt;0"))</f>
        <v/>
      </c>
      <c r="L124" s="36">
        <f>IF($C124="","",IF($H124=0,"",$I124/$H124))</f>
        <v/>
      </c>
      <c r="M124" s="24">
        <f>IF($C124="","",IF($J124&gt;0,S_LATE,IF($K124&gt;0,S_RISK,IF(AND($H124&gt;0,$I124=$H124),S_DONE,S_WIP))))</f>
        <v/>
      </c>
      <c r="N124" s="24">
        <f>IF($C124="","",$J124*1000+$K124*10+IF($H124=0,0,(1-$I124/$H124))+ROW()/1000000)</f>
        <v/>
      </c>
    </row>
    <row r="125">
      <c r="B125" s="21" t="inlineStr">
        <is>
          <t>SYS-TV</t>
        </is>
      </c>
      <c r="C125" s="21" t="inlineStr">
        <is>
          <t>TV-JET-01 Jet Fan Array Tunnel 1</t>
        </is>
      </c>
      <c r="D125" s="22" t="n">
        <v>46499</v>
      </c>
      <c r="E125" s="22" t="n">
        <v>46544</v>
      </c>
      <c r="F125" s="22" t="n"/>
      <c r="G125" s="22" t="n"/>
      <c r="H125" s="26">
        <f>IF($C125="","",COUNTIFS(DOC_EQP,$C125,DOC_ACTIVE,1))</f>
        <v/>
      </c>
      <c r="I125" s="26">
        <f>IF($C125="","",COUNTIFS(DOC_EQP,$C125,DOC_DONE,1))</f>
        <v/>
      </c>
      <c r="J125" s="26">
        <f>IF($C125="","",COUNTIFS(DOC_EQP,$C125,DOC_STATE,S_LATE))</f>
        <v/>
      </c>
      <c r="K125" s="26">
        <f>IF($C125="","",COUNTIFS(GAP_WHERE,$C125,GAP_KIND,"Equipment",GAP_KEY,"&gt;0"))</f>
        <v/>
      </c>
      <c r="L125" s="36">
        <f>IF($C125="","",IF($H125=0,"",$I125/$H125))</f>
        <v/>
      </c>
      <c r="M125" s="24">
        <f>IF($C125="","",IF($J125&gt;0,S_LATE,IF($K125&gt;0,S_RISK,IF(AND($H125&gt;0,$I125=$H125),S_DONE,S_WIP))))</f>
        <v/>
      </c>
      <c r="N125" s="24">
        <f>IF($C125="","",$J125*1000+$K125*10+IF($H125=0,0,(1-$I125/$H125))+ROW()/1000000)</f>
        <v/>
      </c>
    </row>
    <row r="126">
      <c r="B126" s="21" t="inlineStr">
        <is>
          <t>SYS-TV</t>
        </is>
      </c>
      <c r="C126" s="21" t="inlineStr">
        <is>
          <t>TV-JET-02 Jet Fan Array Tunnel 2</t>
        </is>
      </c>
      <c r="D126" s="22" t="n">
        <v>46529</v>
      </c>
      <c r="E126" s="22" t="n">
        <v>46574</v>
      </c>
      <c r="F126" s="22" t="n"/>
      <c r="G126" s="22" t="n"/>
      <c r="H126" s="26">
        <f>IF($C126="","",COUNTIFS(DOC_EQP,$C126,DOC_ACTIVE,1))</f>
        <v/>
      </c>
      <c r="I126" s="26">
        <f>IF($C126="","",COUNTIFS(DOC_EQP,$C126,DOC_DONE,1))</f>
        <v/>
      </c>
      <c r="J126" s="26">
        <f>IF($C126="","",COUNTIFS(DOC_EQP,$C126,DOC_STATE,S_LATE))</f>
        <v/>
      </c>
      <c r="K126" s="26">
        <f>IF($C126="","",COUNTIFS(GAP_WHERE,$C126,GAP_KIND,"Equipment",GAP_KEY,"&gt;0"))</f>
        <v/>
      </c>
      <c r="L126" s="36">
        <f>IF($C126="","",IF($H126=0,"",$I126/$H126))</f>
        <v/>
      </c>
      <c r="M126" s="24">
        <f>IF($C126="","",IF($J126&gt;0,S_LATE,IF($K126&gt;0,S_RISK,IF(AND($H126&gt;0,$I126=$H126),S_DONE,S_WIP))))</f>
        <v/>
      </c>
      <c r="N126" s="24">
        <f>IF($C126="","",$J126*1000+$K126*10+IF($H126=0,0,(1-$I126/$H126))+ROW()/1000000)</f>
        <v/>
      </c>
    </row>
    <row r="127">
      <c r="B127" s="21" t="inlineStr">
        <is>
          <t>SYS-TV</t>
        </is>
      </c>
      <c r="C127" s="21" t="inlineStr">
        <is>
          <t>TV-SMK-03 Smoke Extraction Plant</t>
        </is>
      </c>
      <c r="D127" s="22" t="n">
        <v>46559</v>
      </c>
      <c r="E127" s="22" t="n">
        <v>46604</v>
      </c>
      <c r="F127" s="22" t="n"/>
      <c r="G127" s="22" t="n"/>
      <c r="H127" s="26">
        <f>IF($C127="","",COUNTIFS(DOC_EQP,$C127,DOC_ACTIVE,1))</f>
        <v/>
      </c>
      <c r="I127" s="26">
        <f>IF($C127="","",COUNTIFS(DOC_EQP,$C127,DOC_DONE,1))</f>
        <v/>
      </c>
      <c r="J127" s="26">
        <f>IF($C127="","",COUNTIFS(DOC_EQP,$C127,DOC_STATE,S_LATE))</f>
        <v/>
      </c>
      <c r="K127" s="26">
        <f>IF($C127="","",COUNTIFS(GAP_WHERE,$C127,GAP_KIND,"Equipment",GAP_KEY,"&gt;0"))</f>
        <v/>
      </c>
      <c r="L127" s="36">
        <f>IF($C127="","",IF($H127=0,"",$I127/$H127))</f>
        <v/>
      </c>
      <c r="M127" s="24">
        <f>IF($C127="","",IF($J127&gt;0,S_LATE,IF($K127&gt;0,S_RISK,IF(AND($H127&gt;0,$I127=$H127),S_DONE,S_WIP))))</f>
        <v/>
      </c>
      <c r="N127" s="24">
        <f>IF($C127="","",$J127*1000+$K127*10+IF($H127=0,0,(1-$I127/$H127))+ROW()/1000000)</f>
        <v/>
      </c>
    </row>
    <row r="128">
      <c r="B128" s="21" t="inlineStr">
        <is>
          <t>SYS-FA</t>
        </is>
      </c>
      <c r="C128" s="21" t="inlineStr">
        <is>
          <t>FA-PAN-01 Fire Panel Main</t>
        </is>
      </c>
      <c r="D128" s="22" t="n">
        <v>46589</v>
      </c>
      <c r="E128" s="22" t="n">
        <v>46634</v>
      </c>
      <c r="F128" s="22" t="n"/>
      <c r="G128" s="22" t="n"/>
      <c r="H128" s="26">
        <f>IF($C128="","",COUNTIFS(DOC_EQP,$C128,DOC_ACTIVE,1))</f>
        <v/>
      </c>
      <c r="I128" s="26">
        <f>IF($C128="","",COUNTIFS(DOC_EQP,$C128,DOC_DONE,1))</f>
        <v/>
      </c>
      <c r="J128" s="26">
        <f>IF($C128="","",COUNTIFS(DOC_EQP,$C128,DOC_STATE,S_LATE))</f>
        <v/>
      </c>
      <c r="K128" s="26">
        <f>IF($C128="","",COUNTIFS(GAP_WHERE,$C128,GAP_KIND,"Equipment",GAP_KEY,"&gt;0"))</f>
        <v/>
      </c>
      <c r="L128" s="36">
        <f>IF($C128="","",IF($H128=0,"",$I128/$H128))</f>
        <v/>
      </c>
      <c r="M128" s="24">
        <f>IF($C128="","",IF($J128&gt;0,S_LATE,IF($K128&gt;0,S_RISK,IF(AND($H128&gt;0,$I128=$H128),S_DONE,S_WIP))))</f>
        <v/>
      </c>
      <c r="N128" s="24">
        <f>IF($C128="","",$J128*1000+$K128*10+IF($H128=0,0,(1-$I128/$H128))+ROW()/1000000)</f>
        <v/>
      </c>
    </row>
    <row r="129">
      <c r="B129" s="21" t="inlineStr">
        <is>
          <t>SYS-FA</t>
        </is>
      </c>
      <c r="C129" s="21" t="inlineStr">
        <is>
          <t>FA-DET-02 Detection Loop Zone A</t>
        </is>
      </c>
      <c r="D129" s="22" t="n">
        <v>46619</v>
      </c>
      <c r="E129" s="22" t="n">
        <v>46664</v>
      </c>
      <c r="F129" s="22" t="n"/>
      <c r="G129" s="22" t="n"/>
      <c r="H129" s="26">
        <f>IF($C129="","",COUNTIFS(DOC_EQP,$C129,DOC_ACTIVE,1))</f>
        <v/>
      </c>
      <c r="I129" s="26">
        <f>IF($C129="","",COUNTIFS(DOC_EQP,$C129,DOC_DONE,1))</f>
        <v/>
      </c>
      <c r="J129" s="26">
        <f>IF($C129="","",COUNTIFS(DOC_EQP,$C129,DOC_STATE,S_LATE))</f>
        <v/>
      </c>
      <c r="K129" s="26">
        <f>IF($C129="","",COUNTIFS(GAP_WHERE,$C129,GAP_KIND,"Equipment",GAP_KEY,"&gt;0"))</f>
        <v/>
      </c>
      <c r="L129" s="36">
        <f>IF($C129="","",IF($H129=0,"",$I129/$H129))</f>
        <v/>
      </c>
      <c r="M129" s="24">
        <f>IF($C129="","",IF($J129&gt;0,S_LATE,IF($K129&gt;0,S_RISK,IF(AND($H129&gt;0,$I129=$H129),S_DONE,S_WIP))))</f>
        <v/>
      </c>
      <c r="N129" s="24">
        <f>IF($C129="","",$J129*1000+$K129*10+IF($H129=0,0,(1-$I129/$H129))+ROW()/1000000)</f>
        <v/>
      </c>
    </row>
    <row r="130">
      <c r="B130" s="21" t="inlineStr">
        <is>
          <t>SYS-FA</t>
        </is>
      </c>
      <c r="C130" s="21" t="inlineStr">
        <is>
          <t>FA-SUP-03 Suppression Skid</t>
        </is>
      </c>
      <c r="D130" s="22" t="n">
        <v>46644</v>
      </c>
      <c r="E130" s="22" t="n">
        <v>46689</v>
      </c>
      <c r="F130" s="22" t="n"/>
      <c r="G130" s="22" t="n"/>
      <c r="H130" s="26">
        <f>IF($C130="","",COUNTIFS(DOC_EQP,$C130,DOC_ACTIVE,1))</f>
        <v/>
      </c>
      <c r="I130" s="26">
        <f>IF($C130="","",COUNTIFS(DOC_EQP,$C130,DOC_DONE,1))</f>
        <v/>
      </c>
      <c r="J130" s="26">
        <f>IF($C130="","",COUNTIFS(DOC_EQP,$C130,DOC_STATE,S_LATE))</f>
        <v/>
      </c>
      <c r="K130" s="26">
        <f>IF($C130="","",COUNTIFS(GAP_WHERE,$C130,GAP_KIND,"Equipment",GAP_KEY,"&gt;0"))</f>
        <v/>
      </c>
      <c r="L130" s="36">
        <f>IF($C130="","",IF($H130=0,"",$I130/$H130))</f>
        <v/>
      </c>
      <c r="M130" s="24">
        <f>IF($C130="","",IF($J130&gt;0,S_LATE,IF($K130&gt;0,S_RISK,IF(AND($H130&gt;0,$I130=$H130),S_DONE,S_WIP))))</f>
        <v/>
      </c>
      <c r="N130" s="24">
        <f>IF($C130="","",$J130*1000+$K130*10+IF($H130=0,0,(1-$I130/$H130))+ROW()/1000000)</f>
        <v/>
      </c>
    </row>
    <row r="131">
      <c r="B131" s="21" t="inlineStr">
        <is>
          <t>SYS-LV</t>
        </is>
      </c>
      <c r="C131" s="21" t="inlineStr">
        <is>
          <t>LV-SWB-01 Main LV Switchboard</t>
        </is>
      </c>
      <c r="D131" s="22" t="n">
        <v>46679</v>
      </c>
      <c r="E131" s="22" t="n">
        <v>46724</v>
      </c>
      <c r="F131" s="22" t="n"/>
      <c r="G131" s="22" t="n"/>
      <c r="H131" s="26">
        <f>IF($C131="","",COUNTIFS(DOC_EQP,$C131,DOC_ACTIVE,1))</f>
        <v/>
      </c>
      <c r="I131" s="26">
        <f>IF($C131="","",COUNTIFS(DOC_EQP,$C131,DOC_DONE,1))</f>
        <v/>
      </c>
      <c r="J131" s="26">
        <f>IF($C131="","",COUNTIFS(DOC_EQP,$C131,DOC_STATE,S_LATE))</f>
        <v/>
      </c>
      <c r="K131" s="26">
        <f>IF($C131="","",COUNTIFS(GAP_WHERE,$C131,GAP_KIND,"Equipment",GAP_KEY,"&gt;0"))</f>
        <v/>
      </c>
      <c r="L131" s="36">
        <f>IF($C131="","",IF($H131=0,"",$I131/$H131))</f>
        <v/>
      </c>
      <c r="M131" s="24">
        <f>IF($C131="","",IF($J131&gt;0,S_LATE,IF($K131&gt;0,S_RISK,IF(AND($H131&gt;0,$I131=$H131),S_DONE,S_WIP))))</f>
        <v/>
      </c>
      <c r="N131" s="24">
        <f>IF($C131="","",$J131*1000+$K131*10+IF($H131=0,0,(1-$I131/$H131))+ROW()/1000000)</f>
        <v/>
      </c>
    </row>
    <row r="132">
      <c r="B132" s="21" t="inlineStr">
        <is>
          <t>SYS-LV</t>
        </is>
      </c>
      <c r="C132" s="21" t="inlineStr">
        <is>
          <t>LV-UPS-02 UPS Room A</t>
        </is>
      </c>
      <c r="D132" s="22" t="n">
        <v>46714</v>
      </c>
      <c r="E132" s="22" t="n">
        <v>46759</v>
      </c>
      <c r="F132" s="22" t="n"/>
      <c r="G132" s="22" t="n"/>
      <c r="H132" s="26">
        <f>IF($C132="","",COUNTIFS(DOC_EQP,$C132,DOC_ACTIVE,1))</f>
        <v/>
      </c>
      <c r="I132" s="26">
        <f>IF($C132="","",COUNTIFS(DOC_EQP,$C132,DOC_DONE,1))</f>
        <v/>
      </c>
      <c r="J132" s="26">
        <f>IF($C132="","",COUNTIFS(DOC_EQP,$C132,DOC_STATE,S_LATE))</f>
        <v/>
      </c>
      <c r="K132" s="26">
        <f>IF($C132="","",COUNTIFS(GAP_WHERE,$C132,GAP_KIND,"Equipment",GAP_KEY,"&gt;0"))</f>
        <v/>
      </c>
      <c r="L132" s="36">
        <f>IF($C132="","",IF($H132=0,"",$I132/$H132))</f>
        <v/>
      </c>
      <c r="M132" s="24">
        <f>IF($C132="","",IF($J132&gt;0,S_LATE,IF($K132&gt;0,S_RISK,IF(AND($H132&gt;0,$I132=$H132),S_DONE,S_WIP))))</f>
        <v/>
      </c>
      <c r="N132" s="24">
        <f>IF($C132="","",$J132*1000+$K132*10+IF($H132=0,0,(1-$I132/$H132))+ROW()/1000000)</f>
        <v/>
      </c>
    </row>
    <row r="133">
      <c r="B133" s="21" t="inlineStr">
        <is>
          <t>SYS-LV</t>
        </is>
      </c>
      <c r="C133" s="21" t="inlineStr">
        <is>
          <t>LV-GEN-03 Standby Generator</t>
        </is>
      </c>
      <c r="D133" s="22" t="n">
        <v>46744</v>
      </c>
      <c r="E133" s="22" t="n">
        <v>46789</v>
      </c>
      <c r="F133" s="22" t="n"/>
      <c r="G133" s="22" t="n"/>
      <c r="H133" s="26">
        <f>IF($C133="","",COUNTIFS(DOC_EQP,$C133,DOC_ACTIVE,1))</f>
        <v/>
      </c>
      <c r="I133" s="26">
        <f>IF($C133="","",COUNTIFS(DOC_EQP,$C133,DOC_DONE,1))</f>
        <v/>
      </c>
      <c r="J133" s="26">
        <f>IF($C133="","",COUNTIFS(DOC_EQP,$C133,DOC_STATE,S_LATE))</f>
        <v/>
      </c>
      <c r="K133" s="26">
        <f>IF($C133="","",COUNTIFS(GAP_WHERE,$C133,GAP_KIND,"Equipment",GAP_KEY,"&gt;0"))</f>
        <v/>
      </c>
      <c r="L133" s="36">
        <f>IF($C133="","",IF($H133=0,"",$I133/$H133))</f>
        <v/>
      </c>
      <c r="M133" s="24">
        <f>IF($C133="","",IF($J133&gt;0,S_LATE,IF($K133&gt;0,S_RISK,IF(AND($H133&gt;0,$I133=$H133),S_DONE,S_WIP))))</f>
        <v/>
      </c>
      <c r="N133" s="24">
        <f>IF($C133="","",$J133*1000+$K133*10+IF($H133=0,0,(1-$I133/$H133))+ROW()/1000000)</f>
        <v/>
      </c>
    </row>
    <row r="134">
      <c r="B134" s="21" t="inlineStr">
        <is>
          <t>SYS-CC</t>
        </is>
      </c>
      <c r="C134" s="21" t="inlineStr">
        <is>
          <t>CC-SRV-01 SCADA Server Cluster</t>
        </is>
      </c>
      <c r="D134" s="22" t="n">
        <v>46779</v>
      </c>
      <c r="E134" s="22" t="n">
        <v>46824</v>
      </c>
      <c r="F134" s="22" t="n"/>
      <c r="G134" s="22" t="n"/>
      <c r="H134" s="26">
        <f>IF($C134="","",COUNTIFS(DOC_EQP,$C134,DOC_ACTIVE,1))</f>
        <v/>
      </c>
      <c r="I134" s="26">
        <f>IF($C134="","",COUNTIFS(DOC_EQP,$C134,DOC_DONE,1))</f>
        <v/>
      </c>
      <c r="J134" s="26">
        <f>IF($C134="","",COUNTIFS(DOC_EQP,$C134,DOC_STATE,S_LATE))</f>
        <v/>
      </c>
      <c r="K134" s="26">
        <f>IF($C134="","",COUNTIFS(GAP_WHERE,$C134,GAP_KIND,"Equipment",GAP_KEY,"&gt;0"))</f>
        <v/>
      </c>
      <c r="L134" s="36">
        <f>IF($C134="","",IF($H134=0,"",$I134/$H134))</f>
        <v/>
      </c>
      <c r="M134" s="24">
        <f>IF($C134="","",IF($J134&gt;0,S_LATE,IF($K134&gt;0,S_RISK,IF(AND($H134&gt;0,$I134=$H134),S_DONE,S_WIP))))</f>
        <v/>
      </c>
      <c r="N134" s="24">
        <f>IF($C134="","",$J134*1000+$K134*10+IF($H134=0,0,(1-$I134/$H134))+ROW()/1000000)</f>
        <v/>
      </c>
    </row>
    <row r="135">
      <c r="B135" s="21" t="inlineStr">
        <is>
          <t>SYS-CC</t>
        </is>
      </c>
      <c r="C135" s="21" t="inlineStr">
        <is>
          <t>CC-HMI-02 Operator Workstations</t>
        </is>
      </c>
      <c r="D135" s="22" t="n">
        <v>46809</v>
      </c>
      <c r="E135" s="22" t="n">
        <v>46854</v>
      </c>
      <c r="F135" s="22" t="n"/>
      <c r="G135" s="22" t="n"/>
      <c r="H135" s="26">
        <f>IF($C135="","",COUNTIFS(DOC_EQP,$C135,DOC_ACTIVE,1))</f>
        <v/>
      </c>
      <c r="I135" s="26">
        <f>IF($C135="","",COUNTIFS(DOC_EQP,$C135,DOC_DONE,1))</f>
        <v/>
      </c>
      <c r="J135" s="26">
        <f>IF($C135="","",COUNTIFS(DOC_EQP,$C135,DOC_STATE,S_LATE))</f>
        <v/>
      </c>
      <c r="K135" s="26">
        <f>IF($C135="","",COUNTIFS(GAP_WHERE,$C135,GAP_KIND,"Equipment",GAP_KEY,"&gt;0"))</f>
        <v/>
      </c>
      <c r="L135" s="36">
        <f>IF($C135="","",IF($H135=0,"",$I135/$H135))</f>
        <v/>
      </c>
      <c r="M135" s="24">
        <f>IF($C135="","",IF($J135&gt;0,S_LATE,IF($K135&gt;0,S_RISK,IF(AND($H135&gt;0,$I135=$H135),S_DONE,S_WIP))))</f>
        <v/>
      </c>
      <c r="N135" s="24">
        <f>IF($C135="","",$J135*1000+$K135*10+IF($H135=0,0,(1-$I135/$H135))+ROW()/1000000)</f>
        <v/>
      </c>
    </row>
    <row r="136">
      <c r="B136" s="21" t="inlineStr">
        <is>
          <t>SYS-CC</t>
        </is>
      </c>
      <c r="C136" s="21" t="inlineStr">
        <is>
          <t>CC-NET-03 Control Network Core</t>
        </is>
      </c>
      <c r="D136" s="22" t="n">
        <v>46834</v>
      </c>
      <c r="E136" s="22" t="n">
        <v>46879</v>
      </c>
      <c r="F136" s="22" t="n"/>
      <c r="G136" s="22" t="n"/>
      <c r="H136" s="26">
        <f>IF($C136="","",COUNTIFS(DOC_EQP,$C136,DOC_ACTIVE,1))</f>
        <v/>
      </c>
      <c r="I136" s="26">
        <f>IF($C136="","",COUNTIFS(DOC_EQP,$C136,DOC_DONE,1))</f>
        <v/>
      </c>
      <c r="J136" s="26">
        <f>IF($C136="","",COUNTIFS(DOC_EQP,$C136,DOC_STATE,S_LATE))</f>
        <v/>
      </c>
      <c r="K136" s="26">
        <f>IF($C136="","",COUNTIFS(GAP_WHERE,$C136,GAP_KIND,"Equipment",GAP_KEY,"&gt;0"))</f>
        <v/>
      </c>
      <c r="L136" s="36">
        <f>IF($C136="","",IF($H136=0,"",$I136/$H136))</f>
        <v/>
      </c>
      <c r="M136" s="24">
        <f>IF($C136="","",IF($J136&gt;0,S_LATE,IF($K136&gt;0,S_RISK,IF(AND($H136&gt;0,$I136=$H136),S_DONE,S_WIP))))</f>
        <v/>
      </c>
      <c r="N136" s="24">
        <f>IF($C136="","",$J136*1000+$K136*10+IF($H136=0,0,(1-$I136/$H136))+ROW()/1000000)</f>
        <v/>
      </c>
    </row>
    <row r="137">
      <c r="B137" s="21" t="n"/>
      <c r="C137" s="21" t="n"/>
      <c r="D137" s="22" t="n"/>
      <c r="E137" s="22" t="n"/>
      <c r="F137" s="22" t="n"/>
      <c r="G137" s="22" t="n"/>
      <c r="H137" s="26">
        <f>IF($C137="","",COUNTIFS(DOC_EQP,$C137,DOC_ACTIVE,1))</f>
        <v/>
      </c>
      <c r="I137" s="26">
        <f>IF($C137="","",COUNTIFS(DOC_EQP,$C137,DOC_DONE,1))</f>
        <v/>
      </c>
      <c r="J137" s="26">
        <f>IF($C137="","",COUNTIFS(DOC_EQP,$C137,DOC_STATE,S_LATE))</f>
        <v/>
      </c>
      <c r="K137" s="26">
        <f>IF($C137="","",COUNTIFS(GAP_WHERE,$C137,GAP_KIND,"Equipment",GAP_KEY,"&gt;0"))</f>
        <v/>
      </c>
      <c r="L137" s="36">
        <f>IF($C137="","",IF($H137=0,"",$I137/$H137))</f>
        <v/>
      </c>
      <c r="M137" s="24">
        <f>IF($C137="","",IF($J137&gt;0,S_LATE,IF($K137&gt;0,S_RISK,IF(AND($H137&gt;0,$I137=$H137),S_DONE,S_WIP))))</f>
        <v/>
      </c>
      <c r="N137" s="24">
        <f>IF($C137="","",$J137*1000+$K137*10+IF($H137=0,0,(1-$I137/$H137))+ROW()/1000000)</f>
        <v/>
      </c>
    </row>
    <row r="138">
      <c r="B138" s="21" t="n"/>
      <c r="C138" s="21" t="n"/>
      <c r="D138" s="22" t="n"/>
      <c r="E138" s="22" t="n"/>
      <c r="F138" s="22" t="n"/>
      <c r="G138" s="22" t="n"/>
      <c r="H138" s="26">
        <f>IF($C138="","",COUNTIFS(DOC_EQP,$C138,DOC_ACTIVE,1))</f>
        <v/>
      </c>
      <c r="I138" s="26">
        <f>IF($C138="","",COUNTIFS(DOC_EQP,$C138,DOC_DONE,1))</f>
        <v/>
      </c>
      <c r="J138" s="26">
        <f>IF($C138="","",COUNTIFS(DOC_EQP,$C138,DOC_STATE,S_LATE))</f>
        <v/>
      </c>
      <c r="K138" s="26">
        <f>IF($C138="","",COUNTIFS(GAP_WHERE,$C138,GAP_KIND,"Equipment",GAP_KEY,"&gt;0"))</f>
        <v/>
      </c>
      <c r="L138" s="36">
        <f>IF($C138="","",IF($H138=0,"",$I138/$H138))</f>
        <v/>
      </c>
      <c r="M138" s="24">
        <f>IF($C138="","",IF($J138&gt;0,S_LATE,IF($K138&gt;0,S_RISK,IF(AND($H138&gt;0,$I138=$H138),S_DONE,S_WIP))))</f>
        <v/>
      </c>
      <c r="N138" s="24">
        <f>IF($C138="","",$J138*1000+$K138*10+IF($H138=0,0,(1-$I138/$H138))+ROW()/1000000)</f>
        <v/>
      </c>
    </row>
    <row r="139">
      <c r="B139" s="21" t="n"/>
      <c r="C139" s="21" t="n"/>
      <c r="D139" s="22" t="n"/>
      <c r="E139" s="22" t="n"/>
      <c r="F139" s="22" t="n"/>
      <c r="G139" s="22" t="n"/>
      <c r="H139" s="26">
        <f>IF($C139="","",COUNTIFS(DOC_EQP,$C139,DOC_ACTIVE,1))</f>
        <v/>
      </c>
      <c r="I139" s="26">
        <f>IF($C139="","",COUNTIFS(DOC_EQP,$C139,DOC_DONE,1))</f>
        <v/>
      </c>
      <c r="J139" s="26">
        <f>IF($C139="","",COUNTIFS(DOC_EQP,$C139,DOC_STATE,S_LATE))</f>
        <v/>
      </c>
      <c r="K139" s="26">
        <f>IF($C139="","",COUNTIFS(GAP_WHERE,$C139,GAP_KIND,"Equipment",GAP_KEY,"&gt;0"))</f>
        <v/>
      </c>
      <c r="L139" s="36">
        <f>IF($C139="","",IF($H139=0,"",$I139/$H139))</f>
        <v/>
      </c>
      <c r="M139" s="24">
        <f>IF($C139="","",IF($J139&gt;0,S_LATE,IF($K139&gt;0,S_RISK,IF(AND($H139&gt;0,$I139=$H139),S_DONE,S_WIP))))</f>
        <v/>
      </c>
      <c r="N139" s="24">
        <f>IF($C139="","",$J139*1000+$K139*10+IF($H139=0,0,(1-$I139/$H139))+ROW()/1000000)</f>
        <v/>
      </c>
    </row>
    <row r="140">
      <c r="B140" s="21" t="n"/>
      <c r="C140" s="21" t="n"/>
      <c r="D140" s="22" t="n"/>
      <c r="E140" s="22" t="n"/>
      <c r="F140" s="22" t="n"/>
      <c r="G140" s="22" t="n"/>
      <c r="H140" s="26">
        <f>IF($C140="","",COUNTIFS(DOC_EQP,$C140,DOC_ACTIVE,1))</f>
        <v/>
      </c>
      <c r="I140" s="26">
        <f>IF($C140="","",COUNTIFS(DOC_EQP,$C140,DOC_DONE,1))</f>
        <v/>
      </c>
      <c r="J140" s="26">
        <f>IF($C140="","",COUNTIFS(DOC_EQP,$C140,DOC_STATE,S_LATE))</f>
        <v/>
      </c>
      <c r="K140" s="26">
        <f>IF($C140="","",COUNTIFS(GAP_WHERE,$C140,GAP_KIND,"Equipment",GAP_KEY,"&gt;0"))</f>
        <v/>
      </c>
      <c r="L140" s="36">
        <f>IF($C140="","",IF($H140=0,"",$I140/$H140))</f>
        <v/>
      </c>
      <c r="M140" s="24">
        <f>IF($C140="","",IF($J140&gt;0,S_LATE,IF($K140&gt;0,S_RISK,IF(AND($H140&gt;0,$I140=$H140),S_DONE,S_WIP))))</f>
        <v/>
      </c>
      <c r="N140" s="24">
        <f>IF($C140="","",$J140*1000+$K140*10+IF($H140=0,0,(1-$I140/$H140))+ROW()/1000000)</f>
        <v/>
      </c>
    </row>
    <row r="141">
      <c r="B141" s="21" t="n"/>
      <c r="C141" s="21" t="n"/>
      <c r="D141" s="22" t="n"/>
      <c r="E141" s="22" t="n"/>
      <c r="F141" s="22" t="n"/>
      <c r="G141" s="22" t="n"/>
      <c r="H141" s="26">
        <f>IF($C141="","",COUNTIFS(DOC_EQP,$C141,DOC_ACTIVE,1))</f>
        <v/>
      </c>
      <c r="I141" s="26">
        <f>IF($C141="","",COUNTIFS(DOC_EQP,$C141,DOC_DONE,1))</f>
        <v/>
      </c>
      <c r="J141" s="26">
        <f>IF($C141="","",COUNTIFS(DOC_EQP,$C141,DOC_STATE,S_LATE))</f>
        <v/>
      </c>
      <c r="K141" s="26">
        <f>IF($C141="","",COUNTIFS(GAP_WHERE,$C141,GAP_KIND,"Equipment",GAP_KEY,"&gt;0"))</f>
        <v/>
      </c>
      <c r="L141" s="36">
        <f>IF($C141="","",IF($H141=0,"",$I141/$H141))</f>
        <v/>
      </c>
      <c r="M141" s="24">
        <f>IF($C141="","",IF($J141&gt;0,S_LATE,IF($K141&gt;0,S_RISK,IF(AND($H141&gt;0,$I141=$H141),S_DONE,S_WIP))))</f>
        <v/>
      </c>
      <c r="N141" s="24">
        <f>IF($C141="","",$J141*1000+$K141*10+IF($H141=0,0,(1-$I141/$H141))+ROW()/1000000)</f>
        <v/>
      </c>
    </row>
    <row r="142">
      <c r="B142" s="21" t="n"/>
      <c r="C142" s="21" t="n"/>
      <c r="D142" s="22" t="n"/>
      <c r="E142" s="22" t="n"/>
      <c r="F142" s="22" t="n"/>
      <c r="G142" s="22" t="n"/>
      <c r="H142" s="26">
        <f>IF($C142="","",COUNTIFS(DOC_EQP,$C142,DOC_ACTIVE,1))</f>
        <v/>
      </c>
      <c r="I142" s="26">
        <f>IF($C142="","",COUNTIFS(DOC_EQP,$C142,DOC_DONE,1))</f>
        <v/>
      </c>
      <c r="J142" s="26">
        <f>IF($C142="","",COUNTIFS(DOC_EQP,$C142,DOC_STATE,S_LATE))</f>
        <v/>
      </c>
      <c r="K142" s="26">
        <f>IF($C142="","",COUNTIFS(GAP_WHERE,$C142,GAP_KIND,"Equipment",GAP_KEY,"&gt;0"))</f>
        <v/>
      </c>
      <c r="L142" s="36">
        <f>IF($C142="","",IF($H142=0,"",$I142/$H142))</f>
        <v/>
      </c>
      <c r="M142" s="24">
        <f>IF($C142="","",IF($J142&gt;0,S_LATE,IF($K142&gt;0,S_RISK,IF(AND($H142&gt;0,$I142=$H142),S_DONE,S_WIP))))</f>
        <v/>
      </c>
      <c r="N142" s="24">
        <f>IF($C142="","",$J142*1000+$K142*10+IF($H142=0,0,(1-$I142/$H142))+ROW()/1000000)</f>
        <v/>
      </c>
    </row>
    <row r="143">
      <c r="B143" s="21" t="n"/>
      <c r="C143" s="21" t="n"/>
      <c r="D143" s="22" t="n"/>
      <c r="E143" s="22" t="n"/>
      <c r="F143" s="22" t="n"/>
      <c r="G143" s="22" t="n"/>
      <c r="H143" s="26">
        <f>IF($C143="","",COUNTIFS(DOC_EQP,$C143,DOC_ACTIVE,1))</f>
        <v/>
      </c>
      <c r="I143" s="26">
        <f>IF($C143="","",COUNTIFS(DOC_EQP,$C143,DOC_DONE,1))</f>
        <v/>
      </c>
      <c r="J143" s="26">
        <f>IF($C143="","",COUNTIFS(DOC_EQP,$C143,DOC_STATE,S_LATE))</f>
        <v/>
      </c>
      <c r="K143" s="26">
        <f>IF($C143="","",COUNTIFS(GAP_WHERE,$C143,GAP_KIND,"Equipment",GAP_KEY,"&gt;0"))</f>
        <v/>
      </c>
      <c r="L143" s="36">
        <f>IF($C143="","",IF($H143=0,"",$I143/$H143))</f>
        <v/>
      </c>
      <c r="M143" s="24">
        <f>IF($C143="","",IF($J143&gt;0,S_LATE,IF($K143&gt;0,S_RISK,IF(AND($H143&gt;0,$I143=$H143),S_DONE,S_WIP))))</f>
        <v/>
      </c>
      <c r="N143" s="24">
        <f>IF($C143="","",$J143*1000+$K143*10+IF($H143=0,0,(1-$I143/$H143))+ROW()/1000000)</f>
        <v/>
      </c>
    </row>
    <row r="144">
      <c r="B144" s="21" t="n"/>
      <c r="C144" s="21" t="n"/>
      <c r="D144" s="22" t="n"/>
      <c r="E144" s="22" t="n"/>
      <c r="F144" s="22" t="n"/>
      <c r="G144" s="22" t="n"/>
      <c r="H144" s="26">
        <f>IF($C144="","",COUNTIFS(DOC_EQP,$C144,DOC_ACTIVE,1))</f>
        <v/>
      </c>
      <c r="I144" s="26">
        <f>IF($C144="","",COUNTIFS(DOC_EQP,$C144,DOC_DONE,1))</f>
        <v/>
      </c>
      <c r="J144" s="26">
        <f>IF($C144="","",COUNTIFS(DOC_EQP,$C144,DOC_STATE,S_LATE))</f>
        <v/>
      </c>
      <c r="K144" s="26">
        <f>IF($C144="","",COUNTIFS(GAP_WHERE,$C144,GAP_KIND,"Equipment",GAP_KEY,"&gt;0"))</f>
        <v/>
      </c>
      <c r="L144" s="36">
        <f>IF($C144="","",IF($H144=0,"",$I144/$H144))</f>
        <v/>
      </c>
      <c r="M144" s="24">
        <f>IF($C144="","",IF($J144&gt;0,S_LATE,IF($K144&gt;0,S_RISK,IF(AND($H144&gt;0,$I144=$H144),S_DONE,S_WIP))))</f>
        <v/>
      </c>
      <c r="N144" s="24">
        <f>IF($C144="","",$J144*1000+$K144*10+IF($H144=0,0,(1-$I144/$H144))+ROW()/1000000)</f>
        <v/>
      </c>
    </row>
    <row r="145">
      <c r="B145" s="21" t="n"/>
      <c r="C145" s="21" t="n"/>
      <c r="D145" s="22" t="n"/>
      <c r="E145" s="22" t="n"/>
      <c r="F145" s="22" t="n"/>
      <c r="G145" s="22" t="n"/>
      <c r="H145" s="26">
        <f>IF($C145="","",COUNTIFS(DOC_EQP,$C145,DOC_ACTIVE,1))</f>
        <v/>
      </c>
      <c r="I145" s="26">
        <f>IF($C145="","",COUNTIFS(DOC_EQP,$C145,DOC_DONE,1))</f>
        <v/>
      </c>
      <c r="J145" s="26">
        <f>IF($C145="","",COUNTIFS(DOC_EQP,$C145,DOC_STATE,S_LATE))</f>
        <v/>
      </c>
      <c r="K145" s="26">
        <f>IF($C145="","",COUNTIFS(GAP_WHERE,$C145,GAP_KIND,"Equipment",GAP_KEY,"&gt;0"))</f>
        <v/>
      </c>
      <c r="L145" s="36">
        <f>IF($C145="","",IF($H145=0,"",$I145/$H145))</f>
        <v/>
      </c>
      <c r="M145" s="24">
        <f>IF($C145="","",IF($J145&gt;0,S_LATE,IF($K145&gt;0,S_RISK,IF(AND($H145&gt;0,$I145=$H145),S_DONE,S_WIP))))</f>
        <v/>
      </c>
      <c r="N145" s="24">
        <f>IF($C145="","",$J145*1000+$K145*10+IF($H145=0,0,(1-$I145/$H145))+ROW()/1000000)</f>
        <v/>
      </c>
    </row>
    <row r="146">
      <c r="B146" s="21" t="n"/>
      <c r="C146" s="21" t="n"/>
      <c r="D146" s="22" t="n"/>
      <c r="E146" s="22" t="n"/>
      <c r="F146" s="22" t="n"/>
      <c r="G146" s="22" t="n"/>
      <c r="H146" s="26">
        <f>IF($C146="","",COUNTIFS(DOC_EQP,$C146,DOC_ACTIVE,1))</f>
        <v/>
      </c>
      <c r="I146" s="26">
        <f>IF($C146="","",COUNTIFS(DOC_EQP,$C146,DOC_DONE,1))</f>
        <v/>
      </c>
      <c r="J146" s="26">
        <f>IF($C146="","",COUNTIFS(DOC_EQP,$C146,DOC_STATE,S_LATE))</f>
        <v/>
      </c>
      <c r="K146" s="26">
        <f>IF($C146="","",COUNTIFS(GAP_WHERE,$C146,GAP_KIND,"Equipment",GAP_KEY,"&gt;0"))</f>
        <v/>
      </c>
      <c r="L146" s="36">
        <f>IF($C146="","",IF($H146=0,"",$I146/$H146))</f>
        <v/>
      </c>
      <c r="M146" s="24">
        <f>IF($C146="","",IF($J146&gt;0,S_LATE,IF($K146&gt;0,S_RISK,IF(AND($H146&gt;0,$I146=$H146),S_DONE,S_WIP))))</f>
        <v/>
      </c>
      <c r="N146" s="24">
        <f>IF($C146="","",$J146*1000+$K146*10+IF($H146=0,0,(1-$I146/$H146))+ROW()/1000000)</f>
        <v/>
      </c>
    </row>
    <row r="147">
      <c r="B147" s="21" t="n"/>
      <c r="C147" s="21" t="n"/>
      <c r="D147" s="22" t="n"/>
      <c r="E147" s="22" t="n"/>
      <c r="F147" s="22" t="n"/>
      <c r="G147" s="22" t="n"/>
      <c r="H147" s="26">
        <f>IF($C147="","",COUNTIFS(DOC_EQP,$C147,DOC_ACTIVE,1))</f>
        <v/>
      </c>
      <c r="I147" s="26">
        <f>IF($C147="","",COUNTIFS(DOC_EQP,$C147,DOC_DONE,1))</f>
        <v/>
      </c>
      <c r="J147" s="26">
        <f>IF($C147="","",COUNTIFS(DOC_EQP,$C147,DOC_STATE,S_LATE))</f>
        <v/>
      </c>
      <c r="K147" s="26">
        <f>IF($C147="","",COUNTIFS(GAP_WHERE,$C147,GAP_KIND,"Equipment",GAP_KEY,"&gt;0"))</f>
        <v/>
      </c>
      <c r="L147" s="36">
        <f>IF($C147="","",IF($H147=0,"",$I147/$H147))</f>
        <v/>
      </c>
      <c r="M147" s="24">
        <f>IF($C147="","",IF($J147&gt;0,S_LATE,IF($K147&gt;0,S_RISK,IF(AND($H147&gt;0,$I147=$H147),S_DONE,S_WIP))))</f>
        <v/>
      </c>
      <c r="N147" s="24">
        <f>IF($C147="","",$J147*1000+$K147*10+IF($H147=0,0,(1-$I147/$H147))+ROW()/1000000)</f>
        <v/>
      </c>
    </row>
    <row r="148">
      <c r="B148" s="21" t="n"/>
      <c r="C148" s="21" t="n"/>
      <c r="D148" s="22" t="n"/>
      <c r="E148" s="22" t="n"/>
      <c r="F148" s="22" t="n"/>
      <c r="G148" s="22" t="n"/>
      <c r="H148" s="26">
        <f>IF($C148="","",COUNTIFS(DOC_EQP,$C148,DOC_ACTIVE,1))</f>
        <v/>
      </c>
      <c r="I148" s="26">
        <f>IF($C148="","",COUNTIFS(DOC_EQP,$C148,DOC_DONE,1))</f>
        <v/>
      </c>
      <c r="J148" s="26">
        <f>IF($C148="","",COUNTIFS(DOC_EQP,$C148,DOC_STATE,S_LATE))</f>
        <v/>
      </c>
      <c r="K148" s="26">
        <f>IF($C148="","",COUNTIFS(GAP_WHERE,$C148,GAP_KIND,"Equipment",GAP_KEY,"&gt;0"))</f>
        <v/>
      </c>
      <c r="L148" s="36">
        <f>IF($C148="","",IF($H148=0,"",$I148/$H148))</f>
        <v/>
      </c>
      <c r="M148" s="24">
        <f>IF($C148="","",IF($J148&gt;0,S_LATE,IF($K148&gt;0,S_RISK,IF(AND($H148&gt;0,$I148=$H148),S_DONE,S_WIP))))</f>
        <v/>
      </c>
      <c r="N148" s="24">
        <f>IF($C148="","",$J148*1000+$K148*10+IF($H148=0,0,(1-$I148/$H148))+ROW()/1000000)</f>
        <v/>
      </c>
    </row>
    <row r="149">
      <c r="B149" s="21" t="n"/>
      <c r="C149" s="21" t="n"/>
      <c r="D149" s="22" t="n"/>
      <c r="E149" s="22" t="n"/>
      <c r="F149" s="22" t="n"/>
      <c r="G149" s="22" t="n"/>
      <c r="H149" s="26">
        <f>IF($C149="","",COUNTIFS(DOC_EQP,$C149,DOC_ACTIVE,1))</f>
        <v/>
      </c>
      <c r="I149" s="26">
        <f>IF($C149="","",COUNTIFS(DOC_EQP,$C149,DOC_DONE,1))</f>
        <v/>
      </c>
      <c r="J149" s="26">
        <f>IF($C149="","",COUNTIFS(DOC_EQP,$C149,DOC_STATE,S_LATE))</f>
        <v/>
      </c>
      <c r="K149" s="26">
        <f>IF($C149="","",COUNTIFS(GAP_WHERE,$C149,GAP_KIND,"Equipment",GAP_KEY,"&gt;0"))</f>
        <v/>
      </c>
      <c r="L149" s="36">
        <f>IF($C149="","",IF($H149=0,"",$I149/$H149))</f>
        <v/>
      </c>
      <c r="M149" s="24">
        <f>IF($C149="","",IF($J149&gt;0,S_LATE,IF($K149&gt;0,S_RISK,IF(AND($H149&gt;0,$I149=$H149),S_DONE,S_WIP))))</f>
        <v/>
      </c>
      <c r="N149" s="24">
        <f>IF($C149="","",$J149*1000+$K149*10+IF($H149=0,0,(1-$I149/$H149))+ROW()/1000000)</f>
        <v/>
      </c>
    </row>
    <row r="150">
      <c r="B150" s="21" t="n"/>
      <c r="C150" s="21" t="n"/>
      <c r="D150" s="22" t="n"/>
      <c r="E150" s="22" t="n"/>
      <c r="F150" s="22" t="n"/>
      <c r="G150" s="22" t="n"/>
      <c r="H150" s="26">
        <f>IF($C150="","",COUNTIFS(DOC_EQP,$C150,DOC_ACTIVE,1))</f>
        <v/>
      </c>
      <c r="I150" s="26">
        <f>IF($C150="","",COUNTIFS(DOC_EQP,$C150,DOC_DONE,1))</f>
        <v/>
      </c>
      <c r="J150" s="26">
        <f>IF($C150="","",COUNTIFS(DOC_EQP,$C150,DOC_STATE,S_LATE))</f>
        <v/>
      </c>
      <c r="K150" s="26">
        <f>IF($C150="","",COUNTIFS(GAP_WHERE,$C150,GAP_KIND,"Equipment",GAP_KEY,"&gt;0"))</f>
        <v/>
      </c>
      <c r="L150" s="36">
        <f>IF($C150="","",IF($H150=0,"",$I150/$H150))</f>
        <v/>
      </c>
      <c r="M150" s="24">
        <f>IF($C150="","",IF($J150&gt;0,S_LATE,IF($K150&gt;0,S_RISK,IF(AND($H150&gt;0,$I150=$H150),S_DONE,S_WIP))))</f>
        <v/>
      </c>
      <c r="N150" s="24">
        <f>IF($C150="","",$J150*1000+$K150*10+IF($H150=0,0,(1-$I150/$H150))+ROW()/1000000)</f>
        <v/>
      </c>
    </row>
    <row r="151">
      <c r="B151" s="21" t="n"/>
      <c r="C151" s="21" t="n"/>
      <c r="D151" s="22" t="n"/>
      <c r="E151" s="22" t="n"/>
      <c r="F151" s="22" t="n"/>
      <c r="G151" s="22" t="n"/>
      <c r="H151" s="26">
        <f>IF($C151="","",COUNTIFS(DOC_EQP,$C151,DOC_ACTIVE,1))</f>
        <v/>
      </c>
      <c r="I151" s="26">
        <f>IF($C151="","",COUNTIFS(DOC_EQP,$C151,DOC_DONE,1))</f>
        <v/>
      </c>
      <c r="J151" s="26">
        <f>IF($C151="","",COUNTIFS(DOC_EQP,$C151,DOC_STATE,S_LATE))</f>
        <v/>
      </c>
      <c r="K151" s="26">
        <f>IF($C151="","",COUNTIFS(GAP_WHERE,$C151,GAP_KIND,"Equipment",GAP_KEY,"&gt;0"))</f>
        <v/>
      </c>
      <c r="L151" s="36">
        <f>IF($C151="","",IF($H151=0,"",$I151/$H151))</f>
        <v/>
      </c>
      <c r="M151" s="24">
        <f>IF($C151="","",IF($J151&gt;0,S_LATE,IF($K151&gt;0,S_RISK,IF(AND($H151&gt;0,$I151=$H151),S_DONE,S_WIP))))</f>
        <v/>
      </c>
      <c r="N151" s="24">
        <f>IF($C151="","",$J151*1000+$K151*10+IF($H151=0,0,(1-$I151/$H151))+ROW()/1000000)</f>
        <v/>
      </c>
    </row>
    <row r="152">
      <c r="B152" s="21" t="n"/>
      <c r="C152" s="21" t="n"/>
      <c r="D152" s="22" t="n"/>
      <c r="E152" s="22" t="n"/>
      <c r="F152" s="22" t="n"/>
      <c r="G152" s="22" t="n"/>
      <c r="H152" s="26">
        <f>IF($C152="","",COUNTIFS(DOC_EQP,$C152,DOC_ACTIVE,1))</f>
        <v/>
      </c>
      <c r="I152" s="26">
        <f>IF($C152="","",COUNTIFS(DOC_EQP,$C152,DOC_DONE,1))</f>
        <v/>
      </c>
      <c r="J152" s="26">
        <f>IF($C152="","",COUNTIFS(DOC_EQP,$C152,DOC_STATE,S_LATE))</f>
        <v/>
      </c>
      <c r="K152" s="26">
        <f>IF($C152="","",COUNTIFS(GAP_WHERE,$C152,GAP_KIND,"Equipment",GAP_KEY,"&gt;0"))</f>
        <v/>
      </c>
      <c r="L152" s="36">
        <f>IF($C152="","",IF($H152=0,"",$I152/$H152))</f>
        <v/>
      </c>
      <c r="M152" s="24">
        <f>IF($C152="","",IF($J152&gt;0,S_LATE,IF($K152&gt;0,S_RISK,IF(AND($H152&gt;0,$I152=$H152),S_DONE,S_WIP))))</f>
        <v/>
      </c>
      <c r="N152" s="24">
        <f>IF($C152="","",$J152*1000+$K152*10+IF($H152=0,0,(1-$I152/$H152))+ROW()/1000000)</f>
        <v/>
      </c>
    </row>
    <row r="153">
      <c r="B153" s="21" t="n"/>
      <c r="C153" s="21" t="n"/>
      <c r="D153" s="22" t="n"/>
      <c r="E153" s="22" t="n"/>
      <c r="F153" s="22" t="n"/>
      <c r="G153" s="22" t="n"/>
      <c r="H153" s="26">
        <f>IF($C153="","",COUNTIFS(DOC_EQP,$C153,DOC_ACTIVE,1))</f>
        <v/>
      </c>
      <c r="I153" s="26">
        <f>IF($C153="","",COUNTIFS(DOC_EQP,$C153,DOC_DONE,1))</f>
        <v/>
      </c>
      <c r="J153" s="26">
        <f>IF($C153="","",COUNTIFS(DOC_EQP,$C153,DOC_STATE,S_LATE))</f>
        <v/>
      </c>
      <c r="K153" s="26">
        <f>IF($C153="","",COUNTIFS(GAP_WHERE,$C153,GAP_KIND,"Equipment",GAP_KEY,"&gt;0"))</f>
        <v/>
      </c>
      <c r="L153" s="36">
        <f>IF($C153="","",IF($H153=0,"",$I153/$H153))</f>
        <v/>
      </c>
      <c r="M153" s="24">
        <f>IF($C153="","",IF($J153&gt;0,S_LATE,IF($K153&gt;0,S_RISK,IF(AND($H153&gt;0,$I153=$H153),S_DONE,S_WIP))))</f>
        <v/>
      </c>
      <c r="N153" s="24">
        <f>IF($C153="","",$J153*1000+$K153*10+IF($H153=0,0,(1-$I153/$H153))+ROW()/1000000)</f>
        <v/>
      </c>
    </row>
    <row r="154">
      <c r="B154" s="21" t="n"/>
      <c r="C154" s="21" t="n"/>
      <c r="D154" s="22" t="n"/>
      <c r="E154" s="22" t="n"/>
      <c r="F154" s="22" t="n"/>
      <c r="G154" s="22" t="n"/>
      <c r="H154" s="26">
        <f>IF($C154="","",COUNTIFS(DOC_EQP,$C154,DOC_ACTIVE,1))</f>
        <v/>
      </c>
      <c r="I154" s="26">
        <f>IF($C154="","",COUNTIFS(DOC_EQP,$C154,DOC_DONE,1))</f>
        <v/>
      </c>
      <c r="J154" s="26">
        <f>IF($C154="","",COUNTIFS(DOC_EQP,$C154,DOC_STATE,S_LATE))</f>
        <v/>
      </c>
      <c r="K154" s="26">
        <f>IF($C154="","",COUNTIFS(GAP_WHERE,$C154,GAP_KIND,"Equipment",GAP_KEY,"&gt;0"))</f>
        <v/>
      </c>
      <c r="L154" s="36">
        <f>IF($C154="","",IF($H154=0,"",$I154/$H154))</f>
        <v/>
      </c>
      <c r="M154" s="24">
        <f>IF($C154="","",IF($J154&gt;0,S_LATE,IF($K154&gt;0,S_RISK,IF(AND($H154&gt;0,$I154=$H154),S_DONE,S_WIP))))</f>
        <v/>
      </c>
      <c r="N154" s="24">
        <f>IF($C154="","",$J154*1000+$K154*10+IF($H154=0,0,(1-$I154/$H154))+ROW()/1000000)</f>
        <v/>
      </c>
    </row>
    <row r="155">
      <c r="B155" s="21" t="n"/>
      <c r="C155" s="21" t="n"/>
      <c r="D155" s="22" t="n"/>
      <c r="E155" s="22" t="n"/>
      <c r="F155" s="22" t="n"/>
      <c r="G155" s="22" t="n"/>
      <c r="H155" s="26">
        <f>IF($C155="","",COUNTIFS(DOC_EQP,$C155,DOC_ACTIVE,1))</f>
        <v/>
      </c>
      <c r="I155" s="26">
        <f>IF($C155="","",COUNTIFS(DOC_EQP,$C155,DOC_DONE,1))</f>
        <v/>
      </c>
      <c r="J155" s="26">
        <f>IF($C155="","",COUNTIFS(DOC_EQP,$C155,DOC_STATE,S_LATE))</f>
        <v/>
      </c>
      <c r="K155" s="26">
        <f>IF($C155="","",COUNTIFS(GAP_WHERE,$C155,GAP_KIND,"Equipment",GAP_KEY,"&gt;0"))</f>
        <v/>
      </c>
      <c r="L155" s="36">
        <f>IF($C155="","",IF($H155=0,"",$I155/$H155))</f>
        <v/>
      </c>
      <c r="M155" s="24">
        <f>IF($C155="","",IF($J155&gt;0,S_LATE,IF($K155&gt;0,S_RISK,IF(AND($H155&gt;0,$I155=$H155),S_DONE,S_WIP))))</f>
        <v/>
      </c>
      <c r="N155" s="24">
        <f>IF($C155="","",$J155*1000+$K155*10+IF($H155=0,0,(1-$I155/$H155))+ROW()/1000000)</f>
        <v/>
      </c>
    </row>
    <row r="156">
      <c r="B156" s="21" t="n"/>
      <c r="C156" s="21" t="n"/>
      <c r="D156" s="22" t="n"/>
      <c r="E156" s="22" t="n"/>
      <c r="F156" s="22" t="n"/>
      <c r="G156" s="22" t="n"/>
      <c r="H156" s="26">
        <f>IF($C156="","",COUNTIFS(DOC_EQP,$C156,DOC_ACTIVE,1))</f>
        <v/>
      </c>
      <c r="I156" s="26">
        <f>IF($C156="","",COUNTIFS(DOC_EQP,$C156,DOC_DONE,1))</f>
        <v/>
      </c>
      <c r="J156" s="26">
        <f>IF($C156="","",COUNTIFS(DOC_EQP,$C156,DOC_STATE,S_LATE))</f>
        <v/>
      </c>
      <c r="K156" s="26">
        <f>IF($C156="","",COUNTIFS(GAP_WHERE,$C156,GAP_KIND,"Equipment",GAP_KEY,"&gt;0"))</f>
        <v/>
      </c>
      <c r="L156" s="36">
        <f>IF($C156="","",IF($H156=0,"",$I156/$H156))</f>
        <v/>
      </c>
      <c r="M156" s="24">
        <f>IF($C156="","",IF($J156&gt;0,S_LATE,IF($K156&gt;0,S_RISK,IF(AND($H156&gt;0,$I156=$H156),S_DONE,S_WIP))))</f>
        <v/>
      </c>
      <c r="N156" s="24">
        <f>IF($C156="","",$J156*1000+$K156*10+IF($H156=0,0,(1-$I156/$H156))+ROW()/1000000)</f>
        <v/>
      </c>
    </row>
    <row r="157">
      <c r="B157" s="21" t="n"/>
      <c r="C157" s="21" t="n"/>
      <c r="D157" s="22" t="n"/>
      <c r="E157" s="22" t="n"/>
      <c r="F157" s="22" t="n"/>
      <c r="G157" s="22" t="n"/>
      <c r="H157" s="26">
        <f>IF($C157="","",COUNTIFS(DOC_EQP,$C157,DOC_ACTIVE,1))</f>
        <v/>
      </c>
      <c r="I157" s="26">
        <f>IF($C157="","",COUNTIFS(DOC_EQP,$C157,DOC_DONE,1))</f>
        <v/>
      </c>
      <c r="J157" s="26">
        <f>IF($C157="","",COUNTIFS(DOC_EQP,$C157,DOC_STATE,S_LATE))</f>
        <v/>
      </c>
      <c r="K157" s="26">
        <f>IF($C157="","",COUNTIFS(GAP_WHERE,$C157,GAP_KIND,"Equipment",GAP_KEY,"&gt;0"))</f>
        <v/>
      </c>
      <c r="L157" s="36">
        <f>IF($C157="","",IF($H157=0,"",$I157/$H157))</f>
        <v/>
      </c>
      <c r="M157" s="24">
        <f>IF($C157="","",IF($J157&gt;0,S_LATE,IF($K157&gt;0,S_RISK,IF(AND($H157&gt;0,$I157=$H157),S_DONE,S_WIP))))</f>
        <v/>
      </c>
      <c r="N157" s="24">
        <f>IF($C157="","",$J157*1000+$K157*10+IF($H157=0,0,(1-$I157/$H157))+ROW()/1000000)</f>
        <v/>
      </c>
    </row>
    <row r="158">
      <c r="B158" s="21" t="n"/>
      <c r="C158" s="21" t="n"/>
      <c r="D158" s="22" t="n"/>
      <c r="E158" s="22" t="n"/>
      <c r="F158" s="22" t="n"/>
      <c r="G158" s="22" t="n"/>
      <c r="H158" s="26">
        <f>IF($C158="","",COUNTIFS(DOC_EQP,$C158,DOC_ACTIVE,1))</f>
        <v/>
      </c>
      <c r="I158" s="26">
        <f>IF($C158="","",COUNTIFS(DOC_EQP,$C158,DOC_DONE,1))</f>
        <v/>
      </c>
      <c r="J158" s="26">
        <f>IF($C158="","",COUNTIFS(DOC_EQP,$C158,DOC_STATE,S_LATE))</f>
        <v/>
      </c>
      <c r="K158" s="26">
        <f>IF($C158="","",COUNTIFS(GAP_WHERE,$C158,GAP_KIND,"Equipment",GAP_KEY,"&gt;0"))</f>
        <v/>
      </c>
      <c r="L158" s="36">
        <f>IF($C158="","",IF($H158=0,"",$I158/$H158))</f>
        <v/>
      </c>
      <c r="M158" s="24">
        <f>IF($C158="","",IF($J158&gt;0,S_LATE,IF($K158&gt;0,S_RISK,IF(AND($H158&gt;0,$I158=$H158),S_DONE,S_WIP))))</f>
        <v/>
      </c>
      <c r="N158" s="24">
        <f>IF($C158="","",$J158*1000+$K158*10+IF($H158=0,0,(1-$I158/$H158))+ROW()/1000000)</f>
        <v/>
      </c>
    </row>
    <row r="159">
      <c r="B159" s="21" t="n"/>
      <c r="C159" s="21" t="n"/>
      <c r="D159" s="22" t="n"/>
      <c r="E159" s="22" t="n"/>
      <c r="F159" s="22" t="n"/>
      <c r="G159" s="22" t="n"/>
      <c r="H159" s="26">
        <f>IF($C159="","",COUNTIFS(DOC_EQP,$C159,DOC_ACTIVE,1))</f>
        <v/>
      </c>
      <c r="I159" s="26">
        <f>IF($C159="","",COUNTIFS(DOC_EQP,$C159,DOC_DONE,1))</f>
        <v/>
      </c>
      <c r="J159" s="26">
        <f>IF($C159="","",COUNTIFS(DOC_EQP,$C159,DOC_STATE,S_LATE))</f>
        <v/>
      </c>
      <c r="K159" s="26">
        <f>IF($C159="","",COUNTIFS(GAP_WHERE,$C159,GAP_KIND,"Equipment",GAP_KEY,"&gt;0"))</f>
        <v/>
      </c>
      <c r="L159" s="36">
        <f>IF($C159="","",IF($H159=0,"",$I159/$H159))</f>
        <v/>
      </c>
      <c r="M159" s="24">
        <f>IF($C159="","",IF($J159&gt;0,S_LATE,IF($K159&gt;0,S_RISK,IF(AND($H159&gt;0,$I159=$H159),S_DONE,S_WIP))))</f>
        <v/>
      </c>
      <c r="N159" s="24">
        <f>IF($C159="","",$J159*1000+$K159*10+IF($H159=0,0,(1-$I159/$H159))+ROW()/1000000)</f>
        <v/>
      </c>
    </row>
    <row r="160">
      <c r="B160" s="21" t="n"/>
      <c r="C160" s="21" t="n"/>
      <c r="D160" s="22" t="n"/>
      <c r="E160" s="22" t="n"/>
      <c r="F160" s="22" t="n"/>
      <c r="G160" s="22" t="n"/>
      <c r="H160" s="26">
        <f>IF($C160="","",COUNTIFS(DOC_EQP,$C160,DOC_ACTIVE,1))</f>
        <v/>
      </c>
      <c r="I160" s="26">
        <f>IF($C160="","",COUNTIFS(DOC_EQP,$C160,DOC_DONE,1))</f>
        <v/>
      </c>
      <c r="J160" s="26">
        <f>IF($C160="","",COUNTIFS(DOC_EQP,$C160,DOC_STATE,S_LATE))</f>
        <v/>
      </c>
      <c r="K160" s="26">
        <f>IF($C160="","",COUNTIFS(GAP_WHERE,$C160,GAP_KIND,"Equipment",GAP_KEY,"&gt;0"))</f>
        <v/>
      </c>
      <c r="L160" s="36">
        <f>IF($C160="","",IF($H160=0,"",$I160/$H160))</f>
        <v/>
      </c>
      <c r="M160" s="24">
        <f>IF($C160="","",IF($J160&gt;0,S_LATE,IF($K160&gt;0,S_RISK,IF(AND($H160&gt;0,$I160=$H160),S_DONE,S_WIP))))</f>
        <v/>
      </c>
      <c r="N160" s="24">
        <f>IF($C160="","",$J160*1000+$K160*10+IF($H160=0,0,(1-$I160/$H160))+ROW()/1000000)</f>
        <v/>
      </c>
    </row>
    <row r="161">
      <c r="B161" s="21" t="n"/>
      <c r="C161" s="21" t="n"/>
      <c r="D161" s="22" t="n"/>
      <c r="E161" s="22" t="n"/>
      <c r="F161" s="22" t="n"/>
      <c r="G161" s="22" t="n"/>
      <c r="H161" s="26">
        <f>IF($C161="","",COUNTIFS(DOC_EQP,$C161,DOC_ACTIVE,1))</f>
        <v/>
      </c>
      <c r="I161" s="26">
        <f>IF($C161="","",COUNTIFS(DOC_EQP,$C161,DOC_DONE,1))</f>
        <v/>
      </c>
      <c r="J161" s="26">
        <f>IF($C161="","",COUNTIFS(DOC_EQP,$C161,DOC_STATE,S_LATE))</f>
        <v/>
      </c>
      <c r="K161" s="26">
        <f>IF($C161="","",COUNTIFS(GAP_WHERE,$C161,GAP_KIND,"Equipment",GAP_KEY,"&gt;0"))</f>
        <v/>
      </c>
      <c r="L161" s="36">
        <f>IF($C161="","",IF($H161=0,"",$I161/$H161))</f>
        <v/>
      </c>
      <c r="M161" s="24">
        <f>IF($C161="","",IF($J161&gt;0,S_LATE,IF($K161&gt;0,S_RISK,IF(AND($H161&gt;0,$I161=$H161),S_DONE,S_WIP))))</f>
        <v/>
      </c>
      <c r="N161" s="24">
        <f>IF($C161="","",$J161*1000+$K161*10+IF($H161=0,0,(1-$I161/$H161))+ROW()/1000000)</f>
        <v/>
      </c>
    </row>
    <row r="162">
      <c r="B162" s="21" t="n"/>
      <c r="C162" s="21" t="n"/>
      <c r="D162" s="22" t="n"/>
      <c r="E162" s="22" t="n"/>
      <c r="F162" s="22" t="n"/>
      <c r="G162" s="22" t="n"/>
      <c r="H162" s="26">
        <f>IF($C162="","",COUNTIFS(DOC_EQP,$C162,DOC_ACTIVE,1))</f>
        <v/>
      </c>
      <c r="I162" s="26">
        <f>IF($C162="","",COUNTIFS(DOC_EQP,$C162,DOC_DONE,1))</f>
        <v/>
      </c>
      <c r="J162" s="26">
        <f>IF($C162="","",COUNTIFS(DOC_EQP,$C162,DOC_STATE,S_LATE))</f>
        <v/>
      </c>
      <c r="K162" s="26">
        <f>IF($C162="","",COUNTIFS(GAP_WHERE,$C162,GAP_KIND,"Equipment",GAP_KEY,"&gt;0"))</f>
        <v/>
      </c>
      <c r="L162" s="36">
        <f>IF($C162="","",IF($H162=0,"",$I162/$H162))</f>
        <v/>
      </c>
      <c r="M162" s="24">
        <f>IF($C162="","",IF($J162&gt;0,S_LATE,IF($K162&gt;0,S_RISK,IF(AND($H162&gt;0,$I162=$H162),S_DONE,S_WIP))))</f>
        <v/>
      </c>
      <c r="N162" s="24">
        <f>IF($C162="","",$J162*1000+$K162*10+IF($H162=0,0,(1-$I162/$H162))+ROW()/1000000)</f>
        <v/>
      </c>
    </row>
    <row r="163">
      <c r="B163" s="21" t="n"/>
      <c r="C163" s="21" t="n"/>
      <c r="D163" s="22" t="n"/>
      <c r="E163" s="22" t="n"/>
      <c r="F163" s="22" t="n"/>
      <c r="G163" s="22" t="n"/>
      <c r="H163" s="26">
        <f>IF($C163="","",COUNTIFS(DOC_EQP,$C163,DOC_ACTIVE,1))</f>
        <v/>
      </c>
      <c r="I163" s="26">
        <f>IF($C163="","",COUNTIFS(DOC_EQP,$C163,DOC_DONE,1))</f>
        <v/>
      </c>
      <c r="J163" s="26">
        <f>IF($C163="","",COUNTIFS(DOC_EQP,$C163,DOC_STATE,S_LATE))</f>
        <v/>
      </c>
      <c r="K163" s="26">
        <f>IF($C163="","",COUNTIFS(GAP_WHERE,$C163,GAP_KIND,"Equipment",GAP_KEY,"&gt;0"))</f>
        <v/>
      </c>
      <c r="L163" s="36">
        <f>IF($C163="","",IF($H163=0,"",$I163/$H163))</f>
        <v/>
      </c>
      <c r="M163" s="24">
        <f>IF($C163="","",IF($J163&gt;0,S_LATE,IF($K163&gt;0,S_RISK,IF(AND($H163&gt;0,$I163=$H163),S_DONE,S_WIP))))</f>
        <v/>
      </c>
      <c r="N163" s="24">
        <f>IF($C163="","",$J163*1000+$K163*10+IF($H163=0,0,(1-$I163/$H163))+ROW()/1000000)</f>
        <v/>
      </c>
    </row>
    <row r="164">
      <c r="B164" s="21" t="n"/>
      <c r="C164" s="21" t="n"/>
      <c r="D164" s="22" t="n"/>
      <c r="E164" s="22" t="n"/>
      <c r="F164" s="22" t="n"/>
      <c r="G164" s="22" t="n"/>
      <c r="H164" s="26">
        <f>IF($C164="","",COUNTIFS(DOC_EQP,$C164,DOC_ACTIVE,1))</f>
        <v/>
      </c>
      <c r="I164" s="26">
        <f>IF($C164="","",COUNTIFS(DOC_EQP,$C164,DOC_DONE,1))</f>
        <v/>
      </c>
      <c r="J164" s="26">
        <f>IF($C164="","",COUNTIFS(DOC_EQP,$C164,DOC_STATE,S_LATE))</f>
        <v/>
      </c>
      <c r="K164" s="26">
        <f>IF($C164="","",COUNTIFS(GAP_WHERE,$C164,GAP_KIND,"Equipment",GAP_KEY,"&gt;0"))</f>
        <v/>
      </c>
      <c r="L164" s="36">
        <f>IF($C164="","",IF($H164=0,"",$I164/$H164))</f>
        <v/>
      </c>
      <c r="M164" s="24">
        <f>IF($C164="","",IF($J164&gt;0,S_LATE,IF($K164&gt;0,S_RISK,IF(AND($H164&gt;0,$I164=$H164),S_DONE,S_WIP))))</f>
        <v/>
      </c>
      <c r="N164" s="24">
        <f>IF($C164="","",$J164*1000+$K164*10+IF($H164=0,0,(1-$I164/$H164))+ROW()/1000000)</f>
        <v/>
      </c>
    </row>
    <row r="165">
      <c r="B165" s="21" t="n"/>
      <c r="C165" s="21" t="n"/>
      <c r="D165" s="22" t="n"/>
      <c r="E165" s="22" t="n"/>
      <c r="F165" s="22" t="n"/>
      <c r="G165" s="22" t="n"/>
      <c r="H165" s="26">
        <f>IF($C165="","",COUNTIFS(DOC_EQP,$C165,DOC_ACTIVE,1))</f>
        <v/>
      </c>
      <c r="I165" s="26">
        <f>IF($C165="","",COUNTIFS(DOC_EQP,$C165,DOC_DONE,1))</f>
        <v/>
      </c>
      <c r="J165" s="26">
        <f>IF($C165="","",COUNTIFS(DOC_EQP,$C165,DOC_STATE,S_LATE))</f>
        <v/>
      </c>
      <c r="K165" s="26">
        <f>IF($C165="","",COUNTIFS(GAP_WHERE,$C165,GAP_KIND,"Equipment",GAP_KEY,"&gt;0"))</f>
        <v/>
      </c>
      <c r="L165" s="36">
        <f>IF($C165="","",IF($H165=0,"",$I165/$H165))</f>
        <v/>
      </c>
      <c r="M165" s="24">
        <f>IF($C165="","",IF($J165&gt;0,S_LATE,IF($K165&gt;0,S_RISK,IF(AND($H165&gt;0,$I165=$H165),S_DONE,S_WIP))))</f>
        <v/>
      </c>
      <c r="N165" s="24">
        <f>IF($C165="","",$J165*1000+$K165*10+IF($H165=0,0,(1-$I165/$H165))+ROW()/1000000)</f>
        <v/>
      </c>
    </row>
    <row r="166">
      <c r="B166" s="21" t="n"/>
      <c r="C166" s="21" t="n"/>
      <c r="D166" s="22" t="n"/>
      <c r="E166" s="22" t="n"/>
      <c r="F166" s="22" t="n"/>
      <c r="G166" s="22" t="n"/>
      <c r="H166" s="26">
        <f>IF($C166="","",COUNTIFS(DOC_EQP,$C166,DOC_ACTIVE,1))</f>
        <v/>
      </c>
      <c r="I166" s="26">
        <f>IF($C166="","",COUNTIFS(DOC_EQP,$C166,DOC_DONE,1))</f>
        <v/>
      </c>
      <c r="J166" s="26">
        <f>IF($C166="","",COUNTIFS(DOC_EQP,$C166,DOC_STATE,S_LATE))</f>
        <v/>
      </c>
      <c r="K166" s="26">
        <f>IF($C166="","",COUNTIFS(GAP_WHERE,$C166,GAP_KIND,"Equipment",GAP_KEY,"&gt;0"))</f>
        <v/>
      </c>
      <c r="L166" s="36">
        <f>IF($C166="","",IF($H166=0,"",$I166/$H166))</f>
        <v/>
      </c>
      <c r="M166" s="24">
        <f>IF($C166="","",IF($J166&gt;0,S_LATE,IF($K166&gt;0,S_RISK,IF(AND($H166&gt;0,$I166=$H166),S_DONE,S_WIP))))</f>
        <v/>
      </c>
      <c r="N166" s="24">
        <f>IF($C166="","",$J166*1000+$K166*10+IF($H166=0,0,(1-$I166/$H166))+ROW()/1000000)</f>
        <v/>
      </c>
    </row>
    <row r="167">
      <c r="B167" s="21" t="n"/>
      <c r="C167" s="21" t="n"/>
      <c r="D167" s="22" t="n"/>
      <c r="E167" s="22" t="n"/>
      <c r="F167" s="22" t="n"/>
      <c r="G167" s="22" t="n"/>
      <c r="H167" s="26">
        <f>IF($C167="","",COUNTIFS(DOC_EQP,$C167,DOC_ACTIVE,1))</f>
        <v/>
      </c>
      <c r="I167" s="26">
        <f>IF($C167="","",COUNTIFS(DOC_EQP,$C167,DOC_DONE,1))</f>
        <v/>
      </c>
      <c r="J167" s="26">
        <f>IF($C167="","",COUNTIFS(DOC_EQP,$C167,DOC_STATE,S_LATE))</f>
        <v/>
      </c>
      <c r="K167" s="26">
        <f>IF($C167="","",COUNTIFS(GAP_WHERE,$C167,GAP_KIND,"Equipment",GAP_KEY,"&gt;0"))</f>
        <v/>
      </c>
      <c r="L167" s="36">
        <f>IF($C167="","",IF($H167=0,"",$I167/$H167))</f>
        <v/>
      </c>
      <c r="M167" s="24">
        <f>IF($C167="","",IF($J167&gt;0,S_LATE,IF($K167&gt;0,S_RISK,IF(AND($H167&gt;0,$I167=$H167),S_DONE,S_WIP))))</f>
        <v/>
      </c>
      <c r="N167" s="24">
        <f>IF($C167="","",$J167*1000+$K167*10+IF($H167=0,0,(1-$I167/$H167))+ROW()/1000000)</f>
        <v/>
      </c>
    </row>
    <row r="168">
      <c r="B168" s="21" t="n"/>
      <c r="C168" s="21" t="n"/>
      <c r="D168" s="22" t="n"/>
      <c r="E168" s="22" t="n"/>
      <c r="F168" s="22" t="n"/>
      <c r="G168" s="22" t="n"/>
      <c r="H168" s="26">
        <f>IF($C168="","",COUNTIFS(DOC_EQP,$C168,DOC_ACTIVE,1))</f>
        <v/>
      </c>
      <c r="I168" s="26">
        <f>IF($C168="","",COUNTIFS(DOC_EQP,$C168,DOC_DONE,1))</f>
        <v/>
      </c>
      <c r="J168" s="26">
        <f>IF($C168="","",COUNTIFS(DOC_EQP,$C168,DOC_STATE,S_LATE))</f>
        <v/>
      </c>
      <c r="K168" s="26">
        <f>IF($C168="","",COUNTIFS(GAP_WHERE,$C168,GAP_KIND,"Equipment",GAP_KEY,"&gt;0"))</f>
        <v/>
      </c>
      <c r="L168" s="36">
        <f>IF($C168="","",IF($H168=0,"",$I168/$H168))</f>
        <v/>
      </c>
      <c r="M168" s="24">
        <f>IF($C168="","",IF($J168&gt;0,S_LATE,IF($K168&gt;0,S_RISK,IF(AND($H168&gt;0,$I168=$H168),S_DONE,S_WIP))))</f>
        <v/>
      </c>
      <c r="N168" s="24">
        <f>IF($C168="","",$J168*1000+$K168*10+IF($H168=0,0,(1-$I168/$H168))+ROW()/1000000)</f>
        <v/>
      </c>
    </row>
    <row r="169">
      <c r="B169" s="21" t="n"/>
      <c r="C169" s="21" t="n"/>
      <c r="D169" s="22" t="n"/>
      <c r="E169" s="22" t="n"/>
      <c r="F169" s="22" t="n"/>
      <c r="G169" s="22" t="n"/>
      <c r="H169" s="26">
        <f>IF($C169="","",COUNTIFS(DOC_EQP,$C169,DOC_ACTIVE,1))</f>
        <v/>
      </c>
      <c r="I169" s="26">
        <f>IF($C169="","",COUNTIFS(DOC_EQP,$C169,DOC_DONE,1))</f>
        <v/>
      </c>
      <c r="J169" s="26">
        <f>IF($C169="","",COUNTIFS(DOC_EQP,$C169,DOC_STATE,S_LATE))</f>
        <v/>
      </c>
      <c r="K169" s="26">
        <f>IF($C169="","",COUNTIFS(GAP_WHERE,$C169,GAP_KIND,"Equipment",GAP_KEY,"&gt;0"))</f>
        <v/>
      </c>
      <c r="L169" s="36">
        <f>IF($C169="","",IF($H169=0,"",$I169/$H169))</f>
        <v/>
      </c>
      <c r="M169" s="24">
        <f>IF($C169="","",IF($J169&gt;0,S_LATE,IF($K169&gt;0,S_RISK,IF(AND($H169&gt;0,$I169=$H169),S_DONE,S_WIP))))</f>
        <v/>
      </c>
      <c r="N169" s="24">
        <f>IF($C169="","",$J169*1000+$K169*10+IF($H169=0,0,(1-$I169/$H169))+ROW()/1000000)</f>
        <v/>
      </c>
    </row>
    <row r="170">
      <c r="B170" s="21" t="n"/>
      <c r="C170" s="21" t="n"/>
      <c r="D170" s="22" t="n"/>
      <c r="E170" s="22" t="n"/>
      <c r="F170" s="22" t="n"/>
      <c r="G170" s="22" t="n"/>
      <c r="H170" s="26">
        <f>IF($C170="","",COUNTIFS(DOC_EQP,$C170,DOC_ACTIVE,1))</f>
        <v/>
      </c>
      <c r="I170" s="26">
        <f>IF($C170="","",COUNTIFS(DOC_EQP,$C170,DOC_DONE,1))</f>
        <v/>
      </c>
      <c r="J170" s="26">
        <f>IF($C170="","",COUNTIFS(DOC_EQP,$C170,DOC_STATE,S_LATE))</f>
        <v/>
      </c>
      <c r="K170" s="26">
        <f>IF($C170="","",COUNTIFS(GAP_WHERE,$C170,GAP_KIND,"Equipment",GAP_KEY,"&gt;0"))</f>
        <v/>
      </c>
      <c r="L170" s="36">
        <f>IF($C170="","",IF($H170=0,"",$I170/$H170))</f>
        <v/>
      </c>
      <c r="M170" s="24">
        <f>IF($C170="","",IF($J170&gt;0,S_LATE,IF($K170&gt;0,S_RISK,IF(AND($H170&gt;0,$I170=$H170),S_DONE,S_WIP))))</f>
        <v/>
      </c>
      <c r="N170" s="24">
        <f>IF($C170="","",$J170*1000+$K170*10+IF($H170=0,0,(1-$I170/$H170))+ROW()/1000000)</f>
        <v/>
      </c>
    </row>
    <row r="171">
      <c r="B171" s="21" t="n"/>
      <c r="C171" s="21" t="n"/>
      <c r="D171" s="22" t="n"/>
      <c r="E171" s="22" t="n"/>
      <c r="F171" s="22" t="n"/>
      <c r="G171" s="22" t="n"/>
      <c r="H171" s="26">
        <f>IF($C171="","",COUNTIFS(DOC_EQP,$C171,DOC_ACTIVE,1))</f>
        <v/>
      </c>
      <c r="I171" s="26">
        <f>IF($C171="","",COUNTIFS(DOC_EQP,$C171,DOC_DONE,1))</f>
        <v/>
      </c>
      <c r="J171" s="26">
        <f>IF($C171="","",COUNTIFS(DOC_EQP,$C171,DOC_STATE,S_LATE))</f>
        <v/>
      </c>
      <c r="K171" s="26">
        <f>IF($C171="","",COUNTIFS(GAP_WHERE,$C171,GAP_KIND,"Equipment",GAP_KEY,"&gt;0"))</f>
        <v/>
      </c>
      <c r="L171" s="36">
        <f>IF($C171="","",IF($H171=0,"",$I171/$H171))</f>
        <v/>
      </c>
      <c r="M171" s="24">
        <f>IF($C171="","",IF($J171&gt;0,S_LATE,IF($K171&gt;0,S_RISK,IF(AND($H171&gt;0,$I171=$H171),S_DONE,S_WIP))))</f>
        <v/>
      </c>
      <c r="N171" s="24">
        <f>IF($C171="","",$J171*1000+$K171*10+IF($H171=0,0,(1-$I171/$H171))+ROW()/1000000)</f>
        <v/>
      </c>
    </row>
    <row r="172">
      <c r="B172" s="21" t="n"/>
      <c r="C172" s="21" t="n"/>
      <c r="D172" s="22" t="n"/>
      <c r="E172" s="22" t="n"/>
      <c r="F172" s="22" t="n"/>
      <c r="G172" s="22" t="n"/>
      <c r="H172" s="26">
        <f>IF($C172="","",COUNTIFS(DOC_EQP,$C172,DOC_ACTIVE,1))</f>
        <v/>
      </c>
      <c r="I172" s="26">
        <f>IF($C172="","",COUNTIFS(DOC_EQP,$C172,DOC_DONE,1))</f>
        <v/>
      </c>
      <c r="J172" s="26">
        <f>IF($C172="","",COUNTIFS(DOC_EQP,$C172,DOC_STATE,S_LATE))</f>
        <v/>
      </c>
      <c r="K172" s="26">
        <f>IF($C172="","",COUNTIFS(GAP_WHERE,$C172,GAP_KIND,"Equipment",GAP_KEY,"&gt;0"))</f>
        <v/>
      </c>
      <c r="L172" s="36">
        <f>IF($C172="","",IF($H172=0,"",$I172/$H172))</f>
        <v/>
      </c>
      <c r="M172" s="24">
        <f>IF($C172="","",IF($J172&gt;0,S_LATE,IF($K172&gt;0,S_RISK,IF(AND($H172&gt;0,$I172=$H172),S_DONE,S_WIP))))</f>
        <v/>
      </c>
      <c r="N172" s="24">
        <f>IF($C172="","",$J172*1000+$K172*10+IF($H172=0,0,(1-$I172/$H172))+ROW()/1000000)</f>
        <v/>
      </c>
    </row>
    <row r="173">
      <c r="B173" s="21" t="n"/>
      <c r="C173" s="21" t="n"/>
      <c r="D173" s="22" t="n"/>
      <c r="E173" s="22" t="n"/>
      <c r="F173" s="22" t="n"/>
      <c r="G173" s="22" t="n"/>
      <c r="H173" s="26">
        <f>IF($C173="","",COUNTIFS(DOC_EQP,$C173,DOC_ACTIVE,1))</f>
        <v/>
      </c>
      <c r="I173" s="26">
        <f>IF($C173="","",COUNTIFS(DOC_EQP,$C173,DOC_DONE,1))</f>
        <v/>
      </c>
      <c r="J173" s="26">
        <f>IF($C173="","",COUNTIFS(DOC_EQP,$C173,DOC_STATE,S_LATE))</f>
        <v/>
      </c>
      <c r="K173" s="26">
        <f>IF($C173="","",COUNTIFS(GAP_WHERE,$C173,GAP_KIND,"Equipment",GAP_KEY,"&gt;0"))</f>
        <v/>
      </c>
      <c r="L173" s="36">
        <f>IF($C173="","",IF($H173=0,"",$I173/$H173))</f>
        <v/>
      </c>
      <c r="M173" s="24">
        <f>IF($C173="","",IF($J173&gt;0,S_LATE,IF($K173&gt;0,S_RISK,IF(AND($H173&gt;0,$I173=$H173),S_DONE,S_WIP))))</f>
        <v/>
      </c>
      <c r="N173" s="24">
        <f>IF($C173="","",$J173*1000+$K173*10+IF($H173=0,0,(1-$I173/$H173))+ROW()/1000000)</f>
        <v/>
      </c>
    </row>
    <row r="174">
      <c r="B174" s="21" t="n"/>
      <c r="C174" s="21" t="n"/>
      <c r="D174" s="22" t="n"/>
      <c r="E174" s="22" t="n"/>
      <c r="F174" s="22" t="n"/>
      <c r="G174" s="22" t="n"/>
      <c r="H174" s="26">
        <f>IF($C174="","",COUNTIFS(DOC_EQP,$C174,DOC_ACTIVE,1))</f>
        <v/>
      </c>
      <c r="I174" s="26">
        <f>IF($C174="","",COUNTIFS(DOC_EQP,$C174,DOC_DONE,1))</f>
        <v/>
      </c>
      <c r="J174" s="26">
        <f>IF($C174="","",COUNTIFS(DOC_EQP,$C174,DOC_STATE,S_LATE))</f>
        <v/>
      </c>
      <c r="K174" s="26">
        <f>IF($C174="","",COUNTIFS(GAP_WHERE,$C174,GAP_KIND,"Equipment",GAP_KEY,"&gt;0"))</f>
        <v/>
      </c>
      <c r="L174" s="36">
        <f>IF($C174="","",IF($H174=0,"",$I174/$H174))</f>
        <v/>
      </c>
      <c r="M174" s="24">
        <f>IF($C174="","",IF($J174&gt;0,S_LATE,IF($K174&gt;0,S_RISK,IF(AND($H174&gt;0,$I174=$H174),S_DONE,S_WIP))))</f>
        <v/>
      </c>
      <c r="N174" s="24">
        <f>IF($C174="","",$J174*1000+$K174*10+IF($H174=0,0,(1-$I174/$H174))+ROW()/1000000)</f>
        <v/>
      </c>
    </row>
    <row r="175">
      <c r="B175" s="21" t="n"/>
      <c r="C175" s="21" t="n"/>
      <c r="D175" s="22" t="n"/>
      <c r="E175" s="22" t="n"/>
      <c r="F175" s="22" t="n"/>
      <c r="G175" s="22" t="n"/>
      <c r="H175" s="26">
        <f>IF($C175="","",COUNTIFS(DOC_EQP,$C175,DOC_ACTIVE,1))</f>
        <v/>
      </c>
      <c r="I175" s="26">
        <f>IF($C175="","",COUNTIFS(DOC_EQP,$C175,DOC_DONE,1))</f>
        <v/>
      </c>
      <c r="J175" s="26">
        <f>IF($C175="","",COUNTIFS(DOC_EQP,$C175,DOC_STATE,S_LATE))</f>
        <v/>
      </c>
      <c r="K175" s="26">
        <f>IF($C175="","",COUNTIFS(GAP_WHERE,$C175,GAP_KIND,"Equipment",GAP_KEY,"&gt;0"))</f>
        <v/>
      </c>
      <c r="L175" s="36">
        <f>IF($C175="","",IF($H175=0,"",$I175/$H175))</f>
        <v/>
      </c>
      <c r="M175" s="24">
        <f>IF($C175="","",IF($J175&gt;0,S_LATE,IF($K175&gt;0,S_RISK,IF(AND($H175&gt;0,$I175=$H175),S_DONE,S_WIP))))</f>
        <v/>
      </c>
      <c r="N175" s="24">
        <f>IF($C175="","",$J175*1000+$K175*10+IF($H175=0,0,(1-$I175/$H175))+ROW()/1000000)</f>
        <v/>
      </c>
    </row>
    <row r="176">
      <c r="B176" s="21" t="n"/>
      <c r="C176" s="21" t="n"/>
      <c r="D176" s="22" t="n"/>
      <c r="E176" s="22" t="n"/>
      <c r="F176" s="22" t="n"/>
      <c r="G176" s="22" t="n"/>
      <c r="H176" s="26">
        <f>IF($C176="","",COUNTIFS(DOC_EQP,$C176,DOC_ACTIVE,1))</f>
        <v/>
      </c>
      <c r="I176" s="26">
        <f>IF($C176="","",COUNTIFS(DOC_EQP,$C176,DOC_DONE,1))</f>
        <v/>
      </c>
      <c r="J176" s="26">
        <f>IF($C176="","",COUNTIFS(DOC_EQP,$C176,DOC_STATE,S_LATE))</f>
        <v/>
      </c>
      <c r="K176" s="26">
        <f>IF($C176="","",COUNTIFS(GAP_WHERE,$C176,GAP_KIND,"Equipment",GAP_KEY,"&gt;0"))</f>
        <v/>
      </c>
      <c r="L176" s="36">
        <f>IF($C176="","",IF($H176=0,"",$I176/$H176))</f>
        <v/>
      </c>
      <c r="M176" s="24">
        <f>IF($C176="","",IF($J176&gt;0,S_LATE,IF($K176&gt;0,S_RISK,IF(AND($H176&gt;0,$I176=$H176),S_DONE,S_WIP))))</f>
        <v/>
      </c>
      <c r="N176" s="24">
        <f>IF($C176="","",$J176*1000+$K176*10+IF($H176=0,0,(1-$I176/$H176))+ROW()/1000000)</f>
        <v/>
      </c>
    </row>
    <row r="177">
      <c r="B177" s="21" t="n"/>
      <c r="C177" s="21" t="n"/>
      <c r="D177" s="22" t="n"/>
      <c r="E177" s="22" t="n"/>
      <c r="F177" s="22" t="n"/>
      <c r="G177" s="22" t="n"/>
      <c r="H177" s="26">
        <f>IF($C177="","",COUNTIFS(DOC_EQP,$C177,DOC_ACTIVE,1))</f>
        <v/>
      </c>
      <c r="I177" s="26">
        <f>IF($C177="","",COUNTIFS(DOC_EQP,$C177,DOC_DONE,1))</f>
        <v/>
      </c>
      <c r="J177" s="26">
        <f>IF($C177="","",COUNTIFS(DOC_EQP,$C177,DOC_STATE,S_LATE))</f>
        <v/>
      </c>
      <c r="K177" s="26">
        <f>IF($C177="","",COUNTIFS(GAP_WHERE,$C177,GAP_KIND,"Equipment",GAP_KEY,"&gt;0"))</f>
        <v/>
      </c>
      <c r="L177" s="36">
        <f>IF($C177="","",IF($H177=0,"",$I177/$H177))</f>
        <v/>
      </c>
      <c r="M177" s="24">
        <f>IF($C177="","",IF($J177&gt;0,S_LATE,IF($K177&gt;0,S_RISK,IF(AND($H177&gt;0,$I177=$H177),S_DONE,S_WIP))))</f>
        <v/>
      </c>
      <c r="N177" s="24">
        <f>IF($C177="","",$J177*1000+$K177*10+IF($H177=0,0,(1-$I177/$H177))+ROW()/1000000)</f>
        <v/>
      </c>
    </row>
    <row r="178">
      <c r="B178" s="21" t="n"/>
      <c r="C178" s="21" t="n"/>
      <c r="D178" s="22" t="n"/>
      <c r="E178" s="22" t="n"/>
      <c r="F178" s="22" t="n"/>
      <c r="G178" s="22" t="n"/>
      <c r="H178" s="26">
        <f>IF($C178="","",COUNTIFS(DOC_EQP,$C178,DOC_ACTIVE,1))</f>
        <v/>
      </c>
      <c r="I178" s="26">
        <f>IF($C178="","",COUNTIFS(DOC_EQP,$C178,DOC_DONE,1))</f>
        <v/>
      </c>
      <c r="J178" s="26">
        <f>IF($C178="","",COUNTIFS(DOC_EQP,$C178,DOC_STATE,S_LATE))</f>
        <v/>
      </c>
      <c r="K178" s="26">
        <f>IF($C178="","",COUNTIFS(GAP_WHERE,$C178,GAP_KIND,"Equipment",GAP_KEY,"&gt;0"))</f>
        <v/>
      </c>
      <c r="L178" s="36">
        <f>IF($C178="","",IF($H178=0,"",$I178/$H178))</f>
        <v/>
      </c>
      <c r="M178" s="24">
        <f>IF($C178="","",IF($J178&gt;0,S_LATE,IF($K178&gt;0,S_RISK,IF(AND($H178&gt;0,$I178=$H178),S_DONE,S_WIP))))</f>
        <v/>
      </c>
      <c r="N178" s="24">
        <f>IF($C178="","",$J178*1000+$K178*10+IF($H178=0,0,(1-$I178/$H178))+ROW()/1000000)</f>
        <v/>
      </c>
    </row>
    <row r="179">
      <c r="B179" s="21" t="n"/>
      <c r="C179" s="21" t="n"/>
      <c r="D179" s="22" t="n"/>
      <c r="E179" s="22" t="n"/>
      <c r="F179" s="22" t="n"/>
      <c r="G179" s="22" t="n"/>
      <c r="H179" s="26">
        <f>IF($C179="","",COUNTIFS(DOC_EQP,$C179,DOC_ACTIVE,1))</f>
        <v/>
      </c>
      <c r="I179" s="26">
        <f>IF($C179="","",COUNTIFS(DOC_EQP,$C179,DOC_DONE,1))</f>
        <v/>
      </c>
      <c r="J179" s="26">
        <f>IF($C179="","",COUNTIFS(DOC_EQP,$C179,DOC_STATE,S_LATE))</f>
        <v/>
      </c>
      <c r="K179" s="26">
        <f>IF($C179="","",COUNTIFS(GAP_WHERE,$C179,GAP_KIND,"Equipment",GAP_KEY,"&gt;0"))</f>
        <v/>
      </c>
      <c r="L179" s="36">
        <f>IF($C179="","",IF($H179=0,"",$I179/$H179))</f>
        <v/>
      </c>
      <c r="M179" s="24">
        <f>IF($C179="","",IF($J179&gt;0,S_LATE,IF($K179&gt;0,S_RISK,IF(AND($H179&gt;0,$I179=$H179),S_DONE,S_WIP))))</f>
        <v/>
      </c>
      <c r="N179" s="24">
        <f>IF($C179="","",$J179*1000+$K179*10+IF($H179=0,0,(1-$I179/$H179))+ROW()/1000000)</f>
        <v/>
      </c>
    </row>
    <row r="180">
      <c r="B180" s="21" t="n"/>
      <c r="C180" s="21" t="n"/>
      <c r="D180" s="22" t="n"/>
      <c r="E180" s="22" t="n"/>
      <c r="F180" s="22" t="n"/>
      <c r="G180" s="22" t="n"/>
      <c r="H180" s="26">
        <f>IF($C180="","",COUNTIFS(DOC_EQP,$C180,DOC_ACTIVE,1))</f>
        <v/>
      </c>
      <c r="I180" s="26">
        <f>IF($C180="","",COUNTIFS(DOC_EQP,$C180,DOC_DONE,1))</f>
        <v/>
      </c>
      <c r="J180" s="26">
        <f>IF($C180="","",COUNTIFS(DOC_EQP,$C180,DOC_STATE,S_LATE))</f>
        <v/>
      </c>
      <c r="K180" s="26">
        <f>IF($C180="","",COUNTIFS(GAP_WHERE,$C180,GAP_KIND,"Equipment",GAP_KEY,"&gt;0"))</f>
        <v/>
      </c>
      <c r="L180" s="36">
        <f>IF($C180="","",IF($H180=0,"",$I180/$H180))</f>
        <v/>
      </c>
      <c r="M180" s="24">
        <f>IF($C180="","",IF($J180&gt;0,S_LATE,IF($K180&gt;0,S_RISK,IF(AND($H180&gt;0,$I180=$H180),S_DONE,S_WIP))))</f>
        <v/>
      </c>
      <c r="N180" s="24">
        <f>IF($C180="","",$J180*1000+$K180*10+IF($H180=0,0,(1-$I180/$H180))+ROW()/1000000)</f>
        <v/>
      </c>
    </row>
    <row r="181">
      <c r="B181" s="21" t="n"/>
      <c r="C181" s="21" t="n"/>
      <c r="D181" s="22" t="n"/>
      <c r="E181" s="22" t="n"/>
      <c r="F181" s="22" t="n"/>
      <c r="G181" s="22" t="n"/>
      <c r="H181" s="26">
        <f>IF($C181="","",COUNTIFS(DOC_EQP,$C181,DOC_ACTIVE,1))</f>
        <v/>
      </c>
      <c r="I181" s="26">
        <f>IF($C181="","",COUNTIFS(DOC_EQP,$C181,DOC_DONE,1))</f>
        <v/>
      </c>
      <c r="J181" s="26">
        <f>IF($C181="","",COUNTIFS(DOC_EQP,$C181,DOC_STATE,S_LATE))</f>
        <v/>
      </c>
      <c r="K181" s="26">
        <f>IF($C181="","",COUNTIFS(GAP_WHERE,$C181,GAP_KIND,"Equipment",GAP_KEY,"&gt;0"))</f>
        <v/>
      </c>
      <c r="L181" s="36">
        <f>IF($C181="","",IF($H181=0,"",$I181/$H181))</f>
        <v/>
      </c>
      <c r="M181" s="24">
        <f>IF($C181="","",IF($J181&gt;0,S_LATE,IF($K181&gt;0,S_RISK,IF(AND($H181&gt;0,$I181=$H181),S_DONE,S_WIP))))</f>
        <v/>
      </c>
      <c r="N181" s="24">
        <f>IF($C181="","",$J181*1000+$K181*10+IF($H181=0,0,(1-$I181/$H181))+ROW()/1000000)</f>
        <v/>
      </c>
    </row>
    <row r="182">
      <c r="B182" s="21" t="n"/>
      <c r="C182" s="21" t="n"/>
      <c r="D182" s="22" t="n"/>
      <c r="E182" s="22" t="n"/>
      <c r="F182" s="22" t="n"/>
      <c r="G182" s="22" t="n"/>
      <c r="H182" s="26">
        <f>IF($C182="","",COUNTIFS(DOC_EQP,$C182,DOC_ACTIVE,1))</f>
        <v/>
      </c>
      <c r="I182" s="26">
        <f>IF($C182="","",COUNTIFS(DOC_EQP,$C182,DOC_DONE,1))</f>
        <v/>
      </c>
      <c r="J182" s="26">
        <f>IF($C182="","",COUNTIFS(DOC_EQP,$C182,DOC_STATE,S_LATE))</f>
        <v/>
      </c>
      <c r="K182" s="26">
        <f>IF($C182="","",COUNTIFS(GAP_WHERE,$C182,GAP_KIND,"Equipment",GAP_KEY,"&gt;0"))</f>
        <v/>
      </c>
      <c r="L182" s="36">
        <f>IF($C182="","",IF($H182=0,"",$I182/$H182))</f>
        <v/>
      </c>
      <c r="M182" s="24">
        <f>IF($C182="","",IF($J182&gt;0,S_LATE,IF($K182&gt;0,S_RISK,IF(AND($H182&gt;0,$I182=$H182),S_DONE,S_WIP))))</f>
        <v/>
      </c>
      <c r="N182" s="24">
        <f>IF($C182="","",$J182*1000+$K182*10+IF($H182=0,0,(1-$I182/$H182))+ROW()/1000000)</f>
        <v/>
      </c>
    </row>
    <row r="183">
      <c r="B183" s="21" t="n"/>
      <c r="C183" s="21" t="n"/>
      <c r="D183" s="22" t="n"/>
      <c r="E183" s="22" t="n"/>
      <c r="F183" s="22" t="n"/>
      <c r="G183" s="22" t="n"/>
      <c r="H183" s="26">
        <f>IF($C183="","",COUNTIFS(DOC_EQP,$C183,DOC_ACTIVE,1))</f>
        <v/>
      </c>
      <c r="I183" s="26">
        <f>IF($C183="","",COUNTIFS(DOC_EQP,$C183,DOC_DONE,1))</f>
        <v/>
      </c>
      <c r="J183" s="26">
        <f>IF($C183="","",COUNTIFS(DOC_EQP,$C183,DOC_STATE,S_LATE))</f>
        <v/>
      </c>
      <c r="K183" s="26">
        <f>IF($C183="","",COUNTIFS(GAP_WHERE,$C183,GAP_KIND,"Equipment",GAP_KEY,"&gt;0"))</f>
        <v/>
      </c>
      <c r="L183" s="36">
        <f>IF($C183="","",IF($H183=0,"",$I183/$H183))</f>
        <v/>
      </c>
      <c r="M183" s="24">
        <f>IF($C183="","",IF($J183&gt;0,S_LATE,IF($K183&gt;0,S_RISK,IF(AND($H183&gt;0,$I183=$H183),S_DONE,S_WIP))))</f>
        <v/>
      </c>
      <c r="N183" s="24">
        <f>IF($C183="","",$J183*1000+$K183*10+IF($H183=0,0,(1-$I183/$H183))+ROW()/1000000)</f>
        <v/>
      </c>
    </row>
    <row r="184">
      <c r="B184" s="21" t="n"/>
      <c r="C184" s="21" t="n"/>
      <c r="D184" s="22" t="n"/>
      <c r="E184" s="22" t="n"/>
      <c r="F184" s="22" t="n"/>
      <c r="G184" s="22" t="n"/>
      <c r="H184" s="26">
        <f>IF($C184="","",COUNTIFS(DOC_EQP,$C184,DOC_ACTIVE,1))</f>
        <v/>
      </c>
      <c r="I184" s="26">
        <f>IF($C184="","",COUNTIFS(DOC_EQP,$C184,DOC_DONE,1))</f>
        <v/>
      </c>
      <c r="J184" s="26">
        <f>IF($C184="","",COUNTIFS(DOC_EQP,$C184,DOC_STATE,S_LATE))</f>
        <v/>
      </c>
      <c r="K184" s="26">
        <f>IF($C184="","",COUNTIFS(GAP_WHERE,$C184,GAP_KIND,"Equipment",GAP_KEY,"&gt;0"))</f>
        <v/>
      </c>
      <c r="L184" s="36">
        <f>IF($C184="","",IF($H184=0,"",$I184/$H184))</f>
        <v/>
      </c>
      <c r="M184" s="24">
        <f>IF($C184="","",IF($J184&gt;0,S_LATE,IF($K184&gt;0,S_RISK,IF(AND($H184&gt;0,$I184=$H184),S_DONE,S_WIP))))</f>
        <v/>
      </c>
      <c r="N184" s="24">
        <f>IF($C184="","",$J184*1000+$K184*10+IF($H184=0,0,(1-$I184/$H184))+ROW()/1000000)</f>
        <v/>
      </c>
    </row>
    <row r="185">
      <c r="B185" s="21" t="n"/>
      <c r="C185" s="21" t="n"/>
      <c r="D185" s="22" t="n"/>
      <c r="E185" s="22" t="n"/>
      <c r="F185" s="22" t="n"/>
      <c r="G185" s="22" t="n"/>
      <c r="H185" s="26">
        <f>IF($C185="","",COUNTIFS(DOC_EQP,$C185,DOC_ACTIVE,1))</f>
        <v/>
      </c>
      <c r="I185" s="26">
        <f>IF($C185="","",COUNTIFS(DOC_EQP,$C185,DOC_DONE,1))</f>
        <v/>
      </c>
      <c r="J185" s="26">
        <f>IF($C185="","",COUNTIFS(DOC_EQP,$C185,DOC_STATE,S_LATE))</f>
        <v/>
      </c>
      <c r="K185" s="26">
        <f>IF($C185="","",COUNTIFS(GAP_WHERE,$C185,GAP_KIND,"Equipment",GAP_KEY,"&gt;0"))</f>
        <v/>
      </c>
      <c r="L185" s="36">
        <f>IF($C185="","",IF($H185=0,"",$I185/$H185))</f>
        <v/>
      </c>
      <c r="M185" s="24">
        <f>IF($C185="","",IF($J185&gt;0,S_LATE,IF($K185&gt;0,S_RISK,IF(AND($H185&gt;0,$I185=$H185),S_DONE,S_WIP))))</f>
        <v/>
      </c>
      <c r="N185" s="24">
        <f>IF($C185="","",$J185*1000+$K185*10+IF($H185=0,0,(1-$I185/$H185))+ROW()/1000000)</f>
        <v/>
      </c>
    </row>
    <row r="186">
      <c r="B186" s="21" t="n"/>
      <c r="C186" s="21" t="n"/>
      <c r="D186" s="22" t="n"/>
      <c r="E186" s="22" t="n"/>
      <c r="F186" s="22" t="n"/>
      <c r="G186" s="22" t="n"/>
      <c r="H186" s="26">
        <f>IF($C186="","",COUNTIFS(DOC_EQP,$C186,DOC_ACTIVE,1))</f>
        <v/>
      </c>
      <c r="I186" s="26">
        <f>IF($C186="","",COUNTIFS(DOC_EQP,$C186,DOC_DONE,1))</f>
        <v/>
      </c>
      <c r="J186" s="26">
        <f>IF($C186="","",COUNTIFS(DOC_EQP,$C186,DOC_STATE,S_LATE))</f>
        <v/>
      </c>
      <c r="K186" s="26">
        <f>IF($C186="","",COUNTIFS(GAP_WHERE,$C186,GAP_KIND,"Equipment",GAP_KEY,"&gt;0"))</f>
        <v/>
      </c>
      <c r="L186" s="36">
        <f>IF($C186="","",IF($H186=0,"",$I186/$H186))</f>
        <v/>
      </c>
      <c r="M186" s="24">
        <f>IF($C186="","",IF($J186&gt;0,S_LATE,IF($K186&gt;0,S_RISK,IF(AND($H186&gt;0,$I186=$H186),S_DONE,S_WIP))))</f>
        <v/>
      </c>
      <c r="N186" s="24">
        <f>IF($C186="","",$J186*1000+$K186*10+IF($H186=0,0,(1-$I186/$H186))+ROW()/1000000)</f>
        <v/>
      </c>
    </row>
    <row r="187">
      <c r="B187" s="21" t="n"/>
      <c r="C187" s="21" t="n"/>
      <c r="D187" s="22" t="n"/>
      <c r="E187" s="22" t="n"/>
      <c r="F187" s="22" t="n"/>
      <c r="G187" s="22" t="n"/>
      <c r="H187" s="26">
        <f>IF($C187="","",COUNTIFS(DOC_EQP,$C187,DOC_ACTIVE,1))</f>
        <v/>
      </c>
      <c r="I187" s="26">
        <f>IF($C187="","",COUNTIFS(DOC_EQP,$C187,DOC_DONE,1))</f>
        <v/>
      </c>
      <c r="J187" s="26">
        <f>IF($C187="","",COUNTIFS(DOC_EQP,$C187,DOC_STATE,S_LATE))</f>
        <v/>
      </c>
      <c r="K187" s="26">
        <f>IF($C187="","",COUNTIFS(GAP_WHERE,$C187,GAP_KIND,"Equipment",GAP_KEY,"&gt;0"))</f>
        <v/>
      </c>
      <c r="L187" s="36">
        <f>IF($C187="","",IF($H187=0,"",$I187/$H187))</f>
        <v/>
      </c>
      <c r="M187" s="24">
        <f>IF($C187="","",IF($J187&gt;0,S_LATE,IF($K187&gt;0,S_RISK,IF(AND($H187&gt;0,$I187=$H187),S_DONE,S_WIP))))</f>
        <v/>
      </c>
      <c r="N187" s="24">
        <f>IF($C187="","",$J187*1000+$K187*10+IF($H187=0,0,(1-$I187/$H187))+ROW()/1000000)</f>
        <v/>
      </c>
    </row>
    <row r="188">
      <c r="B188" s="21" t="n"/>
      <c r="C188" s="21" t="n"/>
      <c r="D188" s="22" t="n"/>
      <c r="E188" s="22" t="n"/>
      <c r="F188" s="22" t="n"/>
      <c r="G188" s="22" t="n"/>
      <c r="H188" s="26">
        <f>IF($C188="","",COUNTIFS(DOC_EQP,$C188,DOC_ACTIVE,1))</f>
        <v/>
      </c>
      <c r="I188" s="26">
        <f>IF($C188="","",COUNTIFS(DOC_EQP,$C188,DOC_DONE,1))</f>
        <v/>
      </c>
      <c r="J188" s="26">
        <f>IF($C188="","",COUNTIFS(DOC_EQP,$C188,DOC_STATE,S_LATE))</f>
        <v/>
      </c>
      <c r="K188" s="26">
        <f>IF($C188="","",COUNTIFS(GAP_WHERE,$C188,GAP_KIND,"Equipment",GAP_KEY,"&gt;0"))</f>
        <v/>
      </c>
      <c r="L188" s="36">
        <f>IF($C188="","",IF($H188=0,"",$I188/$H188))</f>
        <v/>
      </c>
      <c r="M188" s="24">
        <f>IF($C188="","",IF($J188&gt;0,S_LATE,IF($K188&gt;0,S_RISK,IF(AND($H188&gt;0,$I188=$H188),S_DONE,S_WIP))))</f>
        <v/>
      </c>
      <c r="N188" s="24">
        <f>IF($C188="","",$J188*1000+$K188*10+IF($H188=0,0,(1-$I188/$H188))+ROW()/1000000)</f>
        <v/>
      </c>
    </row>
    <row r="189">
      <c r="B189" s="21" t="n"/>
      <c r="C189" s="21" t="n"/>
      <c r="D189" s="22" t="n"/>
      <c r="E189" s="22" t="n"/>
      <c r="F189" s="22" t="n"/>
      <c r="G189" s="22" t="n"/>
      <c r="H189" s="26">
        <f>IF($C189="","",COUNTIFS(DOC_EQP,$C189,DOC_ACTIVE,1))</f>
        <v/>
      </c>
      <c r="I189" s="26">
        <f>IF($C189="","",COUNTIFS(DOC_EQP,$C189,DOC_DONE,1))</f>
        <v/>
      </c>
      <c r="J189" s="26">
        <f>IF($C189="","",COUNTIFS(DOC_EQP,$C189,DOC_STATE,S_LATE))</f>
        <v/>
      </c>
      <c r="K189" s="26">
        <f>IF($C189="","",COUNTIFS(GAP_WHERE,$C189,GAP_KIND,"Equipment",GAP_KEY,"&gt;0"))</f>
        <v/>
      </c>
      <c r="L189" s="36">
        <f>IF($C189="","",IF($H189=0,"",$I189/$H189))</f>
        <v/>
      </c>
      <c r="M189" s="24">
        <f>IF($C189="","",IF($J189&gt;0,S_LATE,IF($K189&gt;0,S_RISK,IF(AND($H189&gt;0,$I189=$H189),S_DONE,S_WIP))))</f>
        <v/>
      </c>
      <c r="N189" s="24">
        <f>IF($C189="","",$J189*1000+$K189*10+IF($H189=0,0,(1-$I189/$H189))+ROW()/1000000)</f>
        <v/>
      </c>
    </row>
    <row r="190">
      <c r="B190" s="21" t="n"/>
      <c r="C190" s="21" t="n"/>
      <c r="D190" s="22" t="n"/>
      <c r="E190" s="22" t="n"/>
      <c r="F190" s="22" t="n"/>
      <c r="G190" s="22" t="n"/>
      <c r="H190" s="26">
        <f>IF($C190="","",COUNTIFS(DOC_EQP,$C190,DOC_ACTIVE,1))</f>
        <v/>
      </c>
      <c r="I190" s="26">
        <f>IF($C190="","",COUNTIFS(DOC_EQP,$C190,DOC_DONE,1))</f>
        <v/>
      </c>
      <c r="J190" s="26">
        <f>IF($C190="","",COUNTIFS(DOC_EQP,$C190,DOC_STATE,S_LATE))</f>
        <v/>
      </c>
      <c r="K190" s="26">
        <f>IF($C190="","",COUNTIFS(GAP_WHERE,$C190,GAP_KIND,"Equipment",GAP_KEY,"&gt;0"))</f>
        <v/>
      </c>
      <c r="L190" s="36">
        <f>IF($C190="","",IF($H190=0,"",$I190/$H190))</f>
        <v/>
      </c>
      <c r="M190" s="24">
        <f>IF($C190="","",IF($J190&gt;0,S_LATE,IF($K190&gt;0,S_RISK,IF(AND($H190&gt;0,$I190=$H190),S_DONE,S_WIP))))</f>
        <v/>
      </c>
      <c r="N190" s="24">
        <f>IF($C190="","",$J190*1000+$K190*10+IF($H190=0,0,(1-$I190/$H190))+ROW()/1000000)</f>
        <v/>
      </c>
    </row>
    <row r="191">
      <c r="B191" s="21" t="n"/>
      <c r="C191" s="21" t="n"/>
      <c r="D191" s="22" t="n"/>
      <c r="E191" s="22" t="n"/>
      <c r="F191" s="22" t="n"/>
      <c r="G191" s="22" t="n"/>
      <c r="H191" s="26">
        <f>IF($C191="","",COUNTIFS(DOC_EQP,$C191,DOC_ACTIVE,1))</f>
        <v/>
      </c>
      <c r="I191" s="26">
        <f>IF($C191="","",COUNTIFS(DOC_EQP,$C191,DOC_DONE,1))</f>
        <v/>
      </c>
      <c r="J191" s="26">
        <f>IF($C191="","",COUNTIFS(DOC_EQP,$C191,DOC_STATE,S_LATE))</f>
        <v/>
      </c>
      <c r="K191" s="26">
        <f>IF($C191="","",COUNTIFS(GAP_WHERE,$C191,GAP_KIND,"Equipment",GAP_KEY,"&gt;0"))</f>
        <v/>
      </c>
      <c r="L191" s="36">
        <f>IF($C191="","",IF($H191=0,"",$I191/$H191))</f>
        <v/>
      </c>
      <c r="M191" s="24">
        <f>IF($C191="","",IF($J191&gt;0,S_LATE,IF($K191&gt;0,S_RISK,IF(AND($H191&gt;0,$I191=$H191),S_DONE,S_WIP))))</f>
        <v/>
      </c>
      <c r="N191" s="24">
        <f>IF($C191="","",$J191*1000+$K191*10+IF($H191=0,0,(1-$I191/$H191))+ROW()/1000000)</f>
        <v/>
      </c>
    </row>
    <row r="192">
      <c r="B192" s="21" t="n"/>
      <c r="C192" s="21" t="n"/>
      <c r="D192" s="22" t="n"/>
      <c r="E192" s="22" t="n"/>
      <c r="F192" s="22" t="n"/>
      <c r="G192" s="22" t="n"/>
      <c r="H192" s="26">
        <f>IF($C192="","",COUNTIFS(DOC_EQP,$C192,DOC_ACTIVE,1))</f>
        <v/>
      </c>
      <c r="I192" s="26">
        <f>IF($C192="","",COUNTIFS(DOC_EQP,$C192,DOC_DONE,1))</f>
        <v/>
      </c>
      <c r="J192" s="26">
        <f>IF($C192="","",COUNTIFS(DOC_EQP,$C192,DOC_STATE,S_LATE))</f>
        <v/>
      </c>
      <c r="K192" s="26">
        <f>IF($C192="","",COUNTIFS(GAP_WHERE,$C192,GAP_KIND,"Equipment",GAP_KEY,"&gt;0"))</f>
        <v/>
      </c>
      <c r="L192" s="36">
        <f>IF($C192="","",IF($H192=0,"",$I192/$H192))</f>
        <v/>
      </c>
      <c r="M192" s="24">
        <f>IF($C192="","",IF($J192&gt;0,S_LATE,IF($K192&gt;0,S_RISK,IF(AND($H192&gt;0,$I192=$H192),S_DONE,S_WIP))))</f>
        <v/>
      </c>
      <c r="N192" s="24">
        <f>IF($C192="","",$J192*1000+$K192*10+IF($H192=0,0,(1-$I192/$H192))+ROW()/1000000)</f>
        <v/>
      </c>
    </row>
    <row r="193">
      <c r="B193" s="21" t="n"/>
      <c r="C193" s="21" t="n"/>
      <c r="D193" s="22" t="n"/>
      <c r="E193" s="22" t="n"/>
      <c r="F193" s="22" t="n"/>
      <c r="G193" s="22" t="n"/>
      <c r="H193" s="26">
        <f>IF($C193="","",COUNTIFS(DOC_EQP,$C193,DOC_ACTIVE,1))</f>
        <v/>
      </c>
      <c r="I193" s="26">
        <f>IF($C193="","",COUNTIFS(DOC_EQP,$C193,DOC_DONE,1))</f>
        <v/>
      </c>
      <c r="J193" s="26">
        <f>IF($C193="","",COUNTIFS(DOC_EQP,$C193,DOC_STATE,S_LATE))</f>
        <v/>
      </c>
      <c r="K193" s="26">
        <f>IF($C193="","",COUNTIFS(GAP_WHERE,$C193,GAP_KIND,"Equipment",GAP_KEY,"&gt;0"))</f>
        <v/>
      </c>
      <c r="L193" s="36">
        <f>IF($C193="","",IF($H193=0,"",$I193/$H193))</f>
        <v/>
      </c>
      <c r="M193" s="24">
        <f>IF($C193="","",IF($J193&gt;0,S_LATE,IF($K193&gt;0,S_RISK,IF(AND($H193&gt;0,$I193=$H193),S_DONE,S_WIP))))</f>
        <v/>
      </c>
      <c r="N193" s="24">
        <f>IF($C193="","",$J193*1000+$K193*10+IF($H193=0,0,(1-$I193/$H193))+ROW()/1000000)</f>
        <v/>
      </c>
    </row>
    <row r="194">
      <c r="B194" s="21" t="n"/>
      <c r="C194" s="21" t="n"/>
      <c r="D194" s="22" t="n"/>
      <c r="E194" s="22" t="n"/>
      <c r="F194" s="22" t="n"/>
      <c r="G194" s="22" t="n"/>
      <c r="H194" s="26">
        <f>IF($C194="","",COUNTIFS(DOC_EQP,$C194,DOC_ACTIVE,1))</f>
        <v/>
      </c>
      <c r="I194" s="26">
        <f>IF($C194="","",COUNTIFS(DOC_EQP,$C194,DOC_DONE,1))</f>
        <v/>
      </c>
      <c r="J194" s="26">
        <f>IF($C194="","",COUNTIFS(DOC_EQP,$C194,DOC_STATE,S_LATE))</f>
        <v/>
      </c>
      <c r="K194" s="26">
        <f>IF($C194="","",COUNTIFS(GAP_WHERE,$C194,GAP_KIND,"Equipment",GAP_KEY,"&gt;0"))</f>
        <v/>
      </c>
      <c r="L194" s="36">
        <f>IF($C194="","",IF($H194=0,"",$I194/$H194))</f>
        <v/>
      </c>
      <c r="M194" s="24">
        <f>IF($C194="","",IF($J194&gt;0,S_LATE,IF($K194&gt;0,S_RISK,IF(AND($H194&gt;0,$I194=$H194),S_DONE,S_WIP))))</f>
        <v/>
      </c>
      <c r="N194" s="24">
        <f>IF($C194="","",$J194*1000+$K194*10+IF($H194=0,0,(1-$I194/$H194))+ROW()/1000000)</f>
        <v/>
      </c>
    </row>
    <row r="195">
      <c r="B195" s="21" t="n"/>
      <c r="C195" s="21" t="n"/>
      <c r="D195" s="22" t="n"/>
      <c r="E195" s="22" t="n"/>
      <c r="F195" s="22" t="n"/>
      <c r="G195" s="22" t="n"/>
      <c r="H195" s="26">
        <f>IF($C195="","",COUNTIFS(DOC_EQP,$C195,DOC_ACTIVE,1))</f>
        <v/>
      </c>
      <c r="I195" s="26">
        <f>IF($C195="","",COUNTIFS(DOC_EQP,$C195,DOC_DONE,1))</f>
        <v/>
      </c>
      <c r="J195" s="26">
        <f>IF($C195="","",COUNTIFS(DOC_EQP,$C195,DOC_STATE,S_LATE))</f>
        <v/>
      </c>
      <c r="K195" s="26">
        <f>IF($C195="","",COUNTIFS(GAP_WHERE,$C195,GAP_KIND,"Equipment",GAP_KEY,"&gt;0"))</f>
        <v/>
      </c>
      <c r="L195" s="36">
        <f>IF($C195="","",IF($H195=0,"",$I195/$H195))</f>
        <v/>
      </c>
      <c r="M195" s="24">
        <f>IF($C195="","",IF($J195&gt;0,S_LATE,IF($K195&gt;0,S_RISK,IF(AND($H195&gt;0,$I195=$H195),S_DONE,S_WIP))))</f>
        <v/>
      </c>
      <c r="N195" s="24">
        <f>IF($C195="","",$J195*1000+$K195*10+IF($H195=0,0,(1-$I195/$H195))+ROW()/1000000)</f>
        <v/>
      </c>
    </row>
    <row r="196">
      <c r="B196" s="21" t="n"/>
      <c r="C196" s="21" t="n"/>
      <c r="D196" s="22" t="n"/>
      <c r="E196" s="22" t="n"/>
      <c r="F196" s="22" t="n"/>
      <c r="G196" s="22" t="n"/>
      <c r="H196" s="26">
        <f>IF($C196="","",COUNTIFS(DOC_EQP,$C196,DOC_ACTIVE,1))</f>
        <v/>
      </c>
      <c r="I196" s="26">
        <f>IF($C196="","",COUNTIFS(DOC_EQP,$C196,DOC_DONE,1))</f>
        <v/>
      </c>
      <c r="J196" s="26">
        <f>IF($C196="","",COUNTIFS(DOC_EQP,$C196,DOC_STATE,S_LATE))</f>
        <v/>
      </c>
      <c r="K196" s="26">
        <f>IF($C196="","",COUNTIFS(GAP_WHERE,$C196,GAP_KIND,"Equipment",GAP_KEY,"&gt;0"))</f>
        <v/>
      </c>
      <c r="L196" s="36">
        <f>IF($C196="","",IF($H196=0,"",$I196/$H196))</f>
        <v/>
      </c>
      <c r="M196" s="24">
        <f>IF($C196="","",IF($J196&gt;0,S_LATE,IF($K196&gt;0,S_RISK,IF(AND($H196&gt;0,$I196=$H196),S_DONE,S_WIP))))</f>
        <v/>
      </c>
      <c r="N196" s="24">
        <f>IF($C196="","",$J196*1000+$K196*10+IF($H196=0,0,(1-$I196/$H196))+ROW()/1000000)</f>
        <v/>
      </c>
    </row>
    <row r="198" ht="18" customHeight="1">
      <c r="B198" s="3" t="inlineStr">
        <is>
          <t>8 - DOCUMENT TYPE LIBRARY</t>
        </is>
      </c>
      <c r="C198" s="4" t="n"/>
      <c r="D198" s="4" t="n"/>
      <c r="E198" s="4" t="n"/>
      <c r="F198" s="4" t="n"/>
      <c r="G198" s="4" t="n"/>
      <c r="H198" s="4" t="n"/>
      <c r="I198" s="4" t="n"/>
    </row>
    <row r="199" ht="28" customHeight="1">
      <c r="B199" s="13" t="inlineStr">
        <is>
          <t>Document type</t>
        </is>
      </c>
      <c r="C199" s="13" t="inlineStr">
        <is>
          <t>Phase</t>
        </is>
      </c>
      <c r="D199" s="13" t="inlineStr">
        <is>
          <t>Core required (ATS)</t>
        </is>
      </c>
      <c r="E199" s="13" t="inlineStr">
        <is>
          <t>Anchor milestone</t>
        </is>
      </c>
      <c r="F199" s="13" t="inlineStr">
        <is>
          <t>Lead before anchor (days)</t>
        </is>
      </c>
      <c r="G199" s="13" t="inlineStr">
        <is>
          <t>Default scope</t>
        </is>
      </c>
      <c r="H199" s="13" t="inlineStr">
        <is>
          <t>Note</t>
        </is>
      </c>
      <c r="I199" s="13" t="inlineStr">
        <is>
          <t>Core key</t>
        </is>
      </c>
    </row>
    <row r="200">
      <c r="B200" s="31" t="inlineStr">
        <is>
          <t>Basis of Commissioning</t>
        </is>
      </c>
      <c r="C200" s="31" t="inlineStr">
        <is>
          <t>Pre-commissioning</t>
        </is>
      </c>
      <c r="D200" s="31" t="inlineStr">
        <is>
          <t>Yes</t>
        </is>
      </c>
      <c r="E200" s="31" t="inlineStr">
        <is>
          <t>Commissioning Start</t>
        </is>
      </c>
      <c r="F200" s="37" t="n">
        <v>360</v>
      </c>
      <c r="G200" s="31" t="inlineStr">
        <is>
          <t>All</t>
        </is>
      </c>
      <c r="H200" s="38" t="inlineStr">
        <is>
          <t>T-12 months</t>
        </is>
      </c>
      <c r="I200" s="24">
        <f>IF(AND($B200&lt;&gt;"",$D200="Yes"),ROW()-199,"")</f>
        <v/>
      </c>
    </row>
    <row r="201">
      <c r="B201" s="31" t="inlineStr">
        <is>
          <t>Surveillance Strategy</t>
        </is>
      </c>
      <c r="C201" s="31" t="inlineStr">
        <is>
          <t>Pre-commissioning</t>
        </is>
      </c>
      <c r="D201" s="31" t="inlineStr">
        <is>
          <t>Yes</t>
        </is>
      </c>
      <c r="E201" s="31" t="inlineStr">
        <is>
          <t>Commissioning Start</t>
        </is>
      </c>
      <c r="F201" s="37" t="n">
        <v>360</v>
      </c>
      <c r="G201" s="31" t="inlineStr">
        <is>
          <t>All</t>
        </is>
      </c>
      <c r="H201" s="38" t="inlineStr">
        <is>
          <t>T-12 months, ATS</t>
        </is>
      </c>
      <c r="I201" s="24">
        <f>IF(AND($B201&lt;&gt;"",$D201="Yes"),ROW()-199,"")</f>
        <v/>
      </c>
    </row>
    <row r="202">
      <c r="B202" s="31" t="inlineStr">
        <is>
          <t>Surveillance Programme</t>
        </is>
      </c>
      <c r="C202" s="31" t="inlineStr">
        <is>
          <t>Pre-commissioning</t>
        </is>
      </c>
      <c r="D202" s="31" t="inlineStr">
        <is>
          <t>Yes</t>
        </is>
      </c>
      <c r="E202" s="31" t="inlineStr">
        <is>
          <t>Commissioning Start</t>
        </is>
      </c>
      <c r="F202" s="37" t="n">
        <v>270</v>
      </c>
      <c r="G202" s="31" t="inlineStr">
        <is>
          <t>System</t>
        </is>
      </c>
      <c r="H202" s="38" t="inlineStr">
        <is>
          <t>T-9 months, ATS</t>
        </is>
      </c>
      <c r="I202" s="24">
        <f>IF(AND($B202&lt;&gt;"",$D202="Yes"),ROW()-199,"")</f>
        <v/>
      </c>
    </row>
    <row r="203">
      <c r="B203" s="31" t="inlineStr">
        <is>
          <t>Competency Evidence</t>
        </is>
      </c>
      <c r="C203" s="31" t="inlineStr">
        <is>
          <t>Pre-commissioning</t>
        </is>
      </c>
      <c r="D203" s="31" t="inlineStr">
        <is>
          <t>Yes</t>
        </is>
      </c>
      <c r="E203" s="31" t="inlineStr">
        <is>
          <t>Commissioning Start</t>
        </is>
      </c>
      <c r="F203" s="37" t="n">
        <v>270</v>
      </c>
      <c r="G203" s="31" t="inlineStr">
        <is>
          <t>All</t>
        </is>
      </c>
      <c r="H203" s="38" t="inlineStr">
        <is>
          <t>T-9 months, ATS</t>
        </is>
      </c>
      <c r="I203" s="24">
        <f>IF(AND($B203&lt;&gt;"",$D203="Yes"),ROW()-199,"")</f>
        <v/>
      </c>
    </row>
    <row r="204">
      <c r="B204" s="31" t="inlineStr">
        <is>
          <t>Safe System Of Work</t>
        </is>
      </c>
      <c r="C204" s="31" t="inlineStr">
        <is>
          <t>Pre-commissioning</t>
        </is>
      </c>
      <c r="D204" s="31" t="inlineStr">
        <is>
          <t>Yes</t>
        </is>
      </c>
      <c r="E204" s="31" t="inlineStr">
        <is>
          <t>Commissioning Start</t>
        </is>
      </c>
      <c r="F204" s="37" t="n">
        <v>180</v>
      </c>
      <c r="G204" s="31" t="inlineStr">
        <is>
          <t>System</t>
        </is>
      </c>
      <c r="H204" s="38" t="inlineStr">
        <is>
          <t>T-6 months, ATS</t>
        </is>
      </c>
      <c r="I204" s="24">
        <f>IF(AND($B204&lt;&gt;"",$D204="Yes"),ROW()-199,"")</f>
        <v/>
      </c>
    </row>
    <row r="205">
      <c r="B205" s="31" t="inlineStr">
        <is>
          <t>Risk Assessment And Method Statement</t>
        </is>
      </c>
      <c r="C205" s="31" t="inlineStr">
        <is>
          <t>Pre-commissioning</t>
        </is>
      </c>
      <c r="D205" s="31" t="inlineStr">
        <is>
          <t>Yes</t>
        </is>
      </c>
      <c r="E205" s="31" t="inlineStr">
        <is>
          <t>Commissioning Start</t>
        </is>
      </c>
      <c r="F205" s="37" t="n">
        <v>180</v>
      </c>
      <c r="G205" s="31" t="inlineStr">
        <is>
          <t>System</t>
        </is>
      </c>
      <c r="H205" s="38" t="inlineStr">
        <is>
          <t>T-6 months, ATS</t>
        </is>
      </c>
      <c r="I205" s="24">
        <f>IF(AND($B205&lt;&gt;"",$D205="Yes"),ROW()-199,"")</f>
        <v/>
      </c>
    </row>
    <row r="206">
      <c r="B206" s="31" t="inlineStr">
        <is>
          <t>System Commissioning Programme</t>
        </is>
      </c>
      <c r="C206" s="31" t="inlineStr">
        <is>
          <t>Pre-commissioning</t>
        </is>
      </c>
      <c r="D206" s="31" t="inlineStr">
        <is>
          <t>Yes</t>
        </is>
      </c>
      <c r="E206" s="31" t="inlineStr">
        <is>
          <t>Commissioning Start</t>
        </is>
      </c>
      <c r="F206" s="37" t="n">
        <v>180</v>
      </c>
      <c r="G206" s="31" t="inlineStr">
        <is>
          <t>System</t>
        </is>
      </c>
      <c r="H206" s="38" t="inlineStr">
        <is>
          <t>T-6 months, ATS</t>
        </is>
      </c>
      <c r="I206" s="24">
        <f>IF(AND($B206&lt;&gt;"",$D206="Yes"),ROW()-199,"")</f>
        <v/>
      </c>
    </row>
    <row r="207">
      <c r="B207" s="31" t="inlineStr">
        <is>
          <t>Commissioning Procedure</t>
        </is>
      </c>
      <c r="C207" s="31" t="inlineStr">
        <is>
          <t>Pre-commissioning</t>
        </is>
      </c>
      <c r="D207" s="31" t="inlineStr">
        <is>
          <t>Yes</t>
        </is>
      </c>
      <c r="E207" s="31" t="inlineStr">
        <is>
          <t>Commissioning Start</t>
        </is>
      </c>
      <c r="F207" s="37" t="n">
        <v>90</v>
      </c>
      <c r="G207" s="31" t="inlineStr">
        <is>
          <t>Equipment</t>
        </is>
      </c>
      <c r="H207" s="38" t="inlineStr">
        <is>
          <t>T-3 months, ATS</t>
        </is>
      </c>
      <c r="I207" s="24">
        <f>IF(AND($B207&lt;&gt;"",$D207="Yes"),ROW()-199,"")</f>
        <v/>
      </c>
    </row>
    <row r="208">
      <c r="B208" s="31" t="inlineStr">
        <is>
          <t>Inspection and Test Plan</t>
        </is>
      </c>
      <c r="C208" s="31" t="inlineStr">
        <is>
          <t>Pre-commissioning</t>
        </is>
      </c>
      <c r="D208" s="31" t="inlineStr">
        <is>
          <t>Yes</t>
        </is>
      </c>
      <c r="E208" s="31" t="inlineStr">
        <is>
          <t>Commissioning Start</t>
        </is>
      </c>
      <c r="F208" s="37" t="n">
        <v>90</v>
      </c>
      <c r="G208" s="31" t="inlineStr">
        <is>
          <t>Equipment</t>
        </is>
      </c>
      <c r="H208" s="38" t="inlineStr">
        <is>
          <t>T-3 months, ATS</t>
        </is>
      </c>
      <c r="I208" s="24">
        <f>IF(AND($B208&lt;&gt;"",$D208="Yes"),ROW()-199,"")</f>
        <v/>
      </c>
    </row>
    <row r="209">
      <c r="B209" s="31" t="inlineStr">
        <is>
          <t>Initial End Of Erection Status Report</t>
        </is>
      </c>
      <c r="C209" s="31" t="inlineStr">
        <is>
          <t>Pre-commissioning</t>
        </is>
      </c>
      <c r="D209" s="31" t="inlineStr">
        <is>
          <t>No</t>
        </is>
      </c>
      <c r="E209" s="31" t="inlineStr">
        <is>
          <t>Commissioning Start</t>
        </is>
      </c>
      <c r="F209" s="37" t="n">
        <v>90</v>
      </c>
      <c r="G209" s="31" t="inlineStr">
        <is>
          <t>Equipment</t>
        </is>
      </c>
      <c r="H209" s="38" t="inlineStr">
        <is>
          <t>T-3 months</t>
        </is>
      </c>
      <c r="I209" s="24">
        <f>IF(AND($B209&lt;&gt;"",$D209="Yes"),ROW()-199,"")</f>
        <v/>
      </c>
    </row>
    <row r="210">
      <c r="B210" s="31" t="inlineStr">
        <is>
          <t>Planned End Of Erection Status Report</t>
        </is>
      </c>
      <c r="C210" s="31" t="inlineStr">
        <is>
          <t>Pre-commissioning</t>
        </is>
      </c>
      <c r="D210" s="31" t="inlineStr">
        <is>
          <t>Yes</t>
        </is>
      </c>
      <c r="E210" s="31" t="inlineStr">
        <is>
          <t>Commissioning Start</t>
        </is>
      </c>
      <c r="F210" s="37" t="n">
        <v>30</v>
      </c>
      <c r="G210" s="31" t="inlineStr">
        <is>
          <t>Equipment</t>
        </is>
      </c>
      <c r="H210" s="38" t="inlineStr">
        <is>
          <t>T-1 month, ATS</t>
        </is>
      </c>
      <c r="I210" s="24">
        <f>IF(AND($B210&lt;&gt;"",$D210="Yes"),ROW()-199,"")</f>
        <v/>
      </c>
    </row>
    <row r="211">
      <c r="B211" s="31" t="inlineStr">
        <is>
          <t>Authority To Start Evidence</t>
        </is>
      </c>
      <c r="C211" s="31" t="inlineStr">
        <is>
          <t>Pre-commissioning</t>
        </is>
      </c>
      <c r="D211" s="31" t="inlineStr">
        <is>
          <t>Yes</t>
        </is>
      </c>
      <c r="E211" s="31" t="inlineStr">
        <is>
          <t>Commissioning Start</t>
        </is>
      </c>
      <c r="F211" s="37" t="n">
        <v>14</v>
      </c>
      <c r="G211" s="31" t="inlineStr">
        <is>
          <t>System</t>
        </is>
      </c>
      <c r="H211" s="38" t="inlineStr">
        <is>
          <t>T-2 weeks, ATS</t>
        </is>
      </c>
      <c r="I211" s="24">
        <f>IF(AND($B211&lt;&gt;"",$D211="Yes"),ROW()-199,"")</f>
        <v/>
      </c>
    </row>
    <row r="212">
      <c r="B212" s="31" t="inlineStr">
        <is>
          <t>Commissioning Results Sheet</t>
        </is>
      </c>
      <c r="C212" s="31" t="inlineStr">
        <is>
          <t>Commissioning</t>
        </is>
      </c>
      <c r="D212" s="31" t="inlineStr">
        <is>
          <t>No</t>
        </is>
      </c>
      <c r="E212" s="31" t="inlineStr">
        <is>
          <t>Commissioning Finish</t>
        </is>
      </c>
      <c r="F212" s="37" t="n">
        <v>0</v>
      </c>
      <c r="G212" s="31" t="inlineStr">
        <is>
          <t>Equipment</t>
        </is>
      </c>
      <c r="H212" s="38" t="inlineStr">
        <is>
          <t>During commissioning</t>
        </is>
      </c>
      <c r="I212" s="24">
        <f>IF(AND($B212&lt;&gt;"",$D212="Yes"),ROW()-199,"")</f>
        <v/>
      </c>
    </row>
    <row r="213">
      <c r="B213" s="31" t="inlineStr">
        <is>
          <t>Commissioning Phase Report</t>
        </is>
      </c>
      <c r="C213" s="31" t="inlineStr">
        <is>
          <t>Post-commissioning</t>
        </is>
      </c>
      <c r="D213" s="31" t="inlineStr">
        <is>
          <t>No</t>
        </is>
      </c>
      <c r="E213" s="31" t="inlineStr">
        <is>
          <t>Functional Takeover</t>
        </is>
      </c>
      <c r="F213" s="37" t="n">
        <v>15</v>
      </c>
      <c r="G213" s="31" t="inlineStr">
        <is>
          <t>System</t>
        </is>
      </c>
      <c r="H213" s="38" t="inlineStr">
        <is>
          <t>Anchor estimated</t>
        </is>
      </c>
      <c r="I213" s="24">
        <f>IF(AND($B213&lt;&gt;"",$D213="Yes"),ROW()-199,"")</f>
        <v/>
      </c>
    </row>
    <row r="214">
      <c r="B214" s="31" t="inlineStr">
        <is>
          <t>Handover Certificate</t>
        </is>
      </c>
      <c r="C214" s="31" t="inlineStr">
        <is>
          <t>Post-commissioning</t>
        </is>
      </c>
      <c r="D214" s="31" t="inlineStr">
        <is>
          <t>No</t>
        </is>
      </c>
      <c r="E214" s="31" t="inlineStr">
        <is>
          <t>Functional Takeover</t>
        </is>
      </c>
      <c r="F214" s="37" t="n">
        <v>0</v>
      </c>
      <c r="G214" s="31" t="inlineStr">
        <is>
          <t>Equipment</t>
        </is>
      </c>
      <c r="H214" s="38" t="inlineStr">
        <is>
          <t>Anchor estimated</t>
        </is>
      </c>
      <c r="I214" s="24">
        <f>IF(AND($B214&lt;&gt;"",$D214="Yes"),ROW()-199,"")</f>
        <v/>
      </c>
    </row>
    <row r="215">
      <c r="B215" s="31" t="inlineStr">
        <is>
          <t>Functional Takeover Package</t>
        </is>
      </c>
      <c r="C215" s="31" t="inlineStr">
        <is>
          <t>Post-commissioning</t>
        </is>
      </c>
      <c r="D215" s="31" t="inlineStr">
        <is>
          <t>No</t>
        </is>
      </c>
      <c r="E215" s="31" t="inlineStr">
        <is>
          <t>Functional Takeover</t>
        </is>
      </c>
      <c r="F215" s="37" t="n">
        <v>15</v>
      </c>
      <c r="G215" s="31" t="inlineStr">
        <is>
          <t>System</t>
        </is>
      </c>
      <c r="H215" s="38" t="inlineStr">
        <is>
          <t>Before FTC</t>
        </is>
      </c>
      <c r="I215" s="24">
        <f>IF(AND($B215&lt;&gt;"",$D215="Yes"),ROW()-199,"")</f>
        <v/>
      </c>
    </row>
    <row r="216">
      <c r="B216" s="31" t="inlineStr">
        <is>
          <t>Care And Maintenance Plan</t>
        </is>
      </c>
      <c r="C216" s="31" t="inlineStr">
        <is>
          <t>Post-commissioning</t>
        </is>
      </c>
      <c r="D216" s="31" t="inlineStr">
        <is>
          <t>No</t>
        </is>
      </c>
      <c r="E216" s="31" t="inlineStr">
        <is>
          <t>Maintenance Transfer</t>
        </is>
      </c>
      <c r="F216" s="37" t="n">
        <v>30</v>
      </c>
      <c r="G216" s="31" t="inlineStr">
        <is>
          <t>System</t>
        </is>
      </c>
      <c r="H216" s="38" t="inlineStr">
        <is>
          <t>Not in the spec lead table</t>
        </is>
      </c>
      <c r="I216" s="24">
        <f>IF(AND($B216&lt;&gt;"",$D216="Yes"),ROW()-199,"")</f>
        <v/>
      </c>
    </row>
    <row r="217">
      <c r="B217" s="31" t="inlineStr">
        <is>
          <t>Maintenance Transfer Package</t>
        </is>
      </c>
      <c r="C217" s="31" t="inlineStr">
        <is>
          <t>Post-commissioning</t>
        </is>
      </c>
      <c r="D217" s="31" t="inlineStr">
        <is>
          <t>No</t>
        </is>
      </c>
      <c r="E217" s="31" t="inlineStr">
        <is>
          <t>Maintenance Transfer</t>
        </is>
      </c>
      <c r="F217" s="37" t="n">
        <v>15</v>
      </c>
      <c r="G217" s="31" t="inlineStr">
        <is>
          <t>System</t>
        </is>
      </c>
      <c r="H217" s="38" t="inlineStr">
        <is>
          <t>Before TFM</t>
        </is>
      </c>
      <c r="I217" s="24">
        <f>IF(AND($B217&lt;&gt;"",$D217="Yes"),ROW()-199,"")</f>
        <v/>
      </c>
    </row>
    <row r="218">
      <c r="B218" s="31" t="inlineStr">
        <is>
          <t>Temporary Operations Transfer Package</t>
        </is>
      </c>
      <c r="C218" s="31" t="inlineStr">
        <is>
          <t>Post-commissioning</t>
        </is>
      </c>
      <c r="D218" s="31" t="inlineStr">
        <is>
          <t>No</t>
        </is>
      </c>
      <c r="E218" s="31" t="inlineStr">
        <is>
          <t>Temporary Operations Transfer</t>
        </is>
      </c>
      <c r="F218" s="37" t="n">
        <v>15</v>
      </c>
      <c r="G218" s="31" t="inlineStr">
        <is>
          <t>System</t>
        </is>
      </c>
      <c r="H218" s="38" t="inlineStr">
        <is>
          <t>Before TFTO</t>
        </is>
      </c>
      <c r="I218" s="24">
        <f>IF(AND($B218&lt;&gt;"",$D218="Yes"),ROW()-199,"")</f>
        <v/>
      </c>
    </row>
    <row r="219">
      <c r="B219" s="31" t="inlineStr">
        <is>
          <t>Final End Of Erection Status Report</t>
        </is>
      </c>
      <c r="C219" s="31" t="inlineStr">
        <is>
          <t>Post-commissioning</t>
        </is>
      </c>
      <c r="D219" s="31" t="inlineStr">
        <is>
          <t>No</t>
        </is>
      </c>
      <c r="E219" s="31" t="inlineStr">
        <is>
          <t>Final Takeover</t>
        </is>
      </c>
      <c r="F219" s="37" t="n">
        <v>15</v>
      </c>
      <c r="G219" s="31" t="inlineStr">
        <is>
          <t>System</t>
        </is>
      </c>
      <c r="H219" s="38" t="inlineStr">
        <is>
          <t>Before Final Takeover</t>
        </is>
      </c>
      <c r="I219" s="24">
        <f>IF(AND($B219&lt;&gt;"",$D219="Yes"),ROW()-199,"")</f>
        <v/>
      </c>
    </row>
    <row r="220">
      <c r="B220" s="29" t="inlineStr">
        <is>
          <t>Months are converted at 30 days each (T-3 months = 90), which reproduces the worked example in the source specification exactly. Post-commissioning types are anchored to a named milestone rather than to a guessed number of days.</t>
        </is>
      </c>
    </row>
    <row r="221" ht="18" customHeight="1">
      <c r="B221" s="32" t="inlineStr">
        <is>
          <t>9 - PHASES</t>
        </is>
      </c>
      <c r="C221" s="33" t="n"/>
      <c r="D221" s="33" t="n"/>
      <c r="E221" s="33" t="n"/>
    </row>
    <row r="222" ht="28" customHeight="1">
      <c r="B222" s="13" t="inlineStr">
        <is>
          <t>Phase</t>
        </is>
      </c>
      <c r="C222" s="13" t="inlineStr">
        <is>
          <t>Order</t>
        </is>
      </c>
    </row>
    <row r="223">
      <c r="B223" s="34" t="inlineStr">
        <is>
          <t>Pre-commissioning</t>
        </is>
      </c>
      <c r="C223" s="34" t="n">
        <v>1</v>
      </c>
    </row>
    <row r="224">
      <c r="B224" s="34" t="inlineStr">
        <is>
          <t>Commissioning</t>
        </is>
      </c>
      <c r="C224" s="34" t="n">
        <v>2</v>
      </c>
    </row>
    <row r="225">
      <c r="B225" s="34" t="inlineStr">
        <is>
          <t>Post-commissioning</t>
        </is>
      </c>
      <c r="C225" s="34" t="n">
        <v>3</v>
      </c>
    </row>
    <row r="227" ht="18" customHeight="1">
      <c r="B227" s="32" t="inlineStr">
        <is>
          <t>10 - PEOPLE      feeds the Responsible, Approver and Owner dropdowns</t>
        </is>
      </c>
      <c r="C227" s="33" t="n"/>
      <c r="D227" s="33" t="n"/>
      <c r="E227" s="33" t="n"/>
    </row>
    <row r="228" ht="28" customHeight="1">
      <c r="B228" s="13" t="inlineStr">
        <is>
          <t>Name</t>
        </is>
      </c>
      <c r="C228" s="13" t="inlineStr">
        <is>
          <t>Role</t>
        </is>
      </c>
    </row>
    <row r="229">
      <c r="B229" s="21" t="inlineStr">
        <is>
          <t>A. Mercer</t>
        </is>
      </c>
      <c r="C229" s="21" t="inlineStr">
        <is>
          <t>Contract Manager</t>
        </is>
      </c>
    </row>
    <row r="230">
      <c r="B230" s="21" t="inlineStr">
        <is>
          <t>S. Okonkwo</t>
        </is>
      </c>
      <c r="C230" s="21" t="inlineStr">
        <is>
          <t>Commissioning Manager</t>
        </is>
      </c>
    </row>
    <row r="231">
      <c r="B231" s="21" t="inlineStr">
        <is>
          <t>L. Fontaine</t>
        </is>
      </c>
      <c r="C231" s="21" t="inlineStr">
        <is>
          <t>Quality Lead</t>
        </is>
      </c>
    </row>
    <row r="232">
      <c r="B232" s="21" t="inlineStr">
        <is>
          <t>D. Petrov</t>
        </is>
      </c>
      <c r="C232" s="21" t="inlineStr">
        <is>
          <t>Lead Commissioning Engineer</t>
        </is>
      </c>
    </row>
    <row r="233">
      <c r="B233" s="21" t="inlineStr">
        <is>
          <t>J. Whitfield</t>
        </is>
      </c>
      <c r="C233" s="21" t="inlineStr">
        <is>
          <t>Commissioning Engineer</t>
        </is>
      </c>
    </row>
    <row r="234">
      <c r="B234" s="21" t="inlineStr">
        <is>
          <t>P. Nakamura</t>
        </is>
      </c>
      <c r="C234" s="21" t="inlineStr">
        <is>
          <t>Commissioning Engineer</t>
        </is>
      </c>
    </row>
    <row r="235">
      <c r="B235" s="21" t="inlineStr">
        <is>
          <t>K. Rasmussen</t>
        </is>
      </c>
      <c r="C235" s="21" t="inlineStr">
        <is>
          <t>Commissioning Engineer</t>
        </is>
      </c>
    </row>
    <row r="236">
      <c r="B236" s="21" t="inlineStr">
        <is>
          <t>R. Bellamy</t>
        </is>
      </c>
      <c r="C236" s="21" t="inlineStr">
        <is>
          <t>Commissioning Engineer</t>
        </is>
      </c>
    </row>
    <row r="237">
      <c r="B237" s="21" t="inlineStr">
        <is>
          <t>N. Bergstrom</t>
        </is>
      </c>
      <c r="C237" s="21" t="inlineStr">
        <is>
          <t>Commissioning Engineer</t>
        </is>
      </c>
    </row>
    <row r="238">
      <c r="B238" s="21" t="inlineStr">
        <is>
          <t>M. Haddad</t>
        </is>
      </c>
      <c r="C238" s="21" t="inlineStr">
        <is>
          <t>Document Controller</t>
        </is>
      </c>
    </row>
    <row r="239">
      <c r="B239" s="21" t="inlineStr">
        <is>
          <t>C. Vasquez</t>
        </is>
      </c>
      <c r="C239" s="21" t="inlineStr">
        <is>
          <t>Approver</t>
        </is>
      </c>
    </row>
    <row r="240">
      <c r="B240" s="21" t="inlineStr">
        <is>
          <t>H. Lindqvist</t>
        </is>
      </c>
      <c r="C240" s="21" t="inlineStr">
        <is>
          <t>Approver</t>
        </is>
      </c>
    </row>
    <row r="241">
      <c r="B241" s="21" t="n"/>
      <c r="C241" s="21" t="n"/>
    </row>
    <row r="242">
      <c r="B242" s="21" t="n"/>
      <c r="C242" s="21" t="n"/>
    </row>
    <row r="243">
      <c r="B243" s="21" t="n"/>
      <c r="C243" s="21" t="n"/>
    </row>
    <row r="244">
      <c r="B244" s="21" t="n"/>
      <c r="C244" s="21" t="n"/>
    </row>
    <row r="245">
      <c r="B245" s="21" t="n"/>
      <c r="C245" s="21" t="n"/>
    </row>
    <row r="246">
      <c r="B246" s="21" t="n"/>
      <c r="C246" s="21" t="n"/>
    </row>
    <row r="247">
      <c r="B247" s="21" t="n"/>
      <c r="C247" s="21" t="n"/>
    </row>
    <row r="248">
      <c r="B248" s="21" t="n"/>
      <c r="C248" s="21" t="n"/>
    </row>
    <row r="249">
      <c r="B249" s="21" t="n"/>
      <c r="C249" s="21" t="n"/>
    </row>
    <row r="250">
      <c r="B250" s="21" t="n"/>
      <c r="C250" s="21" t="n"/>
    </row>
    <row r="251">
      <c r="B251" s="21" t="n"/>
      <c r="C251" s="21" t="n"/>
    </row>
    <row r="252">
      <c r="B252" s="21" t="n"/>
      <c r="C252" s="21" t="n"/>
    </row>
    <row r="253">
      <c r="B253" s="21" t="n"/>
      <c r="C253" s="21" t="n"/>
    </row>
    <row r="254">
      <c r="B254" s="21" t="n"/>
      <c r="C254" s="21" t="n"/>
    </row>
    <row r="255">
      <c r="B255" s="21" t="n"/>
      <c r="C255" s="21" t="n"/>
    </row>
    <row r="256">
      <c r="B256" s="21" t="n"/>
      <c r="C256" s="21" t="n"/>
    </row>
    <row r="257">
      <c r="B257" s="21" t="n"/>
      <c r="C257" s="21" t="n"/>
    </row>
    <row r="258">
      <c r="B258" s="21" t="n"/>
      <c r="C258" s="21" t="n"/>
    </row>
  </sheetData>
  <mergeCells count="20">
    <mergeCell ref="C6:D6"/>
    <mergeCell ref="B42:G42"/>
    <mergeCell ref="D12:G12"/>
    <mergeCell ref="B17:G17"/>
    <mergeCell ref="C5:D5"/>
    <mergeCell ref="D14:G14"/>
    <mergeCell ref="B87:M87"/>
    <mergeCell ref="B221:E221"/>
    <mergeCell ref="B227:E227"/>
    <mergeCell ref="C9:D9"/>
    <mergeCell ref="B115:N115"/>
    <mergeCell ref="B36:G36"/>
    <mergeCell ref="B4:G4"/>
    <mergeCell ref="D13:G13"/>
    <mergeCell ref="C8:D8"/>
    <mergeCell ref="C7:D7"/>
    <mergeCell ref="B31:G31"/>
    <mergeCell ref="B69:H69"/>
    <mergeCell ref="B198:I198"/>
    <mergeCell ref="B11:G11"/>
  </mergeCells>
  <conditionalFormatting sqref="L89:L113">
    <cfRule type="dataBar" priority="1">
      <dataBar showValue="1">
        <cfvo type="num" val="0"/>
        <cfvo type="num" val="1"/>
        <color rgb="0063BE7B"/>
      </dataBar>
    </cfRule>
  </conditionalFormatting>
  <conditionalFormatting sqref="L117:L196">
    <cfRule type="dataBar" priority="2">
      <dataBar showValue="1">
        <cfvo type="num" val="0"/>
        <cfvo type="num" val="1"/>
        <color rgb="0063BE7B"/>
      </dataBar>
    </cfRule>
  </conditionalFormatting>
  <dataValidations count="7">
    <dataValidation sqref="G200:G219" showDropDown="0" showInputMessage="0" showErrorMessage="0" allowBlank="1" type="list">
      <formula1>SCOPE_LIST</formula1>
    </dataValidation>
    <dataValidation sqref="C200:C219" showDropDown="0" showInputMessage="0" showErrorMessage="0" allowBlank="1" type="list">
      <formula1>PHASE_LIST</formula1>
    </dataValidation>
    <dataValidation sqref="D200:D219" showDropDown="0" showInputMessage="0" showErrorMessage="0" allowBlank="1" type="list">
      <formula1>YESNO</formula1>
    </dataValidation>
    <dataValidation sqref="E200:E219" showDropDown="0" showInputMessage="0" showErrorMessage="0" allowBlank="1" type="list">
      <formula1>MS_NOM</formula1>
    </dataValidation>
    <dataValidation sqref="D89:D113" showDropDown="0" showInputMessage="0" showErrorMessage="0" allowBlank="1" type="list">
      <formula1>PPL_NAME</formula1>
    </dataValidation>
    <dataValidation sqref="B117:B196" showDropDown="0" showInputMessage="0" showErrorMessage="0" allowBlank="1" type="list">
      <formula1>SYS_ID</formula1>
    </dataValidation>
    <dataValidation sqref="D44:D67" showDropDown="0" showInputMessage="0" showErrorMessage="0" allowBlank="1" type="list">
      <formula1>COUNTS_AS</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7F7F7F"/>
    <outlinePr summaryBelow="1" summaryRight="1"/>
    <pageSetUpPr/>
  </sheetPr>
  <dimension ref="B1:C39"/>
  <sheetViews>
    <sheetView showGridLines="0" workbookViewId="0">
      <selection activeCell="A1" sqref="A1"/>
    </sheetView>
  </sheetViews>
  <sheetFormatPr baseColWidth="8" defaultRowHeight="15"/>
  <cols>
    <col width="2" customWidth="1" min="1" max="1"/>
    <col width="34" customWidth="1" min="2" max="2"/>
    <col width="104" customWidth="1" min="3" max="3"/>
  </cols>
  <sheetData>
    <row r="1">
      <c r="B1" s="1" t="inlineStr">
        <is>
          <t>HOW IT WORKS</t>
        </is>
      </c>
    </row>
    <row r="2">
      <c r="B2" s="2" t="inlineStr">
        <is>
          <t>This workbook does not measure progress. It measures whether deliverables are on time against the commissioning start of whatever they cover.</t>
        </is>
      </c>
    </row>
    <row r="4" ht="18" customHeight="1">
      <c r="B4" s="3" t="inlineStr">
        <is>
          <t>THE ONE RULE</t>
        </is>
      </c>
      <c r="C4" s="4" t="n"/>
    </row>
    <row r="5" ht="30" customHeight="1">
      <c r="B5" s="39" t="inlineStr">
        <is>
          <t>Target approval date</t>
        </is>
      </c>
      <c r="C5" s="40" t="inlineStr">
        <is>
          <t>The earliest commissioning start among what the document covers (actual if known, otherwise planned), minus the lead time of its type. Post-commissioning types are measured back from their anchor milestone instead.</t>
        </is>
      </c>
    </row>
    <row r="6" ht="30" customHeight="1">
      <c r="B6" s="39" t="inlineStr">
        <is>
          <t>Days late</t>
        </is>
      </c>
      <c r="C6" s="40" t="inlineStr">
        <is>
          <t>Positive = late. Negative = float. One convention everywhere.</t>
        </is>
      </c>
    </row>
    <row r="7" ht="30" customHeight="1">
      <c r="B7" s="39" t="inlineStr">
        <is>
          <t>Scope</t>
        </is>
      </c>
      <c r="C7" s="40" t="inlineStr">
        <is>
          <t>All = the whole contract. System = one system. Equipment = one item. A document covering three systems is three rows.</t>
        </is>
      </c>
    </row>
    <row r="8" ht="18" customHeight="1">
      <c r="B8" s="3" t="inlineStr">
        <is>
          <t>START HERE</t>
        </is>
      </c>
      <c r="C8" s="4" t="n"/>
    </row>
    <row r="9" ht="30" customHeight="1">
      <c r="B9" s="39" t="inlineStr">
        <is>
          <t>1. Contract and thresholds</t>
        </is>
      </c>
      <c r="C9" s="40" t="inlineStr">
        <is>
          <t>SETUP sections 1 and 2.</t>
        </is>
      </c>
    </row>
    <row r="10" ht="30" customHeight="1">
      <c r="B10" s="39" t="inlineStr">
        <is>
          <t>2. Systems and equipment</t>
        </is>
      </c>
      <c r="C10" s="40" t="inlineStr">
        <is>
          <t>SETUP sections 6 and 7. The planned commissioning start you type against each equipment item is what drives every target date behind it.</t>
        </is>
      </c>
    </row>
    <row r="11" ht="30" customHeight="1">
      <c r="B11" s="39" t="inlineStr">
        <is>
          <t>3. Check the type library</t>
        </is>
      </c>
      <c r="C11" s="40" t="inlineStr">
        <is>
          <t>SETUP section 8. Phase, anchor milestone, lead time, core (ATS) flag and default scope for each type.</t>
        </is>
      </c>
    </row>
    <row r="12" ht="30" customHeight="1">
      <c r="B12" s="39" t="inlineStr">
        <is>
          <t>4. Enter deliverables</t>
        </is>
      </c>
      <c r="C12" s="40" t="inlineStr">
        <is>
          <t>TRACKER. Pick a Type and a Scope; the target date appears.</t>
        </is>
      </c>
    </row>
    <row r="13" ht="30" customHeight="1">
      <c r="B13" s="39" t="inlineStr">
        <is>
          <t>5. Work the lists</t>
        </is>
      </c>
      <c r="C13" s="40" t="inlineStr">
        <is>
          <t>DASHBOARD. In progress, Missing, Coming - documents and actions together.</t>
        </is>
      </c>
    </row>
    <row r="14" ht="18" customHeight="1">
      <c r="B14" s="3" t="inlineStr">
        <is>
          <t>READING THE TRACKER</t>
        </is>
      </c>
      <c r="C14" s="4" t="n"/>
    </row>
    <row r="15" ht="30" customHeight="1">
      <c r="B15" s="39" t="inlineStr">
        <is>
          <t>Target override</t>
        </is>
      </c>
      <c r="C15" s="40" t="inlineStr">
        <is>
          <t>Type a date to force a target the calculation cannot know - a cross-system dependency, a site event. The Source column then reads Manual. Clear the cell to fall back to Auto.</t>
        </is>
      </c>
    </row>
    <row r="16" ht="30" customHeight="1">
      <c r="B16" s="39" t="inlineStr">
        <is>
          <t>Source</t>
        </is>
      </c>
      <c r="C16" s="40" t="inlineStr">
        <is>
          <t>Auto = calculated. Manual = you overrode it. Nothing is ever silently overwritten.</t>
        </is>
      </c>
    </row>
    <row r="17" ht="30" customHeight="1">
      <c r="B17" s="39" t="inlineStr">
        <is>
          <t>Check</t>
        </is>
      </c>
      <c r="C17" s="40" t="inlineStr">
        <is>
          <t>Data-quality flag: scope not set, equipment not in that system, approved with no approval date. Empty means the row is clean.</t>
        </is>
      </c>
    </row>
    <row r="18" ht="30" customHeight="1">
      <c r="B18" s="39" t="inlineStr">
        <is>
          <t>Greyed cells</t>
        </is>
      </c>
      <c r="C18" s="40" t="inlineStr">
        <is>
          <t>Not relevant for that row's scope. System is greyed for Scope = All; Equipment is greyed unless Scope = Equipment.</t>
        </is>
      </c>
    </row>
    <row r="19" ht="18" customHeight="1">
      <c r="B19" s="3" t="inlineStr">
        <is>
          <t>STATE COLOURS</t>
        </is>
      </c>
      <c r="C19" s="4" t="n"/>
    </row>
    <row r="20" ht="30" customHeight="1">
      <c r="B20" s="41" t="inlineStr">
        <is>
          <t>Red</t>
        </is>
      </c>
      <c r="C20" s="40" t="inlineStr">
        <is>
          <t>Late - the target approval date has passed.</t>
        </is>
      </c>
    </row>
    <row r="21" ht="30" customHeight="1">
      <c r="B21" s="42" t="inlineStr">
        <is>
          <t>Amber</t>
        </is>
      </c>
      <c r="C21" s="40" t="inlineStr">
        <is>
          <t>At risk - due inside the document alert window.</t>
        </is>
      </c>
    </row>
    <row r="22" ht="30" customHeight="1">
      <c r="B22" s="43" t="inlineStr">
        <is>
          <t>Blue</t>
        </is>
      </c>
      <c r="C22" s="40" t="inlineStr">
        <is>
          <t>In progress - an actual start date is filled in.</t>
        </is>
      </c>
    </row>
    <row r="23" ht="30" customHeight="1">
      <c r="B23" s="44" t="inlineStr">
        <is>
          <t>Pale amber</t>
        </is>
      </c>
      <c r="C23" s="40" t="inlineStr">
        <is>
          <t>Coming - not started, due inside the horizon.</t>
        </is>
      </c>
    </row>
    <row r="24" ht="30" customHeight="1">
      <c r="B24" s="45" t="inlineStr">
        <is>
          <t>Green</t>
        </is>
      </c>
      <c r="C24" s="40" t="inlineStr">
        <is>
          <t>Done - S4A reached, a P-code published, or an approval date entered.</t>
        </is>
      </c>
    </row>
    <row r="25" ht="30" customHeight="1">
      <c r="B25" s="46" t="inlineStr">
        <is>
          <t>Grey</t>
        </is>
      </c>
      <c r="C25" s="40" t="inlineStr">
        <is>
          <t>Inactive - cancelled, revoked, superseded, transferred, destroyed.</t>
        </is>
      </c>
    </row>
    <row r="26" ht="30" customHeight="1">
      <c r="B26" s="47" t="inlineStr">
        <is>
          <t>Orange</t>
        </is>
      </c>
      <c r="C26" s="40" t="inlineStr">
        <is>
          <t>Needs attention: scope not resolved, no target date, type not configured, or a data-quality flag.</t>
        </is>
      </c>
    </row>
    <row r="27" ht="18" customHeight="1">
      <c r="B27" s="3" t="inlineStr">
        <is>
          <t>WHAT 'MISSING' MEANS</t>
        </is>
      </c>
      <c r="C27" s="4" t="n"/>
    </row>
    <row r="28" ht="30" customHeight="1">
      <c r="B28" s="39" t="inlineStr">
        <is>
          <t>Missing</t>
        </is>
      </c>
      <c r="C28" s="40" t="inlineStr">
        <is>
          <t>A deliverable flagged Core required (ATS) in the library that does not exist as a row at all for a system or an equipment item. The workbook builds the expected matrix from the library and reports the gaps, ordered by when each would have been needed.</t>
        </is>
      </c>
    </row>
    <row r="29" ht="30" customHeight="1">
      <c r="B29" s="39" t="inlineStr">
        <is>
          <t>Covered by</t>
        </is>
      </c>
      <c r="C29" s="40" t="inlineStr">
        <is>
          <t>A system-wide or contract-wide document counts as coverage for the equipment beneath it. Inactive documents do not count as coverage.</t>
        </is>
      </c>
    </row>
    <row r="30" ht="18" customHeight="1">
      <c r="B30" s="3" t="inlineStr">
        <is>
          <t>CAPACITY AND LIMITS</t>
        </is>
      </c>
      <c r="C30" s="4" t="n"/>
    </row>
    <row r="31" ht="30" customHeight="1">
      <c r="B31" s="39" t="inlineStr">
        <is>
          <t>Rows</t>
        </is>
      </c>
      <c r="C31" s="40" t="inlineStr">
        <is>
          <t>TRACKER 500 rows  -  ACTIONS 150  -  systems 25  -  equipment 80  -  milestones 15  -  core types tracked for gaps 12.</t>
        </is>
      </c>
    </row>
    <row r="32" ht="30" customHeight="1">
      <c r="B32" s="39" t="inlineStr">
        <is>
          <t>One flat table</t>
        </is>
      </c>
      <c r="C32" s="40" t="inlineStr">
        <is>
          <t>The TRACKER is a single table, not one block per type. Capacity is shared: 500 rows go wherever they are needed, and you can filter or sort across every type at once.</t>
        </is>
      </c>
    </row>
    <row r="33" ht="30" customHeight="1">
      <c r="B33" s="39" t="inlineStr">
        <is>
          <t>To add rows</t>
        </is>
      </c>
      <c r="C33" s="40" t="inlineStr">
        <is>
          <t>Copy the last data row and paste down, then widen the named ranges in Formulas &gt; Name Manager.</t>
        </is>
      </c>
    </row>
    <row r="34" ht="30" customHeight="1">
      <c r="B34" s="39" t="inlineStr">
        <is>
          <t>No macros</t>
        </is>
      </c>
      <c r="C34" s="40" t="inlineStr">
        <is>
          <t>Formulas only. Nothing to enable, nothing a corporate policy can block.</t>
        </is>
      </c>
    </row>
    <row r="35" ht="30" customHeight="1">
      <c r="B35" s="39" t="inlineStr">
        <is>
          <t>Excel version</t>
        </is>
      </c>
      <c r="C35" s="40" t="inlineStr">
        <is>
          <t>Uses no function newer than Excel 2007, so it runs on any current corporate build.</t>
        </is>
      </c>
    </row>
    <row r="36" ht="18" customHeight="1">
      <c r="B36" s="3" t="inlineStr">
        <is>
          <t>ASSUMPTIONS</t>
        </is>
      </c>
      <c r="C36" s="4" t="n"/>
    </row>
    <row r="37" ht="30" customHeight="1">
      <c r="B37" s="39" t="inlineStr">
        <is>
          <t>Months to days</t>
        </is>
      </c>
      <c r="C37" s="40" t="inlineStr">
        <is>
          <t>30 days per month (T-3 months = 90), which reproduces the worked example in the source specification exactly.</t>
        </is>
      </c>
    </row>
    <row r="38" ht="30" customHeight="1">
      <c r="B38" s="39" t="inlineStr">
        <is>
          <t>Post-commissioning anchors</t>
        </is>
      </c>
      <c r="C38" s="40" t="inlineStr">
        <is>
          <t>Anchored to named milestones rather than to guessed day counts. Adjust the offsets in SETUP section 5.</t>
        </is>
      </c>
    </row>
    <row r="39" ht="30" customHeight="1">
      <c r="B39" s="39" t="inlineStr">
        <is>
          <t>Equipment with no date</t>
        </is>
      </c>
      <c r="C39" s="40" t="inlineStr">
        <is>
          <t>If nothing behind a row has a commissioning start, the row reads 'Scope not resolved' rather than inventing a target.</t>
        </is>
      </c>
    </row>
  </sheetData>
  <mergeCells count="7">
    <mergeCell ref="B30:C30"/>
    <mergeCell ref="B19:C19"/>
    <mergeCell ref="B36:C36"/>
    <mergeCell ref="B14:C14"/>
    <mergeCell ref="B27:C27"/>
    <mergeCell ref="B8:C8"/>
    <mergeCell ref="B4:C4"/>
  </mergeCells>
  <pageMargins left="0.75" right="0.75" top="1" bottom="1" header="0.5" footer="0.5"/>
</worksheet>
</file>

<file path=xl/worksheets/sheet6.xml><?xml version="1.0" encoding="utf-8"?>
<worksheet xmlns="http://schemas.openxmlformats.org/spreadsheetml/2006/main">
  <sheetPr>
    <tabColor rgb="00808080"/>
    <outlinePr summaryBelow="1" summaryRight="1"/>
    <pageSetUpPr/>
  </sheetPr>
  <dimension ref="A1:AM1273"/>
  <sheetViews>
    <sheetView workbookViewId="0">
      <selection activeCell="A1" sqref="A1"/>
    </sheetView>
  </sheetViews>
  <sheetFormatPr baseColWidth="8" defaultRowHeight="15"/>
  <sheetData>
    <row r="1">
      <c r="A1" s="48" t="inlineStr">
        <is>
          <t>LISTS - staging. Generated automatically; do not edit.</t>
        </is>
      </c>
    </row>
    <row r="2">
      <c r="A2">
        <f>IFERROR(INDEX(TYP_TYPE,SMALL(TYP_COREKEY,1)),"")</f>
        <v/>
      </c>
      <c r="B2">
        <f>IF($A2="","",INDEX(TYP_SCOPE,MATCH($A2,TYP_TYPE,0)))</f>
        <v/>
      </c>
      <c r="C2">
        <f>IF($A2="","",INDEX(TYP_LEAD,MATCH($A2,TYP_TYPE,0)))</f>
        <v/>
      </c>
      <c r="D2">
        <f>IF($A2="","",INDEX(TYP_ANCHOR,MATCH($A2,TYP_TYPE,0)))</f>
        <v/>
      </c>
      <c r="E2">
        <f>IF($A2="","",IF($D2="Commissioning Start","",IFERROR(INDEX(MS_PLAN,MATCH($D2,MS_NOM,0)),"")))</f>
        <v/>
      </c>
      <c r="G2">
        <f>IF(OR($A$2="",$B$2&lt;&gt;"All"),"","Contract")</f>
        <v/>
      </c>
      <c r="H2">
        <f>IF($G2="","","Whole contract")</f>
        <v/>
      </c>
      <c r="I2">
        <f>IF($G2="","",$A$2)</f>
        <v/>
      </c>
      <c r="J2">
        <f>IF($G2="","",IF(COUNTIFS(DOC_TYPE,$I2,DOC_ACTIVE,1)&gt;0,"",IFERROR(IF($E$2&lt;&gt;"",$E$2-$C$2,CTR_EARLIEST-$C$2),60000)+ROW()/1000000))</f>
        <v/>
      </c>
      <c r="L2">
        <f>IF(TRACKER!$A4="","","Document")</f>
        <v/>
      </c>
      <c r="M2">
        <f>IF($L2="","",TRACKER!$E4&amp;"  -  "&amp;TRACKER!$A4)</f>
        <v/>
      </c>
      <c r="N2">
        <f>IF($L2="","",IF(TRACKER!$B4="Equipment",TRACKER!$D4,IF(TRACKER!$B4="System",TRACKER!$C4,"Whole contract")))</f>
        <v/>
      </c>
      <c r="O2">
        <f>IF($L2="","",TRACKER!$F4)</f>
        <v/>
      </c>
      <c r="P2">
        <f>IF($L2="","",TRACKER!$K4)</f>
        <v/>
      </c>
      <c r="Q2">
        <f>IF($L2="","",TRACKER!$N4)</f>
        <v/>
      </c>
      <c r="R2">
        <f>TRACKER!$Y4</f>
        <v/>
      </c>
      <c r="S2">
        <f>TRACKER!$Z4</f>
        <v/>
      </c>
      <c r="T2">
        <f>TRACKER!$X4</f>
        <v/>
      </c>
      <c r="V2">
        <f>S_DONE</f>
        <v/>
      </c>
      <c r="W2">
        <f>COUNTIF(DOC_STATE,$V2)</f>
        <v/>
      </c>
      <c r="Y2">
        <f>A_OPEN</f>
        <v/>
      </c>
      <c r="Z2">
        <f>COUNTIF(ACT_STATUS,$Y2)</f>
        <v/>
      </c>
      <c r="AB2">
        <f>IF(SETUP!$B$89="","",SETUP!$B$89)</f>
        <v/>
      </c>
      <c r="AC2">
        <f>IF($AB2="",0,SETUP!$I$89)</f>
        <v/>
      </c>
      <c r="AD2">
        <f>IF($AB2="",0,SETUP!$J$89)</f>
        <v/>
      </c>
      <c r="AF2">
        <f>TEXT(EOMONTH(TODAY(),0)," MMM YY")</f>
        <v/>
      </c>
      <c r="AG2">
        <f>COUNTIFS(DOC_TARGET,"&gt;="&amp;EOMONTH(TODAY(),-1)+1,DOC_TARGET,"&lt;="&amp;EOMONTH(TODAY(),0),DOC_DONE,0)</f>
        <v/>
      </c>
      <c r="AI2" t="inlineStr">
        <is>
          <t>Done</t>
        </is>
      </c>
      <c r="AK2" t="inlineStr">
        <is>
          <t>All</t>
        </is>
      </c>
      <c r="AM2" t="inlineStr">
        <is>
          <t>Yes</t>
        </is>
      </c>
    </row>
    <row r="3">
      <c r="A3">
        <f>IFERROR(INDEX(TYP_TYPE,SMALL(TYP_COREKEY,2)),"")</f>
        <v/>
      </c>
      <c r="B3">
        <f>IF($A3="","",INDEX(TYP_SCOPE,MATCH($A3,TYP_TYPE,0)))</f>
        <v/>
      </c>
      <c r="C3">
        <f>IF($A3="","",INDEX(TYP_LEAD,MATCH($A3,TYP_TYPE,0)))</f>
        <v/>
      </c>
      <c r="D3">
        <f>IF($A3="","",INDEX(TYP_ANCHOR,MATCH($A3,TYP_TYPE,0)))</f>
        <v/>
      </c>
      <c r="E3">
        <f>IF($A3="","",IF($D3="Commissioning Start","",IFERROR(INDEX(MS_PLAN,MATCH($D3,MS_NOM,0)),"")))</f>
        <v/>
      </c>
      <c r="G3">
        <f>IF(OR($A$3="",$B$3&lt;&gt;"All"),"","Contract")</f>
        <v/>
      </c>
      <c r="H3">
        <f>IF($G3="","","Whole contract")</f>
        <v/>
      </c>
      <c r="I3">
        <f>IF($G3="","",$A$3)</f>
        <v/>
      </c>
      <c r="J3">
        <f>IF($G3="","",IF(COUNTIFS(DOC_TYPE,$I3,DOC_ACTIVE,1)&gt;0,"",IFERROR(IF($E$3&lt;&gt;"",$E$3-$C$3,CTR_EARLIEST-$C$3),60000)+ROW()/1000000))</f>
        <v/>
      </c>
      <c r="L3">
        <f>IF(TRACKER!$A5="","","Document")</f>
        <v/>
      </c>
      <c r="M3">
        <f>IF($L3="","",TRACKER!$E5&amp;"  -  "&amp;TRACKER!$A5)</f>
        <v/>
      </c>
      <c r="N3">
        <f>IF($L3="","",IF(TRACKER!$B5="Equipment",TRACKER!$D5,IF(TRACKER!$B5="System",TRACKER!$C5,"Whole contract")))</f>
        <v/>
      </c>
      <c r="O3">
        <f>IF($L3="","",TRACKER!$F5)</f>
        <v/>
      </c>
      <c r="P3">
        <f>IF($L3="","",TRACKER!$K5)</f>
        <v/>
      </c>
      <c r="Q3">
        <f>IF($L3="","",TRACKER!$N5)</f>
        <v/>
      </c>
      <c r="R3">
        <f>TRACKER!$Y5</f>
        <v/>
      </c>
      <c r="S3">
        <f>TRACKER!$Z5</f>
        <v/>
      </c>
      <c r="T3">
        <f>TRACKER!$X5</f>
        <v/>
      </c>
      <c r="V3">
        <f>S_WIP</f>
        <v/>
      </c>
      <c r="W3">
        <f>COUNTIF(DOC_STATE,$V3)</f>
        <v/>
      </c>
      <c r="Y3">
        <f>A_WIP</f>
        <v/>
      </c>
      <c r="Z3">
        <f>COUNTIF(ACT_STATUS,$Y3)</f>
        <v/>
      </c>
      <c r="AB3">
        <f>IF(SETUP!$B$90="","",SETUP!$B$90)</f>
        <v/>
      </c>
      <c r="AC3">
        <f>IF($AB3="",0,SETUP!$I$90)</f>
        <v/>
      </c>
      <c r="AD3">
        <f>IF($AB3="",0,SETUP!$J$90)</f>
        <v/>
      </c>
      <c r="AF3">
        <f>TEXT(EOMONTH(TODAY(),1)," MMM YY")</f>
        <v/>
      </c>
      <c r="AG3">
        <f>COUNTIFS(DOC_TARGET,"&gt;="&amp;EOMONTH(TODAY(),0)+1,DOC_TARGET,"&lt;="&amp;EOMONTH(TODAY(),1),DOC_DONE,0)</f>
        <v/>
      </c>
      <c r="AI3" t="inlineStr">
        <is>
          <t>In progress</t>
        </is>
      </c>
      <c r="AK3" t="inlineStr">
        <is>
          <t>System</t>
        </is>
      </c>
      <c r="AM3" t="inlineStr">
        <is>
          <t>No</t>
        </is>
      </c>
    </row>
    <row r="4">
      <c r="A4">
        <f>IFERROR(INDEX(TYP_TYPE,SMALL(TYP_COREKEY,3)),"")</f>
        <v/>
      </c>
      <c r="B4">
        <f>IF($A4="","",INDEX(TYP_SCOPE,MATCH($A4,TYP_TYPE,0)))</f>
        <v/>
      </c>
      <c r="C4">
        <f>IF($A4="","",INDEX(TYP_LEAD,MATCH($A4,TYP_TYPE,0)))</f>
        <v/>
      </c>
      <c r="D4">
        <f>IF($A4="","",INDEX(TYP_ANCHOR,MATCH($A4,TYP_TYPE,0)))</f>
        <v/>
      </c>
      <c r="E4">
        <f>IF($A4="","",IF($D4="Commissioning Start","",IFERROR(INDEX(MS_PLAN,MATCH($D4,MS_NOM,0)),"")))</f>
        <v/>
      </c>
      <c r="G4">
        <f>IF(OR($A$4="",$B$4&lt;&gt;"All"),"","Contract")</f>
        <v/>
      </c>
      <c r="H4">
        <f>IF($G4="","","Whole contract")</f>
        <v/>
      </c>
      <c r="I4">
        <f>IF($G4="","",$A$4)</f>
        <v/>
      </c>
      <c r="J4">
        <f>IF($G4="","",IF(COUNTIFS(DOC_TYPE,$I4,DOC_ACTIVE,1)&gt;0,"",IFERROR(IF($E$4&lt;&gt;"",$E$4-$C$4,CTR_EARLIEST-$C$4),60000)+ROW()/1000000))</f>
        <v/>
      </c>
      <c r="L4">
        <f>IF(TRACKER!$A6="","","Document")</f>
        <v/>
      </c>
      <c r="M4">
        <f>IF($L4="","",TRACKER!$E6&amp;"  -  "&amp;TRACKER!$A6)</f>
        <v/>
      </c>
      <c r="N4">
        <f>IF($L4="","",IF(TRACKER!$B6="Equipment",TRACKER!$D6,IF(TRACKER!$B6="System",TRACKER!$C6,"Whole contract")))</f>
        <v/>
      </c>
      <c r="O4">
        <f>IF($L4="","",TRACKER!$F6)</f>
        <v/>
      </c>
      <c r="P4">
        <f>IF($L4="","",TRACKER!$K6)</f>
        <v/>
      </c>
      <c r="Q4">
        <f>IF($L4="","",TRACKER!$N6)</f>
        <v/>
      </c>
      <c r="R4">
        <f>TRACKER!$Y6</f>
        <v/>
      </c>
      <c r="S4">
        <f>TRACKER!$Z6</f>
        <v/>
      </c>
      <c r="T4">
        <f>TRACKER!$X6</f>
        <v/>
      </c>
      <c r="V4">
        <f>S_LATE</f>
        <v/>
      </c>
      <c r="W4">
        <f>COUNTIF(DOC_STATE,$V4)</f>
        <v/>
      </c>
      <c r="Y4">
        <f>A_HOLD</f>
        <v/>
      </c>
      <c r="Z4">
        <f>COUNTIF(ACT_STATUS,$Y4)</f>
        <v/>
      </c>
      <c r="AB4">
        <f>IF(SETUP!$B$91="","",SETUP!$B$91)</f>
        <v/>
      </c>
      <c r="AC4">
        <f>IF($AB4="",0,SETUP!$I$91)</f>
        <v/>
      </c>
      <c r="AD4">
        <f>IF($AB4="",0,SETUP!$J$91)</f>
        <v/>
      </c>
      <c r="AF4">
        <f>TEXT(EOMONTH(TODAY(),2)," MMM YY")</f>
        <v/>
      </c>
      <c r="AG4">
        <f>COUNTIFS(DOC_TARGET,"&gt;="&amp;EOMONTH(TODAY(),1)+1,DOC_TARGET,"&lt;="&amp;EOMONTH(TODAY(),2),DOC_DONE,0)</f>
        <v/>
      </c>
      <c r="AI4" t="inlineStr">
        <is>
          <t>Inactive</t>
        </is>
      </c>
      <c r="AK4" t="inlineStr">
        <is>
          <t>Equipment</t>
        </is>
      </c>
    </row>
    <row r="5">
      <c r="A5">
        <f>IFERROR(INDEX(TYP_TYPE,SMALL(TYP_COREKEY,4)),"")</f>
        <v/>
      </c>
      <c r="B5">
        <f>IF($A5="","",INDEX(TYP_SCOPE,MATCH($A5,TYP_TYPE,0)))</f>
        <v/>
      </c>
      <c r="C5">
        <f>IF($A5="","",INDEX(TYP_LEAD,MATCH($A5,TYP_TYPE,0)))</f>
        <v/>
      </c>
      <c r="D5">
        <f>IF($A5="","",INDEX(TYP_ANCHOR,MATCH($A5,TYP_TYPE,0)))</f>
        <v/>
      </c>
      <c r="E5">
        <f>IF($A5="","",IF($D5="Commissioning Start","",IFERROR(INDEX(MS_PLAN,MATCH($D5,MS_NOM,0)),"")))</f>
        <v/>
      </c>
      <c r="G5">
        <f>IF(OR($A$5="",$B$5&lt;&gt;"All"),"","Contract")</f>
        <v/>
      </c>
      <c r="H5">
        <f>IF($G5="","","Whole contract")</f>
        <v/>
      </c>
      <c r="I5">
        <f>IF($G5="","",$A$5)</f>
        <v/>
      </c>
      <c r="J5">
        <f>IF($G5="","",IF(COUNTIFS(DOC_TYPE,$I5,DOC_ACTIVE,1)&gt;0,"",IFERROR(IF($E$5&lt;&gt;"",$E$5-$C$5,CTR_EARLIEST-$C$5),60000)+ROW()/1000000))</f>
        <v/>
      </c>
      <c r="L5">
        <f>IF(TRACKER!$A7="","","Document")</f>
        <v/>
      </c>
      <c r="M5">
        <f>IF($L5="","",TRACKER!$E7&amp;"  -  "&amp;TRACKER!$A7)</f>
        <v/>
      </c>
      <c r="N5">
        <f>IF($L5="","",IF(TRACKER!$B7="Equipment",TRACKER!$D7,IF(TRACKER!$B7="System",TRACKER!$C7,"Whole contract")))</f>
        <v/>
      </c>
      <c r="O5">
        <f>IF($L5="","",TRACKER!$F7)</f>
        <v/>
      </c>
      <c r="P5">
        <f>IF($L5="","",TRACKER!$K7)</f>
        <v/>
      </c>
      <c r="Q5">
        <f>IF($L5="","",TRACKER!$N7)</f>
        <v/>
      </c>
      <c r="R5">
        <f>TRACKER!$Y7</f>
        <v/>
      </c>
      <c r="S5">
        <f>TRACKER!$Z7</f>
        <v/>
      </c>
      <c r="T5">
        <f>TRACKER!$X7</f>
        <v/>
      </c>
      <c r="V5">
        <f>S_RISK</f>
        <v/>
      </c>
      <c r="W5">
        <f>COUNTIF(DOC_STATE,$V5)</f>
        <v/>
      </c>
      <c r="Y5">
        <f>A_DONE</f>
        <v/>
      </c>
      <c r="Z5">
        <f>COUNTIF(ACT_STATUS,$Y5)</f>
        <v/>
      </c>
      <c r="AB5">
        <f>IF(SETUP!$B$92="","",SETUP!$B$92)</f>
        <v/>
      </c>
      <c r="AC5">
        <f>IF($AB5="",0,SETUP!$I$92)</f>
        <v/>
      </c>
      <c r="AD5">
        <f>IF($AB5="",0,SETUP!$J$92)</f>
        <v/>
      </c>
      <c r="AF5">
        <f>TEXT(EOMONTH(TODAY(),3)," MMM YY")</f>
        <v/>
      </c>
      <c r="AG5">
        <f>COUNTIFS(DOC_TARGET,"&gt;="&amp;EOMONTH(TODAY(),2)+1,DOC_TARGET,"&lt;="&amp;EOMONTH(TODAY(),3),DOC_DONE,0)</f>
        <v/>
      </c>
    </row>
    <row r="6">
      <c r="A6">
        <f>IFERROR(INDEX(TYP_TYPE,SMALL(TYP_COREKEY,5)),"")</f>
        <v/>
      </c>
      <c r="B6">
        <f>IF($A6="","",INDEX(TYP_SCOPE,MATCH($A6,TYP_TYPE,0)))</f>
        <v/>
      </c>
      <c r="C6">
        <f>IF($A6="","",INDEX(TYP_LEAD,MATCH($A6,TYP_TYPE,0)))</f>
        <v/>
      </c>
      <c r="D6">
        <f>IF($A6="","",INDEX(TYP_ANCHOR,MATCH($A6,TYP_TYPE,0)))</f>
        <v/>
      </c>
      <c r="E6">
        <f>IF($A6="","",IF($D6="Commissioning Start","",IFERROR(INDEX(MS_PLAN,MATCH($D6,MS_NOM,0)),"")))</f>
        <v/>
      </c>
      <c r="G6">
        <f>IF(OR($A$6="",$B$6&lt;&gt;"All"),"","Contract")</f>
        <v/>
      </c>
      <c r="H6">
        <f>IF($G6="","","Whole contract")</f>
        <v/>
      </c>
      <c r="I6">
        <f>IF($G6="","",$A$6)</f>
        <v/>
      </c>
      <c r="J6">
        <f>IF($G6="","",IF(COUNTIFS(DOC_TYPE,$I6,DOC_ACTIVE,1)&gt;0,"",IFERROR(IF($E$6&lt;&gt;"",$E$6-$C$6,CTR_EARLIEST-$C$6),60000)+ROW()/1000000))</f>
        <v/>
      </c>
      <c r="L6">
        <f>IF(TRACKER!$A8="","","Document")</f>
        <v/>
      </c>
      <c r="M6">
        <f>IF($L6="","",TRACKER!$E8&amp;"  -  "&amp;TRACKER!$A8)</f>
        <v/>
      </c>
      <c r="N6">
        <f>IF($L6="","",IF(TRACKER!$B8="Equipment",TRACKER!$D8,IF(TRACKER!$B8="System",TRACKER!$C8,"Whole contract")))</f>
        <v/>
      </c>
      <c r="O6">
        <f>IF($L6="","",TRACKER!$F8)</f>
        <v/>
      </c>
      <c r="P6">
        <f>IF($L6="","",TRACKER!$K8)</f>
        <v/>
      </c>
      <c r="Q6">
        <f>IF($L6="","",TRACKER!$N8)</f>
        <v/>
      </c>
      <c r="R6">
        <f>TRACKER!$Y8</f>
        <v/>
      </c>
      <c r="S6">
        <f>TRACKER!$Z8</f>
        <v/>
      </c>
      <c r="T6">
        <f>TRACKER!$X8</f>
        <v/>
      </c>
      <c r="V6">
        <f>S_COMING</f>
        <v/>
      </c>
      <c r="W6">
        <f>COUNTIF(DOC_STATE,$V6)</f>
        <v/>
      </c>
      <c r="AB6">
        <f>IF(SETUP!$B$93="","",SETUP!$B$93)</f>
        <v/>
      </c>
      <c r="AC6">
        <f>IF($AB6="",0,SETUP!$I$93)</f>
        <v/>
      </c>
      <c r="AD6">
        <f>IF($AB6="",0,SETUP!$J$93)</f>
        <v/>
      </c>
      <c r="AF6">
        <f>TEXT(EOMONTH(TODAY(),4)," MMM YY")</f>
        <v/>
      </c>
      <c r="AG6">
        <f>COUNTIFS(DOC_TARGET,"&gt;="&amp;EOMONTH(TODAY(),3)+1,DOC_TARGET,"&lt;="&amp;EOMONTH(TODAY(),4),DOC_DONE,0)</f>
        <v/>
      </c>
    </row>
    <row r="7">
      <c r="A7">
        <f>IFERROR(INDEX(TYP_TYPE,SMALL(TYP_COREKEY,6)),"")</f>
        <v/>
      </c>
      <c r="B7">
        <f>IF($A7="","",INDEX(TYP_SCOPE,MATCH($A7,TYP_TYPE,0)))</f>
        <v/>
      </c>
      <c r="C7">
        <f>IF($A7="","",INDEX(TYP_LEAD,MATCH($A7,TYP_TYPE,0)))</f>
        <v/>
      </c>
      <c r="D7">
        <f>IF($A7="","",INDEX(TYP_ANCHOR,MATCH($A7,TYP_TYPE,0)))</f>
        <v/>
      </c>
      <c r="E7">
        <f>IF($A7="","",IF($D7="Commissioning Start","",IFERROR(INDEX(MS_PLAN,MATCH($D7,MS_NOM,0)),"")))</f>
        <v/>
      </c>
      <c r="G7">
        <f>IF(OR($A$7="",$B$7&lt;&gt;"All"),"","Contract")</f>
        <v/>
      </c>
      <c r="H7">
        <f>IF($G7="","","Whole contract")</f>
        <v/>
      </c>
      <c r="I7">
        <f>IF($G7="","",$A$7)</f>
        <v/>
      </c>
      <c r="J7">
        <f>IF($G7="","",IF(COUNTIFS(DOC_TYPE,$I7,DOC_ACTIVE,1)&gt;0,"",IFERROR(IF($E$7&lt;&gt;"",$E$7-$C$7,CTR_EARLIEST-$C$7),60000)+ROW()/1000000))</f>
        <v/>
      </c>
      <c r="L7">
        <f>IF(TRACKER!$A9="","","Document")</f>
        <v/>
      </c>
      <c r="M7">
        <f>IF($L7="","",TRACKER!$E9&amp;"  -  "&amp;TRACKER!$A9)</f>
        <v/>
      </c>
      <c r="N7">
        <f>IF($L7="","",IF(TRACKER!$B9="Equipment",TRACKER!$D9,IF(TRACKER!$B9="System",TRACKER!$C9,"Whole contract")))</f>
        <v/>
      </c>
      <c r="O7">
        <f>IF($L7="","",TRACKER!$F9)</f>
        <v/>
      </c>
      <c r="P7">
        <f>IF($L7="","",TRACKER!$K9)</f>
        <v/>
      </c>
      <c r="Q7">
        <f>IF($L7="","",TRACKER!$N9)</f>
        <v/>
      </c>
      <c r="R7">
        <f>TRACKER!$Y9</f>
        <v/>
      </c>
      <c r="S7">
        <f>TRACKER!$Z9</f>
        <v/>
      </c>
      <c r="T7">
        <f>TRACKER!$X9</f>
        <v/>
      </c>
      <c r="V7">
        <f>S_NOTYET</f>
        <v/>
      </c>
      <c r="W7">
        <f>COUNTIF(DOC_STATE,$V7)</f>
        <v/>
      </c>
      <c r="AB7">
        <f>IF(SETUP!$B$94="","",SETUP!$B$94)</f>
        <v/>
      </c>
      <c r="AC7">
        <f>IF($AB7="",0,SETUP!$I$94)</f>
        <v/>
      </c>
      <c r="AD7">
        <f>IF($AB7="",0,SETUP!$J$94)</f>
        <v/>
      </c>
      <c r="AF7">
        <f>TEXT(EOMONTH(TODAY(),5)," MMM YY")</f>
        <v/>
      </c>
      <c r="AG7">
        <f>COUNTIFS(DOC_TARGET,"&gt;="&amp;EOMONTH(TODAY(),4)+1,DOC_TARGET,"&lt;="&amp;EOMONTH(TODAY(),5),DOC_DONE,0)</f>
        <v/>
      </c>
    </row>
    <row r="8">
      <c r="A8">
        <f>IFERROR(INDEX(TYP_TYPE,SMALL(TYP_COREKEY,7)),"")</f>
        <v/>
      </c>
      <c r="B8">
        <f>IF($A8="","",INDEX(TYP_SCOPE,MATCH($A8,TYP_TYPE,0)))</f>
        <v/>
      </c>
      <c r="C8">
        <f>IF($A8="","",INDEX(TYP_LEAD,MATCH($A8,TYP_TYPE,0)))</f>
        <v/>
      </c>
      <c r="D8">
        <f>IF($A8="","",INDEX(TYP_ANCHOR,MATCH($A8,TYP_TYPE,0)))</f>
        <v/>
      </c>
      <c r="E8">
        <f>IF($A8="","",IF($D8="Commissioning Start","",IFERROR(INDEX(MS_PLAN,MATCH($D8,MS_NOM,0)),"")))</f>
        <v/>
      </c>
      <c r="G8">
        <f>IF(OR($A$8="",$B$8&lt;&gt;"All"),"","Contract")</f>
        <v/>
      </c>
      <c r="H8">
        <f>IF($G8="","","Whole contract")</f>
        <v/>
      </c>
      <c r="I8">
        <f>IF($G8="","",$A$8)</f>
        <v/>
      </c>
      <c r="J8">
        <f>IF($G8="","",IF(COUNTIFS(DOC_TYPE,$I8,DOC_ACTIVE,1)&gt;0,"",IFERROR(IF($E$8&lt;&gt;"",$E$8-$C$8,CTR_EARLIEST-$C$8),60000)+ROW()/1000000))</f>
        <v/>
      </c>
      <c r="L8">
        <f>IF(TRACKER!$A10="","","Document")</f>
        <v/>
      </c>
      <c r="M8">
        <f>IF($L8="","",TRACKER!$E10&amp;"  -  "&amp;TRACKER!$A10)</f>
        <v/>
      </c>
      <c r="N8">
        <f>IF($L8="","",IF(TRACKER!$B10="Equipment",TRACKER!$D10,IF(TRACKER!$B10="System",TRACKER!$C10,"Whole contract")))</f>
        <v/>
      </c>
      <c r="O8">
        <f>IF($L8="","",TRACKER!$F10)</f>
        <v/>
      </c>
      <c r="P8">
        <f>IF($L8="","",TRACKER!$K10)</f>
        <v/>
      </c>
      <c r="Q8">
        <f>IF($L8="","",TRACKER!$N10)</f>
        <v/>
      </c>
      <c r="R8">
        <f>TRACKER!$Y10</f>
        <v/>
      </c>
      <c r="S8">
        <f>TRACKER!$Z10</f>
        <v/>
      </c>
      <c r="T8">
        <f>TRACKER!$X10</f>
        <v/>
      </c>
      <c r="V8">
        <f>S_INACT</f>
        <v/>
      </c>
      <c r="W8">
        <f>COUNTIF(DOC_STATE,$V8)</f>
        <v/>
      </c>
      <c r="AB8">
        <f>IF(SETUP!$B$95="","",SETUP!$B$95)</f>
        <v/>
      </c>
      <c r="AC8">
        <f>IF($AB8="",0,SETUP!$I$95)</f>
        <v/>
      </c>
      <c r="AD8">
        <f>IF($AB8="",0,SETUP!$J$95)</f>
        <v/>
      </c>
      <c r="AF8">
        <f>TEXT(EOMONTH(TODAY(),6)," MMM YY")</f>
        <v/>
      </c>
      <c r="AG8">
        <f>COUNTIFS(DOC_TARGET,"&gt;="&amp;EOMONTH(TODAY(),5)+1,DOC_TARGET,"&lt;="&amp;EOMONTH(TODAY(),6),DOC_DONE,0)</f>
        <v/>
      </c>
    </row>
    <row r="9">
      <c r="A9">
        <f>IFERROR(INDEX(TYP_TYPE,SMALL(TYP_COREKEY,8)),"")</f>
        <v/>
      </c>
      <c r="B9">
        <f>IF($A9="","",INDEX(TYP_SCOPE,MATCH($A9,TYP_TYPE,0)))</f>
        <v/>
      </c>
      <c r="C9">
        <f>IF($A9="","",INDEX(TYP_LEAD,MATCH($A9,TYP_TYPE,0)))</f>
        <v/>
      </c>
      <c r="D9">
        <f>IF($A9="","",INDEX(TYP_ANCHOR,MATCH($A9,TYP_TYPE,0)))</f>
        <v/>
      </c>
      <c r="E9">
        <f>IF($A9="","",IF($D9="Commissioning Start","",IFERROR(INDEX(MS_PLAN,MATCH($D9,MS_NOM,0)),"")))</f>
        <v/>
      </c>
      <c r="G9">
        <f>IF(OR($A$9="",$B$9&lt;&gt;"All"),"","Contract")</f>
        <v/>
      </c>
      <c r="H9">
        <f>IF($G9="","","Whole contract")</f>
        <v/>
      </c>
      <c r="I9">
        <f>IF($G9="","",$A$9)</f>
        <v/>
      </c>
      <c r="J9">
        <f>IF($G9="","",IF(COUNTIFS(DOC_TYPE,$I9,DOC_ACTIVE,1)&gt;0,"",IFERROR(IF($E$9&lt;&gt;"",$E$9-$C$9,CTR_EARLIEST-$C$9),60000)+ROW()/1000000))</f>
        <v/>
      </c>
      <c r="L9">
        <f>IF(TRACKER!$A11="","","Document")</f>
        <v/>
      </c>
      <c r="M9">
        <f>IF($L9="","",TRACKER!$E11&amp;"  -  "&amp;TRACKER!$A11)</f>
        <v/>
      </c>
      <c r="N9">
        <f>IF($L9="","",IF(TRACKER!$B11="Equipment",TRACKER!$D11,IF(TRACKER!$B11="System",TRACKER!$C11,"Whole contract")))</f>
        <v/>
      </c>
      <c r="O9">
        <f>IF($L9="","",TRACKER!$F11)</f>
        <v/>
      </c>
      <c r="P9">
        <f>IF($L9="","",TRACKER!$K11)</f>
        <v/>
      </c>
      <c r="Q9">
        <f>IF($L9="","",TRACKER!$N11)</f>
        <v/>
      </c>
      <c r="R9">
        <f>TRACKER!$Y11</f>
        <v/>
      </c>
      <c r="S9">
        <f>TRACKER!$Z11</f>
        <v/>
      </c>
      <c r="T9">
        <f>TRACKER!$X11</f>
        <v/>
      </c>
      <c r="V9">
        <f>S_NOTARGET</f>
        <v/>
      </c>
      <c r="W9">
        <f>COUNTIF(DOC_STATE,$V9)</f>
        <v/>
      </c>
      <c r="AB9">
        <f>IF(SETUP!$B$96="","",SETUP!$B$96)</f>
        <v/>
      </c>
      <c r="AC9">
        <f>IF($AB9="",0,SETUP!$I$96)</f>
        <v/>
      </c>
      <c r="AD9">
        <f>IF($AB9="",0,SETUP!$J$96)</f>
        <v/>
      </c>
      <c r="AF9">
        <f>TEXT(EOMONTH(TODAY(),7)," MMM YY")</f>
        <v/>
      </c>
      <c r="AG9">
        <f>COUNTIFS(DOC_TARGET,"&gt;="&amp;EOMONTH(TODAY(),6)+1,DOC_TARGET,"&lt;="&amp;EOMONTH(TODAY(),7),DOC_DONE,0)</f>
        <v/>
      </c>
    </row>
    <row r="10">
      <c r="A10">
        <f>IFERROR(INDEX(TYP_TYPE,SMALL(TYP_COREKEY,9)),"")</f>
        <v/>
      </c>
      <c r="B10">
        <f>IF($A10="","",INDEX(TYP_SCOPE,MATCH($A10,TYP_TYPE,0)))</f>
        <v/>
      </c>
      <c r="C10">
        <f>IF($A10="","",INDEX(TYP_LEAD,MATCH($A10,TYP_TYPE,0)))</f>
        <v/>
      </c>
      <c r="D10">
        <f>IF($A10="","",INDEX(TYP_ANCHOR,MATCH($A10,TYP_TYPE,0)))</f>
        <v/>
      </c>
      <c r="E10">
        <f>IF($A10="","",IF($D10="Commissioning Start","",IFERROR(INDEX(MS_PLAN,MATCH($D10,MS_NOM,0)),"")))</f>
        <v/>
      </c>
      <c r="G10">
        <f>IF(OR($A$10="",$B$10&lt;&gt;"All"),"","Contract")</f>
        <v/>
      </c>
      <c r="H10">
        <f>IF($G10="","","Whole contract")</f>
        <v/>
      </c>
      <c r="I10">
        <f>IF($G10="","",$A$10)</f>
        <v/>
      </c>
      <c r="J10">
        <f>IF($G10="","",IF(COUNTIFS(DOC_TYPE,$I10,DOC_ACTIVE,1)&gt;0,"",IFERROR(IF($E$10&lt;&gt;"",$E$10-$C$10,CTR_EARLIEST-$C$10),60000)+ROW()/1000000))</f>
        <v/>
      </c>
      <c r="L10">
        <f>IF(TRACKER!$A12="","","Document")</f>
        <v/>
      </c>
      <c r="M10">
        <f>IF($L10="","",TRACKER!$E12&amp;"  -  "&amp;TRACKER!$A12)</f>
        <v/>
      </c>
      <c r="N10">
        <f>IF($L10="","",IF(TRACKER!$B12="Equipment",TRACKER!$D12,IF(TRACKER!$B12="System",TRACKER!$C12,"Whole contract")))</f>
        <v/>
      </c>
      <c r="O10">
        <f>IF($L10="","",TRACKER!$F12)</f>
        <v/>
      </c>
      <c r="P10">
        <f>IF($L10="","",TRACKER!$K12)</f>
        <v/>
      </c>
      <c r="Q10">
        <f>IF($L10="","",TRACKER!$N12)</f>
        <v/>
      </c>
      <c r="R10">
        <f>TRACKER!$Y12</f>
        <v/>
      </c>
      <c r="S10">
        <f>TRACKER!$Z12</f>
        <v/>
      </c>
      <c r="T10">
        <f>TRACKER!$X12</f>
        <v/>
      </c>
      <c r="AB10">
        <f>IF(SETUP!$B$97="","",SETUP!$B$97)</f>
        <v/>
      </c>
      <c r="AC10">
        <f>IF($AB10="",0,SETUP!$I$97)</f>
        <v/>
      </c>
      <c r="AD10">
        <f>IF($AB10="",0,SETUP!$J$97)</f>
        <v/>
      </c>
      <c r="AF10">
        <f>TEXT(EOMONTH(TODAY(),8)," MMM YY")</f>
        <v/>
      </c>
      <c r="AG10">
        <f>COUNTIFS(DOC_TARGET,"&gt;="&amp;EOMONTH(TODAY(),7)+1,DOC_TARGET,"&lt;="&amp;EOMONTH(TODAY(),8),DOC_DONE,0)</f>
        <v/>
      </c>
    </row>
    <row r="11">
      <c r="A11">
        <f>IFERROR(INDEX(TYP_TYPE,SMALL(TYP_COREKEY,10)),"")</f>
        <v/>
      </c>
      <c r="B11">
        <f>IF($A11="","",INDEX(TYP_SCOPE,MATCH($A11,TYP_TYPE,0)))</f>
        <v/>
      </c>
      <c r="C11">
        <f>IF($A11="","",INDEX(TYP_LEAD,MATCH($A11,TYP_TYPE,0)))</f>
        <v/>
      </c>
      <c r="D11">
        <f>IF($A11="","",INDEX(TYP_ANCHOR,MATCH($A11,TYP_TYPE,0)))</f>
        <v/>
      </c>
      <c r="E11">
        <f>IF($A11="","",IF($D11="Commissioning Start","",IFERROR(INDEX(MS_PLAN,MATCH($D11,MS_NOM,0)),"")))</f>
        <v/>
      </c>
      <c r="G11">
        <f>IF(OR($A$11="",$B$11&lt;&gt;"All"),"","Contract")</f>
        <v/>
      </c>
      <c r="H11">
        <f>IF($G11="","","Whole contract")</f>
        <v/>
      </c>
      <c r="I11">
        <f>IF($G11="","",$A$11)</f>
        <v/>
      </c>
      <c r="J11">
        <f>IF($G11="","",IF(COUNTIFS(DOC_TYPE,$I11,DOC_ACTIVE,1)&gt;0,"",IFERROR(IF($E$11&lt;&gt;"",$E$11-$C$11,CTR_EARLIEST-$C$11),60000)+ROW()/1000000))</f>
        <v/>
      </c>
      <c r="L11">
        <f>IF(TRACKER!$A13="","","Document")</f>
        <v/>
      </c>
      <c r="M11">
        <f>IF($L11="","",TRACKER!$E13&amp;"  -  "&amp;TRACKER!$A13)</f>
        <v/>
      </c>
      <c r="N11">
        <f>IF($L11="","",IF(TRACKER!$B13="Equipment",TRACKER!$D13,IF(TRACKER!$B13="System",TRACKER!$C13,"Whole contract")))</f>
        <v/>
      </c>
      <c r="O11">
        <f>IF($L11="","",TRACKER!$F13)</f>
        <v/>
      </c>
      <c r="P11">
        <f>IF($L11="","",TRACKER!$K13)</f>
        <v/>
      </c>
      <c r="Q11">
        <f>IF($L11="","",TRACKER!$N13)</f>
        <v/>
      </c>
      <c r="R11">
        <f>TRACKER!$Y13</f>
        <v/>
      </c>
      <c r="S11">
        <f>TRACKER!$Z13</f>
        <v/>
      </c>
      <c r="T11">
        <f>TRACKER!$X13</f>
        <v/>
      </c>
      <c r="AB11">
        <f>IF(SETUP!$B$98="","",SETUP!$B$98)</f>
        <v/>
      </c>
      <c r="AC11">
        <f>IF($AB11="",0,SETUP!$I$98)</f>
        <v/>
      </c>
      <c r="AD11">
        <f>IF($AB11="",0,SETUP!$J$98)</f>
        <v/>
      </c>
      <c r="AF11">
        <f>TEXT(EOMONTH(TODAY(),9)," MMM YY")</f>
        <v/>
      </c>
      <c r="AG11">
        <f>COUNTIFS(DOC_TARGET,"&gt;="&amp;EOMONTH(TODAY(),8)+1,DOC_TARGET,"&lt;="&amp;EOMONTH(TODAY(),9),DOC_DONE,0)</f>
        <v/>
      </c>
    </row>
    <row r="12">
      <c r="A12">
        <f>IFERROR(INDEX(TYP_TYPE,SMALL(TYP_COREKEY,11)),"")</f>
        <v/>
      </c>
      <c r="B12">
        <f>IF($A12="","",INDEX(TYP_SCOPE,MATCH($A12,TYP_TYPE,0)))</f>
        <v/>
      </c>
      <c r="C12">
        <f>IF($A12="","",INDEX(TYP_LEAD,MATCH($A12,TYP_TYPE,0)))</f>
        <v/>
      </c>
      <c r="D12">
        <f>IF($A12="","",INDEX(TYP_ANCHOR,MATCH($A12,TYP_TYPE,0)))</f>
        <v/>
      </c>
      <c r="E12">
        <f>IF($A12="","",IF($D12="Commissioning Start","",IFERROR(INDEX(MS_PLAN,MATCH($D12,MS_NOM,0)),"")))</f>
        <v/>
      </c>
      <c r="G12">
        <f>IF(OR($A$12="",$B$12&lt;&gt;"All"),"","Contract")</f>
        <v/>
      </c>
      <c r="H12">
        <f>IF($G12="","","Whole contract")</f>
        <v/>
      </c>
      <c r="I12">
        <f>IF($G12="","",$A$12)</f>
        <v/>
      </c>
      <c r="J12">
        <f>IF($G12="","",IF(COUNTIFS(DOC_TYPE,$I12,DOC_ACTIVE,1)&gt;0,"",IFERROR(IF($E$12&lt;&gt;"",$E$12-$C$12,CTR_EARLIEST-$C$12),60000)+ROW()/1000000))</f>
        <v/>
      </c>
      <c r="L12">
        <f>IF(TRACKER!$A14="","","Document")</f>
        <v/>
      </c>
      <c r="M12">
        <f>IF($L12="","",TRACKER!$E14&amp;"  -  "&amp;TRACKER!$A14)</f>
        <v/>
      </c>
      <c r="N12">
        <f>IF($L12="","",IF(TRACKER!$B14="Equipment",TRACKER!$D14,IF(TRACKER!$B14="System",TRACKER!$C14,"Whole contract")))</f>
        <v/>
      </c>
      <c r="O12">
        <f>IF($L12="","",TRACKER!$F14)</f>
        <v/>
      </c>
      <c r="P12">
        <f>IF($L12="","",TRACKER!$K14)</f>
        <v/>
      </c>
      <c r="Q12">
        <f>IF($L12="","",TRACKER!$N14)</f>
        <v/>
      </c>
      <c r="R12">
        <f>TRACKER!$Y14</f>
        <v/>
      </c>
      <c r="S12">
        <f>TRACKER!$Z14</f>
        <v/>
      </c>
      <c r="T12">
        <f>TRACKER!$X14</f>
        <v/>
      </c>
      <c r="AB12">
        <f>IF(SETUP!$B$99="","",SETUP!$B$99)</f>
        <v/>
      </c>
      <c r="AC12">
        <f>IF($AB12="",0,SETUP!$I$99)</f>
        <v/>
      </c>
      <c r="AD12">
        <f>IF($AB12="",0,SETUP!$J$99)</f>
        <v/>
      </c>
      <c r="AF12">
        <f>TEXT(EOMONTH(TODAY(),10)," MMM YY")</f>
        <v/>
      </c>
      <c r="AG12">
        <f>COUNTIFS(DOC_TARGET,"&gt;="&amp;EOMONTH(TODAY(),9)+1,DOC_TARGET,"&lt;="&amp;EOMONTH(TODAY(),10),DOC_DONE,0)</f>
        <v/>
      </c>
    </row>
    <row r="13">
      <c r="A13">
        <f>IFERROR(INDEX(TYP_TYPE,SMALL(TYP_COREKEY,12)),"")</f>
        <v/>
      </c>
      <c r="B13">
        <f>IF($A13="","",INDEX(TYP_SCOPE,MATCH($A13,TYP_TYPE,0)))</f>
        <v/>
      </c>
      <c r="C13">
        <f>IF($A13="","",INDEX(TYP_LEAD,MATCH($A13,TYP_TYPE,0)))</f>
        <v/>
      </c>
      <c r="D13">
        <f>IF($A13="","",INDEX(TYP_ANCHOR,MATCH($A13,TYP_TYPE,0)))</f>
        <v/>
      </c>
      <c r="E13">
        <f>IF($A13="","",IF($D13="Commissioning Start","",IFERROR(INDEX(MS_PLAN,MATCH($D13,MS_NOM,0)),"")))</f>
        <v/>
      </c>
      <c r="G13">
        <f>IF(OR($A$13="",$B$13&lt;&gt;"All"),"","Contract")</f>
        <v/>
      </c>
      <c r="H13">
        <f>IF($G13="","","Whole contract")</f>
        <v/>
      </c>
      <c r="I13">
        <f>IF($G13="","",$A$13)</f>
        <v/>
      </c>
      <c r="J13">
        <f>IF($G13="","",IF(COUNTIFS(DOC_TYPE,$I13,DOC_ACTIVE,1)&gt;0,"",IFERROR(IF($E$13&lt;&gt;"",$E$13-$C$13,CTR_EARLIEST-$C$13),60000)+ROW()/1000000))</f>
        <v/>
      </c>
      <c r="L13">
        <f>IF(TRACKER!$A15="","","Document")</f>
        <v/>
      </c>
      <c r="M13">
        <f>IF($L13="","",TRACKER!$E15&amp;"  -  "&amp;TRACKER!$A15)</f>
        <v/>
      </c>
      <c r="N13">
        <f>IF($L13="","",IF(TRACKER!$B15="Equipment",TRACKER!$D15,IF(TRACKER!$B15="System",TRACKER!$C15,"Whole contract")))</f>
        <v/>
      </c>
      <c r="O13">
        <f>IF($L13="","",TRACKER!$F15)</f>
        <v/>
      </c>
      <c r="P13">
        <f>IF($L13="","",TRACKER!$K15)</f>
        <v/>
      </c>
      <c r="Q13">
        <f>IF($L13="","",TRACKER!$N15)</f>
        <v/>
      </c>
      <c r="R13">
        <f>TRACKER!$Y15</f>
        <v/>
      </c>
      <c r="S13">
        <f>TRACKER!$Z15</f>
        <v/>
      </c>
      <c r="T13">
        <f>TRACKER!$X15</f>
        <v/>
      </c>
      <c r="AB13">
        <f>IF(SETUP!$B$100="","",SETUP!$B$100)</f>
        <v/>
      </c>
      <c r="AC13">
        <f>IF($AB13="",0,SETUP!$I$100)</f>
        <v/>
      </c>
      <c r="AD13">
        <f>IF($AB13="",0,SETUP!$J$100)</f>
        <v/>
      </c>
      <c r="AF13">
        <f>TEXT(EOMONTH(TODAY(),11)," MMM YY")</f>
        <v/>
      </c>
      <c r="AG13">
        <f>COUNTIFS(DOC_TARGET,"&gt;="&amp;EOMONTH(TODAY(),10)+1,DOC_TARGET,"&lt;="&amp;EOMONTH(TODAY(),11),DOC_DONE,0)</f>
        <v/>
      </c>
    </row>
    <row r="14">
      <c r="G14">
        <f>IF(OR(SETUP!$B$89="",$A$2="",$B$2&lt;&gt;"System"),"","System")</f>
        <v/>
      </c>
      <c r="H14">
        <f>IF($G14="","",SETUP!$B$89)</f>
        <v/>
      </c>
      <c r="I14">
        <f>IF($G14="","",$A$2)</f>
        <v/>
      </c>
      <c r="J14">
        <f>IF($G14="","",IF(COUNTIFS(DOC_TYPE,$I14,DOC_SYS,$H14,DOC_SCOPE,"System",DOC_ACTIVE,1)+COUNTIFS(DOC_TYPE,$I14,DOC_SCOPE,"All",DOC_ACTIVE,1)&gt;0,"",IFERROR(IF($E$2&lt;&gt;"",$E$2-$C$2,SETUP!$E$89-$C$2),60000)+ROW()/1000000))</f>
        <v/>
      </c>
      <c r="L14">
        <f>IF(TRACKER!$A16="","","Document")</f>
        <v/>
      </c>
      <c r="M14">
        <f>IF($L14="","",TRACKER!$E16&amp;"  -  "&amp;TRACKER!$A16)</f>
        <v/>
      </c>
      <c r="N14">
        <f>IF($L14="","",IF(TRACKER!$B16="Equipment",TRACKER!$D16,IF(TRACKER!$B16="System",TRACKER!$C16,"Whole contract")))</f>
        <v/>
      </c>
      <c r="O14">
        <f>IF($L14="","",TRACKER!$F16)</f>
        <v/>
      </c>
      <c r="P14">
        <f>IF($L14="","",TRACKER!$K16)</f>
        <v/>
      </c>
      <c r="Q14">
        <f>IF($L14="","",TRACKER!$N16)</f>
        <v/>
      </c>
      <c r="R14">
        <f>TRACKER!$Y16</f>
        <v/>
      </c>
      <c r="S14">
        <f>TRACKER!$Z16</f>
        <v/>
      </c>
      <c r="T14">
        <f>TRACKER!$X16</f>
        <v/>
      </c>
      <c r="AB14">
        <f>IF(SETUP!$B$101="","",SETUP!$B$101)</f>
        <v/>
      </c>
      <c r="AC14">
        <f>IF($AB14="",0,SETUP!$I$101)</f>
        <v/>
      </c>
      <c r="AD14">
        <f>IF($AB14="",0,SETUP!$J$101)</f>
        <v/>
      </c>
    </row>
    <row r="15">
      <c r="G15">
        <f>IF(OR(SETUP!$B$89="",$A$3="",$B$3&lt;&gt;"System"),"","System")</f>
        <v/>
      </c>
      <c r="H15">
        <f>IF($G15="","",SETUP!$B$89)</f>
        <v/>
      </c>
      <c r="I15">
        <f>IF($G15="","",$A$3)</f>
        <v/>
      </c>
      <c r="J15">
        <f>IF($G15="","",IF(COUNTIFS(DOC_TYPE,$I15,DOC_SYS,$H15,DOC_SCOPE,"System",DOC_ACTIVE,1)+COUNTIFS(DOC_TYPE,$I15,DOC_SCOPE,"All",DOC_ACTIVE,1)&gt;0,"",IFERROR(IF($E$3&lt;&gt;"",$E$3-$C$3,SETUP!$E$89-$C$3),60000)+ROW()/1000000))</f>
        <v/>
      </c>
      <c r="L15">
        <f>IF(TRACKER!$A17="","","Document")</f>
        <v/>
      </c>
      <c r="M15">
        <f>IF($L15="","",TRACKER!$E17&amp;"  -  "&amp;TRACKER!$A17)</f>
        <v/>
      </c>
      <c r="N15">
        <f>IF($L15="","",IF(TRACKER!$B17="Equipment",TRACKER!$D17,IF(TRACKER!$B17="System",TRACKER!$C17,"Whole contract")))</f>
        <v/>
      </c>
      <c r="O15">
        <f>IF($L15="","",TRACKER!$F17)</f>
        <v/>
      </c>
      <c r="P15">
        <f>IF($L15="","",TRACKER!$K17)</f>
        <v/>
      </c>
      <c r="Q15">
        <f>IF($L15="","",TRACKER!$N17)</f>
        <v/>
      </c>
      <c r="R15">
        <f>TRACKER!$Y17</f>
        <v/>
      </c>
      <c r="S15">
        <f>TRACKER!$Z17</f>
        <v/>
      </c>
      <c r="T15">
        <f>TRACKER!$X17</f>
        <v/>
      </c>
      <c r="AB15">
        <f>IF(SETUP!$B$102="","",SETUP!$B$102)</f>
        <v/>
      </c>
      <c r="AC15">
        <f>IF($AB15="",0,SETUP!$I$102)</f>
        <v/>
      </c>
      <c r="AD15">
        <f>IF($AB15="",0,SETUP!$J$102)</f>
        <v/>
      </c>
    </row>
    <row r="16">
      <c r="G16">
        <f>IF(OR(SETUP!$B$89="",$A$4="",$B$4&lt;&gt;"System"),"","System")</f>
        <v/>
      </c>
      <c r="H16">
        <f>IF($G16="","",SETUP!$B$89)</f>
        <v/>
      </c>
      <c r="I16">
        <f>IF($G16="","",$A$4)</f>
        <v/>
      </c>
      <c r="J16">
        <f>IF($G16="","",IF(COUNTIFS(DOC_TYPE,$I16,DOC_SYS,$H16,DOC_SCOPE,"System",DOC_ACTIVE,1)+COUNTIFS(DOC_TYPE,$I16,DOC_SCOPE,"All",DOC_ACTIVE,1)&gt;0,"",IFERROR(IF($E$4&lt;&gt;"",$E$4-$C$4,SETUP!$E$89-$C$4),60000)+ROW()/1000000))</f>
        <v/>
      </c>
      <c r="L16">
        <f>IF(TRACKER!$A18="","","Document")</f>
        <v/>
      </c>
      <c r="M16">
        <f>IF($L16="","",TRACKER!$E18&amp;"  -  "&amp;TRACKER!$A18)</f>
        <v/>
      </c>
      <c r="N16">
        <f>IF($L16="","",IF(TRACKER!$B18="Equipment",TRACKER!$D18,IF(TRACKER!$B18="System",TRACKER!$C18,"Whole contract")))</f>
        <v/>
      </c>
      <c r="O16">
        <f>IF($L16="","",TRACKER!$F18)</f>
        <v/>
      </c>
      <c r="P16">
        <f>IF($L16="","",TRACKER!$K18)</f>
        <v/>
      </c>
      <c r="Q16">
        <f>IF($L16="","",TRACKER!$N18)</f>
        <v/>
      </c>
      <c r="R16">
        <f>TRACKER!$Y18</f>
        <v/>
      </c>
      <c r="S16">
        <f>TRACKER!$Z18</f>
        <v/>
      </c>
      <c r="T16">
        <f>TRACKER!$X18</f>
        <v/>
      </c>
      <c r="AB16">
        <f>IF(SETUP!$B$103="","",SETUP!$B$103)</f>
        <v/>
      </c>
      <c r="AC16">
        <f>IF($AB16="",0,SETUP!$I$103)</f>
        <v/>
      </c>
      <c r="AD16">
        <f>IF($AB16="",0,SETUP!$J$103)</f>
        <v/>
      </c>
    </row>
    <row r="17">
      <c r="G17">
        <f>IF(OR(SETUP!$B$89="",$A$5="",$B$5&lt;&gt;"System"),"","System")</f>
        <v/>
      </c>
      <c r="H17">
        <f>IF($G17="","",SETUP!$B$89)</f>
        <v/>
      </c>
      <c r="I17">
        <f>IF($G17="","",$A$5)</f>
        <v/>
      </c>
      <c r="J17">
        <f>IF($G17="","",IF(COUNTIFS(DOC_TYPE,$I17,DOC_SYS,$H17,DOC_SCOPE,"System",DOC_ACTIVE,1)+COUNTIFS(DOC_TYPE,$I17,DOC_SCOPE,"All",DOC_ACTIVE,1)&gt;0,"",IFERROR(IF($E$5&lt;&gt;"",$E$5-$C$5,SETUP!$E$89-$C$5),60000)+ROW()/1000000))</f>
        <v/>
      </c>
      <c r="L17">
        <f>IF(TRACKER!$A19="","","Document")</f>
        <v/>
      </c>
      <c r="M17">
        <f>IF($L17="","",TRACKER!$E19&amp;"  -  "&amp;TRACKER!$A19)</f>
        <v/>
      </c>
      <c r="N17">
        <f>IF($L17="","",IF(TRACKER!$B19="Equipment",TRACKER!$D19,IF(TRACKER!$B19="System",TRACKER!$C19,"Whole contract")))</f>
        <v/>
      </c>
      <c r="O17">
        <f>IF($L17="","",TRACKER!$F19)</f>
        <v/>
      </c>
      <c r="P17">
        <f>IF($L17="","",TRACKER!$K19)</f>
        <v/>
      </c>
      <c r="Q17">
        <f>IF($L17="","",TRACKER!$N19)</f>
        <v/>
      </c>
      <c r="R17">
        <f>TRACKER!$Y19</f>
        <v/>
      </c>
      <c r="S17">
        <f>TRACKER!$Z19</f>
        <v/>
      </c>
      <c r="T17">
        <f>TRACKER!$X19</f>
        <v/>
      </c>
      <c r="AB17">
        <f>IF(SETUP!$B$104="","",SETUP!$B$104)</f>
        <v/>
      </c>
      <c r="AC17">
        <f>IF($AB17="",0,SETUP!$I$104)</f>
        <v/>
      </c>
      <c r="AD17">
        <f>IF($AB17="",0,SETUP!$J$104)</f>
        <v/>
      </c>
    </row>
    <row r="18">
      <c r="G18">
        <f>IF(OR(SETUP!$B$89="",$A$6="",$B$6&lt;&gt;"System"),"","System")</f>
        <v/>
      </c>
      <c r="H18">
        <f>IF($G18="","",SETUP!$B$89)</f>
        <v/>
      </c>
      <c r="I18">
        <f>IF($G18="","",$A$6)</f>
        <v/>
      </c>
      <c r="J18">
        <f>IF($G18="","",IF(COUNTIFS(DOC_TYPE,$I18,DOC_SYS,$H18,DOC_SCOPE,"System",DOC_ACTIVE,1)+COUNTIFS(DOC_TYPE,$I18,DOC_SCOPE,"All",DOC_ACTIVE,1)&gt;0,"",IFERROR(IF($E$6&lt;&gt;"",$E$6-$C$6,SETUP!$E$89-$C$6),60000)+ROW()/1000000))</f>
        <v/>
      </c>
      <c r="L18">
        <f>IF(TRACKER!$A20="","","Document")</f>
        <v/>
      </c>
      <c r="M18">
        <f>IF($L18="","",TRACKER!$E20&amp;"  -  "&amp;TRACKER!$A20)</f>
        <v/>
      </c>
      <c r="N18">
        <f>IF($L18="","",IF(TRACKER!$B20="Equipment",TRACKER!$D20,IF(TRACKER!$B20="System",TRACKER!$C20,"Whole contract")))</f>
        <v/>
      </c>
      <c r="O18">
        <f>IF($L18="","",TRACKER!$F20)</f>
        <v/>
      </c>
      <c r="P18">
        <f>IF($L18="","",TRACKER!$K20)</f>
        <v/>
      </c>
      <c r="Q18">
        <f>IF($L18="","",TRACKER!$N20)</f>
        <v/>
      </c>
      <c r="R18">
        <f>TRACKER!$Y20</f>
        <v/>
      </c>
      <c r="S18">
        <f>TRACKER!$Z20</f>
        <v/>
      </c>
      <c r="T18">
        <f>TRACKER!$X20</f>
        <v/>
      </c>
      <c r="AB18">
        <f>IF(SETUP!$B$105="","",SETUP!$B$105)</f>
        <v/>
      </c>
      <c r="AC18">
        <f>IF($AB18="",0,SETUP!$I$105)</f>
        <v/>
      </c>
      <c r="AD18">
        <f>IF($AB18="",0,SETUP!$J$105)</f>
        <v/>
      </c>
    </row>
    <row r="19">
      <c r="G19">
        <f>IF(OR(SETUP!$B$89="",$A$7="",$B$7&lt;&gt;"System"),"","System")</f>
        <v/>
      </c>
      <c r="H19">
        <f>IF($G19="","",SETUP!$B$89)</f>
        <v/>
      </c>
      <c r="I19">
        <f>IF($G19="","",$A$7)</f>
        <v/>
      </c>
      <c r="J19">
        <f>IF($G19="","",IF(COUNTIFS(DOC_TYPE,$I19,DOC_SYS,$H19,DOC_SCOPE,"System",DOC_ACTIVE,1)+COUNTIFS(DOC_TYPE,$I19,DOC_SCOPE,"All",DOC_ACTIVE,1)&gt;0,"",IFERROR(IF($E$7&lt;&gt;"",$E$7-$C$7,SETUP!$E$89-$C$7),60000)+ROW()/1000000))</f>
        <v/>
      </c>
      <c r="L19">
        <f>IF(TRACKER!$A21="","","Document")</f>
        <v/>
      </c>
      <c r="M19">
        <f>IF($L19="","",TRACKER!$E21&amp;"  -  "&amp;TRACKER!$A21)</f>
        <v/>
      </c>
      <c r="N19">
        <f>IF($L19="","",IF(TRACKER!$B21="Equipment",TRACKER!$D21,IF(TRACKER!$B21="System",TRACKER!$C21,"Whole contract")))</f>
        <v/>
      </c>
      <c r="O19">
        <f>IF($L19="","",TRACKER!$F21)</f>
        <v/>
      </c>
      <c r="P19">
        <f>IF($L19="","",TRACKER!$K21)</f>
        <v/>
      </c>
      <c r="Q19">
        <f>IF($L19="","",TRACKER!$N21)</f>
        <v/>
      </c>
      <c r="R19">
        <f>TRACKER!$Y21</f>
        <v/>
      </c>
      <c r="S19">
        <f>TRACKER!$Z21</f>
        <v/>
      </c>
      <c r="T19">
        <f>TRACKER!$X21</f>
        <v/>
      </c>
      <c r="AB19">
        <f>IF(SETUP!$B$106="","",SETUP!$B$106)</f>
        <v/>
      </c>
      <c r="AC19">
        <f>IF($AB19="",0,SETUP!$I$106)</f>
        <v/>
      </c>
      <c r="AD19">
        <f>IF($AB19="",0,SETUP!$J$106)</f>
        <v/>
      </c>
    </row>
    <row r="20">
      <c r="G20">
        <f>IF(OR(SETUP!$B$89="",$A$8="",$B$8&lt;&gt;"System"),"","System")</f>
        <v/>
      </c>
      <c r="H20">
        <f>IF($G20="","",SETUP!$B$89)</f>
        <v/>
      </c>
      <c r="I20">
        <f>IF($G20="","",$A$8)</f>
        <v/>
      </c>
      <c r="J20">
        <f>IF($G20="","",IF(COUNTIFS(DOC_TYPE,$I20,DOC_SYS,$H20,DOC_SCOPE,"System",DOC_ACTIVE,1)+COUNTIFS(DOC_TYPE,$I20,DOC_SCOPE,"All",DOC_ACTIVE,1)&gt;0,"",IFERROR(IF($E$8&lt;&gt;"",$E$8-$C$8,SETUP!$E$89-$C$8),60000)+ROW()/1000000))</f>
        <v/>
      </c>
      <c r="L20">
        <f>IF(TRACKER!$A22="","","Document")</f>
        <v/>
      </c>
      <c r="M20">
        <f>IF($L20="","",TRACKER!$E22&amp;"  -  "&amp;TRACKER!$A22)</f>
        <v/>
      </c>
      <c r="N20">
        <f>IF($L20="","",IF(TRACKER!$B22="Equipment",TRACKER!$D22,IF(TRACKER!$B22="System",TRACKER!$C22,"Whole contract")))</f>
        <v/>
      </c>
      <c r="O20">
        <f>IF($L20="","",TRACKER!$F22)</f>
        <v/>
      </c>
      <c r="P20">
        <f>IF($L20="","",TRACKER!$K22)</f>
        <v/>
      </c>
      <c r="Q20">
        <f>IF($L20="","",TRACKER!$N22)</f>
        <v/>
      </c>
      <c r="R20">
        <f>TRACKER!$Y22</f>
        <v/>
      </c>
      <c r="S20">
        <f>TRACKER!$Z22</f>
        <v/>
      </c>
      <c r="T20">
        <f>TRACKER!$X22</f>
        <v/>
      </c>
      <c r="AB20">
        <f>IF(SETUP!$B$107="","",SETUP!$B$107)</f>
        <v/>
      </c>
      <c r="AC20">
        <f>IF($AB20="",0,SETUP!$I$107)</f>
        <v/>
      </c>
      <c r="AD20">
        <f>IF($AB20="",0,SETUP!$J$107)</f>
        <v/>
      </c>
    </row>
    <row r="21">
      <c r="G21">
        <f>IF(OR(SETUP!$B$89="",$A$9="",$B$9&lt;&gt;"System"),"","System")</f>
        <v/>
      </c>
      <c r="H21">
        <f>IF($G21="","",SETUP!$B$89)</f>
        <v/>
      </c>
      <c r="I21">
        <f>IF($G21="","",$A$9)</f>
        <v/>
      </c>
      <c r="J21">
        <f>IF($G21="","",IF(COUNTIFS(DOC_TYPE,$I21,DOC_SYS,$H21,DOC_SCOPE,"System",DOC_ACTIVE,1)+COUNTIFS(DOC_TYPE,$I21,DOC_SCOPE,"All",DOC_ACTIVE,1)&gt;0,"",IFERROR(IF($E$9&lt;&gt;"",$E$9-$C$9,SETUP!$E$89-$C$9),60000)+ROW()/1000000))</f>
        <v/>
      </c>
      <c r="L21">
        <f>IF(TRACKER!$A23="","","Document")</f>
        <v/>
      </c>
      <c r="M21">
        <f>IF($L21="","",TRACKER!$E23&amp;"  -  "&amp;TRACKER!$A23)</f>
        <v/>
      </c>
      <c r="N21">
        <f>IF($L21="","",IF(TRACKER!$B23="Equipment",TRACKER!$D23,IF(TRACKER!$B23="System",TRACKER!$C23,"Whole contract")))</f>
        <v/>
      </c>
      <c r="O21">
        <f>IF($L21="","",TRACKER!$F23)</f>
        <v/>
      </c>
      <c r="P21">
        <f>IF($L21="","",TRACKER!$K23)</f>
        <v/>
      </c>
      <c r="Q21">
        <f>IF($L21="","",TRACKER!$N23)</f>
        <v/>
      </c>
      <c r="R21">
        <f>TRACKER!$Y23</f>
        <v/>
      </c>
      <c r="S21">
        <f>TRACKER!$Z23</f>
        <v/>
      </c>
      <c r="T21">
        <f>TRACKER!$X23</f>
        <v/>
      </c>
      <c r="AB21">
        <f>IF(SETUP!$B$108="","",SETUP!$B$108)</f>
        <v/>
      </c>
      <c r="AC21">
        <f>IF($AB21="",0,SETUP!$I$108)</f>
        <v/>
      </c>
      <c r="AD21">
        <f>IF($AB21="",0,SETUP!$J$108)</f>
        <v/>
      </c>
    </row>
    <row r="22">
      <c r="G22">
        <f>IF(OR(SETUP!$B$89="",$A$10="",$B$10&lt;&gt;"System"),"","System")</f>
        <v/>
      </c>
      <c r="H22">
        <f>IF($G22="","",SETUP!$B$89)</f>
        <v/>
      </c>
      <c r="I22">
        <f>IF($G22="","",$A$10)</f>
        <v/>
      </c>
      <c r="J22">
        <f>IF($G22="","",IF(COUNTIFS(DOC_TYPE,$I22,DOC_SYS,$H22,DOC_SCOPE,"System",DOC_ACTIVE,1)+COUNTIFS(DOC_TYPE,$I22,DOC_SCOPE,"All",DOC_ACTIVE,1)&gt;0,"",IFERROR(IF($E$10&lt;&gt;"",$E$10-$C$10,SETUP!$E$89-$C$10),60000)+ROW()/1000000))</f>
        <v/>
      </c>
      <c r="L22">
        <f>IF(TRACKER!$A24="","","Document")</f>
        <v/>
      </c>
      <c r="M22">
        <f>IF($L22="","",TRACKER!$E24&amp;"  -  "&amp;TRACKER!$A24)</f>
        <v/>
      </c>
      <c r="N22">
        <f>IF($L22="","",IF(TRACKER!$B24="Equipment",TRACKER!$D24,IF(TRACKER!$B24="System",TRACKER!$C24,"Whole contract")))</f>
        <v/>
      </c>
      <c r="O22">
        <f>IF($L22="","",TRACKER!$F24)</f>
        <v/>
      </c>
      <c r="P22">
        <f>IF($L22="","",TRACKER!$K24)</f>
        <v/>
      </c>
      <c r="Q22">
        <f>IF($L22="","",TRACKER!$N24)</f>
        <v/>
      </c>
      <c r="R22">
        <f>TRACKER!$Y24</f>
        <v/>
      </c>
      <c r="S22">
        <f>TRACKER!$Z24</f>
        <v/>
      </c>
      <c r="T22">
        <f>TRACKER!$X24</f>
        <v/>
      </c>
      <c r="AB22">
        <f>IF(SETUP!$B$109="","",SETUP!$B$109)</f>
        <v/>
      </c>
      <c r="AC22">
        <f>IF($AB22="",0,SETUP!$I$109)</f>
        <v/>
      </c>
      <c r="AD22">
        <f>IF($AB22="",0,SETUP!$J$109)</f>
        <v/>
      </c>
    </row>
    <row r="23">
      <c r="G23">
        <f>IF(OR(SETUP!$B$89="",$A$11="",$B$11&lt;&gt;"System"),"","System")</f>
        <v/>
      </c>
      <c r="H23">
        <f>IF($G23="","",SETUP!$B$89)</f>
        <v/>
      </c>
      <c r="I23">
        <f>IF($G23="","",$A$11)</f>
        <v/>
      </c>
      <c r="J23">
        <f>IF($G23="","",IF(COUNTIFS(DOC_TYPE,$I23,DOC_SYS,$H23,DOC_SCOPE,"System",DOC_ACTIVE,1)+COUNTIFS(DOC_TYPE,$I23,DOC_SCOPE,"All",DOC_ACTIVE,1)&gt;0,"",IFERROR(IF($E$11&lt;&gt;"",$E$11-$C$11,SETUP!$E$89-$C$11),60000)+ROW()/1000000))</f>
        <v/>
      </c>
      <c r="L23">
        <f>IF(TRACKER!$A25="","","Document")</f>
        <v/>
      </c>
      <c r="M23">
        <f>IF($L23="","",TRACKER!$E25&amp;"  -  "&amp;TRACKER!$A25)</f>
        <v/>
      </c>
      <c r="N23">
        <f>IF($L23="","",IF(TRACKER!$B25="Equipment",TRACKER!$D25,IF(TRACKER!$B25="System",TRACKER!$C25,"Whole contract")))</f>
        <v/>
      </c>
      <c r="O23">
        <f>IF($L23="","",TRACKER!$F25)</f>
        <v/>
      </c>
      <c r="P23">
        <f>IF($L23="","",TRACKER!$K25)</f>
        <v/>
      </c>
      <c r="Q23">
        <f>IF($L23="","",TRACKER!$N25)</f>
        <v/>
      </c>
      <c r="R23">
        <f>TRACKER!$Y25</f>
        <v/>
      </c>
      <c r="S23">
        <f>TRACKER!$Z25</f>
        <v/>
      </c>
      <c r="T23">
        <f>TRACKER!$X25</f>
        <v/>
      </c>
      <c r="AB23">
        <f>IF(SETUP!$B$110="","",SETUP!$B$110)</f>
        <v/>
      </c>
      <c r="AC23">
        <f>IF($AB23="",0,SETUP!$I$110)</f>
        <v/>
      </c>
      <c r="AD23">
        <f>IF($AB23="",0,SETUP!$J$110)</f>
        <v/>
      </c>
    </row>
    <row r="24">
      <c r="G24">
        <f>IF(OR(SETUP!$B$89="",$A$12="",$B$12&lt;&gt;"System"),"","System")</f>
        <v/>
      </c>
      <c r="H24">
        <f>IF($G24="","",SETUP!$B$89)</f>
        <v/>
      </c>
      <c r="I24">
        <f>IF($G24="","",$A$12)</f>
        <v/>
      </c>
      <c r="J24">
        <f>IF($G24="","",IF(COUNTIFS(DOC_TYPE,$I24,DOC_SYS,$H24,DOC_SCOPE,"System",DOC_ACTIVE,1)+COUNTIFS(DOC_TYPE,$I24,DOC_SCOPE,"All",DOC_ACTIVE,1)&gt;0,"",IFERROR(IF($E$12&lt;&gt;"",$E$12-$C$12,SETUP!$E$89-$C$12),60000)+ROW()/1000000))</f>
        <v/>
      </c>
      <c r="L24">
        <f>IF(TRACKER!$A26="","","Document")</f>
        <v/>
      </c>
      <c r="M24">
        <f>IF($L24="","",TRACKER!$E26&amp;"  -  "&amp;TRACKER!$A26)</f>
        <v/>
      </c>
      <c r="N24">
        <f>IF($L24="","",IF(TRACKER!$B26="Equipment",TRACKER!$D26,IF(TRACKER!$B26="System",TRACKER!$C26,"Whole contract")))</f>
        <v/>
      </c>
      <c r="O24">
        <f>IF($L24="","",TRACKER!$F26)</f>
        <v/>
      </c>
      <c r="P24">
        <f>IF($L24="","",TRACKER!$K26)</f>
        <v/>
      </c>
      <c r="Q24">
        <f>IF($L24="","",TRACKER!$N26)</f>
        <v/>
      </c>
      <c r="R24">
        <f>TRACKER!$Y26</f>
        <v/>
      </c>
      <c r="S24">
        <f>TRACKER!$Z26</f>
        <v/>
      </c>
      <c r="T24">
        <f>TRACKER!$X26</f>
        <v/>
      </c>
      <c r="AB24">
        <f>IF(SETUP!$B$111="","",SETUP!$B$111)</f>
        <v/>
      </c>
      <c r="AC24">
        <f>IF($AB24="",0,SETUP!$I$111)</f>
        <v/>
      </c>
      <c r="AD24">
        <f>IF($AB24="",0,SETUP!$J$111)</f>
        <v/>
      </c>
    </row>
    <row r="25">
      <c r="G25">
        <f>IF(OR(SETUP!$B$89="",$A$13="",$B$13&lt;&gt;"System"),"","System")</f>
        <v/>
      </c>
      <c r="H25">
        <f>IF($G25="","",SETUP!$B$89)</f>
        <v/>
      </c>
      <c r="I25">
        <f>IF($G25="","",$A$13)</f>
        <v/>
      </c>
      <c r="J25">
        <f>IF($G25="","",IF(COUNTIFS(DOC_TYPE,$I25,DOC_SYS,$H25,DOC_SCOPE,"System",DOC_ACTIVE,1)+COUNTIFS(DOC_TYPE,$I25,DOC_SCOPE,"All",DOC_ACTIVE,1)&gt;0,"",IFERROR(IF($E$13&lt;&gt;"",$E$13-$C$13,SETUP!$E$89-$C$13),60000)+ROW()/1000000))</f>
        <v/>
      </c>
      <c r="L25">
        <f>IF(TRACKER!$A27="","","Document")</f>
        <v/>
      </c>
      <c r="M25">
        <f>IF($L25="","",TRACKER!$E27&amp;"  -  "&amp;TRACKER!$A27)</f>
        <v/>
      </c>
      <c r="N25">
        <f>IF($L25="","",IF(TRACKER!$B27="Equipment",TRACKER!$D27,IF(TRACKER!$B27="System",TRACKER!$C27,"Whole contract")))</f>
        <v/>
      </c>
      <c r="O25">
        <f>IF($L25="","",TRACKER!$F27)</f>
        <v/>
      </c>
      <c r="P25">
        <f>IF($L25="","",TRACKER!$K27)</f>
        <v/>
      </c>
      <c r="Q25">
        <f>IF($L25="","",TRACKER!$N27)</f>
        <v/>
      </c>
      <c r="R25">
        <f>TRACKER!$Y27</f>
        <v/>
      </c>
      <c r="S25">
        <f>TRACKER!$Z27</f>
        <v/>
      </c>
      <c r="T25">
        <f>TRACKER!$X27</f>
        <v/>
      </c>
      <c r="AB25">
        <f>IF(SETUP!$B$112="","",SETUP!$B$112)</f>
        <v/>
      </c>
      <c r="AC25">
        <f>IF($AB25="",0,SETUP!$I$112)</f>
        <v/>
      </c>
      <c r="AD25">
        <f>IF($AB25="",0,SETUP!$J$112)</f>
        <v/>
      </c>
    </row>
    <row r="26">
      <c r="G26">
        <f>IF(OR(SETUP!$B$90="",$A$2="",$B$2&lt;&gt;"System"),"","System")</f>
        <v/>
      </c>
      <c r="H26">
        <f>IF($G26="","",SETUP!$B$90)</f>
        <v/>
      </c>
      <c r="I26">
        <f>IF($G26="","",$A$2)</f>
        <v/>
      </c>
      <c r="J26">
        <f>IF($G26="","",IF(COUNTIFS(DOC_TYPE,$I26,DOC_SYS,$H26,DOC_SCOPE,"System",DOC_ACTIVE,1)+COUNTIFS(DOC_TYPE,$I26,DOC_SCOPE,"All",DOC_ACTIVE,1)&gt;0,"",IFERROR(IF($E$2&lt;&gt;"",$E$2-$C$2,SETUP!$E$90-$C$2),60000)+ROW()/1000000))</f>
        <v/>
      </c>
      <c r="L26">
        <f>IF(TRACKER!$A28="","","Document")</f>
        <v/>
      </c>
      <c r="M26">
        <f>IF($L26="","",TRACKER!$E28&amp;"  -  "&amp;TRACKER!$A28)</f>
        <v/>
      </c>
      <c r="N26">
        <f>IF($L26="","",IF(TRACKER!$B28="Equipment",TRACKER!$D28,IF(TRACKER!$B28="System",TRACKER!$C28,"Whole contract")))</f>
        <v/>
      </c>
      <c r="O26">
        <f>IF($L26="","",TRACKER!$F28)</f>
        <v/>
      </c>
      <c r="P26">
        <f>IF($L26="","",TRACKER!$K28)</f>
        <v/>
      </c>
      <c r="Q26">
        <f>IF($L26="","",TRACKER!$N28)</f>
        <v/>
      </c>
      <c r="R26">
        <f>TRACKER!$Y28</f>
        <v/>
      </c>
      <c r="S26">
        <f>TRACKER!$Z28</f>
        <v/>
      </c>
      <c r="T26">
        <f>TRACKER!$X28</f>
        <v/>
      </c>
      <c r="AB26">
        <f>IF(SETUP!$B$113="","",SETUP!$B$113)</f>
        <v/>
      </c>
      <c r="AC26">
        <f>IF($AB26="",0,SETUP!$I$113)</f>
        <v/>
      </c>
      <c r="AD26">
        <f>IF($AB26="",0,SETUP!$J$113)</f>
        <v/>
      </c>
    </row>
    <row r="27">
      <c r="G27">
        <f>IF(OR(SETUP!$B$90="",$A$3="",$B$3&lt;&gt;"System"),"","System")</f>
        <v/>
      </c>
      <c r="H27">
        <f>IF($G27="","",SETUP!$B$90)</f>
        <v/>
      </c>
      <c r="I27">
        <f>IF($G27="","",$A$3)</f>
        <v/>
      </c>
      <c r="J27">
        <f>IF($G27="","",IF(COUNTIFS(DOC_TYPE,$I27,DOC_SYS,$H27,DOC_SCOPE,"System",DOC_ACTIVE,1)+COUNTIFS(DOC_TYPE,$I27,DOC_SCOPE,"All",DOC_ACTIVE,1)&gt;0,"",IFERROR(IF($E$3&lt;&gt;"",$E$3-$C$3,SETUP!$E$90-$C$3),60000)+ROW()/1000000))</f>
        <v/>
      </c>
      <c r="L27">
        <f>IF(TRACKER!$A29="","","Document")</f>
        <v/>
      </c>
      <c r="M27">
        <f>IF($L27="","",TRACKER!$E29&amp;"  -  "&amp;TRACKER!$A29)</f>
        <v/>
      </c>
      <c r="N27">
        <f>IF($L27="","",IF(TRACKER!$B29="Equipment",TRACKER!$D29,IF(TRACKER!$B29="System",TRACKER!$C29,"Whole contract")))</f>
        <v/>
      </c>
      <c r="O27">
        <f>IF($L27="","",TRACKER!$F29)</f>
        <v/>
      </c>
      <c r="P27">
        <f>IF($L27="","",TRACKER!$K29)</f>
        <v/>
      </c>
      <c r="Q27">
        <f>IF($L27="","",TRACKER!$N29)</f>
        <v/>
      </c>
      <c r="R27">
        <f>TRACKER!$Y29</f>
        <v/>
      </c>
      <c r="S27">
        <f>TRACKER!$Z29</f>
        <v/>
      </c>
      <c r="T27">
        <f>TRACKER!$X29</f>
        <v/>
      </c>
    </row>
    <row r="28">
      <c r="G28">
        <f>IF(OR(SETUP!$B$90="",$A$4="",$B$4&lt;&gt;"System"),"","System")</f>
        <v/>
      </c>
      <c r="H28">
        <f>IF($G28="","",SETUP!$B$90)</f>
        <v/>
      </c>
      <c r="I28">
        <f>IF($G28="","",$A$4)</f>
        <v/>
      </c>
      <c r="J28">
        <f>IF($G28="","",IF(COUNTIFS(DOC_TYPE,$I28,DOC_SYS,$H28,DOC_SCOPE,"System",DOC_ACTIVE,1)+COUNTIFS(DOC_TYPE,$I28,DOC_SCOPE,"All",DOC_ACTIVE,1)&gt;0,"",IFERROR(IF($E$4&lt;&gt;"",$E$4-$C$4,SETUP!$E$90-$C$4),60000)+ROW()/1000000))</f>
        <v/>
      </c>
      <c r="L28">
        <f>IF(TRACKER!$A30="","","Document")</f>
        <v/>
      </c>
      <c r="M28">
        <f>IF($L28="","",TRACKER!$E30&amp;"  -  "&amp;TRACKER!$A30)</f>
        <v/>
      </c>
      <c r="N28">
        <f>IF($L28="","",IF(TRACKER!$B30="Equipment",TRACKER!$D30,IF(TRACKER!$B30="System",TRACKER!$C30,"Whole contract")))</f>
        <v/>
      </c>
      <c r="O28">
        <f>IF($L28="","",TRACKER!$F30)</f>
        <v/>
      </c>
      <c r="P28">
        <f>IF($L28="","",TRACKER!$K30)</f>
        <v/>
      </c>
      <c r="Q28">
        <f>IF($L28="","",TRACKER!$N30)</f>
        <v/>
      </c>
      <c r="R28">
        <f>TRACKER!$Y30</f>
        <v/>
      </c>
      <c r="S28">
        <f>TRACKER!$Z30</f>
        <v/>
      </c>
      <c r="T28">
        <f>TRACKER!$X30</f>
        <v/>
      </c>
    </row>
    <row r="29">
      <c r="G29">
        <f>IF(OR(SETUP!$B$90="",$A$5="",$B$5&lt;&gt;"System"),"","System")</f>
        <v/>
      </c>
      <c r="H29">
        <f>IF($G29="","",SETUP!$B$90)</f>
        <v/>
      </c>
      <c r="I29">
        <f>IF($G29="","",$A$5)</f>
        <v/>
      </c>
      <c r="J29">
        <f>IF($G29="","",IF(COUNTIFS(DOC_TYPE,$I29,DOC_SYS,$H29,DOC_SCOPE,"System",DOC_ACTIVE,1)+COUNTIFS(DOC_TYPE,$I29,DOC_SCOPE,"All",DOC_ACTIVE,1)&gt;0,"",IFERROR(IF($E$5&lt;&gt;"",$E$5-$C$5,SETUP!$E$90-$C$5),60000)+ROW()/1000000))</f>
        <v/>
      </c>
      <c r="L29">
        <f>IF(TRACKER!$A31="","","Document")</f>
        <v/>
      </c>
      <c r="M29">
        <f>IF($L29="","",TRACKER!$E31&amp;"  -  "&amp;TRACKER!$A31)</f>
        <v/>
      </c>
      <c r="N29">
        <f>IF($L29="","",IF(TRACKER!$B31="Equipment",TRACKER!$D31,IF(TRACKER!$B31="System",TRACKER!$C31,"Whole contract")))</f>
        <v/>
      </c>
      <c r="O29">
        <f>IF($L29="","",TRACKER!$F31)</f>
        <v/>
      </c>
      <c r="P29">
        <f>IF($L29="","",TRACKER!$K31)</f>
        <v/>
      </c>
      <c r="Q29">
        <f>IF($L29="","",TRACKER!$N31)</f>
        <v/>
      </c>
      <c r="R29">
        <f>TRACKER!$Y31</f>
        <v/>
      </c>
      <c r="S29">
        <f>TRACKER!$Z31</f>
        <v/>
      </c>
      <c r="T29">
        <f>TRACKER!$X31</f>
        <v/>
      </c>
    </row>
    <row r="30">
      <c r="G30">
        <f>IF(OR(SETUP!$B$90="",$A$6="",$B$6&lt;&gt;"System"),"","System")</f>
        <v/>
      </c>
      <c r="H30">
        <f>IF($G30="","",SETUP!$B$90)</f>
        <v/>
      </c>
      <c r="I30">
        <f>IF($G30="","",$A$6)</f>
        <v/>
      </c>
      <c r="J30">
        <f>IF($G30="","",IF(COUNTIFS(DOC_TYPE,$I30,DOC_SYS,$H30,DOC_SCOPE,"System",DOC_ACTIVE,1)+COUNTIFS(DOC_TYPE,$I30,DOC_SCOPE,"All",DOC_ACTIVE,1)&gt;0,"",IFERROR(IF($E$6&lt;&gt;"",$E$6-$C$6,SETUP!$E$90-$C$6),60000)+ROW()/1000000))</f>
        <v/>
      </c>
      <c r="L30">
        <f>IF(TRACKER!$A32="","","Document")</f>
        <v/>
      </c>
      <c r="M30">
        <f>IF($L30="","",TRACKER!$E32&amp;"  -  "&amp;TRACKER!$A32)</f>
        <v/>
      </c>
      <c r="N30">
        <f>IF($L30="","",IF(TRACKER!$B32="Equipment",TRACKER!$D32,IF(TRACKER!$B32="System",TRACKER!$C32,"Whole contract")))</f>
        <v/>
      </c>
      <c r="O30">
        <f>IF($L30="","",TRACKER!$F32)</f>
        <v/>
      </c>
      <c r="P30">
        <f>IF($L30="","",TRACKER!$K32)</f>
        <v/>
      </c>
      <c r="Q30">
        <f>IF($L30="","",TRACKER!$N32)</f>
        <v/>
      </c>
      <c r="R30">
        <f>TRACKER!$Y32</f>
        <v/>
      </c>
      <c r="S30">
        <f>TRACKER!$Z32</f>
        <v/>
      </c>
      <c r="T30">
        <f>TRACKER!$X32</f>
        <v/>
      </c>
    </row>
    <row r="31">
      <c r="G31">
        <f>IF(OR(SETUP!$B$90="",$A$7="",$B$7&lt;&gt;"System"),"","System")</f>
        <v/>
      </c>
      <c r="H31">
        <f>IF($G31="","",SETUP!$B$90)</f>
        <v/>
      </c>
      <c r="I31">
        <f>IF($G31="","",$A$7)</f>
        <v/>
      </c>
      <c r="J31">
        <f>IF($G31="","",IF(COUNTIFS(DOC_TYPE,$I31,DOC_SYS,$H31,DOC_SCOPE,"System",DOC_ACTIVE,1)+COUNTIFS(DOC_TYPE,$I31,DOC_SCOPE,"All",DOC_ACTIVE,1)&gt;0,"",IFERROR(IF($E$7&lt;&gt;"",$E$7-$C$7,SETUP!$E$90-$C$7),60000)+ROW()/1000000))</f>
        <v/>
      </c>
      <c r="L31">
        <f>IF(TRACKER!$A33="","","Document")</f>
        <v/>
      </c>
      <c r="M31">
        <f>IF($L31="","",TRACKER!$E33&amp;"  -  "&amp;TRACKER!$A33)</f>
        <v/>
      </c>
      <c r="N31">
        <f>IF($L31="","",IF(TRACKER!$B33="Equipment",TRACKER!$D33,IF(TRACKER!$B33="System",TRACKER!$C33,"Whole contract")))</f>
        <v/>
      </c>
      <c r="O31">
        <f>IF($L31="","",TRACKER!$F33)</f>
        <v/>
      </c>
      <c r="P31">
        <f>IF($L31="","",TRACKER!$K33)</f>
        <v/>
      </c>
      <c r="Q31">
        <f>IF($L31="","",TRACKER!$N33)</f>
        <v/>
      </c>
      <c r="R31">
        <f>TRACKER!$Y33</f>
        <v/>
      </c>
      <c r="S31">
        <f>TRACKER!$Z33</f>
        <v/>
      </c>
      <c r="T31">
        <f>TRACKER!$X33</f>
        <v/>
      </c>
    </row>
    <row r="32">
      <c r="G32">
        <f>IF(OR(SETUP!$B$90="",$A$8="",$B$8&lt;&gt;"System"),"","System")</f>
        <v/>
      </c>
      <c r="H32">
        <f>IF($G32="","",SETUP!$B$90)</f>
        <v/>
      </c>
      <c r="I32">
        <f>IF($G32="","",$A$8)</f>
        <v/>
      </c>
      <c r="J32">
        <f>IF($G32="","",IF(COUNTIFS(DOC_TYPE,$I32,DOC_SYS,$H32,DOC_SCOPE,"System",DOC_ACTIVE,1)+COUNTIFS(DOC_TYPE,$I32,DOC_SCOPE,"All",DOC_ACTIVE,1)&gt;0,"",IFERROR(IF($E$8&lt;&gt;"",$E$8-$C$8,SETUP!$E$90-$C$8),60000)+ROW()/1000000))</f>
        <v/>
      </c>
      <c r="L32">
        <f>IF(TRACKER!$A34="","","Document")</f>
        <v/>
      </c>
      <c r="M32">
        <f>IF($L32="","",TRACKER!$E34&amp;"  -  "&amp;TRACKER!$A34)</f>
        <v/>
      </c>
      <c r="N32">
        <f>IF($L32="","",IF(TRACKER!$B34="Equipment",TRACKER!$D34,IF(TRACKER!$B34="System",TRACKER!$C34,"Whole contract")))</f>
        <v/>
      </c>
      <c r="O32">
        <f>IF($L32="","",TRACKER!$F34)</f>
        <v/>
      </c>
      <c r="P32">
        <f>IF($L32="","",TRACKER!$K34)</f>
        <v/>
      </c>
      <c r="Q32">
        <f>IF($L32="","",TRACKER!$N34)</f>
        <v/>
      </c>
      <c r="R32">
        <f>TRACKER!$Y34</f>
        <v/>
      </c>
      <c r="S32">
        <f>TRACKER!$Z34</f>
        <v/>
      </c>
      <c r="T32">
        <f>TRACKER!$X34</f>
        <v/>
      </c>
    </row>
    <row r="33">
      <c r="G33">
        <f>IF(OR(SETUP!$B$90="",$A$9="",$B$9&lt;&gt;"System"),"","System")</f>
        <v/>
      </c>
      <c r="H33">
        <f>IF($G33="","",SETUP!$B$90)</f>
        <v/>
      </c>
      <c r="I33">
        <f>IF($G33="","",$A$9)</f>
        <v/>
      </c>
      <c r="J33">
        <f>IF($G33="","",IF(COUNTIFS(DOC_TYPE,$I33,DOC_SYS,$H33,DOC_SCOPE,"System",DOC_ACTIVE,1)+COUNTIFS(DOC_TYPE,$I33,DOC_SCOPE,"All",DOC_ACTIVE,1)&gt;0,"",IFERROR(IF($E$9&lt;&gt;"",$E$9-$C$9,SETUP!$E$90-$C$9),60000)+ROW()/1000000))</f>
        <v/>
      </c>
      <c r="L33">
        <f>IF(TRACKER!$A35="","","Document")</f>
        <v/>
      </c>
      <c r="M33">
        <f>IF($L33="","",TRACKER!$E35&amp;"  -  "&amp;TRACKER!$A35)</f>
        <v/>
      </c>
      <c r="N33">
        <f>IF($L33="","",IF(TRACKER!$B35="Equipment",TRACKER!$D35,IF(TRACKER!$B35="System",TRACKER!$C35,"Whole contract")))</f>
        <v/>
      </c>
      <c r="O33">
        <f>IF($L33="","",TRACKER!$F35)</f>
        <v/>
      </c>
      <c r="P33">
        <f>IF($L33="","",TRACKER!$K35)</f>
        <v/>
      </c>
      <c r="Q33">
        <f>IF($L33="","",TRACKER!$N35)</f>
        <v/>
      </c>
      <c r="R33">
        <f>TRACKER!$Y35</f>
        <v/>
      </c>
      <c r="S33">
        <f>TRACKER!$Z35</f>
        <v/>
      </c>
      <c r="T33">
        <f>TRACKER!$X35</f>
        <v/>
      </c>
    </row>
    <row r="34">
      <c r="G34">
        <f>IF(OR(SETUP!$B$90="",$A$10="",$B$10&lt;&gt;"System"),"","System")</f>
        <v/>
      </c>
      <c r="H34">
        <f>IF($G34="","",SETUP!$B$90)</f>
        <v/>
      </c>
      <c r="I34">
        <f>IF($G34="","",$A$10)</f>
        <v/>
      </c>
      <c r="J34">
        <f>IF($G34="","",IF(COUNTIFS(DOC_TYPE,$I34,DOC_SYS,$H34,DOC_SCOPE,"System",DOC_ACTIVE,1)+COUNTIFS(DOC_TYPE,$I34,DOC_SCOPE,"All",DOC_ACTIVE,1)&gt;0,"",IFERROR(IF($E$10&lt;&gt;"",$E$10-$C$10,SETUP!$E$90-$C$10),60000)+ROW()/1000000))</f>
        <v/>
      </c>
      <c r="L34">
        <f>IF(TRACKER!$A36="","","Document")</f>
        <v/>
      </c>
      <c r="M34">
        <f>IF($L34="","",TRACKER!$E36&amp;"  -  "&amp;TRACKER!$A36)</f>
        <v/>
      </c>
      <c r="N34">
        <f>IF($L34="","",IF(TRACKER!$B36="Equipment",TRACKER!$D36,IF(TRACKER!$B36="System",TRACKER!$C36,"Whole contract")))</f>
        <v/>
      </c>
      <c r="O34">
        <f>IF($L34="","",TRACKER!$F36)</f>
        <v/>
      </c>
      <c r="P34">
        <f>IF($L34="","",TRACKER!$K36)</f>
        <v/>
      </c>
      <c r="Q34">
        <f>IF($L34="","",TRACKER!$N36)</f>
        <v/>
      </c>
      <c r="R34">
        <f>TRACKER!$Y36</f>
        <v/>
      </c>
      <c r="S34">
        <f>TRACKER!$Z36</f>
        <v/>
      </c>
      <c r="T34">
        <f>TRACKER!$X36</f>
        <v/>
      </c>
    </row>
    <row r="35">
      <c r="G35">
        <f>IF(OR(SETUP!$B$90="",$A$11="",$B$11&lt;&gt;"System"),"","System")</f>
        <v/>
      </c>
      <c r="H35">
        <f>IF($G35="","",SETUP!$B$90)</f>
        <v/>
      </c>
      <c r="I35">
        <f>IF($G35="","",$A$11)</f>
        <v/>
      </c>
      <c r="J35">
        <f>IF($G35="","",IF(COUNTIFS(DOC_TYPE,$I35,DOC_SYS,$H35,DOC_SCOPE,"System",DOC_ACTIVE,1)+COUNTIFS(DOC_TYPE,$I35,DOC_SCOPE,"All",DOC_ACTIVE,1)&gt;0,"",IFERROR(IF($E$11&lt;&gt;"",$E$11-$C$11,SETUP!$E$90-$C$11),60000)+ROW()/1000000))</f>
        <v/>
      </c>
      <c r="L35">
        <f>IF(TRACKER!$A37="","","Document")</f>
        <v/>
      </c>
      <c r="M35">
        <f>IF($L35="","",TRACKER!$E37&amp;"  -  "&amp;TRACKER!$A37)</f>
        <v/>
      </c>
      <c r="N35">
        <f>IF($L35="","",IF(TRACKER!$B37="Equipment",TRACKER!$D37,IF(TRACKER!$B37="System",TRACKER!$C37,"Whole contract")))</f>
        <v/>
      </c>
      <c r="O35">
        <f>IF($L35="","",TRACKER!$F37)</f>
        <v/>
      </c>
      <c r="P35">
        <f>IF($L35="","",TRACKER!$K37)</f>
        <v/>
      </c>
      <c r="Q35">
        <f>IF($L35="","",TRACKER!$N37)</f>
        <v/>
      </c>
      <c r="R35">
        <f>TRACKER!$Y37</f>
        <v/>
      </c>
      <c r="S35">
        <f>TRACKER!$Z37</f>
        <v/>
      </c>
      <c r="T35">
        <f>TRACKER!$X37</f>
        <v/>
      </c>
    </row>
    <row r="36">
      <c r="G36">
        <f>IF(OR(SETUP!$B$90="",$A$12="",$B$12&lt;&gt;"System"),"","System")</f>
        <v/>
      </c>
      <c r="H36">
        <f>IF($G36="","",SETUP!$B$90)</f>
        <v/>
      </c>
      <c r="I36">
        <f>IF($G36="","",$A$12)</f>
        <v/>
      </c>
      <c r="J36">
        <f>IF($G36="","",IF(COUNTIFS(DOC_TYPE,$I36,DOC_SYS,$H36,DOC_SCOPE,"System",DOC_ACTIVE,1)+COUNTIFS(DOC_TYPE,$I36,DOC_SCOPE,"All",DOC_ACTIVE,1)&gt;0,"",IFERROR(IF($E$12&lt;&gt;"",$E$12-$C$12,SETUP!$E$90-$C$12),60000)+ROW()/1000000))</f>
        <v/>
      </c>
      <c r="L36">
        <f>IF(TRACKER!$A38="","","Document")</f>
        <v/>
      </c>
      <c r="M36">
        <f>IF($L36="","",TRACKER!$E38&amp;"  -  "&amp;TRACKER!$A38)</f>
        <v/>
      </c>
      <c r="N36">
        <f>IF($L36="","",IF(TRACKER!$B38="Equipment",TRACKER!$D38,IF(TRACKER!$B38="System",TRACKER!$C38,"Whole contract")))</f>
        <v/>
      </c>
      <c r="O36">
        <f>IF($L36="","",TRACKER!$F38)</f>
        <v/>
      </c>
      <c r="P36">
        <f>IF($L36="","",TRACKER!$K38)</f>
        <v/>
      </c>
      <c r="Q36">
        <f>IF($L36="","",TRACKER!$N38)</f>
        <v/>
      </c>
      <c r="R36">
        <f>TRACKER!$Y38</f>
        <v/>
      </c>
      <c r="S36">
        <f>TRACKER!$Z38</f>
        <v/>
      </c>
      <c r="T36">
        <f>TRACKER!$X38</f>
        <v/>
      </c>
    </row>
    <row r="37">
      <c r="G37">
        <f>IF(OR(SETUP!$B$90="",$A$13="",$B$13&lt;&gt;"System"),"","System")</f>
        <v/>
      </c>
      <c r="H37">
        <f>IF($G37="","",SETUP!$B$90)</f>
        <v/>
      </c>
      <c r="I37">
        <f>IF($G37="","",$A$13)</f>
        <v/>
      </c>
      <c r="J37">
        <f>IF($G37="","",IF(COUNTIFS(DOC_TYPE,$I37,DOC_SYS,$H37,DOC_SCOPE,"System",DOC_ACTIVE,1)+COUNTIFS(DOC_TYPE,$I37,DOC_SCOPE,"All",DOC_ACTIVE,1)&gt;0,"",IFERROR(IF($E$13&lt;&gt;"",$E$13-$C$13,SETUP!$E$90-$C$13),60000)+ROW()/1000000))</f>
        <v/>
      </c>
      <c r="L37">
        <f>IF(TRACKER!$A39="","","Document")</f>
        <v/>
      </c>
      <c r="M37">
        <f>IF($L37="","",TRACKER!$E39&amp;"  -  "&amp;TRACKER!$A39)</f>
        <v/>
      </c>
      <c r="N37">
        <f>IF($L37="","",IF(TRACKER!$B39="Equipment",TRACKER!$D39,IF(TRACKER!$B39="System",TRACKER!$C39,"Whole contract")))</f>
        <v/>
      </c>
      <c r="O37">
        <f>IF($L37="","",TRACKER!$F39)</f>
        <v/>
      </c>
      <c r="P37">
        <f>IF($L37="","",TRACKER!$K39)</f>
        <v/>
      </c>
      <c r="Q37">
        <f>IF($L37="","",TRACKER!$N39)</f>
        <v/>
      </c>
      <c r="R37">
        <f>TRACKER!$Y39</f>
        <v/>
      </c>
      <c r="S37">
        <f>TRACKER!$Z39</f>
        <v/>
      </c>
      <c r="T37">
        <f>TRACKER!$X39</f>
        <v/>
      </c>
    </row>
    <row r="38">
      <c r="G38">
        <f>IF(OR(SETUP!$B$91="",$A$2="",$B$2&lt;&gt;"System"),"","System")</f>
        <v/>
      </c>
      <c r="H38">
        <f>IF($G38="","",SETUP!$B$91)</f>
        <v/>
      </c>
      <c r="I38">
        <f>IF($G38="","",$A$2)</f>
        <v/>
      </c>
      <c r="J38">
        <f>IF($G38="","",IF(COUNTIFS(DOC_TYPE,$I38,DOC_SYS,$H38,DOC_SCOPE,"System",DOC_ACTIVE,1)+COUNTIFS(DOC_TYPE,$I38,DOC_SCOPE,"All",DOC_ACTIVE,1)&gt;0,"",IFERROR(IF($E$2&lt;&gt;"",$E$2-$C$2,SETUP!$E$91-$C$2),60000)+ROW()/1000000))</f>
        <v/>
      </c>
      <c r="L38">
        <f>IF(TRACKER!$A40="","","Document")</f>
        <v/>
      </c>
      <c r="M38">
        <f>IF($L38="","",TRACKER!$E40&amp;"  -  "&amp;TRACKER!$A40)</f>
        <v/>
      </c>
      <c r="N38">
        <f>IF($L38="","",IF(TRACKER!$B40="Equipment",TRACKER!$D40,IF(TRACKER!$B40="System",TRACKER!$C40,"Whole contract")))</f>
        <v/>
      </c>
      <c r="O38">
        <f>IF($L38="","",TRACKER!$F40)</f>
        <v/>
      </c>
      <c r="P38">
        <f>IF($L38="","",TRACKER!$K40)</f>
        <v/>
      </c>
      <c r="Q38">
        <f>IF($L38="","",TRACKER!$N40)</f>
        <v/>
      </c>
      <c r="R38">
        <f>TRACKER!$Y40</f>
        <v/>
      </c>
      <c r="S38">
        <f>TRACKER!$Z40</f>
        <v/>
      </c>
      <c r="T38">
        <f>TRACKER!$X40</f>
        <v/>
      </c>
    </row>
    <row r="39">
      <c r="G39">
        <f>IF(OR(SETUP!$B$91="",$A$3="",$B$3&lt;&gt;"System"),"","System")</f>
        <v/>
      </c>
      <c r="H39">
        <f>IF($G39="","",SETUP!$B$91)</f>
        <v/>
      </c>
      <c r="I39">
        <f>IF($G39="","",$A$3)</f>
        <v/>
      </c>
      <c r="J39">
        <f>IF($G39="","",IF(COUNTIFS(DOC_TYPE,$I39,DOC_SYS,$H39,DOC_SCOPE,"System",DOC_ACTIVE,1)+COUNTIFS(DOC_TYPE,$I39,DOC_SCOPE,"All",DOC_ACTIVE,1)&gt;0,"",IFERROR(IF($E$3&lt;&gt;"",$E$3-$C$3,SETUP!$E$91-$C$3),60000)+ROW()/1000000))</f>
        <v/>
      </c>
      <c r="L39">
        <f>IF(TRACKER!$A41="","","Document")</f>
        <v/>
      </c>
      <c r="M39">
        <f>IF($L39="","",TRACKER!$E41&amp;"  -  "&amp;TRACKER!$A41)</f>
        <v/>
      </c>
      <c r="N39">
        <f>IF($L39="","",IF(TRACKER!$B41="Equipment",TRACKER!$D41,IF(TRACKER!$B41="System",TRACKER!$C41,"Whole contract")))</f>
        <v/>
      </c>
      <c r="O39">
        <f>IF($L39="","",TRACKER!$F41)</f>
        <v/>
      </c>
      <c r="P39">
        <f>IF($L39="","",TRACKER!$K41)</f>
        <v/>
      </c>
      <c r="Q39">
        <f>IF($L39="","",TRACKER!$N41)</f>
        <v/>
      </c>
      <c r="R39">
        <f>TRACKER!$Y41</f>
        <v/>
      </c>
      <c r="S39">
        <f>TRACKER!$Z41</f>
        <v/>
      </c>
      <c r="T39">
        <f>TRACKER!$X41</f>
        <v/>
      </c>
    </row>
    <row r="40">
      <c r="G40">
        <f>IF(OR(SETUP!$B$91="",$A$4="",$B$4&lt;&gt;"System"),"","System")</f>
        <v/>
      </c>
      <c r="H40">
        <f>IF($G40="","",SETUP!$B$91)</f>
        <v/>
      </c>
      <c r="I40">
        <f>IF($G40="","",$A$4)</f>
        <v/>
      </c>
      <c r="J40">
        <f>IF($G40="","",IF(COUNTIFS(DOC_TYPE,$I40,DOC_SYS,$H40,DOC_SCOPE,"System",DOC_ACTIVE,1)+COUNTIFS(DOC_TYPE,$I40,DOC_SCOPE,"All",DOC_ACTIVE,1)&gt;0,"",IFERROR(IF($E$4&lt;&gt;"",$E$4-$C$4,SETUP!$E$91-$C$4),60000)+ROW()/1000000))</f>
        <v/>
      </c>
      <c r="L40">
        <f>IF(TRACKER!$A42="","","Document")</f>
        <v/>
      </c>
      <c r="M40">
        <f>IF($L40="","",TRACKER!$E42&amp;"  -  "&amp;TRACKER!$A42)</f>
        <v/>
      </c>
      <c r="N40">
        <f>IF($L40="","",IF(TRACKER!$B42="Equipment",TRACKER!$D42,IF(TRACKER!$B42="System",TRACKER!$C42,"Whole contract")))</f>
        <v/>
      </c>
      <c r="O40">
        <f>IF($L40="","",TRACKER!$F42)</f>
        <v/>
      </c>
      <c r="P40">
        <f>IF($L40="","",TRACKER!$K42)</f>
        <v/>
      </c>
      <c r="Q40">
        <f>IF($L40="","",TRACKER!$N42)</f>
        <v/>
      </c>
      <c r="R40">
        <f>TRACKER!$Y42</f>
        <v/>
      </c>
      <c r="S40">
        <f>TRACKER!$Z42</f>
        <v/>
      </c>
      <c r="T40">
        <f>TRACKER!$X42</f>
        <v/>
      </c>
    </row>
    <row r="41">
      <c r="G41">
        <f>IF(OR(SETUP!$B$91="",$A$5="",$B$5&lt;&gt;"System"),"","System")</f>
        <v/>
      </c>
      <c r="H41">
        <f>IF($G41="","",SETUP!$B$91)</f>
        <v/>
      </c>
      <c r="I41">
        <f>IF($G41="","",$A$5)</f>
        <v/>
      </c>
      <c r="J41">
        <f>IF($G41="","",IF(COUNTIFS(DOC_TYPE,$I41,DOC_SYS,$H41,DOC_SCOPE,"System",DOC_ACTIVE,1)+COUNTIFS(DOC_TYPE,$I41,DOC_SCOPE,"All",DOC_ACTIVE,1)&gt;0,"",IFERROR(IF($E$5&lt;&gt;"",$E$5-$C$5,SETUP!$E$91-$C$5),60000)+ROW()/1000000))</f>
        <v/>
      </c>
      <c r="L41">
        <f>IF(TRACKER!$A43="","","Document")</f>
        <v/>
      </c>
      <c r="M41">
        <f>IF($L41="","",TRACKER!$E43&amp;"  -  "&amp;TRACKER!$A43)</f>
        <v/>
      </c>
      <c r="N41">
        <f>IF($L41="","",IF(TRACKER!$B43="Equipment",TRACKER!$D43,IF(TRACKER!$B43="System",TRACKER!$C43,"Whole contract")))</f>
        <v/>
      </c>
      <c r="O41">
        <f>IF($L41="","",TRACKER!$F43)</f>
        <v/>
      </c>
      <c r="P41">
        <f>IF($L41="","",TRACKER!$K43)</f>
        <v/>
      </c>
      <c r="Q41">
        <f>IF($L41="","",TRACKER!$N43)</f>
        <v/>
      </c>
      <c r="R41">
        <f>TRACKER!$Y43</f>
        <v/>
      </c>
      <c r="S41">
        <f>TRACKER!$Z43</f>
        <v/>
      </c>
      <c r="T41">
        <f>TRACKER!$X43</f>
        <v/>
      </c>
    </row>
    <row r="42">
      <c r="G42">
        <f>IF(OR(SETUP!$B$91="",$A$6="",$B$6&lt;&gt;"System"),"","System")</f>
        <v/>
      </c>
      <c r="H42">
        <f>IF($G42="","",SETUP!$B$91)</f>
        <v/>
      </c>
      <c r="I42">
        <f>IF($G42="","",$A$6)</f>
        <v/>
      </c>
      <c r="J42">
        <f>IF($G42="","",IF(COUNTIFS(DOC_TYPE,$I42,DOC_SYS,$H42,DOC_SCOPE,"System",DOC_ACTIVE,1)+COUNTIFS(DOC_TYPE,$I42,DOC_SCOPE,"All",DOC_ACTIVE,1)&gt;0,"",IFERROR(IF($E$6&lt;&gt;"",$E$6-$C$6,SETUP!$E$91-$C$6),60000)+ROW()/1000000))</f>
        <v/>
      </c>
      <c r="L42">
        <f>IF(TRACKER!$A44="","","Document")</f>
        <v/>
      </c>
      <c r="M42">
        <f>IF($L42="","",TRACKER!$E44&amp;"  -  "&amp;TRACKER!$A44)</f>
        <v/>
      </c>
      <c r="N42">
        <f>IF($L42="","",IF(TRACKER!$B44="Equipment",TRACKER!$D44,IF(TRACKER!$B44="System",TRACKER!$C44,"Whole contract")))</f>
        <v/>
      </c>
      <c r="O42">
        <f>IF($L42="","",TRACKER!$F44)</f>
        <v/>
      </c>
      <c r="P42">
        <f>IF($L42="","",TRACKER!$K44)</f>
        <v/>
      </c>
      <c r="Q42">
        <f>IF($L42="","",TRACKER!$N44)</f>
        <v/>
      </c>
      <c r="R42">
        <f>TRACKER!$Y44</f>
        <v/>
      </c>
      <c r="S42">
        <f>TRACKER!$Z44</f>
        <v/>
      </c>
      <c r="T42">
        <f>TRACKER!$X44</f>
        <v/>
      </c>
    </row>
    <row r="43">
      <c r="G43">
        <f>IF(OR(SETUP!$B$91="",$A$7="",$B$7&lt;&gt;"System"),"","System")</f>
        <v/>
      </c>
      <c r="H43">
        <f>IF($G43="","",SETUP!$B$91)</f>
        <v/>
      </c>
      <c r="I43">
        <f>IF($G43="","",$A$7)</f>
        <v/>
      </c>
      <c r="J43">
        <f>IF($G43="","",IF(COUNTIFS(DOC_TYPE,$I43,DOC_SYS,$H43,DOC_SCOPE,"System",DOC_ACTIVE,1)+COUNTIFS(DOC_TYPE,$I43,DOC_SCOPE,"All",DOC_ACTIVE,1)&gt;0,"",IFERROR(IF($E$7&lt;&gt;"",$E$7-$C$7,SETUP!$E$91-$C$7),60000)+ROW()/1000000))</f>
        <v/>
      </c>
      <c r="L43">
        <f>IF(TRACKER!$A45="","","Document")</f>
        <v/>
      </c>
      <c r="M43">
        <f>IF($L43="","",TRACKER!$E45&amp;"  -  "&amp;TRACKER!$A45)</f>
        <v/>
      </c>
      <c r="N43">
        <f>IF($L43="","",IF(TRACKER!$B45="Equipment",TRACKER!$D45,IF(TRACKER!$B45="System",TRACKER!$C45,"Whole contract")))</f>
        <v/>
      </c>
      <c r="O43">
        <f>IF($L43="","",TRACKER!$F45)</f>
        <v/>
      </c>
      <c r="P43">
        <f>IF($L43="","",TRACKER!$K45)</f>
        <v/>
      </c>
      <c r="Q43">
        <f>IF($L43="","",TRACKER!$N45)</f>
        <v/>
      </c>
      <c r="R43">
        <f>TRACKER!$Y45</f>
        <v/>
      </c>
      <c r="S43">
        <f>TRACKER!$Z45</f>
        <v/>
      </c>
      <c r="T43">
        <f>TRACKER!$X45</f>
        <v/>
      </c>
    </row>
    <row r="44">
      <c r="G44">
        <f>IF(OR(SETUP!$B$91="",$A$8="",$B$8&lt;&gt;"System"),"","System")</f>
        <v/>
      </c>
      <c r="H44">
        <f>IF($G44="","",SETUP!$B$91)</f>
        <v/>
      </c>
      <c r="I44">
        <f>IF($G44="","",$A$8)</f>
        <v/>
      </c>
      <c r="J44">
        <f>IF($G44="","",IF(COUNTIFS(DOC_TYPE,$I44,DOC_SYS,$H44,DOC_SCOPE,"System",DOC_ACTIVE,1)+COUNTIFS(DOC_TYPE,$I44,DOC_SCOPE,"All",DOC_ACTIVE,1)&gt;0,"",IFERROR(IF($E$8&lt;&gt;"",$E$8-$C$8,SETUP!$E$91-$C$8),60000)+ROW()/1000000))</f>
        <v/>
      </c>
      <c r="L44">
        <f>IF(TRACKER!$A46="","","Document")</f>
        <v/>
      </c>
      <c r="M44">
        <f>IF($L44="","",TRACKER!$E46&amp;"  -  "&amp;TRACKER!$A46)</f>
        <v/>
      </c>
      <c r="N44">
        <f>IF($L44="","",IF(TRACKER!$B46="Equipment",TRACKER!$D46,IF(TRACKER!$B46="System",TRACKER!$C46,"Whole contract")))</f>
        <v/>
      </c>
      <c r="O44">
        <f>IF($L44="","",TRACKER!$F46)</f>
        <v/>
      </c>
      <c r="P44">
        <f>IF($L44="","",TRACKER!$K46)</f>
        <v/>
      </c>
      <c r="Q44">
        <f>IF($L44="","",TRACKER!$N46)</f>
        <v/>
      </c>
      <c r="R44">
        <f>TRACKER!$Y46</f>
        <v/>
      </c>
      <c r="S44">
        <f>TRACKER!$Z46</f>
        <v/>
      </c>
      <c r="T44">
        <f>TRACKER!$X46</f>
        <v/>
      </c>
    </row>
    <row r="45">
      <c r="G45">
        <f>IF(OR(SETUP!$B$91="",$A$9="",$B$9&lt;&gt;"System"),"","System")</f>
        <v/>
      </c>
      <c r="H45">
        <f>IF($G45="","",SETUP!$B$91)</f>
        <v/>
      </c>
      <c r="I45">
        <f>IF($G45="","",$A$9)</f>
        <v/>
      </c>
      <c r="J45">
        <f>IF($G45="","",IF(COUNTIFS(DOC_TYPE,$I45,DOC_SYS,$H45,DOC_SCOPE,"System",DOC_ACTIVE,1)+COUNTIFS(DOC_TYPE,$I45,DOC_SCOPE,"All",DOC_ACTIVE,1)&gt;0,"",IFERROR(IF($E$9&lt;&gt;"",$E$9-$C$9,SETUP!$E$91-$C$9),60000)+ROW()/1000000))</f>
        <v/>
      </c>
      <c r="L45">
        <f>IF(TRACKER!$A47="","","Document")</f>
        <v/>
      </c>
      <c r="M45">
        <f>IF($L45="","",TRACKER!$E47&amp;"  -  "&amp;TRACKER!$A47)</f>
        <v/>
      </c>
      <c r="N45">
        <f>IF($L45="","",IF(TRACKER!$B47="Equipment",TRACKER!$D47,IF(TRACKER!$B47="System",TRACKER!$C47,"Whole contract")))</f>
        <v/>
      </c>
      <c r="O45">
        <f>IF($L45="","",TRACKER!$F47)</f>
        <v/>
      </c>
      <c r="P45">
        <f>IF($L45="","",TRACKER!$K47)</f>
        <v/>
      </c>
      <c r="Q45">
        <f>IF($L45="","",TRACKER!$N47)</f>
        <v/>
      </c>
      <c r="R45">
        <f>TRACKER!$Y47</f>
        <v/>
      </c>
      <c r="S45">
        <f>TRACKER!$Z47</f>
        <v/>
      </c>
      <c r="T45">
        <f>TRACKER!$X47</f>
        <v/>
      </c>
    </row>
    <row r="46">
      <c r="G46">
        <f>IF(OR(SETUP!$B$91="",$A$10="",$B$10&lt;&gt;"System"),"","System")</f>
        <v/>
      </c>
      <c r="H46">
        <f>IF($G46="","",SETUP!$B$91)</f>
        <v/>
      </c>
      <c r="I46">
        <f>IF($G46="","",$A$10)</f>
        <v/>
      </c>
      <c r="J46">
        <f>IF($G46="","",IF(COUNTIFS(DOC_TYPE,$I46,DOC_SYS,$H46,DOC_SCOPE,"System",DOC_ACTIVE,1)+COUNTIFS(DOC_TYPE,$I46,DOC_SCOPE,"All",DOC_ACTIVE,1)&gt;0,"",IFERROR(IF($E$10&lt;&gt;"",$E$10-$C$10,SETUP!$E$91-$C$10),60000)+ROW()/1000000))</f>
        <v/>
      </c>
      <c r="L46">
        <f>IF(TRACKER!$A48="","","Document")</f>
        <v/>
      </c>
      <c r="M46">
        <f>IF($L46="","",TRACKER!$E48&amp;"  -  "&amp;TRACKER!$A48)</f>
        <v/>
      </c>
      <c r="N46">
        <f>IF($L46="","",IF(TRACKER!$B48="Equipment",TRACKER!$D48,IF(TRACKER!$B48="System",TRACKER!$C48,"Whole contract")))</f>
        <v/>
      </c>
      <c r="O46">
        <f>IF($L46="","",TRACKER!$F48)</f>
        <v/>
      </c>
      <c r="P46">
        <f>IF($L46="","",TRACKER!$K48)</f>
        <v/>
      </c>
      <c r="Q46">
        <f>IF($L46="","",TRACKER!$N48)</f>
        <v/>
      </c>
      <c r="R46">
        <f>TRACKER!$Y48</f>
        <v/>
      </c>
      <c r="S46">
        <f>TRACKER!$Z48</f>
        <v/>
      </c>
      <c r="T46">
        <f>TRACKER!$X48</f>
        <v/>
      </c>
    </row>
    <row r="47">
      <c r="G47">
        <f>IF(OR(SETUP!$B$91="",$A$11="",$B$11&lt;&gt;"System"),"","System")</f>
        <v/>
      </c>
      <c r="H47">
        <f>IF($G47="","",SETUP!$B$91)</f>
        <v/>
      </c>
      <c r="I47">
        <f>IF($G47="","",$A$11)</f>
        <v/>
      </c>
      <c r="J47">
        <f>IF($G47="","",IF(COUNTIFS(DOC_TYPE,$I47,DOC_SYS,$H47,DOC_SCOPE,"System",DOC_ACTIVE,1)+COUNTIFS(DOC_TYPE,$I47,DOC_SCOPE,"All",DOC_ACTIVE,1)&gt;0,"",IFERROR(IF($E$11&lt;&gt;"",$E$11-$C$11,SETUP!$E$91-$C$11),60000)+ROW()/1000000))</f>
        <v/>
      </c>
      <c r="L47">
        <f>IF(TRACKER!$A49="","","Document")</f>
        <v/>
      </c>
      <c r="M47">
        <f>IF($L47="","",TRACKER!$E49&amp;"  -  "&amp;TRACKER!$A49)</f>
        <v/>
      </c>
      <c r="N47">
        <f>IF($L47="","",IF(TRACKER!$B49="Equipment",TRACKER!$D49,IF(TRACKER!$B49="System",TRACKER!$C49,"Whole contract")))</f>
        <v/>
      </c>
      <c r="O47">
        <f>IF($L47="","",TRACKER!$F49)</f>
        <v/>
      </c>
      <c r="P47">
        <f>IF($L47="","",TRACKER!$K49)</f>
        <v/>
      </c>
      <c r="Q47">
        <f>IF($L47="","",TRACKER!$N49)</f>
        <v/>
      </c>
      <c r="R47">
        <f>TRACKER!$Y49</f>
        <v/>
      </c>
      <c r="S47">
        <f>TRACKER!$Z49</f>
        <v/>
      </c>
      <c r="T47">
        <f>TRACKER!$X49</f>
        <v/>
      </c>
    </row>
    <row r="48">
      <c r="G48">
        <f>IF(OR(SETUP!$B$91="",$A$12="",$B$12&lt;&gt;"System"),"","System")</f>
        <v/>
      </c>
      <c r="H48">
        <f>IF($G48="","",SETUP!$B$91)</f>
        <v/>
      </c>
      <c r="I48">
        <f>IF($G48="","",$A$12)</f>
        <v/>
      </c>
      <c r="J48">
        <f>IF($G48="","",IF(COUNTIFS(DOC_TYPE,$I48,DOC_SYS,$H48,DOC_SCOPE,"System",DOC_ACTIVE,1)+COUNTIFS(DOC_TYPE,$I48,DOC_SCOPE,"All",DOC_ACTIVE,1)&gt;0,"",IFERROR(IF($E$12&lt;&gt;"",$E$12-$C$12,SETUP!$E$91-$C$12),60000)+ROW()/1000000))</f>
        <v/>
      </c>
      <c r="L48">
        <f>IF(TRACKER!$A50="","","Document")</f>
        <v/>
      </c>
      <c r="M48">
        <f>IF($L48="","",TRACKER!$E50&amp;"  -  "&amp;TRACKER!$A50)</f>
        <v/>
      </c>
      <c r="N48">
        <f>IF($L48="","",IF(TRACKER!$B50="Equipment",TRACKER!$D50,IF(TRACKER!$B50="System",TRACKER!$C50,"Whole contract")))</f>
        <v/>
      </c>
      <c r="O48">
        <f>IF($L48="","",TRACKER!$F50)</f>
        <v/>
      </c>
      <c r="P48">
        <f>IF($L48="","",TRACKER!$K50)</f>
        <v/>
      </c>
      <c r="Q48">
        <f>IF($L48="","",TRACKER!$N50)</f>
        <v/>
      </c>
      <c r="R48">
        <f>TRACKER!$Y50</f>
        <v/>
      </c>
      <c r="S48">
        <f>TRACKER!$Z50</f>
        <v/>
      </c>
      <c r="T48">
        <f>TRACKER!$X50</f>
        <v/>
      </c>
    </row>
    <row r="49">
      <c r="G49">
        <f>IF(OR(SETUP!$B$91="",$A$13="",$B$13&lt;&gt;"System"),"","System")</f>
        <v/>
      </c>
      <c r="H49">
        <f>IF($G49="","",SETUP!$B$91)</f>
        <v/>
      </c>
      <c r="I49">
        <f>IF($G49="","",$A$13)</f>
        <v/>
      </c>
      <c r="J49">
        <f>IF($G49="","",IF(COUNTIFS(DOC_TYPE,$I49,DOC_SYS,$H49,DOC_SCOPE,"System",DOC_ACTIVE,1)+COUNTIFS(DOC_TYPE,$I49,DOC_SCOPE,"All",DOC_ACTIVE,1)&gt;0,"",IFERROR(IF($E$13&lt;&gt;"",$E$13-$C$13,SETUP!$E$91-$C$13),60000)+ROW()/1000000))</f>
        <v/>
      </c>
      <c r="L49">
        <f>IF(TRACKER!$A51="","","Document")</f>
        <v/>
      </c>
      <c r="M49">
        <f>IF($L49="","",TRACKER!$E51&amp;"  -  "&amp;TRACKER!$A51)</f>
        <v/>
      </c>
      <c r="N49">
        <f>IF($L49="","",IF(TRACKER!$B51="Equipment",TRACKER!$D51,IF(TRACKER!$B51="System",TRACKER!$C51,"Whole contract")))</f>
        <v/>
      </c>
      <c r="O49">
        <f>IF($L49="","",TRACKER!$F51)</f>
        <v/>
      </c>
      <c r="P49">
        <f>IF($L49="","",TRACKER!$K51)</f>
        <v/>
      </c>
      <c r="Q49">
        <f>IF($L49="","",TRACKER!$N51)</f>
        <v/>
      </c>
      <c r="R49">
        <f>TRACKER!$Y51</f>
        <v/>
      </c>
      <c r="S49">
        <f>TRACKER!$Z51</f>
        <v/>
      </c>
      <c r="T49">
        <f>TRACKER!$X51</f>
        <v/>
      </c>
    </row>
    <row r="50">
      <c r="G50">
        <f>IF(OR(SETUP!$B$92="",$A$2="",$B$2&lt;&gt;"System"),"","System")</f>
        <v/>
      </c>
      <c r="H50">
        <f>IF($G50="","",SETUP!$B$92)</f>
        <v/>
      </c>
      <c r="I50">
        <f>IF($G50="","",$A$2)</f>
        <v/>
      </c>
      <c r="J50">
        <f>IF($G50="","",IF(COUNTIFS(DOC_TYPE,$I50,DOC_SYS,$H50,DOC_SCOPE,"System",DOC_ACTIVE,1)+COUNTIFS(DOC_TYPE,$I50,DOC_SCOPE,"All",DOC_ACTIVE,1)&gt;0,"",IFERROR(IF($E$2&lt;&gt;"",$E$2-$C$2,SETUP!$E$92-$C$2),60000)+ROW()/1000000))</f>
        <v/>
      </c>
      <c r="L50">
        <f>IF(TRACKER!$A52="","","Document")</f>
        <v/>
      </c>
      <c r="M50">
        <f>IF($L50="","",TRACKER!$E52&amp;"  -  "&amp;TRACKER!$A52)</f>
        <v/>
      </c>
      <c r="N50">
        <f>IF($L50="","",IF(TRACKER!$B52="Equipment",TRACKER!$D52,IF(TRACKER!$B52="System",TRACKER!$C52,"Whole contract")))</f>
        <v/>
      </c>
      <c r="O50">
        <f>IF($L50="","",TRACKER!$F52)</f>
        <v/>
      </c>
      <c r="P50">
        <f>IF($L50="","",TRACKER!$K52)</f>
        <v/>
      </c>
      <c r="Q50">
        <f>IF($L50="","",TRACKER!$N52)</f>
        <v/>
      </c>
      <c r="R50">
        <f>TRACKER!$Y52</f>
        <v/>
      </c>
      <c r="S50">
        <f>TRACKER!$Z52</f>
        <v/>
      </c>
      <c r="T50">
        <f>TRACKER!$X52</f>
        <v/>
      </c>
    </row>
    <row r="51">
      <c r="G51">
        <f>IF(OR(SETUP!$B$92="",$A$3="",$B$3&lt;&gt;"System"),"","System")</f>
        <v/>
      </c>
      <c r="H51">
        <f>IF($G51="","",SETUP!$B$92)</f>
        <v/>
      </c>
      <c r="I51">
        <f>IF($G51="","",$A$3)</f>
        <v/>
      </c>
      <c r="J51">
        <f>IF($G51="","",IF(COUNTIFS(DOC_TYPE,$I51,DOC_SYS,$H51,DOC_SCOPE,"System",DOC_ACTIVE,1)+COUNTIFS(DOC_TYPE,$I51,DOC_SCOPE,"All",DOC_ACTIVE,1)&gt;0,"",IFERROR(IF($E$3&lt;&gt;"",$E$3-$C$3,SETUP!$E$92-$C$3),60000)+ROW()/1000000))</f>
        <v/>
      </c>
      <c r="L51">
        <f>IF(TRACKER!$A53="","","Document")</f>
        <v/>
      </c>
      <c r="M51">
        <f>IF($L51="","",TRACKER!$E53&amp;"  -  "&amp;TRACKER!$A53)</f>
        <v/>
      </c>
      <c r="N51">
        <f>IF($L51="","",IF(TRACKER!$B53="Equipment",TRACKER!$D53,IF(TRACKER!$B53="System",TRACKER!$C53,"Whole contract")))</f>
        <v/>
      </c>
      <c r="O51">
        <f>IF($L51="","",TRACKER!$F53)</f>
        <v/>
      </c>
      <c r="P51">
        <f>IF($L51="","",TRACKER!$K53)</f>
        <v/>
      </c>
      <c r="Q51">
        <f>IF($L51="","",TRACKER!$N53)</f>
        <v/>
      </c>
      <c r="R51">
        <f>TRACKER!$Y53</f>
        <v/>
      </c>
      <c r="S51">
        <f>TRACKER!$Z53</f>
        <v/>
      </c>
      <c r="T51">
        <f>TRACKER!$X53</f>
        <v/>
      </c>
    </row>
    <row r="52">
      <c r="G52">
        <f>IF(OR(SETUP!$B$92="",$A$4="",$B$4&lt;&gt;"System"),"","System")</f>
        <v/>
      </c>
      <c r="H52">
        <f>IF($G52="","",SETUP!$B$92)</f>
        <v/>
      </c>
      <c r="I52">
        <f>IF($G52="","",$A$4)</f>
        <v/>
      </c>
      <c r="J52">
        <f>IF($G52="","",IF(COUNTIFS(DOC_TYPE,$I52,DOC_SYS,$H52,DOC_SCOPE,"System",DOC_ACTIVE,1)+COUNTIFS(DOC_TYPE,$I52,DOC_SCOPE,"All",DOC_ACTIVE,1)&gt;0,"",IFERROR(IF($E$4&lt;&gt;"",$E$4-$C$4,SETUP!$E$92-$C$4),60000)+ROW()/1000000))</f>
        <v/>
      </c>
      <c r="L52">
        <f>IF(TRACKER!$A54="","","Document")</f>
        <v/>
      </c>
      <c r="M52">
        <f>IF($L52="","",TRACKER!$E54&amp;"  -  "&amp;TRACKER!$A54)</f>
        <v/>
      </c>
      <c r="N52">
        <f>IF($L52="","",IF(TRACKER!$B54="Equipment",TRACKER!$D54,IF(TRACKER!$B54="System",TRACKER!$C54,"Whole contract")))</f>
        <v/>
      </c>
      <c r="O52">
        <f>IF($L52="","",TRACKER!$F54)</f>
        <v/>
      </c>
      <c r="P52">
        <f>IF($L52="","",TRACKER!$K54)</f>
        <v/>
      </c>
      <c r="Q52">
        <f>IF($L52="","",TRACKER!$N54)</f>
        <v/>
      </c>
      <c r="R52">
        <f>TRACKER!$Y54</f>
        <v/>
      </c>
      <c r="S52">
        <f>TRACKER!$Z54</f>
        <v/>
      </c>
      <c r="T52">
        <f>TRACKER!$X54</f>
        <v/>
      </c>
    </row>
    <row r="53">
      <c r="G53">
        <f>IF(OR(SETUP!$B$92="",$A$5="",$B$5&lt;&gt;"System"),"","System")</f>
        <v/>
      </c>
      <c r="H53">
        <f>IF($G53="","",SETUP!$B$92)</f>
        <v/>
      </c>
      <c r="I53">
        <f>IF($G53="","",$A$5)</f>
        <v/>
      </c>
      <c r="J53">
        <f>IF($G53="","",IF(COUNTIFS(DOC_TYPE,$I53,DOC_SYS,$H53,DOC_SCOPE,"System",DOC_ACTIVE,1)+COUNTIFS(DOC_TYPE,$I53,DOC_SCOPE,"All",DOC_ACTIVE,1)&gt;0,"",IFERROR(IF($E$5&lt;&gt;"",$E$5-$C$5,SETUP!$E$92-$C$5),60000)+ROW()/1000000))</f>
        <v/>
      </c>
      <c r="L53">
        <f>IF(TRACKER!$A55="","","Document")</f>
        <v/>
      </c>
      <c r="M53">
        <f>IF($L53="","",TRACKER!$E55&amp;"  -  "&amp;TRACKER!$A55)</f>
        <v/>
      </c>
      <c r="N53">
        <f>IF($L53="","",IF(TRACKER!$B55="Equipment",TRACKER!$D55,IF(TRACKER!$B55="System",TRACKER!$C55,"Whole contract")))</f>
        <v/>
      </c>
      <c r="O53">
        <f>IF($L53="","",TRACKER!$F55)</f>
        <v/>
      </c>
      <c r="P53">
        <f>IF($L53="","",TRACKER!$K55)</f>
        <v/>
      </c>
      <c r="Q53">
        <f>IF($L53="","",TRACKER!$N55)</f>
        <v/>
      </c>
      <c r="R53">
        <f>TRACKER!$Y55</f>
        <v/>
      </c>
      <c r="S53">
        <f>TRACKER!$Z55</f>
        <v/>
      </c>
      <c r="T53">
        <f>TRACKER!$X55</f>
        <v/>
      </c>
    </row>
    <row r="54">
      <c r="G54">
        <f>IF(OR(SETUP!$B$92="",$A$6="",$B$6&lt;&gt;"System"),"","System")</f>
        <v/>
      </c>
      <c r="H54">
        <f>IF($G54="","",SETUP!$B$92)</f>
        <v/>
      </c>
      <c r="I54">
        <f>IF($G54="","",$A$6)</f>
        <v/>
      </c>
      <c r="J54">
        <f>IF($G54="","",IF(COUNTIFS(DOC_TYPE,$I54,DOC_SYS,$H54,DOC_SCOPE,"System",DOC_ACTIVE,1)+COUNTIFS(DOC_TYPE,$I54,DOC_SCOPE,"All",DOC_ACTIVE,1)&gt;0,"",IFERROR(IF($E$6&lt;&gt;"",$E$6-$C$6,SETUP!$E$92-$C$6),60000)+ROW()/1000000))</f>
        <v/>
      </c>
      <c r="L54">
        <f>IF(TRACKER!$A56="","","Document")</f>
        <v/>
      </c>
      <c r="M54">
        <f>IF($L54="","",TRACKER!$E56&amp;"  -  "&amp;TRACKER!$A56)</f>
        <v/>
      </c>
      <c r="N54">
        <f>IF($L54="","",IF(TRACKER!$B56="Equipment",TRACKER!$D56,IF(TRACKER!$B56="System",TRACKER!$C56,"Whole contract")))</f>
        <v/>
      </c>
      <c r="O54">
        <f>IF($L54="","",TRACKER!$F56)</f>
        <v/>
      </c>
      <c r="P54">
        <f>IF($L54="","",TRACKER!$K56)</f>
        <v/>
      </c>
      <c r="Q54">
        <f>IF($L54="","",TRACKER!$N56)</f>
        <v/>
      </c>
      <c r="R54">
        <f>TRACKER!$Y56</f>
        <v/>
      </c>
      <c r="S54">
        <f>TRACKER!$Z56</f>
        <v/>
      </c>
      <c r="T54">
        <f>TRACKER!$X56</f>
        <v/>
      </c>
    </row>
    <row r="55">
      <c r="G55">
        <f>IF(OR(SETUP!$B$92="",$A$7="",$B$7&lt;&gt;"System"),"","System")</f>
        <v/>
      </c>
      <c r="H55">
        <f>IF($G55="","",SETUP!$B$92)</f>
        <v/>
      </c>
      <c r="I55">
        <f>IF($G55="","",$A$7)</f>
        <v/>
      </c>
      <c r="J55">
        <f>IF($G55="","",IF(COUNTIFS(DOC_TYPE,$I55,DOC_SYS,$H55,DOC_SCOPE,"System",DOC_ACTIVE,1)+COUNTIFS(DOC_TYPE,$I55,DOC_SCOPE,"All",DOC_ACTIVE,1)&gt;0,"",IFERROR(IF($E$7&lt;&gt;"",$E$7-$C$7,SETUP!$E$92-$C$7),60000)+ROW()/1000000))</f>
        <v/>
      </c>
      <c r="L55">
        <f>IF(TRACKER!$A57="","","Document")</f>
        <v/>
      </c>
      <c r="M55">
        <f>IF($L55="","",TRACKER!$E57&amp;"  -  "&amp;TRACKER!$A57)</f>
        <v/>
      </c>
      <c r="N55">
        <f>IF($L55="","",IF(TRACKER!$B57="Equipment",TRACKER!$D57,IF(TRACKER!$B57="System",TRACKER!$C57,"Whole contract")))</f>
        <v/>
      </c>
      <c r="O55">
        <f>IF($L55="","",TRACKER!$F57)</f>
        <v/>
      </c>
      <c r="P55">
        <f>IF($L55="","",TRACKER!$K57)</f>
        <v/>
      </c>
      <c r="Q55">
        <f>IF($L55="","",TRACKER!$N57)</f>
        <v/>
      </c>
      <c r="R55">
        <f>TRACKER!$Y57</f>
        <v/>
      </c>
      <c r="S55">
        <f>TRACKER!$Z57</f>
        <v/>
      </c>
      <c r="T55">
        <f>TRACKER!$X57</f>
        <v/>
      </c>
    </row>
    <row r="56">
      <c r="G56">
        <f>IF(OR(SETUP!$B$92="",$A$8="",$B$8&lt;&gt;"System"),"","System")</f>
        <v/>
      </c>
      <c r="H56">
        <f>IF($G56="","",SETUP!$B$92)</f>
        <v/>
      </c>
      <c r="I56">
        <f>IF($G56="","",$A$8)</f>
        <v/>
      </c>
      <c r="J56">
        <f>IF($G56="","",IF(COUNTIFS(DOC_TYPE,$I56,DOC_SYS,$H56,DOC_SCOPE,"System",DOC_ACTIVE,1)+COUNTIFS(DOC_TYPE,$I56,DOC_SCOPE,"All",DOC_ACTIVE,1)&gt;0,"",IFERROR(IF($E$8&lt;&gt;"",$E$8-$C$8,SETUP!$E$92-$C$8),60000)+ROW()/1000000))</f>
        <v/>
      </c>
      <c r="L56">
        <f>IF(TRACKER!$A58="","","Document")</f>
        <v/>
      </c>
      <c r="M56">
        <f>IF($L56="","",TRACKER!$E58&amp;"  -  "&amp;TRACKER!$A58)</f>
        <v/>
      </c>
      <c r="N56">
        <f>IF($L56="","",IF(TRACKER!$B58="Equipment",TRACKER!$D58,IF(TRACKER!$B58="System",TRACKER!$C58,"Whole contract")))</f>
        <v/>
      </c>
      <c r="O56">
        <f>IF($L56="","",TRACKER!$F58)</f>
        <v/>
      </c>
      <c r="P56">
        <f>IF($L56="","",TRACKER!$K58)</f>
        <v/>
      </c>
      <c r="Q56">
        <f>IF($L56="","",TRACKER!$N58)</f>
        <v/>
      </c>
      <c r="R56">
        <f>TRACKER!$Y58</f>
        <v/>
      </c>
      <c r="S56">
        <f>TRACKER!$Z58</f>
        <v/>
      </c>
      <c r="T56">
        <f>TRACKER!$X58</f>
        <v/>
      </c>
    </row>
    <row r="57">
      <c r="G57">
        <f>IF(OR(SETUP!$B$92="",$A$9="",$B$9&lt;&gt;"System"),"","System")</f>
        <v/>
      </c>
      <c r="H57">
        <f>IF($G57="","",SETUP!$B$92)</f>
        <v/>
      </c>
      <c r="I57">
        <f>IF($G57="","",$A$9)</f>
        <v/>
      </c>
      <c r="J57">
        <f>IF($G57="","",IF(COUNTIFS(DOC_TYPE,$I57,DOC_SYS,$H57,DOC_SCOPE,"System",DOC_ACTIVE,1)+COUNTIFS(DOC_TYPE,$I57,DOC_SCOPE,"All",DOC_ACTIVE,1)&gt;0,"",IFERROR(IF($E$9&lt;&gt;"",$E$9-$C$9,SETUP!$E$92-$C$9),60000)+ROW()/1000000))</f>
        <v/>
      </c>
      <c r="L57">
        <f>IF(TRACKER!$A59="","","Document")</f>
        <v/>
      </c>
      <c r="M57">
        <f>IF($L57="","",TRACKER!$E59&amp;"  -  "&amp;TRACKER!$A59)</f>
        <v/>
      </c>
      <c r="N57">
        <f>IF($L57="","",IF(TRACKER!$B59="Equipment",TRACKER!$D59,IF(TRACKER!$B59="System",TRACKER!$C59,"Whole contract")))</f>
        <v/>
      </c>
      <c r="O57">
        <f>IF($L57="","",TRACKER!$F59)</f>
        <v/>
      </c>
      <c r="P57">
        <f>IF($L57="","",TRACKER!$K59)</f>
        <v/>
      </c>
      <c r="Q57">
        <f>IF($L57="","",TRACKER!$N59)</f>
        <v/>
      </c>
      <c r="R57">
        <f>TRACKER!$Y59</f>
        <v/>
      </c>
      <c r="S57">
        <f>TRACKER!$Z59</f>
        <v/>
      </c>
      <c r="T57">
        <f>TRACKER!$X59</f>
        <v/>
      </c>
    </row>
    <row r="58">
      <c r="G58">
        <f>IF(OR(SETUP!$B$92="",$A$10="",$B$10&lt;&gt;"System"),"","System")</f>
        <v/>
      </c>
      <c r="H58">
        <f>IF($G58="","",SETUP!$B$92)</f>
        <v/>
      </c>
      <c r="I58">
        <f>IF($G58="","",$A$10)</f>
        <v/>
      </c>
      <c r="J58">
        <f>IF($G58="","",IF(COUNTIFS(DOC_TYPE,$I58,DOC_SYS,$H58,DOC_SCOPE,"System",DOC_ACTIVE,1)+COUNTIFS(DOC_TYPE,$I58,DOC_SCOPE,"All",DOC_ACTIVE,1)&gt;0,"",IFERROR(IF($E$10&lt;&gt;"",$E$10-$C$10,SETUP!$E$92-$C$10),60000)+ROW()/1000000))</f>
        <v/>
      </c>
      <c r="L58">
        <f>IF(TRACKER!$A60="","","Document")</f>
        <v/>
      </c>
      <c r="M58">
        <f>IF($L58="","",TRACKER!$E60&amp;"  -  "&amp;TRACKER!$A60)</f>
        <v/>
      </c>
      <c r="N58">
        <f>IF($L58="","",IF(TRACKER!$B60="Equipment",TRACKER!$D60,IF(TRACKER!$B60="System",TRACKER!$C60,"Whole contract")))</f>
        <v/>
      </c>
      <c r="O58">
        <f>IF($L58="","",TRACKER!$F60)</f>
        <v/>
      </c>
      <c r="P58">
        <f>IF($L58="","",TRACKER!$K60)</f>
        <v/>
      </c>
      <c r="Q58">
        <f>IF($L58="","",TRACKER!$N60)</f>
        <v/>
      </c>
      <c r="R58">
        <f>TRACKER!$Y60</f>
        <v/>
      </c>
      <c r="S58">
        <f>TRACKER!$Z60</f>
        <v/>
      </c>
      <c r="T58">
        <f>TRACKER!$X60</f>
        <v/>
      </c>
    </row>
    <row r="59">
      <c r="G59">
        <f>IF(OR(SETUP!$B$92="",$A$11="",$B$11&lt;&gt;"System"),"","System")</f>
        <v/>
      </c>
      <c r="H59">
        <f>IF($G59="","",SETUP!$B$92)</f>
        <v/>
      </c>
      <c r="I59">
        <f>IF($G59="","",$A$11)</f>
        <v/>
      </c>
      <c r="J59">
        <f>IF($G59="","",IF(COUNTIFS(DOC_TYPE,$I59,DOC_SYS,$H59,DOC_SCOPE,"System",DOC_ACTIVE,1)+COUNTIFS(DOC_TYPE,$I59,DOC_SCOPE,"All",DOC_ACTIVE,1)&gt;0,"",IFERROR(IF($E$11&lt;&gt;"",$E$11-$C$11,SETUP!$E$92-$C$11),60000)+ROW()/1000000))</f>
        <v/>
      </c>
      <c r="L59">
        <f>IF(TRACKER!$A61="","","Document")</f>
        <v/>
      </c>
      <c r="M59">
        <f>IF($L59="","",TRACKER!$E61&amp;"  -  "&amp;TRACKER!$A61)</f>
        <v/>
      </c>
      <c r="N59">
        <f>IF($L59="","",IF(TRACKER!$B61="Equipment",TRACKER!$D61,IF(TRACKER!$B61="System",TRACKER!$C61,"Whole contract")))</f>
        <v/>
      </c>
      <c r="O59">
        <f>IF($L59="","",TRACKER!$F61)</f>
        <v/>
      </c>
      <c r="P59">
        <f>IF($L59="","",TRACKER!$K61)</f>
        <v/>
      </c>
      <c r="Q59">
        <f>IF($L59="","",TRACKER!$N61)</f>
        <v/>
      </c>
      <c r="R59">
        <f>TRACKER!$Y61</f>
        <v/>
      </c>
      <c r="S59">
        <f>TRACKER!$Z61</f>
        <v/>
      </c>
      <c r="T59">
        <f>TRACKER!$X61</f>
        <v/>
      </c>
    </row>
    <row r="60">
      <c r="G60">
        <f>IF(OR(SETUP!$B$92="",$A$12="",$B$12&lt;&gt;"System"),"","System")</f>
        <v/>
      </c>
      <c r="H60">
        <f>IF($G60="","",SETUP!$B$92)</f>
        <v/>
      </c>
      <c r="I60">
        <f>IF($G60="","",$A$12)</f>
        <v/>
      </c>
      <c r="J60">
        <f>IF($G60="","",IF(COUNTIFS(DOC_TYPE,$I60,DOC_SYS,$H60,DOC_SCOPE,"System",DOC_ACTIVE,1)+COUNTIFS(DOC_TYPE,$I60,DOC_SCOPE,"All",DOC_ACTIVE,1)&gt;0,"",IFERROR(IF($E$12&lt;&gt;"",$E$12-$C$12,SETUP!$E$92-$C$12),60000)+ROW()/1000000))</f>
        <v/>
      </c>
      <c r="L60">
        <f>IF(TRACKER!$A62="","","Document")</f>
        <v/>
      </c>
      <c r="M60">
        <f>IF($L60="","",TRACKER!$E62&amp;"  -  "&amp;TRACKER!$A62)</f>
        <v/>
      </c>
      <c r="N60">
        <f>IF($L60="","",IF(TRACKER!$B62="Equipment",TRACKER!$D62,IF(TRACKER!$B62="System",TRACKER!$C62,"Whole contract")))</f>
        <v/>
      </c>
      <c r="O60">
        <f>IF($L60="","",TRACKER!$F62)</f>
        <v/>
      </c>
      <c r="P60">
        <f>IF($L60="","",TRACKER!$K62)</f>
        <v/>
      </c>
      <c r="Q60">
        <f>IF($L60="","",TRACKER!$N62)</f>
        <v/>
      </c>
      <c r="R60">
        <f>TRACKER!$Y62</f>
        <v/>
      </c>
      <c r="S60">
        <f>TRACKER!$Z62</f>
        <v/>
      </c>
      <c r="T60">
        <f>TRACKER!$X62</f>
        <v/>
      </c>
    </row>
    <row r="61">
      <c r="G61">
        <f>IF(OR(SETUP!$B$92="",$A$13="",$B$13&lt;&gt;"System"),"","System")</f>
        <v/>
      </c>
      <c r="H61">
        <f>IF($G61="","",SETUP!$B$92)</f>
        <v/>
      </c>
      <c r="I61">
        <f>IF($G61="","",$A$13)</f>
        <v/>
      </c>
      <c r="J61">
        <f>IF($G61="","",IF(COUNTIFS(DOC_TYPE,$I61,DOC_SYS,$H61,DOC_SCOPE,"System",DOC_ACTIVE,1)+COUNTIFS(DOC_TYPE,$I61,DOC_SCOPE,"All",DOC_ACTIVE,1)&gt;0,"",IFERROR(IF($E$13&lt;&gt;"",$E$13-$C$13,SETUP!$E$92-$C$13),60000)+ROW()/1000000))</f>
        <v/>
      </c>
      <c r="L61">
        <f>IF(TRACKER!$A63="","","Document")</f>
        <v/>
      </c>
      <c r="M61">
        <f>IF($L61="","",TRACKER!$E63&amp;"  -  "&amp;TRACKER!$A63)</f>
        <v/>
      </c>
      <c r="N61">
        <f>IF($L61="","",IF(TRACKER!$B63="Equipment",TRACKER!$D63,IF(TRACKER!$B63="System",TRACKER!$C63,"Whole contract")))</f>
        <v/>
      </c>
      <c r="O61">
        <f>IF($L61="","",TRACKER!$F63)</f>
        <v/>
      </c>
      <c r="P61">
        <f>IF($L61="","",TRACKER!$K63)</f>
        <v/>
      </c>
      <c r="Q61">
        <f>IF($L61="","",TRACKER!$N63)</f>
        <v/>
      </c>
      <c r="R61">
        <f>TRACKER!$Y63</f>
        <v/>
      </c>
      <c r="S61">
        <f>TRACKER!$Z63</f>
        <v/>
      </c>
      <c r="T61">
        <f>TRACKER!$X63</f>
        <v/>
      </c>
    </row>
    <row r="62">
      <c r="G62">
        <f>IF(OR(SETUP!$B$93="",$A$2="",$B$2&lt;&gt;"System"),"","System")</f>
        <v/>
      </c>
      <c r="H62">
        <f>IF($G62="","",SETUP!$B$93)</f>
        <v/>
      </c>
      <c r="I62">
        <f>IF($G62="","",$A$2)</f>
        <v/>
      </c>
      <c r="J62">
        <f>IF($G62="","",IF(COUNTIFS(DOC_TYPE,$I62,DOC_SYS,$H62,DOC_SCOPE,"System",DOC_ACTIVE,1)+COUNTIFS(DOC_TYPE,$I62,DOC_SCOPE,"All",DOC_ACTIVE,1)&gt;0,"",IFERROR(IF($E$2&lt;&gt;"",$E$2-$C$2,SETUP!$E$93-$C$2),60000)+ROW()/1000000))</f>
        <v/>
      </c>
      <c r="L62">
        <f>IF(TRACKER!$A64="","","Document")</f>
        <v/>
      </c>
      <c r="M62">
        <f>IF($L62="","",TRACKER!$E64&amp;"  -  "&amp;TRACKER!$A64)</f>
        <v/>
      </c>
      <c r="N62">
        <f>IF($L62="","",IF(TRACKER!$B64="Equipment",TRACKER!$D64,IF(TRACKER!$B64="System",TRACKER!$C64,"Whole contract")))</f>
        <v/>
      </c>
      <c r="O62">
        <f>IF($L62="","",TRACKER!$F64)</f>
        <v/>
      </c>
      <c r="P62">
        <f>IF($L62="","",TRACKER!$K64)</f>
        <v/>
      </c>
      <c r="Q62">
        <f>IF($L62="","",TRACKER!$N64)</f>
        <v/>
      </c>
      <c r="R62">
        <f>TRACKER!$Y64</f>
        <v/>
      </c>
      <c r="S62">
        <f>TRACKER!$Z64</f>
        <v/>
      </c>
      <c r="T62">
        <f>TRACKER!$X64</f>
        <v/>
      </c>
    </row>
    <row r="63">
      <c r="G63">
        <f>IF(OR(SETUP!$B$93="",$A$3="",$B$3&lt;&gt;"System"),"","System")</f>
        <v/>
      </c>
      <c r="H63">
        <f>IF($G63="","",SETUP!$B$93)</f>
        <v/>
      </c>
      <c r="I63">
        <f>IF($G63="","",$A$3)</f>
        <v/>
      </c>
      <c r="J63">
        <f>IF($G63="","",IF(COUNTIFS(DOC_TYPE,$I63,DOC_SYS,$H63,DOC_SCOPE,"System",DOC_ACTIVE,1)+COUNTIFS(DOC_TYPE,$I63,DOC_SCOPE,"All",DOC_ACTIVE,1)&gt;0,"",IFERROR(IF($E$3&lt;&gt;"",$E$3-$C$3,SETUP!$E$93-$C$3),60000)+ROW()/1000000))</f>
        <v/>
      </c>
      <c r="L63">
        <f>IF(TRACKER!$A65="","","Document")</f>
        <v/>
      </c>
      <c r="M63">
        <f>IF($L63="","",TRACKER!$E65&amp;"  -  "&amp;TRACKER!$A65)</f>
        <v/>
      </c>
      <c r="N63">
        <f>IF($L63="","",IF(TRACKER!$B65="Equipment",TRACKER!$D65,IF(TRACKER!$B65="System",TRACKER!$C65,"Whole contract")))</f>
        <v/>
      </c>
      <c r="O63">
        <f>IF($L63="","",TRACKER!$F65)</f>
        <v/>
      </c>
      <c r="P63">
        <f>IF($L63="","",TRACKER!$K65)</f>
        <v/>
      </c>
      <c r="Q63">
        <f>IF($L63="","",TRACKER!$N65)</f>
        <v/>
      </c>
      <c r="R63">
        <f>TRACKER!$Y65</f>
        <v/>
      </c>
      <c r="S63">
        <f>TRACKER!$Z65</f>
        <v/>
      </c>
      <c r="T63">
        <f>TRACKER!$X65</f>
        <v/>
      </c>
    </row>
    <row r="64">
      <c r="G64">
        <f>IF(OR(SETUP!$B$93="",$A$4="",$B$4&lt;&gt;"System"),"","System")</f>
        <v/>
      </c>
      <c r="H64">
        <f>IF($G64="","",SETUP!$B$93)</f>
        <v/>
      </c>
      <c r="I64">
        <f>IF($G64="","",$A$4)</f>
        <v/>
      </c>
      <c r="J64">
        <f>IF($G64="","",IF(COUNTIFS(DOC_TYPE,$I64,DOC_SYS,$H64,DOC_SCOPE,"System",DOC_ACTIVE,1)+COUNTIFS(DOC_TYPE,$I64,DOC_SCOPE,"All",DOC_ACTIVE,1)&gt;0,"",IFERROR(IF($E$4&lt;&gt;"",$E$4-$C$4,SETUP!$E$93-$C$4),60000)+ROW()/1000000))</f>
        <v/>
      </c>
      <c r="L64">
        <f>IF(TRACKER!$A66="","","Document")</f>
        <v/>
      </c>
      <c r="M64">
        <f>IF($L64="","",TRACKER!$E66&amp;"  -  "&amp;TRACKER!$A66)</f>
        <v/>
      </c>
      <c r="N64">
        <f>IF($L64="","",IF(TRACKER!$B66="Equipment",TRACKER!$D66,IF(TRACKER!$B66="System",TRACKER!$C66,"Whole contract")))</f>
        <v/>
      </c>
      <c r="O64">
        <f>IF($L64="","",TRACKER!$F66)</f>
        <v/>
      </c>
      <c r="P64">
        <f>IF($L64="","",TRACKER!$K66)</f>
        <v/>
      </c>
      <c r="Q64">
        <f>IF($L64="","",TRACKER!$N66)</f>
        <v/>
      </c>
      <c r="R64">
        <f>TRACKER!$Y66</f>
        <v/>
      </c>
      <c r="S64">
        <f>TRACKER!$Z66</f>
        <v/>
      </c>
      <c r="T64">
        <f>TRACKER!$X66</f>
        <v/>
      </c>
    </row>
    <row r="65">
      <c r="G65">
        <f>IF(OR(SETUP!$B$93="",$A$5="",$B$5&lt;&gt;"System"),"","System")</f>
        <v/>
      </c>
      <c r="H65">
        <f>IF($G65="","",SETUP!$B$93)</f>
        <v/>
      </c>
      <c r="I65">
        <f>IF($G65="","",$A$5)</f>
        <v/>
      </c>
      <c r="J65">
        <f>IF($G65="","",IF(COUNTIFS(DOC_TYPE,$I65,DOC_SYS,$H65,DOC_SCOPE,"System",DOC_ACTIVE,1)+COUNTIFS(DOC_TYPE,$I65,DOC_SCOPE,"All",DOC_ACTIVE,1)&gt;0,"",IFERROR(IF($E$5&lt;&gt;"",$E$5-$C$5,SETUP!$E$93-$C$5),60000)+ROW()/1000000))</f>
        <v/>
      </c>
      <c r="L65">
        <f>IF(TRACKER!$A67="","","Document")</f>
        <v/>
      </c>
      <c r="M65">
        <f>IF($L65="","",TRACKER!$E67&amp;"  -  "&amp;TRACKER!$A67)</f>
        <v/>
      </c>
      <c r="N65">
        <f>IF($L65="","",IF(TRACKER!$B67="Equipment",TRACKER!$D67,IF(TRACKER!$B67="System",TRACKER!$C67,"Whole contract")))</f>
        <v/>
      </c>
      <c r="O65">
        <f>IF($L65="","",TRACKER!$F67)</f>
        <v/>
      </c>
      <c r="P65">
        <f>IF($L65="","",TRACKER!$K67)</f>
        <v/>
      </c>
      <c r="Q65">
        <f>IF($L65="","",TRACKER!$N67)</f>
        <v/>
      </c>
      <c r="R65">
        <f>TRACKER!$Y67</f>
        <v/>
      </c>
      <c r="S65">
        <f>TRACKER!$Z67</f>
        <v/>
      </c>
      <c r="T65">
        <f>TRACKER!$X67</f>
        <v/>
      </c>
    </row>
    <row r="66">
      <c r="G66">
        <f>IF(OR(SETUP!$B$93="",$A$6="",$B$6&lt;&gt;"System"),"","System")</f>
        <v/>
      </c>
      <c r="H66">
        <f>IF($G66="","",SETUP!$B$93)</f>
        <v/>
      </c>
      <c r="I66">
        <f>IF($G66="","",$A$6)</f>
        <v/>
      </c>
      <c r="J66">
        <f>IF($G66="","",IF(COUNTIFS(DOC_TYPE,$I66,DOC_SYS,$H66,DOC_SCOPE,"System",DOC_ACTIVE,1)+COUNTIFS(DOC_TYPE,$I66,DOC_SCOPE,"All",DOC_ACTIVE,1)&gt;0,"",IFERROR(IF($E$6&lt;&gt;"",$E$6-$C$6,SETUP!$E$93-$C$6),60000)+ROW()/1000000))</f>
        <v/>
      </c>
      <c r="L66">
        <f>IF(TRACKER!$A68="","","Document")</f>
        <v/>
      </c>
      <c r="M66">
        <f>IF($L66="","",TRACKER!$E68&amp;"  -  "&amp;TRACKER!$A68)</f>
        <v/>
      </c>
      <c r="N66">
        <f>IF($L66="","",IF(TRACKER!$B68="Equipment",TRACKER!$D68,IF(TRACKER!$B68="System",TRACKER!$C68,"Whole contract")))</f>
        <v/>
      </c>
      <c r="O66">
        <f>IF($L66="","",TRACKER!$F68)</f>
        <v/>
      </c>
      <c r="P66">
        <f>IF($L66="","",TRACKER!$K68)</f>
        <v/>
      </c>
      <c r="Q66">
        <f>IF($L66="","",TRACKER!$N68)</f>
        <v/>
      </c>
      <c r="R66">
        <f>TRACKER!$Y68</f>
        <v/>
      </c>
      <c r="S66">
        <f>TRACKER!$Z68</f>
        <v/>
      </c>
      <c r="T66">
        <f>TRACKER!$X68</f>
        <v/>
      </c>
    </row>
    <row r="67">
      <c r="G67">
        <f>IF(OR(SETUP!$B$93="",$A$7="",$B$7&lt;&gt;"System"),"","System")</f>
        <v/>
      </c>
      <c r="H67">
        <f>IF($G67="","",SETUP!$B$93)</f>
        <v/>
      </c>
      <c r="I67">
        <f>IF($G67="","",$A$7)</f>
        <v/>
      </c>
      <c r="J67">
        <f>IF($G67="","",IF(COUNTIFS(DOC_TYPE,$I67,DOC_SYS,$H67,DOC_SCOPE,"System",DOC_ACTIVE,1)+COUNTIFS(DOC_TYPE,$I67,DOC_SCOPE,"All",DOC_ACTIVE,1)&gt;0,"",IFERROR(IF($E$7&lt;&gt;"",$E$7-$C$7,SETUP!$E$93-$C$7),60000)+ROW()/1000000))</f>
        <v/>
      </c>
      <c r="L67">
        <f>IF(TRACKER!$A69="","","Document")</f>
        <v/>
      </c>
      <c r="M67">
        <f>IF($L67="","",TRACKER!$E69&amp;"  -  "&amp;TRACKER!$A69)</f>
        <v/>
      </c>
      <c r="N67">
        <f>IF($L67="","",IF(TRACKER!$B69="Equipment",TRACKER!$D69,IF(TRACKER!$B69="System",TRACKER!$C69,"Whole contract")))</f>
        <v/>
      </c>
      <c r="O67">
        <f>IF($L67="","",TRACKER!$F69)</f>
        <v/>
      </c>
      <c r="P67">
        <f>IF($L67="","",TRACKER!$K69)</f>
        <v/>
      </c>
      <c r="Q67">
        <f>IF($L67="","",TRACKER!$N69)</f>
        <v/>
      </c>
      <c r="R67">
        <f>TRACKER!$Y69</f>
        <v/>
      </c>
      <c r="S67">
        <f>TRACKER!$Z69</f>
        <v/>
      </c>
      <c r="T67">
        <f>TRACKER!$X69</f>
        <v/>
      </c>
    </row>
    <row r="68">
      <c r="G68">
        <f>IF(OR(SETUP!$B$93="",$A$8="",$B$8&lt;&gt;"System"),"","System")</f>
        <v/>
      </c>
      <c r="H68">
        <f>IF($G68="","",SETUP!$B$93)</f>
        <v/>
      </c>
      <c r="I68">
        <f>IF($G68="","",$A$8)</f>
        <v/>
      </c>
      <c r="J68">
        <f>IF($G68="","",IF(COUNTIFS(DOC_TYPE,$I68,DOC_SYS,$H68,DOC_SCOPE,"System",DOC_ACTIVE,1)+COUNTIFS(DOC_TYPE,$I68,DOC_SCOPE,"All",DOC_ACTIVE,1)&gt;0,"",IFERROR(IF($E$8&lt;&gt;"",$E$8-$C$8,SETUP!$E$93-$C$8),60000)+ROW()/1000000))</f>
        <v/>
      </c>
      <c r="L68">
        <f>IF(TRACKER!$A70="","","Document")</f>
        <v/>
      </c>
      <c r="M68">
        <f>IF($L68="","",TRACKER!$E70&amp;"  -  "&amp;TRACKER!$A70)</f>
        <v/>
      </c>
      <c r="N68">
        <f>IF($L68="","",IF(TRACKER!$B70="Equipment",TRACKER!$D70,IF(TRACKER!$B70="System",TRACKER!$C70,"Whole contract")))</f>
        <v/>
      </c>
      <c r="O68">
        <f>IF($L68="","",TRACKER!$F70)</f>
        <v/>
      </c>
      <c r="P68">
        <f>IF($L68="","",TRACKER!$K70)</f>
        <v/>
      </c>
      <c r="Q68">
        <f>IF($L68="","",TRACKER!$N70)</f>
        <v/>
      </c>
      <c r="R68">
        <f>TRACKER!$Y70</f>
        <v/>
      </c>
      <c r="S68">
        <f>TRACKER!$Z70</f>
        <v/>
      </c>
      <c r="T68">
        <f>TRACKER!$X70</f>
        <v/>
      </c>
    </row>
    <row r="69">
      <c r="G69">
        <f>IF(OR(SETUP!$B$93="",$A$9="",$B$9&lt;&gt;"System"),"","System")</f>
        <v/>
      </c>
      <c r="H69">
        <f>IF($G69="","",SETUP!$B$93)</f>
        <v/>
      </c>
      <c r="I69">
        <f>IF($G69="","",$A$9)</f>
        <v/>
      </c>
      <c r="J69">
        <f>IF($G69="","",IF(COUNTIFS(DOC_TYPE,$I69,DOC_SYS,$H69,DOC_SCOPE,"System",DOC_ACTIVE,1)+COUNTIFS(DOC_TYPE,$I69,DOC_SCOPE,"All",DOC_ACTIVE,1)&gt;0,"",IFERROR(IF($E$9&lt;&gt;"",$E$9-$C$9,SETUP!$E$93-$C$9),60000)+ROW()/1000000))</f>
        <v/>
      </c>
      <c r="L69">
        <f>IF(TRACKER!$A71="","","Document")</f>
        <v/>
      </c>
      <c r="M69">
        <f>IF($L69="","",TRACKER!$E71&amp;"  -  "&amp;TRACKER!$A71)</f>
        <v/>
      </c>
      <c r="N69">
        <f>IF($L69="","",IF(TRACKER!$B71="Equipment",TRACKER!$D71,IF(TRACKER!$B71="System",TRACKER!$C71,"Whole contract")))</f>
        <v/>
      </c>
      <c r="O69">
        <f>IF($L69="","",TRACKER!$F71)</f>
        <v/>
      </c>
      <c r="P69">
        <f>IF($L69="","",TRACKER!$K71)</f>
        <v/>
      </c>
      <c r="Q69">
        <f>IF($L69="","",TRACKER!$N71)</f>
        <v/>
      </c>
      <c r="R69">
        <f>TRACKER!$Y71</f>
        <v/>
      </c>
      <c r="S69">
        <f>TRACKER!$Z71</f>
        <v/>
      </c>
      <c r="T69">
        <f>TRACKER!$X71</f>
        <v/>
      </c>
    </row>
    <row r="70">
      <c r="G70">
        <f>IF(OR(SETUP!$B$93="",$A$10="",$B$10&lt;&gt;"System"),"","System")</f>
        <v/>
      </c>
      <c r="H70">
        <f>IF($G70="","",SETUP!$B$93)</f>
        <v/>
      </c>
      <c r="I70">
        <f>IF($G70="","",$A$10)</f>
        <v/>
      </c>
      <c r="J70">
        <f>IF($G70="","",IF(COUNTIFS(DOC_TYPE,$I70,DOC_SYS,$H70,DOC_SCOPE,"System",DOC_ACTIVE,1)+COUNTIFS(DOC_TYPE,$I70,DOC_SCOPE,"All",DOC_ACTIVE,1)&gt;0,"",IFERROR(IF($E$10&lt;&gt;"",$E$10-$C$10,SETUP!$E$93-$C$10),60000)+ROW()/1000000))</f>
        <v/>
      </c>
      <c r="L70">
        <f>IF(TRACKER!$A72="","","Document")</f>
        <v/>
      </c>
      <c r="M70">
        <f>IF($L70="","",TRACKER!$E72&amp;"  -  "&amp;TRACKER!$A72)</f>
        <v/>
      </c>
      <c r="N70">
        <f>IF($L70="","",IF(TRACKER!$B72="Equipment",TRACKER!$D72,IF(TRACKER!$B72="System",TRACKER!$C72,"Whole contract")))</f>
        <v/>
      </c>
      <c r="O70">
        <f>IF($L70="","",TRACKER!$F72)</f>
        <v/>
      </c>
      <c r="P70">
        <f>IF($L70="","",TRACKER!$K72)</f>
        <v/>
      </c>
      <c r="Q70">
        <f>IF($L70="","",TRACKER!$N72)</f>
        <v/>
      </c>
      <c r="R70">
        <f>TRACKER!$Y72</f>
        <v/>
      </c>
      <c r="S70">
        <f>TRACKER!$Z72</f>
        <v/>
      </c>
      <c r="T70">
        <f>TRACKER!$X72</f>
        <v/>
      </c>
    </row>
    <row r="71">
      <c r="G71">
        <f>IF(OR(SETUP!$B$93="",$A$11="",$B$11&lt;&gt;"System"),"","System")</f>
        <v/>
      </c>
      <c r="H71">
        <f>IF($G71="","",SETUP!$B$93)</f>
        <v/>
      </c>
      <c r="I71">
        <f>IF($G71="","",$A$11)</f>
        <v/>
      </c>
      <c r="J71">
        <f>IF($G71="","",IF(COUNTIFS(DOC_TYPE,$I71,DOC_SYS,$H71,DOC_SCOPE,"System",DOC_ACTIVE,1)+COUNTIFS(DOC_TYPE,$I71,DOC_SCOPE,"All",DOC_ACTIVE,1)&gt;0,"",IFERROR(IF($E$11&lt;&gt;"",$E$11-$C$11,SETUP!$E$93-$C$11),60000)+ROW()/1000000))</f>
        <v/>
      </c>
      <c r="L71">
        <f>IF(TRACKER!$A73="","","Document")</f>
        <v/>
      </c>
      <c r="M71">
        <f>IF($L71="","",TRACKER!$E73&amp;"  -  "&amp;TRACKER!$A73)</f>
        <v/>
      </c>
      <c r="N71">
        <f>IF($L71="","",IF(TRACKER!$B73="Equipment",TRACKER!$D73,IF(TRACKER!$B73="System",TRACKER!$C73,"Whole contract")))</f>
        <v/>
      </c>
      <c r="O71">
        <f>IF($L71="","",TRACKER!$F73)</f>
        <v/>
      </c>
      <c r="P71">
        <f>IF($L71="","",TRACKER!$K73)</f>
        <v/>
      </c>
      <c r="Q71">
        <f>IF($L71="","",TRACKER!$N73)</f>
        <v/>
      </c>
      <c r="R71">
        <f>TRACKER!$Y73</f>
        <v/>
      </c>
      <c r="S71">
        <f>TRACKER!$Z73</f>
        <v/>
      </c>
      <c r="T71">
        <f>TRACKER!$X73</f>
        <v/>
      </c>
    </row>
    <row r="72">
      <c r="G72">
        <f>IF(OR(SETUP!$B$93="",$A$12="",$B$12&lt;&gt;"System"),"","System")</f>
        <v/>
      </c>
      <c r="H72">
        <f>IF($G72="","",SETUP!$B$93)</f>
        <v/>
      </c>
      <c r="I72">
        <f>IF($G72="","",$A$12)</f>
        <v/>
      </c>
      <c r="J72">
        <f>IF($G72="","",IF(COUNTIFS(DOC_TYPE,$I72,DOC_SYS,$H72,DOC_SCOPE,"System",DOC_ACTIVE,1)+COUNTIFS(DOC_TYPE,$I72,DOC_SCOPE,"All",DOC_ACTIVE,1)&gt;0,"",IFERROR(IF($E$12&lt;&gt;"",$E$12-$C$12,SETUP!$E$93-$C$12),60000)+ROW()/1000000))</f>
        <v/>
      </c>
      <c r="L72">
        <f>IF(TRACKER!$A74="","","Document")</f>
        <v/>
      </c>
      <c r="M72">
        <f>IF($L72="","",TRACKER!$E74&amp;"  -  "&amp;TRACKER!$A74)</f>
        <v/>
      </c>
      <c r="N72">
        <f>IF($L72="","",IF(TRACKER!$B74="Equipment",TRACKER!$D74,IF(TRACKER!$B74="System",TRACKER!$C74,"Whole contract")))</f>
        <v/>
      </c>
      <c r="O72">
        <f>IF($L72="","",TRACKER!$F74)</f>
        <v/>
      </c>
      <c r="P72">
        <f>IF($L72="","",TRACKER!$K74)</f>
        <v/>
      </c>
      <c r="Q72">
        <f>IF($L72="","",TRACKER!$N74)</f>
        <v/>
      </c>
      <c r="R72">
        <f>TRACKER!$Y74</f>
        <v/>
      </c>
      <c r="S72">
        <f>TRACKER!$Z74</f>
        <v/>
      </c>
      <c r="T72">
        <f>TRACKER!$X74</f>
        <v/>
      </c>
    </row>
    <row r="73">
      <c r="G73">
        <f>IF(OR(SETUP!$B$93="",$A$13="",$B$13&lt;&gt;"System"),"","System")</f>
        <v/>
      </c>
      <c r="H73">
        <f>IF($G73="","",SETUP!$B$93)</f>
        <v/>
      </c>
      <c r="I73">
        <f>IF($G73="","",$A$13)</f>
        <v/>
      </c>
      <c r="J73">
        <f>IF($G73="","",IF(COUNTIFS(DOC_TYPE,$I73,DOC_SYS,$H73,DOC_SCOPE,"System",DOC_ACTIVE,1)+COUNTIFS(DOC_TYPE,$I73,DOC_SCOPE,"All",DOC_ACTIVE,1)&gt;0,"",IFERROR(IF($E$13&lt;&gt;"",$E$13-$C$13,SETUP!$E$93-$C$13),60000)+ROW()/1000000))</f>
        <v/>
      </c>
      <c r="L73">
        <f>IF(TRACKER!$A75="","","Document")</f>
        <v/>
      </c>
      <c r="M73">
        <f>IF($L73="","",TRACKER!$E75&amp;"  -  "&amp;TRACKER!$A75)</f>
        <v/>
      </c>
      <c r="N73">
        <f>IF($L73="","",IF(TRACKER!$B75="Equipment",TRACKER!$D75,IF(TRACKER!$B75="System",TRACKER!$C75,"Whole contract")))</f>
        <v/>
      </c>
      <c r="O73">
        <f>IF($L73="","",TRACKER!$F75)</f>
        <v/>
      </c>
      <c r="P73">
        <f>IF($L73="","",TRACKER!$K75)</f>
        <v/>
      </c>
      <c r="Q73">
        <f>IF($L73="","",TRACKER!$N75)</f>
        <v/>
      </c>
      <c r="R73">
        <f>TRACKER!$Y75</f>
        <v/>
      </c>
      <c r="S73">
        <f>TRACKER!$Z75</f>
        <v/>
      </c>
      <c r="T73">
        <f>TRACKER!$X75</f>
        <v/>
      </c>
    </row>
    <row r="74">
      <c r="G74">
        <f>IF(OR(SETUP!$B$94="",$A$2="",$B$2&lt;&gt;"System"),"","System")</f>
        <v/>
      </c>
      <c r="H74">
        <f>IF($G74="","",SETUP!$B$94)</f>
        <v/>
      </c>
      <c r="I74">
        <f>IF($G74="","",$A$2)</f>
        <v/>
      </c>
      <c r="J74">
        <f>IF($G74="","",IF(COUNTIFS(DOC_TYPE,$I74,DOC_SYS,$H74,DOC_SCOPE,"System",DOC_ACTIVE,1)+COUNTIFS(DOC_TYPE,$I74,DOC_SCOPE,"All",DOC_ACTIVE,1)&gt;0,"",IFERROR(IF($E$2&lt;&gt;"",$E$2-$C$2,SETUP!$E$94-$C$2),60000)+ROW()/1000000))</f>
        <v/>
      </c>
      <c r="L74">
        <f>IF(TRACKER!$A76="","","Document")</f>
        <v/>
      </c>
      <c r="M74">
        <f>IF($L74="","",TRACKER!$E76&amp;"  -  "&amp;TRACKER!$A76)</f>
        <v/>
      </c>
      <c r="N74">
        <f>IF($L74="","",IF(TRACKER!$B76="Equipment",TRACKER!$D76,IF(TRACKER!$B76="System",TRACKER!$C76,"Whole contract")))</f>
        <v/>
      </c>
      <c r="O74">
        <f>IF($L74="","",TRACKER!$F76)</f>
        <v/>
      </c>
      <c r="P74">
        <f>IF($L74="","",TRACKER!$K76)</f>
        <v/>
      </c>
      <c r="Q74">
        <f>IF($L74="","",TRACKER!$N76)</f>
        <v/>
      </c>
      <c r="R74">
        <f>TRACKER!$Y76</f>
        <v/>
      </c>
      <c r="S74">
        <f>TRACKER!$Z76</f>
        <v/>
      </c>
      <c r="T74">
        <f>TRACKER!$X76</f>
        <v/>
      </c>
    </row>
    <row r="75">
      <c r="G75">
        <f>IF(OR(SETUP!$B$94="",$A$3="",$B$3&lt;&gt;"System"),"","System")</f>
        <v/>
      </c>
      <c r="H75">
        <f>IF($G75="","",SETUP!$B$94)</f>
        <v/>
      </c>
      <c r="I75">
        <f>IF($G75="","",$A$3)</f>
        <v/>
      </c>
      <c r="J75">
        <f>IF($G75="","",IF(COUNTIFS(DOC_TYPE,$I75,DOC_SYS,$H75,DOC_SCOPE,"System",DOC_ACTIVE,1)+COUNTIFS(DOC_TYPE,$I75,DOC_SCOPE,"All",DOC_ACTIVE,1)&gt;0,"",IFERROR(IF($E$3&lt;&gt;"",$E$3-$C$3,SETUP!$E$94-$C$3),60000)+ROW()/1000000))</f>
        <v/>
      </c>
      <c r="L75">
        <f>IF(TRACKER!$A77="","","Document")</f>
        <v/>
      </c>
      <c r="M75">
        <f>IF($L75="","",TRACKER!$E77&amp;"  -  "&amp;TRACKER!$A77)</f>
        <v/>
      </c>
      <c r="N75">
        <f>IF($L75="","",IF(TRACKER!$B77="Equipment",TRACKER!$D77,IF(TRACKER!$B77="System",TRACKER!$C77,"Whole contract")))</f>
        <v/>
      </c>
      <c r="O75">
        <f>IF($L75="","",TRACKER!$F77)</f>
        <v/>
      </c>
      <c r="P75">
        <f>IF($L75="","",TRACKER!$K77)</f>
        <v/>
      </c>
      <c r="Q75">
        <f>IF($L75="","",TRACKER!$N77)</f>
        <v/>
      </c>
      <c r="R75">
        <f>TRACKER!$Y77</f>
        <v/>
      </c>
      <c r="S75">
        <f>TRACKER!$Z77</f>
        <v/>
      </c>
      <c r="T75">
        <f>TRACKER!$X77</f>
        <v/>
      </c>
    </row>
    <row r="76">
      <c r="G76">
        <f>IF(OR(SETUP!$B$94="",$A$4="",$B$4&lt;&gt;"System"),"","System")</f>
        <v/>
      </c>
      <c r="H76">
        <f>IF($G76="","",SETUP!$B$94)</f>
        <v/>
      </c>
      <c r="I76">
        <f>IF($G76="","",$A$4)</f>
        <v/>
      </c>
      <c r="J76">
        <f>IF($G76="","",IF(COUNTIFS(DOC_TYPE,$I76,DOC_SYS,$H76,DOC_SCOPE,"System",DOC_ACTIVE,1)+COUNTIFS(DOC_TYPE,$I76,DOC_SCOPE,"All",DOC_ACTIVE,1)&gt;0,"",IFERROR(IF($E$4&lt;&gt;"",$E$4-$C$4,SETUP!$E$94-$C$4),60000)+ROW()/1000000))</f>
        <v/>
      </c>
      <c r="L76">
        <f>IF(TRACKER!$A78="","","Document")</f>
        <v/>
      </c>
      <c r="M76">
        <f>IF($L76="","",TRACKER!$E78&amp;"  -  "&amp;TRACKER!$A78)</f>
        <v/>
      </c>
      <c r="N76">
        <f>IF($L76="","",IF(TRACKER!$B78="Equipment",TRACKER!$D78,IF(TRACKER!$B78="System",TRACKER!$C78,"Whole contract")))</f>
        <v/>
      </c>
      <c r="O76">
        <f>IF($L76="","",TRACKER!$F78)</f>
        <v/>
      </c>
      <c r="P76">
        <f>IF($L76="","",TRACKER!$K78)</f>
        <v/>
      </c>
      <c r="Q76">
        <f>IF($L76="","",TRACKER!$N78)</f>
        <v/>
      </c>
      <c r="R76">
        <f>TRACKER!$Y78</f>
        <v/>
      </c>
      <c r="S76">
        <f>TRACKER!$Z78</f>
        <v/>
      </c>
      <c r="T76">
        <f>TRACKER!$X78</f>
        <v/>
      </c>
    </row>
    <row r="77">
      <c r="G77">
        <f>IF(OR(SETUP!$B$94="",$A$5="",$B$5&lt;&gt;"System"),"","System")</f>
        <v/>
      </c>
      <c r="H77">
        <f>IF($G77="","",SETUP!$B$94)</f>
        <v/>
      </c>
      <c r="I77">
        <f>IF($G77="","",$A$5)</f>
        <v/>
      </c>
      <c r="J77">
        <f>IF($G77="","",IF(COUNTIFS(DOC_TYPE,$I77,DOC_SYS,$H77,DOC_SCOPE,"System",DOC_ACTIVE,1)+COUNTIFS(DOC_TYPE,$I77,DOC_SCOPE,"All",DOC_ACTIVE,1)&gt;0,"",IFERROR(IF($E$5&lt;&gt;"",$E$5-$C$5,SETUP!$E$94-$C$5),60000)+ROW()/1000000))</f>
        <v/>
      </c>
      <c r="L77">
        <f>IF(TRACKER!$A79="","","Document")</f>
        <v/>
      </c>
      <c r="M77">
        <f>IF($L77="","",TRACKER!$E79&amp;"  -  "&amp;TRACKER!$A79)</f>
        <v/>
      </c>
      <c r="N77">
        <f>IF($L77="","",IF(TRACKER!$B79="Equipment",TRACKER!$D79,IF(TRACKER!$B79="System",TRACKER!$C79,"Whole contract")))</f>
        <v/>
      </c>
      <c r="O77">
        <f>IF($L77="","",TRACKER!$F79)</f>
        <v/>
      </c>
      <c r="P77">
        <f>IF($L77="","",TRACKER!$K79)</f>
        <v/>
      </c>
      <c r="Q77">
        <f>IF($L77="","",TRACKER!$N79)</f>
        <v/>
      </c>
      <c r="R77">
        <f>TRACKER!$Y79</f>
        <v/>
      </c>
      <c r="S77">
        <f>TRACKER!$Z79</f>
        <v/>
      </c>
      <c r="T77">
        <f>TRACKER!$X79</f>
        <v/>
      </c>
    </row>
    <row r="78">
      <c r="G78">
        <f>IF(OR(SETUP!$B$94="",$A$6="",$B$6&lt;&gt;"System"),"","System")</f>
        <v/>
      </c>
      <c r="H78">
        <f>IF($G78="","",SETUP!$B$94)</f>
        <v/>
      </c>
      <c r="I78">
        <f>IF($G78="","",$A$6)</f>
        <v/>
      </c>
      <c r="J78">
        <f>IF($G78="","",IF(COUNTIFS(DOC_TYPE,$I78,DOC_SYS,$H78,DOC_SCOPE,"System",DOC_ACTIVE,1)+COUNTIFS(DOC_TYPE,$I78,DOC_SCOPE,"All",DOC_ACTIVE,1)&gt;0,"",IFERROR(IF($E$6&lt;&gt;"",$E$6-$C$6,SETUP!$E$94-$C$6),60000)+ROW()/1000000))</f>
        <v/>
      </c>
      <c r="L78">
        <f>IF(TRACKER!$A80="","","Document")</f>
        <v/>
      </c>
      <c r="M78">
        <f>IF($L78="","",TRACKER!$E80&amp;"  -  "&amp;TRACKER!$A80)</f>
        <v/>
      </c>
      <c r="N78">
        <f>IF($L78="","",IF(TRACKER!$B80="Equipment",TRACKER!$D80,IF(TRACKER!$B80="System",TRACKER!$C80,"Whole contract")))</f>
        <v/>
      </c>
      <c r="O78">
        <f>IF($L78="","",TRACKER!$F80)</f>
        <v/>
      </c>
      <c r="P78">
        <f>IF($L78="","",TRACKER!$K80)</f>
        <v/>
      </c>
      <c r="Q78">
        <f>IF($L78="","",TRACKER!$N80)</f>
        <v/>
      </c>
      <c r="R78">
        <f>TRACKER!$Y80</f>
        <v/>
      </c>
      <c r="S78">
        <f>TRACKER!$Z80</f>
        <v/>
      </c>
      <c r="T78">
        <f>TRACKER!$X80</f>
        <v/>
      </c>
    </row>
    <row r="79">
      <c r="G79">
        <f>IF(OR(SETUP!$B$94="",$A$7="",$B$7&lt;&gt;"System"),"","System")</f>
        <v/>
      </c>
      <c r="H79">
        <f>IF($G79="","",SETUP!$B$94)</f>
        <v/>
      </c>
      <c r="I79">
        <f>IF($G79="","",$A$7)</f>
        <v/>
      </c>
      <c r="J79">
        <f>IF($G79="","",IF(COUNTIFS(DOC_TYPE,$I79,DOC_SYS,$H79,DOC_SCOPE,"System",DOC_ACTIVE,1)+COUNTIFS(DOC_TYPE,$I79,DOC_SCOPE,"All",DOC_ACTIVE,1)&gt;0,"",IFERROR(IF($E$7&lt;&gt;"",$E$7-$C$7,SETUP!$E$94-$C$7),60000)+ROW()/1000000))</f>
        <v/>
      </c>
      <c r="L79">
        <f>IF(TRACKER!$A81="","","Document")</f>
        <v/>
      </c>
      <c r="M79">
        <f>IF($L79="","",TRACKER!$E81&amp;"  -  "&amp;TRACKER!$A81)</f>
        <v/>
      </c>
      <c r="N79">
        <f>IF($L79="","",IF(TRACKER!$B81="Equipment",TRACKER!$D81,IF(TRACKER!$B81="System",TRACKER!$C81,"Whole contract")))</f>
        <v/>
      </c>
      <c r="O79">
        <f>IF($L79="","",TRACKER!$F81)</f>
        <v/>
      </c>
      <c r="P79">
        <f>IF($L79="","",TRACKER!$K81)</f>
        <v/>
      </c>
      <c r="Q79">
        <f>IF($L79="","",TRACKER!$N81)</f>
        <v/>
      </c>
      <c r="R79">
        <f>TRACKER!$Y81</f>
        <v/>
      </c>
      <c r="S79">
        <f>TRACKER!$Z81</f>
        <v/>
      </c>
      <c r="T79">
        <f>TRACKER!$X81</f>
        <v/>
      </c>
    </row>
    <row r="80">
      <c r="G80">
        <f>IF(OR(SETUP!$B$94="",$A$8="",$B$8&lt;&gt;"System"),"","System")</f>
        <v/>
      </c>
      <c r="H80">
        <f>IF($G80="","",SETUP!$B$94)</f>
        <v/>
      </c>
      <c r="I80">
        <f>IF($G80="","",$A$8)</f>
        <v/>
      </c>
      <c r="J80">
        <f>IF($G80="","",IF(COUNTIFS(DOC_TYPE,$I80,DOC_SYS,$H80,DOC_SCOPE,"System",DOC_ACTIVE,1)+COUNTIFS(DOC_TYPE,$I80,DOC_SCOPE,"All",DOC_ACTIVE,1)&gt;0,"",IFERROR(IF($E$8&lt;&gt;"",$E$8-$C$8,SETUP!$E$94-$C$8),60000)+ROW()/1000000))</f>
        <v/>
      </c>
      <c r="L80">
        <f>IF(TRACKER!$A82="","","Document")</f>
        <v/>
      </c>
      <c r="M80">
        <f>IF($L80="","",TRACKER!$E82&amp;"  -  "&amp;TRACKER!$A82)</f>
        <v/>
      </c>
      <c r="N80">
        <f>IF($L80="","",IF(TRACKER!$B82="Equipment",TRACKER!$D82,IF(TRACKER!$B82="System",TRACKER!$C82,"Whole contract")))</f>
        <v/>
      </c>
      <c r="O80">
        <f>IF($L80="","",TRACKER!$F82)</f>
        <v/>
      </c>
      <c r="P80">
        <f>IF($L80="","",TRACKER!$K82)</f>
        <v/>
      </c>
      <c r="Q80">
        <f>IF($L80="","",TRACKER!$N82)</f>
        <v/>
      </c>
      <c r="R80">
        <f>TRACKER!$Y82</f>
        <v/>
      </c>
      <c r="S80">
        <f>TRACKER!$Z82</f>
        <v/>
      </c>
      <c r="T80">
        <f>TRACKER!$X82</f>
        <v/>
      </c>
    </row>
    <row r="81">
      <c r="G81">
        <f>IF(OR(SETUP!$B$94="",$A$9="",$B$9&lt;&gt;"System"),"","System")</f>
        <v/>
      </c>
      <c r="H81">
        <f>IF($G81="","",SETUP!$B$94)</f>
        <v/>
      </c>
      <c r="I81">
        <f>IF($G81="","",$A$9)</f>
        <v/>
      </c>
      <c r="J81">
        <f>IF($G81="","",IF(COUNTIFS(DOC_TYPE,$I81,DOC_SYS,$H81,DOC_SCOPE,"System",DOC_ACTIVE,1)+COUNTIFS(DOC_TYPE,$I81,DOC_SCOPE,"All",DOC_ACTIVE,1)&gt;0,"",IFERROR(IF($E$9&lt;&gt;"",$E$9-$C$9,SETUP!$E$94-$C$9),60000)+ROW()/1000000))</f>
        <v/>
      </c>
      <c r="L81">
        <f>IF(TRACKER!$A83="","","Document")</f>
        <v/>
      </c>
      <c r="M81">
        <f>IF($L81="","",TRACKER!$E83&amp;"  -  "&amp;TRACKER!$A83)</f>
        <v/>
      </c>
      <c r="N81">
        <f>IF($L81="","",IF(TRACKER!$B83="Equipment",TRACKER!$D83,IF(TRACKER!$B83="System",TRACKER!$C83,"Whole contract")))</f>
        <v/>
      </c>
      <c r="O81">
        <f>IF($L81="","",TRACKER!$F83)</f>
        <v/>
      </c>
      <c r="P81">
        <f>IF($L81="","",TRACKER!$K83)</f>
        <v/>
      </c>
      <c r="Q81">
        <f>IF($L81="","",TRACKER!$N83)</f>
        <v/>
      </c>
      <c r="R81">
        <f>TRACKER!$Y83</f>
        <v/>
      </c>
      <c r="S81">
        <f>TRACKER!$Z83</f>
        <v/>
      </c>
      <c r="T81">
        <f>TRACKER!$X83</f>
        <v/>
      </c>
    </row>
    <row r="82">
      <c r="G82">
        <f>IF(OR(SETUP!$B$94="",$A$10="",$B$10&lt;&gt;"System"),"","System")</f>
        <v/>
      </c>
      <c r="H82">
        <f>IF($G82="","",SETUP!$B$94)</f>
        <v/>
      </c>
      <c r="I82">
        <f>IF($G82="","",$A$10)</f>
        <v/>
      </c>
      <c r="J82">
        <f>IF($G82="","",IF(COUNTIFS(DOC_TYPE,$I82,DOC_SYS,$H82,DOC_SCOPE,"System",DOC_ACTIVE,1)+COUNTIFS(DOC_TYPE,$I82,DOC_SCOPE,"All",DOC_ACTIVE,1)&gt;0,"",IFERROR(IF($E$10&lt;&gt;"",$E$10-$C$10,SETUP!$E$94-$C$10),60000)+ROW()/1000000))</f>
        <v/>
      </c>
      <c r="L82">
        <f>IF(TRACKER!$A84="","","Document")</f>
        <v/>
      </c>
      <c r="M82">
        <f>IF($L82="","",TRACKER!$E84&amp;"  -  "&amp;TRACKER!$A84)</f>
        <v/>
      </c>
      <c r="N82">
        <f>IF($L82="","",IF(TRACKER!$B84="Equipment",TRACKER!$D84,IF(TRACKER!$B84="System",TRACKER!$C84,"Whole contract")))</f>
        <v/>
      </c>
      <c r="O82">
        <f>IF($L82="","",TRACKER!$F84)</f>
        <v/>
      </c>
      <c r="P82">
        <f>IF($L82="","",TRACKER!$K84)</f>
        <v/>
      </c>
      <c r="Q82">
        <f>IF($L82="","",TRACKER!$N84)</f>
        <v/>
      </c>
      <c r="R82">
        <f>TRACKER!$Y84</f>
        <v/>
      </c>
      <c r="S82">
        <f>TRACKER!$Z84</f>
        <v/>
      </c>
      <c r="T82">
        <f>TRACKER!$X84</f>
        <v/>
      </c>
    </row>
    <row r="83">
      <c r="G83">
        <f>IF(OR(SETUP!$B$94="",$A$11="",$B$11&lt;&gt;"System"),"","System")</f>
        <v/>
      </c>
      <c r="H83">
        <f>IF($G83="","",SETUP!$B$94)</f>
        <v/>
      </c>
      <c r="I83">
        <f>IF($G83="","",$A$11)</f>
        <v/>
      </c>
      <c r="J83">
        <f>IF($G83="","",IF(COUNTIFS(DOC_TYPE,$I83,DOC_SYS,$H83,DOC_SCOPE,"System",DOC_ACTIVE,1)+COUNTIFS(DOC_TYPE,$I83,DOC_SCOPE,"All",DOC_ACTIVE,1)&gt;0,"",IFERROR(IF($E$11&lt;&gt;"",$E$11-$C$11,SETUP!$E$94-$C$11),60000)+ROW()/1000000))</f>
        <v/>
      </c>
      <c r="L83">
        <f>IF(TRACKER!$A85="","","Document")</f>
        <v/>
      </c>
      <c r="M83">
        <f>IF($L83="","",TRACKER!$E85&amp;"  -  "&amp;TRACKER!$A85)</f>
        <v/>
      </c>
      <c r="N83">
        <f>IF($L83="","",IF(TRACKER!$B85="Equipment",TRACKER!$D85,IF(TRACKER!$B85="System",TRACKER!$C85,"Whole contract")))</f>
        <v/>
      </c>
      <c r="O83">
        <f>IF($L83="","",TRACKER!$F85)</f>
        <v/>
      </c>
      <c r="P83">
        <f>IF($L83="","",TRACKER!$K85)</f>
        <v/>
      </c>
      <c r="Q83">
        <f>IF($L83="","",TRACKER!$N85)</f>
        <v/>
      </c>
      <c r="R83">
        <f>TRACKER!$Y85</f>
        <v/>
      </c>
      <c r="S83">
        <f>TRACKER!$Z85</f>
        <v/>
      </c>
      <c r="T83">
        <f>TRACKER!$X85</f>
        <v/>
      </c>
    </row>
    <row r="84">
      <c r="G84">
        <f>IF(OR(SETUP!$B$94="",$A$12="",$B$12&lt;&gt;"System"),"","System")</f>
        <v/>
      </c>
      <c r="H84">
        <f>IF($G84="","",SETUP!$B$94)</f>
        <v/>
      </c>
      <c r="I84">
        <f>IF($G84="","",$A$12)</f>
        <v/>
      </c>
      <c r="J84">
        <f>IF($G84="","",IF(COUNTIFS(DOC_TYPE,$I84,DOC_SYS,$H84,DOC_SCOPE,"System",DOC_ACTIVE,1)+COUNTIFS(DOC_TYPE,$I84,DOC_SCOPE,"All",DOC_ACTIVE,1)&gt;0,"",IFERROR(IF($E$12&lt;&gt;"",$E$12-$C$12,SETUP!$E$94-$C$12),60000)+ROW()/1000000))</f>
        <v/>
      </c>
      <c r="L84">
        <f>IF(TRACKER!$A86="","","Document")</f>
        <v/>
      </c>
      <c r="M84">
        <f>IF($L84="","",TRACKER!$E86&amp;"  -  "&amp;TRACKER!$A86)</f>
        <v/>
      </c>
      <c r="N84">
        <f>IF($L84="","",IF(TRACKER!$B86="Equipment",TRACKER!$D86,IF(TRACKER!$B86="System",TRACKER!$C86,"Whole contract")))</f>
        <v/>
      </c>
      <c r="O84">
        <f>IF($L84="","",TRACKER!$F86)</f>
        <v/>
      </c>
      <c r="P84">
        <f>IF($L84="","",TRACKER!$K86)</f>
        <v/>
      </c>
      <c r="Q84">
        <f>IF($L84="","",TRACKER!$N86)</f>
        <v/>
      </c>
      <c r="R84">
        <f>TRACKER!$Y86</f>
        <v/>
      </c>
      <c r="S84">
        <f>TRACKER!$Z86</f>
        <v/>
      </c>
      <c r="T84">
        <f>TRACKER!$X86</f>
        <v/>
      </c>
    </row>
    <row r="85">
      <c r="G85">
        <f>IF(OR(SETUP!$B$94="",$A$13="",$B$13&lt;&gt;"System"),"","System")</f>
        <v/>
      </c>
      <c r="H85">
        <f>IF($G85="","",SETUP!$B$94)</f>
        <v/>
      </c>
      <c r="I85">
        <f>IF($G85="","",$A$13)</f>
        <v/>
      </c>
      <c r="J85">
        <f>IF($G85="","",IF(COUNTIFS(DOC_TYPE,$I85,DOC_SYS,$H85,DOC_SCOPE,"System",DOC_ACTIVE,1)+COUNTIFS(DOC_TYPE,$I85,DOC_SCOPE,"All",DOC_ACTIVE,1)&gt;0,"",IFERROR(IF($E$13&lt;&gt;"",$E$13-$C$13,SETUP!$E$94-$C$13),60000)+ROW()/1000000))</f>
        <v/>
      </c>
      <c r="L85">
        <f>IF(TRACKER!$A87="","","Document")</f>
        <v/>
      </c>
      <c r="M85">
        <f>IF($L85="","",TRACKER!$E87&amp;"  -  "&amp;TRACKER!$A87)</f>
        <v/>
      </c>
      <c r="N85">
        <f>IF($L85="","",IF(TRACKER!$B87="Equipment",TRACKER!$D87,IF(TRACKER!$B87="System",TRACKER!$C87,"Whole contract")))</f>
        <v/>
      </c>
      <c r="O85">
        <f>IF($L85="","",TRACKER!$F87)</f>
        <v/>
      </c>
      <c r="P85">
        <f>IF($L85="","",TRACKER!$K87)</f>
        <v/>
      </c>
      <c r="Q85">
        <f>IF($L85="","",TRACKER!$N87)</f>
        <v/>
      </c>
      <c r="R85">
        <f>TRACKER!$Y87</f>
        <v/>
      </c>
      <c r="S85">
        <f>TRACKER!$Z87</f>
        <v/>
      </c>
      <c r="T85">
        <f>TRACKER!$X87</f>
        <v/>
      </c>
    </row>
    <row r="86">
      <c r="G86">
        <f>IF(OR(SETUP!$B$95="",$A$2="",$B$2&lt;&gt;"System"),"","System")</f>
        <v/>
      </c>
      <c r="H86">
        <f>IF($G86="","",SETUP!$B$95)</f>
        <v/>
      </c>
      <c r="I86">
        <f>IF($G86="","",$A$2)</f>
        <v/>
      </c>
      <c r="J86">
        <f>IF($G86="","",IF(COUNTIFS(DOC_TYPE,$I86,DOC_SYS,$H86,DOC_SCOPE,"System",DOC_ACTIVE,1)+COUNTIFS(DOC_TYPE,$I86,DOC_SCOPE,"All",DOC_ACTIVE,1)&gt;0,"",IFERROR(IF($E$2&lt;&gt;"",$E$2-$C$2,SETUP!$E$95-$C$2),60000)+ROW()/1000000))</f>
        <v/>
      </c>
      <c r="L86">
        <f>IF(TRACKER!$A88="","","Document")</f>
        <v/>
      </c>
      <c r="M86">
        <f>IF($L86="","",TRACKER!$E88&amp;"  -  "&amp;TRACKER!$A88)</f>
        <v/>
      </c>
      <c r="N86">
        <f>IF($L86="","",IF(TRACKER!$B88="Equipment",TRACKER!$D88,IF(TRACKER!$B88="System",TRACKER!$C88,"Whole contract")))</f>
        <v/>
      </c>
      <c r="O86">
        <f>IF($L86="","",TRACKER!$F88)</f>
        <v/>
      </c>
      <c r="P86">
        <f>IF($L86="","",TRACKER!$K88)</f>
        <v/>
      </c>
      <c r="Q86">
        <f>IF($L86="","",TRACKER!$N88)</f>
        <v/>
      </c>
      <c r="R86">
        <f>TRACKER!$Y88</f>
        <v/>
      </c>
      <c r="S86">
        <f>TRACKER!$Z88</f>
        <v/>
      </c>
      <c r="T86">
        <f>TRACKER!$X88</f>
        <v/>
      </c>
    </row>
    <row r="87">
      <c r="G87">
        <f>IF(OR(SETUP!$B$95="",$A$3="",$B$3&lt;&gt;"System"),"","System")</f>
        <v/>
      </c>
      <c r="H87">
        <f>IF($G87="","",SETUP!$B$95)</f>
        <v/>
      </c>
      <c r="I87">
        <f>IF($G87="","",$A$3)</f>
        <v/>
      </c>
      <c r="J87">
        <f>IF($G87="","",IF(COUNTIFS(DOC_TYPE,$I87,DOC_SYS,$H87,DOC_SCOPE,"System",DOC_ACTIVE,1)+COUNTIFS(DOC_TYPE,$I87,DOC_SCOPE,"All",DOC_ACTIVE,1)&gt;0,"",IFERROR(IF($E$3&lt;&gt;"",$E$3-$C$3,SETUP!$E$95-$C$3),60000)+ROW()/1000000))</f>
        <v/>
      </c>
      <c r="L87">
        <f>IF(TRACKER!$A89="","","Document")</f>
        <v/>
      </c>
      <c r="M87">
        <f>IF($L87="","",TRACKER!$E89&amp;"  -  "&amp;TRACKER!$A89)</f>
        <v/>
      </c>
      <c r="N87">
        <f>IF($L87="","",IF(TRACKER!$B89="Equipment",TRACKER!$D89,IF(TRACKER!$B89="System",TRACKER!$C89,"Whole contract")))</f>
        <v/>
      </c>
      <c r="O87">
        <f>IF($L87="","",TRACKER!$F89)</f>
        <v/>
      </c>
      <c r="P87">
        <f>IF($L87="","",TRACKER!$K89)</f>
        <v/>
      </c>
      <c r="Q87">
        <f>IF($L87="","",TRACKER!$N89)</f>
        <v/>
      </c>
      <c r="R87">
        <f>TRACKER!$Y89</f>
        <v/>
      </c>
      <c r="S87">
        <f>TRACKER!$Z89</f>
        <v/>
      </c>
      <c r="T87">
        <f>TRACKER!$X89</f>
        <v/>
      </c>
    </row>
    <row r="88">
      <c r="G88">
        <f>IF(OR(SETUP!$B$95="",$A$4="",$B$4&lt;&gt;"System"),"","System")</f>
        <v/>
      </c>
      <c r="H88">
        <f>IF($G88="","",SETUP!$B$95)</f>
        <v/>
      </c>
      <c r="I88">
        <f>IF($G88="","",$A$4)</f>
        <v/>
      </c>
      <c r="J88">
        <f>IF($G88="","",IF(COUNTIFS(DOC_TYPE,$I88,DOC_SYS,$H88,DOC_SCOPE,"System",DOC_ACTIVE,1)+COUNTIFS(DOC_TYPE,$I88,DOC_SCOPE,"All",DOC_ACTIVE,1)&gt;0,"",IFERROR(IF($E$4&lt;&gt;"",$E$4-$C$4,SETUP!$E$95-$C$4),60000)+ROW()/1000000))</f>
        <v/>
      </c>
      <c r="L88">
        <f>IF(TRACKER!$A90="","","Document")</f>
        <v/>
      </c>
      <c r="M88">
        <f>IF($L88="","",TRACKER!$E90&amp;"  -  "&amp;TRACKER!$A90)</f>
        <v/>
      </c>
      <c r="N88">
        <f>IF($L88="","",IF(TRACKER!$B90="Equipment",TRACKER!$D90,IF(TRACKER!$B90="System",TRACKER!$C90,"Whole contract")))</f>
        <v/>
      </c>
      <c r="O88">
        <f>IF($L88="","",TRACKER!$F90)</f>
        <v/>
      </c>
      <c r="P88">
        <f>IF($L88="","",TRACKER!$K90)</f>
        <v/>
      </c>
      <c r="Q88">
        <f>IF($L88="","",TRACKER!$N90)</f>
        <v/>
      </c>
      <c r="R88">
        <f>TRACKER!$Y90</f>
        <v/>
      </c>
      <c r="S88">
        <f>TRACKER!$Z90</f>
        <v/>
      </c>
      <c r="T88">
        <f>TRACKER!$X90</f>
        <v/>
      </c>
    </row>
    <row r="89">
      <c r="G89">
        <f>IF(OR(SETUP!$B$95="",$A$5="",$B$5&lt;&gt;"System"),"","System")</f>
        <v/>
      </c>
      <c r="H89">
        <f>IF($G89="","",SETUP!$B$95)</f>
        <v/>
      </c>
      <c r="I89">
        <f>IF($G89="","",$A$5)</f>
        <v/>
      </c>
      <c r="J89">
        <f>IF($G89="","",IF(COUNTIFS(DOC_TYPE,$I89,DOC_SYS,$H89,DOC_SCOPE,"System",DOC_ACTIVE,1)+COUNTIFS(DOC_TYPE,$I89,DOC_SCOPE,"All",DOC_ACTIVE,1)&gt;0,"",IFERROR(IF($E$5&lt;&gt;"",$E$5-$C$5,SETUP!$E$95-$C$5),60000)+ROW()/1000000))</f>
        <v/>
      </c>
      <c r="L89">
        <f>IF(TRACKER!$A91="","","Document")</f>
        <v/>
      </c>
      <c r="M89">
        <f>IF($L89="","",TRACKER!$E91&amp;"  -  "&amp;TRACKER!$A91)</f>
        <v/>
      </c>
      <c r="N89">
        <f>IF($L89="","",IF(TRACKER!$B91="Equipment",TRACKER!$D91,IF(TRACKER!$B91="System",TRACKER!$C91,"Whole contract")))</f>
        <v/>
      </c>
      <c r="O89">
        <f>IF($L89="","",TRACKER!$F91)</f>
        <v/>
      </c>
      <c r="P89">
        <f>IF($L89="","",TRACKER!$K91)</f>
        <v/>
      </c>
      <c r="Q89">
        <f>IF($L89="","",TRACKER!$N91)</f>
        <v/>
      </c>
      <c r="R89">
        <f>TRACKER!$Y91</f>
        <v/>
      </c>
      <c r="S89">
        <f>TRACKER!$Z91</f>
        <v/>
      </c>
      <c r="T89">
        <f>TRACKER!$X91</f>
        <v/>
      </c>
    </row>
    <row r="90">
      <c r="G90">
        <f>IF(OR(SETUP!$B$95="",$A$6="",$B$6&lt;&gt;"System"),"","System")</f>
        <v/>
      </c>
      <c r="H90">
        <f>IF($G90="","",SETUP!$B$95)</f>
        <v/>
      </c>
      <c r="I90">
        <f>IF($G90="","",$A$6)</f>
        <v/>
      </c>
      <c r="J90">
        <f>IF($G90="","",IF(COUNTIFS(DOC_TYPE,$I90,DOC_SYS,$H90,DOC_SCOPE,"System",DOC_ACTIVE,1)+COUNTIFS(DOC_TYPE,$I90,DOC_SCOPE,"All",DOC_ACTIVE,1)&gt;0,"",IFERROR(IF($E$6&lt;&gt;"",$E$6-$C$6,SETUP!$E$95-$C$6),60000)+ROW()/1000000))</f>
        <v/>
      </c>
      <c r="L90">
        <f>IF(TRACKER!$A92="","","Document")</f>
        <v/>
      </c>
      <c r="M90">
        <f>IF($L90="","",TRACKER!$E92&amp;"  -  "&amp;TRACKER!$A92)</f>
        <v/>
      </c>
      <c r="N90">
        <f>IF($L90="","",IF(TRACKER!$B92="Equipment",TRACKER!$D92,IF(TRACKER!$B92="System",TRACKER!$C92,"Whole contract")))</f>
        <v/>
      </c>
      <c r="O90">
        <f>IF($L90="","",TRACKER!$F92)</f>
        <v/>
      </c>
      <c r="P90">
        <f>IF($L90="","",TRACKER!$K92)</f>
        <v/>
      </c>
      <c r="Q90">
        <f>IF($L90="","",TRACKER!$N92)</f>
        <v/>
      </c>
      <c r="R90">
        <f>TRACKER!$Y92</f>
        <v/>
      </c>
      <c r="S90">
        <f>TRACKER!$Z92</f>
        <v/>
      </c>
      <c r="T90">
        <f>TRACKER!$X92</f>
        <v/>
      </c>
    </row>
    <row r="91">
      <c r="G91">
        <f>IF(OR(SETUP!$B$95="",$A$7="",$B$7&lt;&gt;"System"),"","System")</f>
        <v/>
      </c>
      <c r="H91">
        <f>IF($G91="","",SETUP!$B$95)</f>
        <v/>
      </c>
      <c r="I91">
        <f>IF($G91="","",$A$7)</f>
        <v/>
      </c>
      <c r="J91">
        <f>IF($G91="","",IF(COUNTIFS(DOC_TYPE,$I91,DOC_SYS,$H91,DOC_SCOPE,"System",DOC_ACTIVE,1)+COUNTIFS(DOC_TYPE,$I91,DOC_SCOPE,"All",DOC_ACTIVE,1)&gt;0,"",IFERROR(IF($E$7&lt;&gt;"",$E$7-$C$7,SETUP!$E$95-$C$7),60000)+ROW()/1000000))</f>
        <v/>
      </c>
      <c r="L91">
        <f>IF(TRACKER!$A93="","","Document")</f>
        <v/>
      </c>
      <c r="M91">
        <f>IF($L91="","",TRACKER!$E93&amp;"  -  "&amp;TRACKER!$A93)</f>
        <v/>
      </c>
      <c r="N91">
        <f>IF($L91="","",IF(TRACKER!$B93="Equipment",TRACKER!$D93,IF(TRACKER!$B93="System",TRACKER!$C93,"Whole contract")))</f>
        <v/>
      </c>
      <c r="O91">
        <f>IF($L91="","",TRACKER!$F93)</f>
        <v/>
      </c>
      <c r="P91">
        <f>IF($L91="","",TRACKER!$K93)</f>
        <v/>
      </c>
      <c r="Q91">
        <f>IF($L91="","",TRACKER!$N93)</f>
        <v/>
      </c>
      <c r="R91">
        <f>TRACKER!$Y93</f>
        <v/>
      </c>
      <c r="S91">
        <f>TRACKER!$Z93</f>
        <v/>
      </c>
      <c r="T91">
        <f>TRACKER!$X93</f>
        <v/>
      </c>
    </row>
    <row r="92">
      <c r="G92">
        <f>IF(OR(SETUP!$B$95="",$A$8="",$B$8&lt;&gt;"System"),"","System")</f>
        <v/>
      </c>
      <c r="H92">
        <f>IF($G92="","",SETUP!$B$95)</f>
        <v/>
      </c>
      <c r="I92">
        <f>IF($G92="","",$A$8)</f>
        <v/>
      </c>
      <c r="J92">
        <f>IF($G92="","",IF(COUNTIFS(DOC_TYPE,$I92,DOC_SYS,$H92,DOC_SCOPE,"System",DOC_ACTIVE,1)+COUNTIFS(DOC_TYPE,$I92,DOC_SCOPE,"All",DOC_ACTIVE,1)&gt;0,"",IFERROR(IF($E$8&lt;&gt;"",$E$8-$C$8,SETUP!$E$95-$C$8),60000)+ROW()/1000000))</f>
        <v/>
      </c>
      <c r="L92">
        <f>IF(TRACKER!$A94="","","Document")</f>
        <v/>
      </c>
      <c r="M92">
        <f>IF($L92="","",TRACKER!$E94&amp;"  -  "&amp;TRACKER!$A94)</f>
        <v/>
      </c>
      <c r="N92">
        <f>IF($L92="","",IF(TRACKER!$B94="Equipment",TRACKER!$D94,IF(TRACKER!$B94="System",TRACKER!$C94,"Whole contract")))</f>
        <v/>
      </c>
      <c r="O92">
        <f>IF($L92="","",TRACKER!$F94)</f>
        <v/>
      </c>
      <c r="P92">
        <f>IF($L92="","",TRACKER!$K94)</f>
        <v/>
      </c>
      <c r="Q92">
        <f>IF($L92="","",TRACKER!$N94)</f>
        <v/>
      </c>
      <c r="R92">
        <f>TRACKER!$Y94</f>
        <v/>
      </c>
      <c r="S92">
        <f>TRACKER!$Z94</f>
        <v/>
      </c>
      <c r="T92">
        <f>TRACKER!$X94</f>
        <v/>
      </c>
    </row>
    <row r="93">
      <c r="G93">
        <f>IF(OR(SETUP!$B$95="",$A$9="",$B$9&lt;&gt;"System"),"","System")</f>
        <v/>
      </c>
      <c r="H93">
        <f>IF($G93="","",SETUP!$B$95)</f>
        <v/>
      </c>
      <c r="I93">
        <f>IF($G93="","",$A$9)</f>
        <v/>
      </c>
      <c r="J93">
        <f>IF($G93="","",IF(COUNTIFS(DOC_TYPE,$I93,DOC_SYS,$H93,DOC_SCOPE,"System",DOC_ACTIVE,1)+COUNTIFS(DOC_TYPE,$I93,DOC_SCOPE,"All",DOC_ACTIVE,1)&gt;0,"",IFERROR(IF($E$9&lt;&gt;"",$E$9-$C$9,SETUP!$E$95-$C$9),60000)+ROW()/1000000))</f>
        <v/>
      </c>
      <c r="L93">
        <f>IF(TRACKER!$A95="","","Document")</f>
        <v/>
      </c>
      <c r="M93">
        <f>IF($L93="","",TRACKER!$E95&amp;"  -  "&amp;TRACKER!$A95)</f>
        <v/>
      </c>
      <c r="N93">
        <f>IF($L93="","",IF(TRACKER!$B95="Equipment",TRACKER!$D95,IF(TRACKER!$B95="System",TRACKER!$C95,"Whole contract")))</f>
        <v/>
      </c>
      <c r="O93">
        <f>IF($L93="","",TRACKER!$F95)</f>
        <v/>
      </c>
      <c r="P93">
        <f>IF($L93="","",TRACKER!$K95)</f>
        <v/>
      </c>
      <c r="Q93">
        <f>IF($L93="","",TRACKER!$N95)</f>
        <v/>
      </c>
      <c r="R93">
        <f>TRACKER!$Y95</f>
        <v/>
      </c>
      <c r="S93">
        <f>TRACKER!$Z95</f>
        <v/>
      </c>
      <c r="T93">
        <f>TRACKER!$X95</f>
        <v/>
      </c>
    </row>
    <row r="94">
      <c r="G94">
        <f>IF(OR(SETUP!$B$95="",$A$10="",$B$10&lt;&gt;"System"),"","System")</f>
        <v/>
      </c>
      <c r="H94">
        <f>IF($G94="","",SETUP!$B$95)</f>
        <v/>
      </c>
      <c r="I94">
        <f>IF($G94="","",$A$10)</f>
        <v/>
      </c>
      <c r="J94">
        <f>IF($G94="","",IF(COUNTIFS(DOC_TYPE,$I94,DOC_SYS,$H94,DOC_SCOPE,"System",DOC_ACTIVE,1)+COUNTIFS(DOC_TYPE,$I94,DOC_SCOPE,"All",DOC_ACTIVE,1)&gt;0,"",IFERROR(IF($E$10&lt;&gt;"",$E$10-$C$10,SETUP!$E$95-$C$10),60000)+ROW()/1000000))</f>
        <v/>
      </c>
      <c r="L94">
        <f>IF(TRACKER!$A96="","","Document")</f>
        <v/>
      </c>
      <c r="M94">
        <f>IF($L94="","",TRACKER!$E96&amp;"  -  "&amp;TRACKER!$A96)</f>
        <v/>
      </c>
      <c r="N94">
        <f>IF($L94="","",IF(TRACKER!$B96="Equipment",TRACKER!$D96,IF(TRACKER!$B96="System",TRACKER!$C96,"Whole contract")))</f>
        <v/>
      </c>
      <c r="O94">
        <f>IF($L94="","",TRACKER!$F96)</f>
        <v/>
      </c>
      <c r="P94">
        <f>IF($L94="","",TRACKER!$K96)</f>
        <v/>
      </c>
      <c r="Q94">
        <f>IF($L94="","",TRACKER!$N96)</f>
        <v/>
      </c>
      <c r="R94">
        <f>TRACKER!$Y96</f>
        <v/>
      </c>
      <c r="S94">
        <f>TRACKER!$Z96</f>
        <v/>
      </c>
      <c r="T94">
        <f>TRACKER!$X96</f>
        <v/>
      </c>
    </row>
    <row r="95">
      <c r="G95">
        <f>IF(OR(SETUP!$B$95="",$A$11="",$B$11&lt;&gt;"System"),"","System")</f>
        <v/>
      </c>
      <c r="H95">
        <f>IF($G95="","",SETUP!$B$95)</f>
        <v/>
      </c>
      <c r="I95">
        <f>IF($G95="","",$A$11)</f>
        <v/>
      </c>
      <c r="J95">
        <f>IF($G95="","",IF(COUNTIFS(DOC_TYPE,$I95,DOC_SYS,$H95,DOC_SCOPE,"System",DOC_ACTIVE,1)+COUNTIFS(DOC_TYPE,$I95,DOC_SCOPE,"All",DOC_ACTIVE,1)&gt;0,"",IFERROR(IF($E$11&lt;&gt;"",$E$11-$C$11,SETUP!$E$95-$C$11),60000)+ROW()/1000000))</f>
        <v/>
      </c>
      <c r="L95">
        <f>IF(TRACKER!$A97="","","Document")</f>
        <v/>
      </c>
      <c r="M95">
        <f>IF($L95="","",TRACKER!$E97&amp;"  -  "&amp;TRACKER!$A97)</f>
        <v/>
      </c>
      <c r="N95">
        <f>IF($L95="","",IF(TRACKER!$B97="Equipment",TRACKER!$D97,IF(TRACKER!$B97="System",TRACKER!$C97,"Whole contract")))</f>
        <v/>
      </c>
      <c r="O95">
        <f>IF($L95="","",TRACKER!$F97)</f>
        <v/>
      </c>
      <c r="P95">
        <f>IF($L95="","",TRACKER!$K97)</f>
        <v/>
      </c>
      <c r="Q95">
        <f>IF($L95="","",TRACKER!$N97)</f>
        <v/>
      </c>
      <c r="R95">
        <f>TRACKER!$Y97</f>
        <v/>
      </c>
      <c r="S95">
        <f>TRACKER!$Z97</f>
        <v/>
      </c>
      <c r="T95">
        <f>TRACKER!$X97</f>
        <v/>
      </c>
    </row>
    <row r="96">
      <c r="G96">
        <f>IF(OR(SETUP!$B$95="",$A$12="",$B$12&lt;&gt;"System"),"","System")</f>
        <v/>
      </c>
      <c r="H96">
        <f>IF($G96="","",SETUP!$B$95)</f>
        <v/>
      </c>
      <c r="I96">
        <f>IF($G96="","",$A$12)</f>
        <v/>
      </c>
      <c r="J96">
        <f>IF($G96="","",IF(COUNTIFS(DOC_TYPE,$I96,DOC_SYS,$H96,DOC_SCOPE,"System",DOC_ACTIVE,1)+COUNTIFS(DOC_TYPE,$I96,DOC_SCOPE,"All",DOC_ACTIVE,1)&gt;0,"",IFERROR(IF($E$12&lt;&gt;"",$E$12-$C$12,SETUP!$E$95-$C$12),60000)+ROW()/1000000))</f>
        <v/>
      </c>
      <c r="L96">
        <f>IF(TRACKER!$A98="","","Document")</f>
        <v/>
      </c>
      <c r="M96">
        <f>IF($L96="","",TRACKER!$E98&amp;"  -  "&amp;TRACKER!$A98)</f>
        <v/>
      </c>
      <c r="N96">
        <f>IF($L96="","",IF(TRACKER!$B98="Equipment",TRACKER!$D98,IF(TRACKER!$B98="System",TRACKER!$C98,"Whole contract")))</f>
        <v/>
      </c>
      <c r="O96">
        <f>IF($L96="","",TRACKER!$F98)</f>
        <v/>
      </c>
      <c r="P96">
        <f>IF($L96="","",TRACKER!$K98)</f>
        <v/>
      </c>
      <c r="Q96">
        <f>IF($L96="","",TRACKER!$N98)</f>
        <v/>
      </c>
      <c r="R96">
        <f>TRACKER!$Y98</f>
        <v/>
      </c>
      <c r="S96">
        <f>TRACKER!$Z98</f>
        <v/>
      </c>
      <c r="T96">
        <f>TRACKER!$X98</f>
        <v/>
      </c>
    </row>
    <row r="97">
      <c r="G97">
        <f>IF(OR(SETUP!$B$95="",$A$13="",$B$13&lt;&gt;"System"),"","System")</f>
        <v/>
      </c>
      <c r="H97">
        <f>IF($G97="","",SETUP!$B$95)</f>
        <v/>
      </c>
      <c r="I97">
        <f>IF($G97="","",$A$13)</f>
        <v/>
      </c>
      <c r="J97">
        <f>IF($G97="","",IF(COUNTIFS(DOC_TYPE,$I97,DOC_SYS,$H97,DOC_SCOPE,"System",DOC_ACTIVE,1)+COUNTIFS(DOC_TYPE,$I97,DOC_SCOPE,"All",DOC_ACTIVE,1)&gt;0,"",IFERROR(IF($E$13&lt;&gt;"",$E$13-$C$13,SETUP!$E$95-$C$13),60000)+ROW()/1000000))</f>
        <v/>
      </c>
      <c r="L97">
        <f>IF(TRACKER!$A99="","","Document")</f>
        <v/>
      </c>
      <c r="M97">
        <f>IF($L97="","",TRACKER!$E99&amp;"  -  "&amp;TRACKER!$A99)</f>
        <v/>
      </c>
      <c r="N97">
        <f>IF($L97="","",IF(TRACKER!$B99="Equipment",TRACKER!$D99,IF(TRACKER!$B99="System",TRACKER!$C99,"Whole contract")))</f>
        <v/>
      </c>
      <c r="O97">
        <f>IF($L97="","",TRACKER!$F99)</f>
        <v/>
      </c>
      <c r="P97">
        <f>IF($L97="","",TRACKER!$K99)</f>
        <v/>
      </c>
      <c r="Q97">
        <f>IF($L97="","",TRACKER!$N99)</f>
        <v/>
      </c>
      <c r="R97">
        <f>TRACKER!$Y99</f>
        <v/>
      </c>
      <c r="S97">
        <f>TRACKER!$Z99</f>
        <v/>
      </c>
      <c r="T97">
        <f>TRACKER!$X99</f>
        <v/>
      </c>
    </row>
    <row r="98">
      <c r="G98">
        <f>IF(OR(SETUP!$B$96="",$A$2="",$B$2&lt;&gt;"System"),"","System")</f>
        <v/>
      </c>
      <c r="H98">
        <f>IF($G98="","",SETUP!$B$96)</f>
        <v/>
      </c>
      <c r="I98">
        <f>IF($G98="","",$A$2)</f>
        <v/>
      </c>
      <c r="J98">
        <f>IF($G98="","",IF(COUNTIFS(DOC_TYPE,$I98,DOC_SYS,$H98,DOC_SCOPE,"System",DOC_ACTIVE,1)+COUNTIFS(DOC_TYPE,$I98,DOC_SCOPE,"All",DOC_ACTIVE,1)&gt;0,"",IFERROR(IF($E$2&lt;&gt;"",$E$2-$C$2,SETUP!$E$96-$C$2),60000)+ROW()/1000000))</f>
        <v/>
      </c>
      <c r="L98">
        <f>IF(TRACKER!$A100="","","Document")</f>
        <v/>
      </c>
      <c r="M98">
        <f>IF($L98="","",TRACKER!$E100&amp;"  -  "&amp;TRACKER!$A100)</f>
        <v/>
      </c>
      <c r="N98">
        <f>IF($L98="","",IF(TRACKER!$B100="Equipment",TRACKER!$D100,IF(TRACKER!$B100="System",TRACKER!$C100,"Whole contract")))</f>
        <v/>
      </c>
      <c r="O98">
        <f>IF($L98="","",TRACKER!$F100)</f>
        <v/>
      </c>
      <c r="P98">
        <f>IF($L98="","",TRACKER!$K100)</f>
        <v/>
      </c>
      <c r="Q98">
        <f>IF($L98="","",TRACKER!$N100)</f>
        <v/>
      </c>
      <c r="R98">
        <f>TRACKER!$Y100</f>
        <v/>
      </c>
      <c r="S98">
        <f>TRACKER!$Z100</f>
        <v/>
      </c>
      <c r="T98">
        <f>TRACKER!$X100</f>
        <v/>
      </c>
    </row>
    <row r="99">
      <c r="G99">
        <f>IF(OR(SETUP!$B$96="",$A$3="",$B$3&lt;&gt;"System"),"","System")</f>
        <v/>
      </c>
      <c r="H99">
        <f>IF($G99="","",SETUP!$B$96)</f>
        <v/>
      </c>
      <c r="I99">
        <f>IF($G99="","",$A$3)</f>
        <v/>
      </c>
      <c r="J99">
        <f>IF($G99="","",IF(COUNTIFS(DOC_TYPE,$I99,DOC_SYS,$H99,DOC_SCOPE,"System",DOC_ACTIVE,1)+COUNTIFS(DOC_TYPE,$I99,DOC_SCOPE,"All",DOC_ACTIVE,1)&gt;0,"",IFERROR(IF($E$3&lt;&gt;"",$E$3-$C$3,SETUP!$E$96-$C$3),60000)+ROW()/1000000))</f>
        <v/>
      </c>
      <c r="L99">
        <f>IF(TRACKER!$A101="","","Document")</f>
        <v/>
      </c>
      <c r="M99">
        <f>IF($L99="","",TRACKER!$E101&amp;"  -  "&amp;TRACKER!$A101)</f>
        <v/>
      </c>
      <c r="N99">
        <f>IF($L99="","",IF(TRACKER!$B101="Equipment",TRACKER!$D101,IF(TRACKER!$B101="System",TRACKER!$C101,"Whole contract")))</f>
        <v/>
      </c>
      <c r="O99">
        <f>IF($L99="","",TRACKER!$F101)</f>
        <v/>
      </c>
      <c r="P99">
        <f>IF($L99="","",TRACKER!$K101)</f>
        <v/>
      </c>
      <c r="Q99">
        <f>IF($L99="","",TRACKER!$N101)</f>
        <v/>
      </c>
      <c r="R99">
        <f>TRACKER!$Y101</f>
        <v/>
      </c>
      <c r="S99">
        <f>TRACKER!$Z101</f>
        <v/>
      </c>
      <c r="T99">
        <f>TRACKER!$X101</f>
        <v/>
      </c>
    </row>
    <row r="100">
      <c r="G100">
        <f>IF(OR(SETUP!$B$96="",$A$4="",$B$4&lt;&gt;"System"),"","System")</f>
        <v/>
      </c>
      <c r="H100">
        <f>IF($G100="","",SETUP!$B$96)</f>
        <v/>
      </c>
      <c r="I100">
        <f>IF($G100="","",$A$4)</f>
        <v/>
      </c>
      <c r="J100">
        <f>IF($G100="","",IF(COUNTIFS(DOC_TYPE,$I100,DOC_SYS,$H100,DOC_SCOPE,"System",DOC_ACTIVE,1)+COUNTIFS(DOC_TYPE,$I100,DOC_SCOPE,"All",DOC_ACTIVE,1)&gt;0,"",IFERROR(IF($E$4&lt;&gt;"",$E$4-$C$4,SETUP!$E$96-$C$4),60000)+ROW()/1000000))</f>
        <v/>
      </c>
      <c r="L100">
        <f>IF(TRACKER!$A102="","","Document")</f>
        <v/>
      </c>
      <c r="M100">
        <f>IF($L100="","",TRACKER!$E102&amp;"  -  "&amp;TRACKER!$A102)</f>
        <v/>
      </c>
      <c r="N100">
        <f>IF($L100="","",IF(TRACKER!$B102="Equipment",TRACKER!$D102,IF(TRACKER!$B102="System",TRACKER!$C102,"Whole contract")))</f>
        <v/>
      </c>
      <c r="O100">
        <f>IF($L100="","",TRACKER!$F102)</f>
        <v/>
      </c>
      <c r="P100">
        <f>IF($L100="","",TRACKER!$K102)</f>
        <v/>
      </c>
      <c r="Q100">
        <f>IF($L100="","",TRACKER!$N102)</f>
        <v/>
      </c>
      <c r="R100">
        <f>TRACKER!$Y102</f>
        <v/>
      </c>
      <c r="S100">
        <f>TRACKER!$Z102</f>
        <v/>
      </c>
      <c r="T100">
        <f>TRACKER!$X102</f>
        <v/>
      </c>
    </row>
    <row r="101">
      <c r="G101">
        <f>IF(OR(SETUP!$B$96="",$A$5="",$B$5&lt;&gt;"System"),"","System")</f>
        <v/>
      </c>
      <c r="H101">
        <f>IF($G101="","",SETUP!$B$96)</f>
        <v/>
      </c>
      <c r="I101">
        <f>IF($G101="","",$A$5)</f>
        <v/>
      </c>
      <c r="J101">
        <f>IF($G101="","",IF(COUNTIFS(DOC_TYPE,$I101,DOC_SYS,$H101,DOC_SCOPE,"System",DOC_ACTIVE,1)+COUNTIFS(DOC_TYPE,$I101,DOC_SCOPE,"All",DOC_ACTIVE,1)&gt;0,"",IFERROR(IF($E$5&lt;&gt;"",$E$5-$C$5,SETUP!$E$96-$C$5),60000)+ROW()/1000000))</f>
        <v/>
      </c>
      <c r="L101">
        <f>IF(TRACKER!$A103="","","Document")</f>
        <v/>
      </c>
      <c r="M101">
        <f>IF($L101="","",TRACKER!$E103&amp;"  -  "&amp;TRACKER!$A103)</f>
        <v/>
      </c>
      <c r="N101">
        <f>IF($L101="","",IF(TRACKER!$B103="Equipment",TRACKER!$D103,IF(TRACKER!$B103="System",TRACKER!$C103,"Whole contract")))</f>
        <v/>
      </c>
      <c r="O101">
        <f>IF($L101="","",TRACKER!$F103)</f>
        <v/>
      </c>
      <c r="P101">
        <f>IF($L101="","",TRACKER!$K103)</f>
        <v/>
      </c>
      <c r="Q101">
        <f>IF($L101="","",TRACKER!$N103)</f>
        <v/>
      </c>
      <c r="R101">
        <f>TRACKER!$Y103</f>
        <v/>
      </c>
      <c r="S101">
        <f>TRACKER!$Z103</f>
        <v/>
      </c>
      <c r="T101">
        <f>TRACKER!$X103</f>
        <v/>
      </c>
    </row>
    <row r="102">
      <c r="G102">
        <f>IF(OR(SETUP!$B$96="",$A$6="",$B$6&lt;&gt;"System"),"","System")</f>
        <v/>
      </c>
      <c r="H102">
        <f>IF($G102="","",SETUP!$B$96)</f>
        <v/>
      </c>
      <c r="I102">
        <f>IF($G102="","",$A$6)</f>
        <v/>
      </c>
      <c r="J102">
        <f>IF($G102="","",IF(COUNTIFS(DOC_TYPE,$I102,DOC_SYS,$H102,DOC_SCOPE,"System",DOC_ACTIVE,1)+COUNTIFS(DOC_TYPE,$I102,DOC_SCOPE,"All",DOC_ACTIVE,1)&gt;0,"",IFERROR(IF($E$6&lt;&gt;"",$E$6-$C$6,SETUP!$E$96-$C$6),60000)+ROW()/1000000))</f>
        <v/>
      </c>
      <c r="L102">
        <f>IF(TRACKER!$A104="","","Document")</f>
        <v/>
      </c>
      <c r="M102">
        <f>IF($L102="","",TRACKER!$E104&amp;"  -  "&amp;TRACKER!$A104)</f>
        <v/>
      </c>
      <c r="N102">
        <f>IF($L102="","",IF(TRACKER!$B104="Equipment",TRACKER!$D104,IF(TRACKER!$B104="System",TRACKER!$C104,"Whole contract")))</f>
        <v/>
      </c>
      <c r="O102">
        <f>IF($L102="","",TRACKER!$F104)</f>
        <v/>
      </c>
      <c r="P102">
        <f>IF($L102="","",TRACKER!$K104)</f>
        <v/>
      </c>
      <c r="Q102">
        <f>IF($L102="","",TRACKER!$N104)</f>
        <v/>
      </c>
      <c r="R102">
        <f>TRACKER!$Y104</f>
        <v/>
      </c>
      <c r="S102">
        <f>TRACKER!$Z104</f>
        <v/>
      </c>
      <c r="T102">
        <f>TRACKER!$X104</f>
        <v/>
      </c>
    </row>
    <row r="103">
      <c r="G103">
        <f>IF(OR(SETUP!$B$96="",$A$7="",$B$7&lt;&gt;"System"),"","System")</f>
        <v/>
      </c>
      <c r="H103">
        <f>IF($G103="","",SETUP!$B$96)</f>
        <v/>
      </c>
      <c r="I103">
        <f>IF($G103="","",$A$7)</f>
        <v/>
      </c>
      <c r="J103">
        <f>IF($G103="","",IF(COUNTIFS(DOC_TYPE,$I103,DOC_SYS,$H103,DOC_SCOPE,"System",DOC_ACTIVE,1)+COUNTIFS(DOC_TYPE,$I103,DOC_SCOPE,"All",DOC_ACTIVE,1)&gt;0,"",IFERROR(IF($E$7&lt;&gt;"",$E$7-$C$7,SETUP!$E$96-$C$7),60000)+ROW()/1000000))</f>
        <v/>
      </c>
      <c r="L103">
        <f>IF(TRACKER!$A105="","","Document")</f>
        <v/>
      </c>
      <c r="M103">
        <f>IF($L103="","",TRACKER!$E105&amp;"  -  "&amp;TRACKER!$A105)</f>
        <v/>
      </c>
      <c r="N103">
        <f>IF($L103="","",IF(TRACKER!$B105="Equipment",TRACKER!$D105,IF(TRACKER!$B105="System",TRACKER!$C105,"Whole contract")))</f>
        <v/>
      </c>
      <c r="O103">
        <f>IF($L103="","",TRACKER!$F105)</f>
        <v/>
      </c>
      <c r="P103">
        <f>IF($L103="","",TRACKER!$K105)</f>
        <v/>
      </c>
      <c r="Q103">
        <f>IF($L103="","",TRACKER!$N105)</f>
        <v/>
      </c>
      <c r="R103">
        <f>TRACKER!$Y105</f>
        <v/>
      </c>
      <c r="S103">
        <f>TRACKER!$Z105</f>
        <v/>
      </c>
      <c r="T103">
        <f>TRACKER!$X105</f>
        <v/>
      </c>
    </row>
    <row r="104">
      <c r="G104">
        <f>IF(OR(SETUP!$B$96="",$A$8="",$B$8&lt;&gt;"System"),"","System")</f>
        <v/>
      </c>
      <c r="H104">
        <f>IF($G104="","",SETUP!$B$96)</f>
        <v/>
      </c>
      <c r="I104">
        <f>IF($G104="","",$A$8)</f>
        <v/>
      </c>
      <c r="J104">
        <f>IF($G104="","",IF(COUNTIFS(DOC_TYPE,$I104,DOC_SYS,$H104,DOC_SCOPE,"System",DOC_ACTIVE,1)+COUNTIFS(DOC_TYPE,$I104,DOC_SCOPE,"All",DOC_ACTIVE,1)&gt;0,"",IFERROR(IF($E$8&lt;&gt;"",$E$8-$C$8,SETUP!$E$96-$C$8),60000)+ROW()/1000000))</f>
        <v/>
      </c>
      <c r="L104">
        <f>IF(TRACKER!$A106="","","Document")</f>
        <v/>
      </c>
      <c r="M104">
        <f>IF($L104="","",TRACKER!$E106&amp;"  -  "&amp;TRACKER!$A106)</f>
        <v/>
      </c>
      <c r="N104">
        <f>IF($L104="","",IF(TRACKER!$B106="Equipment",TRACKER!$D106,IF(TRACKER!$B106="System",TRACKER!$C106,"Whole contract")))</f>
        <v/>
      </c>
      <c r="O104">
        <f>IF($L104="","",TRACKER!$F106)</f>
        <v/>
      </c>
      <c r="P104">
        <f>IF($L104="","",TRACKER!$K106)</f>
        <v/>
      </c>
      <c r="Q104">
        <f>IF($L104="","",TRACKER!$N106)</f>
        <v/>
      </c>
      <c r="R104">
        <f>TRACKER!$Y106</f>
        <v/>
      </c>
      <c r="S104">
        <f>TRACKER!$Z106</f>
        <v/>
      </c>
      <c r="T104">
        <f>TRACKER!$X106</f>
        <v/>
      </c>
    </row>
    <row r="105">
      <c r="G105">
        <f>IF(OR(SETUP!$B$96="",$A$9="",$B$9&lt;&gt;"System"),"","System")</f>
        <v/>
      </c>
      <c r="H105">
        <f>IF($G105="","",SETUP!$B$96)</f>
        <v/>
      </c>
      <c r="I105">
        <f>IF($G105="","",$A$9)</f>
        <v/>
      </c>
      <c r="J105">
        <f>IF($G105="","",IF(COUNTIFS(DOC_TYPE,$I105,DOC_SYS,$H105,DOC_SCOPE,"System",DOC_ACTIVE,1)+COUNTIFS(DOC_TYPE,$I105,DOC_SCOPE,"All",DOC_ACTIVE,1)&gt;0,"",IFERROR(IF($E$9&lt;&gt;"",$E$9-$C$9,SETUP!$E$96-$C$9),60000)+ROW()/1000000))</f>
        <v/>
      </c>
      <c r="L105">
        <f>IF(TRACKER!$A107="","","Document")</f>
        <v/>
      </c>
      <c r="M105">
        <f>IF($L105="","",TRACKER!$E107&amp;"  -  "&amp;TRACKER!$A107)</f>
        <v/>
      </c>
      <c r="N105">
        <f>IF($L105="","",IF(TRACKER!$B107="Equipment",TRACKER!$D107,IF(TRACKER!$B107="System",TRACKER!$C107,"Whole contract")))</f>
        <v/>
      </c>
      <c r="O105">
        <f>IF($L105="","",TRACKER!$F107)</f>
        <v/>
      </c>
      <c r="P105">
        <f>IF($L105="","",TRACKER!$K107)</f>
        <v/>
      </c>
      <c r="Q105">
        <f>IF($L105="","",TRACKER!$N107)</f>
        <v/>
      </c>
      <c r="R105">
        <f>TRACKER!$Y107</f>
        <v/>
      </c>
      <c r="S105">
        <f>TRACKER!$Z107</f>
        <v/>
      </c>
      <c r="T105">
        <f>TRACKER!$X107</f>
        <v/>
      </c>
    </row>
    <row r="106">
      <c r="G106">
        <f>IF(OR(SETUP!$B$96="",$A$10="",$B$10&lt;&gt;"System"),"","System")</f>
        <v/>
      </c>
      <c r="H106">
        <f>IF($G106="","",SETUP!$B$96)</f>
        <v/>
      </c>
      <c r="I106">
        <f>IF($G106="","",$A$10)</f>
        <v/>
      </c>
      <c r="J106">
        <f>IF($G106="","",IF(COUNTIFS(DOC_TYPE,$I106,DOC_SYS,$H106,DOC_SCOPE,"System",DOC_ACTIVE,1)+COUNTIFS(DOC_TYPE,$I106,DOC_SCOPE,"All",DOC_ACTIVE,1)&gt;0,"",IFERROR(IF($E$10&lt;&gt;"",$E$10-$C$10,SETUP!$E$96-$C$10),60000)+ROW()/1000000))</f>
        <v/>
      </c>
      <c r="L106">
        <f>IF(TRACKER!$A108="","","Document")</f>
        <v/>
      </c>
      <c r="M106">
        <f>IF($L106="","",TRACKER!$E108&amp;"  -  "&amp;TRACKER!$A108)</f>
        <v/>
      </c>
      <c r="N106">
        <f>IF($L106="","",IF(TRACKER!$B108="Equipment",TRACKER!$D108,IF(TRACKER!$B108="System",TRACKER!$C108,"Whole contract")))</f>
        <v/>
      </c>
      <c r="O106">
        <f>IF($L106="","",TRACKER!$F108)</f>
        <v/>
      </c>
      <c r="P106">
        <f>IF($L106="","",TRACKER!$K108)</f>
        <v/>
      </c>
      <c r="Q106">
        <f>IF($L106="","",TRACKER!$N108)</f>
        <v/>
      </c>
      <c r="R106">
        <f>TRACKER!$Y108</f>
        <v/>
      </c>
      <c r="S106">
        <f>TRACKER!$Z108</f>
        <v/>
      </c>
      <c r="T106">
        <f>TRACKER!$X108</f>
        <v/>
      </c>
    </row>
    <row r="107">
      <c r="G107">
        <f>IF(OR(SETUP!$B$96="",$A$11="",$B$11&lt;&gt;"System"),"","System")</f>
        <v/>
      </c>
      <c r="H107">
        <f>IF($G107="","",SETUP!$B$96)</f>
        <v/>
      </c>
      <c r="I107">
        <f>IF($G107="","",$A$11)</f>
        <v/>
      </c>
      <c r="J107">
        <f>IF($G107="","",IF(COUNTIFS(DOC_TYPE,$I107,DOC_SYS,$H107,DOC_SCOPE,"System",DOC_ACTIVE,1)+COUNTIFS(DOC_TYPE,$I107,DOC_SCOPE,"All",DOC_ACTIVE,1)&gt;0,"",IFERROR(IF($E$11&lt;&gt;"",$E$11-$C$11,SETUP!$E$96-$C$11),60000)+ROW()/1000000))</f>
        <v/>
      </c>
      <c r="L107">
        <f>IF(TRACKER!$A109="","","Document")</f>
        <v/>
      </c>
      <c r="M107">
        <f>IF($L107="","",TRACKER!$E109&amp;"  -  "&amp;TRACKER!$A109)</f>
        <v/>
      </c>
      <c r="N107">
        <f>IF($L107="","",IF(TRACKER!$B109="Equipment",TRACKER!$D109,IF(TRACKER!$B109="System",TRACKER!$C109,"Whole contract")))</f>
        <v/>
      </c>
      <c r="O107">
        <f>IF($L107="","",TRACKER!$F109)</f>
        <v/>
      </c>
      <c r="P107">
        <f>IF($L107="","",TRACKER!$K109)</f>
        <v/>
      </c>
      <c r="Q107">
        <f>IF($L107="","",TRACKER!$N109)</f>
        <v/>
      </c>
      <c r="R107">
        <f>TRACKER!$Y109</f>
        <v/>
      </c>
      <c r="S107">
        <f>TRACKER!$Z109</f>
        <v/>
      </c>
      <c r="T107">
        <f>TRACKER!$X109</f>
        <v/>
      </c>
    </row>
    <row r="108">
      <c r="G108">
        <f>IF(OR(SETUP!$B$96="",$A$12="",$B$12&lt;&gt;"System"),"","System")</f>
        <v/>
      </c>
      <c r="H108">
        <f>IF($G108="","",SETUP!$B$96)</f>
        <v/>
      </c>
      <c r="I108">
        <f>IF($G108="","",$A$12)</f>
        <v/>
      </c>
      <c r="J108">
        <f>IF($G108="","",IF(COUNTIFS(DOC_TYPE,$I108,DOC_SYS,$H108,DOC_SCOPE,"System",DOC_ACTIVE,1)+COUNTIFS(DOC_TYPE,$I108,DOC_SCOPE,"All",DOC_ACTIVE,1)&gt;0,"",IFERROR(IF($E$12&lt;&gt;"",$E$12-$C$12,SETUP!$E$96-$C$12),60000)+ROW()/1000000))</f>
        <v/>
      </c>
      <c r="L108">
        <f>IF(TRACKER!$A110="","","Document")</f>
        <v/>
      </c>
      <c r="M108">
        <f>IF($L108="","",TRACKER!$E110&amp;"  -  "&amp;TRACKER!$A110)</f>
        <v/>
      </c>
      <c r="N108">
        <f>IF($L108="","",IF(TRACKER!$B110="Equipment",TRACKER!$D110,IF(TRACKER!$B110="System",TRACKER!$C110,"Whole contract")))</f>
        <v/>
      </c>
      <c r="O108">
        <f>IF($L108="","",TRACKER!$F110)</f>
        <v/>
      </c>
      <c r="P108">
        <f>IF($L108="","",TRACKER!$K110)</f>
        <v/>
      </c>
      <c r="Q108">
        <f>IF($L108="","",TRACKER!$N110)</f>
        <v/>
      </c>
      <c r="R108">
        <f>TRACKER!$Y110</f>
        <v/>
      </c>
      <c r="S108">
        <f>TRACKER!$Z110</f>
        <v/>
      </c>
      <c r="T108">
        <f>TRACKER!$X110</f>
        <v/>
      </c>
    </row>
    <row r="109">
      <c r="G109">
        <f>IF(OR(SETUP!$B$96="",$A$13="",$B$13&lt;&gt;"System"),"","System")</f>
        <v/>
      </c>
      <c r="H109">
        <f>IF($G109="","",SETUP!$B$96)</f>
        <v/>
      </c>
      <c r="I109">
        <f>IF($G109="","",$A$13)</f>
        <v/>
      </c>
      <c r="J109">
        <f>IF($G109="","",IF(COUNTIFS(DOC_TYPE,$I109,DOC_SYS,$H109,DOC_SCOPE,"System",DOC_ACTIVE,1)+COUNTIFS(DOC_TYPE,$I109,DOC_SCOPE,"All",DOC_ACTIVE,1)&gt;0,"",IFERROR(IF($E$13&lt;&gt;"",$E$13-$C$13,SETUP!$E$96-$C$13),60000)+ROW()/1000000))</f>
        <v/>
      </c>
      <c r="L109">
        <f>IF(TRACKER!$A111="","","Document")</f>
        <v/>
      </c>
      <c r="M109">
        <f>IF($L109="","",TRACKER!$E111&amp;"  -  "&amp;TRACKER!$A111)</f>
        <v/>
      </c>
      <c r="N109">
        <f>IF($L109="","",IF(TRACKER!$B111="Equipment",TRACKER!$D111,IF(TRACKER!$B111="System",TRACKER!$C111,"Whole contract")))</f>
        <v/>
      </c>
      <c r="O109">
        <f>IF($L109="","",TRACKER!$F111)</f>
        <v/>
      </c>
      <c r="P109">
        <f>IF($L109="","",TRACKER!$K111)</f>
        <v/>
      </c>
      <c r="Q109">
        <f>IF($L109="","",TRACKER!$N111)</f>
        <v/>
      </c>
      <c r="R109">
        <f>TRACKER!$Y111</f>
        <v/>
      </c>
      <c r="S109">
        <f>TRACKER!$Z111</f>
        <v/>
      </c>
      <c r="T109">
        <f>TRACKER!$X111</f>
        <v/>
      </c>
    </row>
    <row r="110">
      <c r="G110">
        <f>IF(OR(SETUP!$B$97="",$A$2="",$B$2&lt;&gt;"System"),"","System")</f>
        <v/>
      </c>
      <c r="H110">
        <f>IF($G110="","",SETUP!$B$97)</f>
        <v/>
      </c>
      <c r="I110">
        <f>IF($G110="","",$A$2)</f>
        <v/>
      </c>
      <c r="J110">
        <f>IF($G110="","",IF(COUNTIFS(DOC_TYPE,$I110,DOC_SYS,$H110,DOC_SCOPE,"System",DOC_ACTIVE,1)+COUNTIFS(DOC_TYPE,$I110,DOC_SCOPE,"All",DOC_ACTIVE,1)&gt;0,"",IFERROR(IF($E$2&lt;&gt;"",$E$2-$C$2,SETUP!$E$97-$C$2),60000)+ROW()/1000000))</f>
        <v/>
      </c>
      <c r="L110">
        <f>IF(TRACKER!$A112="","","Document")</f>
        <v/>
      </c>
      <c r="M110">
        <f>IF($L110="","",TRACKER!$E112&amp;"  -  "&amp;TRACKER!$A112)</f>
        <v/>
      </c>
      <c r="N110">
        <f>IF($L110="","",IF(TRACKER!$B112="Equipment",TRACKER!$D112,IF(TRACKER!$B112="System",TRACKER!$C112,"Whole contract")))</f>
        <v/>
      </c>
      <c r="O110">
        <f>IF($L110="","",TRACKER!$F112)</f>
        <v/>
      </c>
      <c r="P110">
        <f>IF($L110="","",TRACKER!$K112)</f>
        <v/>
      </c>
      <c r="Q110">
        <f>IF($L110="","",TRACKER!$N112)</f>
        <v/>
      </c>
      <c r="R110">
        <f>TRACKER!$Y112</f>
        <v/>
      </c>
      <c r="S110">
        <f>TRACKER!$Z112</f>
        <v/>
      </c>
      <c r="T110">
        <f>TRACKER!$X112</f>
        <v/>
      </c>
    </row>
    <row r="111">
      <c r="G111">
        <f>IF(OR(SETUP!$B$97="",$A$3="",$B$3&lt;&gt;"System"),"","System")</f>
        <v/>
      </c>
      <c r="H111">
        <f>IF($G111="","",SETUP!$B$97)</f>
        <v/>
      </c>
      <c r="I111">
        <f>IF($G111="","",$A$3)</f>
        <v/>
      </c>
      <c r="J111">
        <f>IF($G111="","",IF(COUNTIFS(DOC_TYPE,$I111,DOC_SYS,$H111,DOC_SCOPE,"System",DOC_ACTIVE,1)+COUNTIFS(DOC_TYPE,$I111,DOC_SCOPE,"All",DOC_ACTIVE,1)&gt;0,"",IFERROR(IF($E$3&lt;&gt;"",$E$3-$C$3,SETUP!$E$97-$C$3),60000)+ROW()/1000000))</f>
        <v/>
      </c>
      <c r="L111">
        <f>IF(TRACKER!$A113="","","Document")</f>
        <v/>
      </c>
      <c r="M111">
        <f>IF($L111="","",TRACKER!$E113&amp;"  -  "&amp;TRACKER!$A113)</f>
        <v/>
      </c>
      <c r="N111">
        <f>IF($L111="","",IF(TRACKER!$B113="Equipment",TRACKER!$D113,IF(TRACKER!$B113="System",TRACKER!$C113,"Whole contract")))</f>
        <v/>
      </c>
      <c r="O111">
        <f>IF($L111="","",TRACKER!$F113)</f>
        <v/>
      </c>
      <c r="P111">
        <f>IF($L111="","",TRACKER!$K113)</f>
        <v/>
      </c>
      <c r="Q111">
        <f>IF($L111="","",TRACKER!$N113)</f>
        <v/>
      </c>
      <c r="R111">
        <f>TRACKER!$Y113</f>
        <v/>
      </c>
      <c r="S111">
        <f>TRACKER!$Z113</f>
        <v/>
      </c>
      <c r="T111">
        <f>TRACKER!$X113</f>
        <v/>
      </c>
    </row>
    <row r="112">
      <c r="G112">
        <f>IF(OR(SETUP!$B$97="",$A$4="",$B$4&lt;&gt;"System"),"","System")</f>
        <v/>
      </c>
      <c r="H112">
        <f>IF($G112="","",SETUP!$B$97)</f>
        <v/>
      </c>
      <c r="I112">
        <f>IF($G112="","",$A$4)</f>
        <v/>
      </c>
      <c r="J112">
        <f>IF($G112="","",IF(COUNTIFS(DOC_TYPE,$I112,DOC_SYS,$H112,DOC_SCOPE,"System",DOC_ACTIVE,1)+COUNTIFS(DOC_TYPE,$I112,DOC_SCOPE,"All",DOC_ACTIVE,1)&gt;0,"",IFERROR(IF($E$4&lt;&gt;"",$E$4-$C$4,SETUP!$E$97-$C$4),60000)+ROW()/1000000))</f>
        <v/>
      </c>
      <c r="L112">
        <f>IF(TRACKER!$A114="","","Document")</f>
        <v/>
      </c>
      <c r="M112">
        <f>IF($L112="","",TRACKER!$E114&amp;"  -  "&amp;TRACKER!$A114)</f>
        <v/>
      </c>
      <c r="N112">
        <f>IF($L112="","",IF(TRACKER!$B114="Equipment",TRACKER!$D114,IF(TRACKER!$B114="System",TRACKER!$C114,"Whole contract")))</f>
        <v/>
      </c>
      <c r="O112">
        <f>IF($L112="","",TRACKER!$F114)</f>
        <v/>
      </c>
      <c r="P112">
        <f>IF($L112="","",TRACKER!$K114)</f>
        <v/>
      </c>
      <c r="Q112">
        <f>IF($L112="","",TRACKER!$N114)</f>
        <v/>
      </c>
      <c r="R112">
        <f>TRACKER!$Y114</f>
        <v/>
      </c>
      <c r="S112">
        <f>TRACKER!$Z114</f>
        <v/>
      </c>
      <c r="T112">
        <f>TRACKER!$X114</f>
        <v/>
      </c>
    </row>
    <row r="113">
      <c r="G113">
        <f>IF(OR(SETUP!$B$97="",$A$5="",$B$5&lt;&gt;"System"),"","System")</f>
        <v/>
      </c>
      <c r="H113">
        <f>IF($G113="","",SETUP!$B$97)</f>
        <v/>
      </c>
      <c r="I113">
        <f>IF($G113="","",$A$5)</f>
        <v/>
      </c>
      <c r="J113">
        <f>IF($G113="","",IF(COUNTIFS(DOC_TYPE,$I113,DOC_SYS,$H113,DOC_SCOPE,"System",DOC_ACTIVE,1)+COUNTIFS(DOC_TYPE,$I113,DOC_SCOPE,"All",DOC_ACTIVE,1)&gt;0,"",IFERROR(IF($E$5&lt;&gt;"",$E$5-$C$5,SETUP!$E$97-$C$5),60000)+ROW()/1000000))</f>
        <v/>
      </c>
      <c r="L113">
        <f>IF(TRACKER!$A115="","","Document")</f>
        <v/>
      </c>
      <c r="M113">
        <f>IF($L113="","",TRACKER!$E115&amp;"  -  "&amp;TRACKER!$A115)</f>
        <v/>
      </c>
      <c r="N113">
        <f>IF($L113="","",IF(TRACKER!$B115="Equipment",TRACKER!$D115,IF(TRACKER!$B115="System",TRACKER!$C115,"Whole contract")))</f>
        <v/>
      </c>
      <c r="O113">
        <f>IF($L113="","",TRACKER!$F115)</f>
        <v/>
      </c>
      <c r="P113">
        <f>IF($L113="","",TRACKER!$K115)</f>
        <v/>
      </c>
      <c r="Q113">
        <f>IF($L113="","",TRACKER!$N115)</f>
        <v/>
      </c>
      <c r="R113">
        <f>TRACKER!$Y115</f>
        <v/>
      </c>
      <c r="S113">
        <f>TRACKER!$Z115</f>
        <v/>
      </c>
      <c r="T113">
        <f>TRACKER!$X115</f>
        <v/>
      </c>
    </row>
    <row r="114">
      <c r="G114">
        <f>IF(OR(SETUP!$B$97="",$A$6="",$B$6&lt;&gt;"System"),"","System")</f>
        <v/>
      </c>
      <c r="H114">
        <f>IF($G114="","",SETUP!$B$97)</f>
        <v/>
      </c>
      <c r="I114">
        <f>IF($G114="","",$A$6)</f>
        <v/>
      </c>
      <c r="J114">
        <f>IF($G114="","",IF(COUNTIFS(DOC_TYPE,$I114,DOC_SYS,$H114,DOC_SCOPE,"System",DOC_ACTIVE,1)+COUNTIFS(DOC_TYPE,$I114,DOC_SCOPE,"All",DOC_ACTIVE,1)&gt;0,"",IFERROR(IF($E$6&lt;&gt;"",$E$6-$C$6,SETUP!$E$97-$C$6),60000)+ROW()/1000000))</f>
        <v/>
      </c>
      <c r="L114">
        <f>IF(TRACKER!$A116="","","Document")</f>
        <v/>
      </c>
      <c r="M114">
        <f>IF($L114="","",TRACKER!$E116&amp;"  -  "&amp;TRACKER!$A116)</f>
        <v/>
      </c>
      <c r="N114">
        <f>IF($L114="","",IF(TRACKER!$B116="Equipment",TRACKER!$D116,IF(TRACKER!$B116="System",TRACKER!$C116,"Whole contract")))</f>
        <v/>
      </c>
      <c r="O114">
        <f>IF($L114="","",TRACKER!$F116)</f>
        <v/>
      </c>
      <c r="P114">
        <f>IF($L114="","",TRACKER!$K116)</f>
        <v/>
      </c>
      <c r="Q114">
        <f>IF($L114="","",TRACKER!$N116)</f>
        <v/>
      </c>
      <c r="R114">
        <f>TRACKER!$Y116</f>
        <v/>
      </c>
      <c r="S114">
        <f>TRACKER!$Z116</f>
        <v/>
      </c>
      <c r="T114">
        <f>TRACKER!$X116</f>
        <v/>
      </c>
    </row>
    <row r="115">
      <c r="G115">
        <f>IF(OR(SETUP!$B$97="",$A$7="",$B$7&lt;&gt;"System"),"","System")</f>
        <v/>
      </c>
      <c r="H115">
        <f>IF($G115="","",SETUP!$B$97)</f>
        <v/>
      </c>
      <c r="I115">
        <f>IF($G115="","",$A$7)</f>
        <v/>
      </c>
      <c r="J115">
        <f>IF($G115="","",IF(COUNTIFS(DOC_TYPE,$I115,DOC_SYS,$H115,DOC_SCOPE,"System",DOC_ACTIVE,1)+COUNTIFS(DOC_TYPE,$I115,DOC_SCOPE,"All",DOC_ACTIVE,1)&gt;0,"",IFERROR(IF($E$7&lt;&gt;"",$E$7-$C$7,SETUP!$E$97-$C$7),60000)+ROW()/1000000))</f>
        <v/>
      </c>
      <c r="L115">
        <f>IF(TRACKER!$A117="","","Document")</f>
        <v/>
      </c>
      <c r="M115">
        <f>IF($L115="","",TRACKER!$E117&amp;"  -  "&amp;TRACKER!$A117)</f>
        <v/>
      </c>
      <c r="N115">
        <f>IF($L115="","",IF(TRACKER!$B117="Equipment",TRACKER!$D117,IF(TRACKER!$B117="System",TRACKER!$C117,"Whole contract")))</f>
        <v/>
      </c>
      <c r="O115">
        <f>IF($L115="","",TRACKER!$F117)</f>
        <v/>
      </c>
      <c r="P115">
        <f>IF($L115="","",TRACKER!$K117)</f>
        <v/>
      </c>
      <c r="Q115">
        <f>IF($L115="","",TRACKER!$N117)</f>
        <v/>
      </c>
      <c r="R115">
        <f>TRACKER!$Y117</f>
        <v/>
      </c>
      <c r="S115">
        <f>TRACKER!$Z117</f>
        <v/>
      </c>
      <c r="T115">
        <f>TRACKER!$X117</f>
        <v/>
      </c>
    </row>
    <row r="116">
      <c r="G116">
        <f>IF(OR(SETUP!$B$97="",$A$8="",$B$8&lt;&gt;"System"),"","System")</f>
        <v/>
      </c>
      <c r="H116">
        <f>IF($G116="","",SETUP!$B$97)</f>
        <v/>
      </c>
      <c r="I116">
        <f>IF($G116="","",$A$8)</f>
        <v/>
      </c>
      <c r="J116">
        <f>IF($G116="","",IF(COUNTIFS(DOC_TYPE,$I116,DOC_SYS,$H116,DOC_SCOPE,"System",DOC_ACTIVE,1)+COUNTIFS(DOC_TYPE,$I116,DOC_SCOPE,"All",DOC_ACTIVE,1)&gt;0,"",IFERROR(IF($E$8&lt;&gt;"",$E$8-$C$8,SETUP!$E$97-$C$8),60000)+ROW()/1000000))</f>
        <v/>
      </c>
      <c r="L116">
        <f>IF(TRACKER!$A118="","","Document")</f>
        <v/>
      </c>
      <c r="M116">
        <f>IF($L116="","",TRACKER!$E118&amp;"  -  "&amp;TRACKER!$A118)</f>
        <v/>
      </c>
      <c r="N116">
        <f>IF($L116="","",IF(TRACKER!$B118="Equipment",TRACKER!$D118,IF(TRACKER!$B118="System",TRACKER!$C118,"Whole contract")))</f>
        <v/>
      </c>
      <c r="O116">
        <f>IF($L116="","",TRACKER!$F118)</f>
        <v/>
      </c>
      <c r="P116">
        <f>IF($L116="","",TRACKER!$K118)</f>
        <v/>
      </c>
      <c r="Q116">
        <f>IF($L116="","",TRACKER!$N118)</f>
        <v/>
      </c>
      <c r="R116">
        <f>TRACKER!$Y118</f>
        <v/>
      </c>
      <c r="S116">
        <f>TRACKER!$Z118</f>
        <v/>
      </c>
      <c r="T116">
        <f>TRACKER!$X118</f>
        <v/>
      </c>
    </row>
    <row r="117">
      <c r="G117">
        <f>IF(OR(SETUP!$B$97="",$A$9="",$B$9&lt;&gt;"System"),"","System")</f>
        <v/>
      </c>
      <c r="H117">
        <f>IF($G117="","",SETUP!$B$97)</f>
        <v/>
      </c>
      <c r="I117">
        <f>IF($G117="","",$A$9)</f>
        <v/>
      </c>
      <c r="J117">
        <f>IF($G117="","",IF(COUNTIFS(DOC_TYPE,$I117,DOC_SYS,$H117,DOC_SCOPE,"System",DOC_ACTIVE,1)+COUNTIFS(DOC_TYPE,$I117,DOC_SCOPE,"All",DOC_ACTIVE,1)&gt;0,"",IFERROR(IF($E$9&lt;&gt;"",$E$9-$C$9,SETUP!$E$97-$C$9),60000)+ROW()/1000000))</f>
        <v/>
      </c>
      <c r="L117">
        <f>IF(TRACKER!$A119="","","Document")</f>
        <v/>
      </c>
      <c r="M117">
        <f>IF($L117="","",TRACKER!$E119&amp;"  -  "&amp;TRACKER!$A119)</f>
        <v/>
      </c>
      <c r="N117">
        <f>IF($L117="","",IF(TRACKER!$B119="Equipment",TRACKER!$D119,IF(TRACKER!$B119="System",TRACKER!$C119,"Whole contract")))</f>
        <v/>
      </c>
      <c r="O117">
        <f>IF($L117="","",TRACKER!$F119)</f>
        <v/>
      </c>
      <c r="P117">
        <f>IF($L117="","",TRACKER!$K119)</f>
        <v/>
      </c>
      <c r="Q117">
        <f>IF($L117="","",TRACKER!$N119)</f>
        <v/>
      </c>
      <c r="R117">
        <f>TRACKER!$Y119</f>
        <v/>
      </c>
      <c r="S117">
        <f>TRACKER!$Z119</f>
        <v/>
      </c>
      <c r="T117">
        <f>TRACKER!$X119</f>
        <v/>
      </c>
    </row>
    <row r="118">
      <c r="G118">
        <f>IF(OR(SETUP!$B$97="",$A$10="",$B$10&lt;&gt;"System"),"","System")</f>
        <v/>
      </c>
      <c r="H118">
        <f>IF($G118="","",SETUP!$B$97)</f>
        <v/>
      </c>
      <c r="I118">
        <f>IF($G118="","",$A$10)</f>
        <v/>
      </c>
      <c r="J118">
        <f>IF($G118="","",IF(COUNTIFS(DOC_TYPE,$I118,DOC_SYS,$H118,DOC_SCOPE,"System",DOC_ACTIVE,1)+COUNTIFS(DOC_TYPE,$I118,DOC_SCOPE,"All",DOC_ACTIVE,1)&gt;0,"",IFERROR(IF($E$10&lt;&gt;"",$E$10-$C$10,SETUP!$E$97-$C$10),60000)+ROW()/1000000))</f>
        <v/>
      </c>
      <c r="L118">
        <f>IF(TRACKER!$A120="","","Document")</f>
        <v/>
      </c>
      <c r="M118">
        <f>IF($L118="","",TRACKER!$E120&amp;"  -  "&amp;TRACKER!$A120)</f>
        <v/>
      </c>
      <c r="N118">
        <f>IF($L118="","",IF(TRACKER!$B120="Equipment",TRACKER!$D120,IF(TRACKER!$B120="System",TRACKER!$C120,"Whole contract")))</f>
        <v/>
      </c>
      <c r="O118">
        <f>IF($L118="","",TRACKER!$F120)</f>
        <v/>
      </c>
      <c r="P118">
        <f>IF($L118="","",TRACKER!$K120)</f>
        <v/>
      </c>
      <c r="Q118">
        <f>IF($L118="","",TRACKER!$N120)</f>
        <v/>
      </c>
      <c r="R118">
        <f>TRACKER!$Y120</f>
        <v/>
      </c>
      <c r="S118">
        <f>TRACKER!$Z120</f>
        <v/>
      </c>
      <c r="T118">
        <f>TRACKER!$X120</f>
        <v/>
      </c>
    </row>
    <row r="119">
      <c r="G119">
        <f>IF(OR(SETUP!$B$97="",$A$11="",$B$11&lt;&gt;"System"),"","System")</f>
        <v/>
      </c>
      <c r="H119">
        <f>IF($G119="","",SETUP!$B$97)</f>
        <v/>
      </c>
      <c r="I119">
        <f>IF($G119="","",$A$11)</f>
        <v/>
      </c>
      <c r="J119">
        <f>IF($G119="","",IF(COUNTIFS(DOC_TYPE,$I119,DOC_SYS,$H119,DOC_SCOPE,"System",DOC_ACTIVE,1)+COUNTIFS(DOC_TYPE,$I119,DOC_SCOPE,"All",DOC_ACTIVE,1)&gt;0,"",IFERROR(IF($E$11&lt;&gt;"",$E$11-$C$11,SETUP!$E$97-$C$11),60000)+ROW()/1000000))</f>
        <v/>
      </c>
      <c r="L119">
        <f>IF(TRACKER!$A121="","","Document")</f>
        <v/>
      </c>
      <c r="M119">
        <f>IF($L119="","",TRACKER!$E121&amp;"  -  "&amp;TRACKER!$A121)</f>
        <v/>
      </c>
      <c r="N119">
        <f>IF($L119="","",IF(TRACKER!$B121="Equipment",TRACKER!$D121,IF(TRACKER!$B121="System",TRACKER!$C121,"Whole contract")))</f>
        <v/>
      </c>
      <c r="O119">
        <f>IF($L119="","",TRACKER!$F121)</f>
        <v/>
      </c>
      <c r="P119">
        <f>IF($L119="","",TRACKER!$K121)</f>
        <v/>
      </c>
      <c r="Q119">
        <f>IF($L119="","",TRACKER!$N121)</f>
        <v/>
      </c>
      <c r="R119">
        <f>TRACKER!$Y121</f>
        <v/>
      </c>
      <c r="S119">
        <f>TRACKER!$Z121</f>
        <v/>
      </c>
      <c r="T119">
        <f>TRACKER!$X121</f>
        <v/>
      </c>
    </row>
    <row r="120">
      <c r="G120">
        <f>IF(OR(SETUP!$B$97="",$A$12="",$B$12&lt;&gt;"System"),"","System")</f>
        <v/>
      </c>
      <c r="H120">
        <f>IF($G120="","",SETUP!$B$97)</f>
        <v/>
      </c>
      <c r="I120">
        <f>IF($G120="","",$A$12)</f>
        <v/>
      </c>
      <c r="J120">
        <f>IF($G120="","",IF(COUNTIFS(DOC_TYPE,$I120,DOC_SYS,$H120,DOC_SCOPE,"System",DOC_ACTIVE,1)+COUNTIFS(DOC_TYPE,$I120,DOC_SCOPE,"All",DOC_ACTIVE,1)&gt;0,"",IFERROR(IF($E$12&lt;&gt;"",$E$12-$C$12,SETUP!$E$97-$C$12),60000)+ROW()/1000000))</f>
        <v/>
      </c>
      <c r="L120">
        <f>IF(TRACKER!$A122="","","Document")</f>
        <v/>
      </c>
      <c r="M120">
        <f>IF($L120="","",TRACKER!$E122&amp;"  -  "&amp;TRACKER!$A122)</f>
        <v/>
      </c>
      <c r="N120">
        <f>IF($L120="","",IF(TRACKER!$B122="Equipment",TRACKER!$D122,IF(TRACKER!$B122="System",TRACKER!$C122,"Whole contract")))</f>
        <v/>
      </c>
      <c r="O120">
        <f>IF($L120="","",TRACKER!$F122)</f>
        <v/>
      </c>
      <c r="P120">
        <f>IF($L120="","",TRACKER!$K122)</f>
        <v/>
      </c>
      <c r="Q120">
        <f>IF($L120="","",TRACKER!$N122)</f>
        <v/>
      </c>
      <c r="R120">
        <f>TRACKER!$Y122</f>
        <v/>
      </c>
      <c r="S120">
        <f>TRACKER!$Z122</f>
        <v/>
      </c>
      <c r="T120">
        <f>TRACKER!$X122</f>
        <v/>
      </c>
    </row>
    <row r="121">
      <c r="G121">
        <f>IF(OR(SETUP!$B$97="",$A$13="",$B$13&lt;&gt;"System"),"","System")</f>
        <v/>
      </c>
      <c r="H121">
        <f>IF($G121="","",SETUP!$B$97)</f>
        <v/>
      </c>
      <c r="I121">
        <f>IF($G121="","",$A$13)</f>
        <v/>
      </c>
      <c r="J121">
        <f>IF($G121="","",IF(COUNTIFS(DOC_TYPE,$I121,DOC_SYS,$H121,DOC_SCOPE,"System",DOC_ACTIVE,1)+COUNTIFS(DOC_TYPE,$I121,DOC_SCOPE,"All",DOC_ACTIVE,1)&gt;0,"",IFERROR(IF($E$13&lt;&gt;"",$E$13-$C$13,SETUP!$E$97-$C$13),60000)+ROW()/1000000))</f>
        <v/>
      </c>
      <c r="L121">
        <f>IF(TRACKER!$A123="","","Document")</f>
        <v/>
      </c>
      <c r="M121">
        <f>IF($L121="","",TRACKER!$E123&amp;"  -  "&amp;TRACKER!$A123)</f>
        <v/>
      </c>
      <c r="N121">
        <f>IF($L121="","",IF(TRACKER!$B123="Equipment",TRACKER!$D123,IF(TRACKER!$B123="System",TRACKER!$C123,"Whole contract")))</f>
        <v/>
      </c>
      <c r="O121">
        <f>IF($L121="","",TRACKER!$F123)</f>
        <v/>
      </c>
      <c r="P121">
        <f>IF($L121="","",TRACKER!$K123)</f>
        <v/>
      </c>
      <c r="Q121">
        <f>IF($L121="","",TRACKER!$N123)</f>
        <v/>
      </c>
      <c r="R121">
        <f>TRACKER!$Y123</f>
        <v/>
      </c>
      <c r="S121">
        <f>TRACKER!$Z123</f>
        <v/>
      </c>
      <c r="T121">
        <f>TRACKER!$X123</f>
        <v/>
      </c>
    </row>
    <row r="122">
      <c r="G122">
        <f>IF(OR(SETUP!$B$98="",$A$2="",$B$2&lt;&gt;"System"),"","System")</f>
        <v/>
      </c>
      <c r="H122">
        <f>IF($G122="","",SETUP!$B$98)</f>
        <v/>
      </c>
      <c r="I122">
        <f>IF($G122="","",$A$2)</f>
        <v/>
      </c>
      <c r="J122">
        <f>IF($G122="","",IF(COUNTIFS(DOC_TYPE,$I122,DOC_SYS,$H122,DOC_SCOPE,"System",DOC_ACTIVE,1)+COUNTIFS(DOC_TYPE,$I122,DOC_SCOPE,"All",DOC_ACTIVE,1)&gt;0,"",IFERROR(IF($E$2&lt;&gt;"",$E$2-$C$2,SETUP!$E$98-$C$2),60000)+ROW()/1000000))</f>
        <v/>
      </c>
      <c r="L122">
        <f>IF(TRACKER!$A124="","","Document")</f>
        <v/>
      </c>
      <c r="M122">
        <f>IF($L122="","",TRACKER!$E124&amp;"  -  "&amp;TRACKER!$A124)</f>
        <v/>
      </c>
      <c r="N122">
        <f>IF($L122="","",IF(TRACKER!$B124="Equipment",TRACKER!$D124,IF(TRACKER!$B124="System",TRACKER!$C124,"Whole contract")))</f>
        <v/>
      </c>
      <c r="O122">
        <f>IF($L122="","",TRACKER!$F124)</f>
        <v/>
      </c>
      <c r="P122">
        <f>IF($L122="","",TRACKER!$K124)</f>
        <v/>
      </c>
      <c r="Q122">
        <f>IF($L122="","",TRACKER!$N124)</f>
        <v/>
      </c>
      <c r="R122">
        <f>TRACKER!$Y124</f>
        <v/>
      </c>
      <c r="S122">
        <f>TRACKER!$Z124</f>
        <v/>
      </c>
      <c r="T122">
        <f>TRACKER!$X124</f>
        <v/>
      </c>
    </row>
    <row r="123">
      <c r="G123">
        <f>IF(OR(SETUP!$B$98="",$A$3="",$B$3&lt;&gt;"System"),"","System")</f>
        <v/>
      </c>
      <c r="H123">
        <f>IF($G123="","",SETUP!$B$98)</f>
        <v/>
      </c>
      <c r="I123">
        <f>IF($G123="","",$A$3)</f>
        <v/>
      </c>
      <c r="J123">
        <f>IF($G123="","",IF(COUNTIFS(DOC_TYPE,$I123,DOC_SYS,$H123,DOC_SCOPE,"System",DOC_ACTIVE,1)+COUNTIFS(DOC_TYPE,$I123,DOC_SCOPE,"All",DOC_ACTIVE,1)&gt;0,"",IFERROR(IF($E$3&lt;&gt;"",$E$3-$C$3,SETUP!$E$98-$C$3),60000)+ROW()/1000000))</f>
        <v/>
      </c>
      <c r="L123">
        <f>IF(TRACKER!$A125="","","Document")</f>
        <v/>
      </c>
      <c r="M123">
        <f>IF($L123="","",TRACKER!$E125&amp;"  -  "&amp;TRACKER!$A125)</f>
        <v/>
      </c>
      <c r="N123">
        <f>IF($L123="","",IF(TRACKER!$B125="Equipment",TRACKER!$D125,IF(TRACKER!$B125="System",TRACKER!$C125,"Whole contract")))</f>
        <v/>
      </c>
      <c r="O123">
        <f>IF($L123="","",TRACKER!$F125)</f>
        <v/>
      </c>
      <c r="P123">
        <f>IF($L123="","",TRACKER!$K125)</f>
        <v/>
      </c>
      <c r="Q123">
        <f>IF($L123="","",TRACKER!$N125)</f>
        <v/>
      </c>
      <c r="R123">
        <f>TRACKER!$Y125</f>
        <v/>
      </c>
      <c r="S123">
        <f>TRACKER!$Z125</f>
        <v/>
      </c>
      <c r="T123">
        <f>TRACKER!$X125</f>
        <v/>
      </c>
    </row>
    <row r="124">
      <c r="G124">
        <f>IF(OR(SETUP!$B$98="",$A$4="",$B$4&lt;&gt;"System"),"","System")</f>
        <v/>
      </c>
      <c r="H124">
        <f>IF($G124="","",SETUP!$B$98)</f>
        <v/>
      </c>
      <c r="I124">
        <f>IF($G124="","",$A$4)</f>
        <v/>
      </c>
      <c r="J124">
        <f>IF($G124="","",IF(COUNTIFS(DOC_TYPE,$I124,DOC_SYS,$H124,DOC_SCOPE,"System",DOC_ACTIVE,1)+COUNTIFS(DOC_TYPE,$I124,DOC_SCOPE,"All",DOC_ACTIVE,1)&gt;0,"",IFERROR(IF($E$4&lt;&gt;"",$E$4-$C$4,SETUP!$E$98-$C$4),60000)+ROW()/1000000))</f>
        <v/>
      </c>
      <c r="L124">
        <f>IF(TRACKER!$A126="","","Document")</f>
        <v/>
      </c>
      <c r="M124">
        <f>IF($L124="","",TRACKER!$E126&amp;"  -  "&amp;TRACKER!$A126)</f>
        <v/>
      </c>
      <c r="N124">
        <f>IF($L124="","",IF(TRACKER!$B126="Equipment",TRACKER!$D126,IF(TRACKER!$B126="System",TRACKER!$C126,"Whole contract")))</f>
        <v/>
      </c>
      <c r="O124">
        <f>IF($L124="","",TRACKER!$F126)</f>
        <v/>
      </c>
      <c r="P124">
        <f>IF($L124="","",TRACKER!$K126)</f>
        <v/>
      </c>
      <c r="Q124">
        <f>IF($L124="","",TRACKER!$N126)</f>
        <v/>
      </c>
      <c r="R124">
        <f>TRACKER!$Y126</f>
        <v/>
      </c>
      <c r="S124">
        <f>TRACKER!$Z126</f>
        <v/>
      </c>
      <c r="T124">
        <f>TRACKER!$X126</f>
        <v/>
      </c>
    </row>
    <row r="125">
      <c r="G125">
        <f>IF(OR(SETUP!$B$98="",$A$5="",$B$5&lt;&gt;"System"),"","System")</f>
        <v/>
      </c>
      <c r="H125">
        <f>IF($G125="","",SETUP!$B$98)</f>
        <v/>
      </c>
      <c r="I125">
        <f>IF($G125="","",$A$5)</f>
        <v/>
      </c>
      <c r="J125">
        <f>IF($G125="","",IF(COUNTIFS(DOC_TYPE,$I125,DOC_SYS,$H125,DOC_SCOPE,"System",DOC_ACTIVE,1)+COUNTIFS(DOC_TYPE,$I125,DOC_SCOPE,"All",DOC_ACTIVE,1)&gt;0,"",IFERROR(IF($E$5&lt;&gt;"",$E$5-$C$5,SETUP!$E$98-$C$5),60000)+ROW()/1000000))</f>
        <v/>
      </c>
      <c r="L125">
        <f>IF(TRACKER!$A127="","","Document")</f>
        <v/>
      </c>
      <c r="M125">
        <f>IF($L125="","",TRACKER!$E127&amp;"  -  "&amp;TRACKER!$A127)</f>
        <v/>
      </c>
      <c r="N125">
        <f>IF($L125="","",IF(TRACKER!$B127="Equipment",TRACKER!$D127,IF(TRACKER!$B127="System",TRACKER!$C127,"Whole contract")))</f>
        <v/>
      </c>
      <c r="O125">
        <f>IF($L125="","",TRACKER!$F127)</f>
        <v/>
      </c>
      <c r="P125">
        <f>IF($L125="","",TRACKER!$K127)</f>
        <v/>
      </c>
      <c r="Q125">
        <f>IF($L125="","",TRACKER!$N127)</f>
        <v/>
      </c>
      <c r="R125">
        <f>TRACKER!$Y127</f>
        <v/>
      </c>
      <c r="S125">
        <f>TRACKER!$Z127</f>
        <v/>
      </c>
      <c r="T125">
        <f>TRACKER!$X127</f>
        <v/>
      </c>
    </row>
    <row r="126">
      <c r="G126">
        <f>IF(OR(SETUP!$B$98="",$A$6="",$B$6&lt;&gt;"System"),"","System")</f>
        <v/>
      </c>
      <c r="H126">
        <f>IF($G126="","",SETUP!$B$98)</f>
        <v/>
      </c>
      <c r="I126">
        <f>IF($G126="","",$A$6)</f>
        <v/>
      </c>
      <c r="J126">
        <f>IF($G126="","",IF(COUNTIFS(DOC_TYPE,$I126,DOC_SYS,$H126,DOC_SCOPE,"System",DOC_ACTIVE,1)+COUNTIFS(DOC_TYPE,$I126,DOC_SCOPE,"All",DOC_ACTIVE,1)&gt;0,"",IFERROR(IF($E$6&lt;&gt;"",$E$6-$C$6,SETUP!$E$98-$C$6),60000)+ROW()/1000000))</f>
        <v/>
      </c>
      <c r="L126">
        <f>IF(TRACKER!$A128="","","Document")</f>
        <v/>
      </c>
      <c r="M126">
        <f>IF($L126="","",TRACKER!$E128&amp;"  -  "&amp;TRACKER!$A128)</f>
        <v/>
      </c>
      <c r="N126">
        <f>IF($L126="","",IF(TRACKER!$B128="Equipment",TRACKER!$D128,IF(TRACKER!$B128="System",TRACKER!$C128,"Whole contract")))</f>
        <v/>
      </c>
      <c r="O126">
        <f>IF($L126="","",TRACKER!$F128)</f>
        <v/>
      </c>
      <c r="P126">
        <f>IF($L126="","",TRACKER!$K128)</f>
        <v/>
      </c>
      <c r="Q126">
        <f>IF($L126="","",TRACKER!$N128)</f>
        <v/>
      </c>
      <c r="R126">
        <f>TRACKER!$Y128</f>
        <v/>
      </c>
      <c r="S126">
        <f>TRACKER!$Z128</f>
        <v/>
      </c>
      <c r="T126">
        <f>TRACKER!$X128</f>
        <v/>
      </c>
    </row>
    <row r="127">
      <c r="G127">
        <f>IF(OR(SETUP!$B$98="",$A$7="",$B$7&lt;&gt;"System"),"","System")</f>
        <v/>
      </c>
      <c r="H127">
        <f>IF($G127="","",SETUP!$B$98)</f>
        <v/>
      </c>
      <c r="I127">
        <f>IF($G127="","",$A$7)</f>
        <v/>
      </c>
      <c r="J127">
        <f>IF($G127="","",IF(COUNTIFS(DOC_TYPE,$I127,DOC_SYS,$H127,DOC_SCOPE,"System",DOC_ACTIVE,1)+COUNTIFS(DOC_TYPE,$I127,DOC_SCOPE,"All",DOC_ACTIVE,1)&gt;0,"",IFERROR(IF($E$7&lt;&gt;"",$E$7-$C$7,SETUP!$E$98-$C$7),60000)+ROW()/1000000))</f>
        <v/>
      </c>
      <c r="L127">
        <f>IF(TRACKER!$A129="","","Document")</f>
        <v/>
      </c>
      <c r="M127">
        <f>IF($L127="","",TRACKER!$E129&amp;"  -  "&amp;TRACKER!$A129)</f>
        <v/>
      </c>
      <c r="N127">
        <f>IF($L127="","",IF(TRACKER!$B129="Equipment",TRACKER!$D129,IF(TRACKER!$B129="System",TRACKER!$C129,"Whole contract")))</f>
        <v/>
      </c>
      <c r="O127">
        <f>IF($L127="","",TRACKER!$F129)</f>
        <v/>
      </c>
      <c r="P127">
        <f>IF($L127="","",TRACKER!$K129)</f>
        <v/>
      </c>
      <c r="Q127">
        <f>IF($L127="","",TRACKER!$N129)</f>
        <v/>
      </c>
      <c r="R127">
        <f>TRACKER!$Y129</f>
        <v/>
      </c>
      <c r="S127">
        <f>TRACKER!$Z129</f>
        <v/>
      </c>
      <c r="T127">
        <f>TRACKER!$X129</f>
        <v/>
      </c>
    </row>
    <row r="128">
      <c r="G128">
        <f>IF(OR(SETUP!$B$98="",$A$8="",$B$8&lt;&gt;"System"),"","System")</f>
        <v/>
      </c>
      <c r="H128">
        <f>IF($G128="","",SETUP!$B$98)</f>
        <v/>
      </c>
      <c r="I128">
        <f>IF($G128="","",$A$8)</f>
        <v/>
      </c>
      <c r="J128">
        <f>IF($G128="","",IF(COUNTIFS(DOC_TYPE,$I128,DOC_SYS,$H128,DOC_SCOPE,"System",DOC_ACTIVE,1)+COUNTIFS(DOC_TYPE,$I128,DOC_SCOPE,"All",DOC_ACTIVE,1)&gt;0,"",IFERROR(IF($E$8&lt;&gt;"",$E$8-$C$8,SETUP!$E$98-$C$8),60000)+ROW()/1000000))</f>
        <v/>
      </c>
      <c r="L128">
        <f>IF(TRACKER!$A130="","","Document")</f>
        <v/>
      </c>
      <c r="M128">
        <f>IF($L128="","",TRACKER!$E130&amp;"  -  "&amp;TRACKER!$A130)</f>
        <v/>
      </c>
      <c r="N128">
        <f>IF($L128="","",IF(TRACKER!$B130="Equipment",TRACKER!$D130,IF(TRACKER!$B130="System",TRACKER!$C130,"Whole contract")))</f>
        <v/>
      </c>
      <c r="O128">
        <f>IF($L128="","",TRACKER!$F130)</f>
        <v/>
      </c>
      <c r="P128">
        <f>IF($L128="","",TRACKER!$K130)</f>
        <v/>
      </c>
      <c r="Q128">
        <f>IF($L128="","",TRACKER!$N130)</f>
        <v/>
      </c>
      <c r="R128">
        <f>TRACKER!$Y130</f>
        <v/>
      </c>
      <c r="S128">
        <f>TRACKER!$Z130</f>
        <v/>
      </c>
      <c r="T128">
        <f>TRACKER!$X130</f>
        <v/>
      </c>
    </row>
    <row r="129">
      <c r="G129">
        <f>IF(OR(SETUP!$B$98="",$A$9="",$B$9&lt;&gt;"System"),"","System")</f>
        <v/>
      </c>
      <c r="H129">
        <f>IF($G129="","",SETUP!$B$98)</f>
        <v/>
      </c>
      <c r="I129">
        <f>IF($G129="","",$A$9)</f>
        <v/>
      </c>
      <c r="J129">
        <f>IF($G129="","",IF(COUNTIFS(DOC_TYPE,$I129,DOC_SYS,$H129,DOC_SCOPE,"System",DOC_ACTIVE,1)+COUNTIFS(DOC_TYPE,$I129,DOC_SCOPE,"All",DOC_ACTIVE,1)&gt;0,"",IFERROR(IF($E$9&lt;&gt;"",$E$9-$C$9,SETUP!$E$98-$C$9),60000)+ROW()/1000000))</f>
        <v/>
      </c>
      <c r="L129">
        <f>IF(TRACKER!$A131="","","Document")</f>
        <v/>
      </c>
      <c r="M129">
        <f>IF($L129="","",TRACKER!$E131&amp;"  -  "&amp;TRACKER!$A131)</f>
        <v/>
      </c>
      <c r="N129">
        <f>IF($L129="","",IF(TRACKER!$B131="Equipment",TRACKER!$D131,IF(TRACKER!$B131="System",TRACKER!$C131,"Whole contract")))</f>
        <v/>
      </c>
      <c r="O129">
        <f>IF($L129="","",TRACKER!$F131)</f>
        <v/>
      </c>
      <c r="P129">
        <f>IF($L129="","",TRACKER!$K131)</f>
        <v/>
      </c>
      <c r="Q129">
        <f>IF($L129="","",TRACKER!$N131)</f>
        <v/>
      </c>
      <c r="R129">
        <f>TRACKER!$Y131</f>
        <v/>
      </c>
      <c r="S129">
        <f>TRACKER!$Z131</f>
        <v/>
      </c>
      <c r="T129">
        <f>TRACKER!$X131</f>
        <v/>
      </c>
    </row>
    <row r="130">
      <c r="G130">
        <f>IF(OR(SETUP!$B$98="",$A$10="",$B$10&lt;&gt;"System"),"","System")</f>
        <v/>
      </c>
      <c r="H130">
        <f>IF($G130="","",SETUP!$B$98)</f>
        <v/>
      </c>
      <c r="I130">
        <f>IF($G130="","",$A$10)</f>
        <v/>
      </c>
      <c r="J130">
        <f>IF($G130="","",IF(COUNTIFS(DOC_TYPE,$I130,DOC_SYS,$H130,DOC_SCOPE,"System",DOC_ACTIVE,1)+COUNTIFS(DOC_TYPE,$I130,DOC_SCOPE,"All",DOC_ACTIVE,1)&gt;0,"",IFERROR(IF($E$10&lt;&gt;"",$E$10-$C$10,SETUP!$E$98-$C$10),60000)+ROW()/1000000))</f>
        <v/>
      </c>
      <c r="L130">
        <f>IF(TRACKER!$A132="","","Document")</f>
        <v/>
      </c>
      <c r="M130">
        <f>IF($L130="","",TRACKER!$E132&amp;"  -  "&amp;TRACKER!$A132)</f>
        <v/>
      </c>
      <c r="N130">
        <f>IF($L130="","",IF(TRACKER!$B132="Equipment",TRACKER!$D132,IF(TRACKER!$B132="System",TRACKER!$C132,"Whole contract")))</f>
        <v/>
      </c>
      <c r="O130">
        <f>IF($L130="","",TRACKER!$F132)</f>
        <v/>
      </c>
      <c r="P130">
        <f>IF($L130="","",TRACKER!$K132)</f>
        <v/>
      </c>
      <c r="Q130">
        <f>IF($L130="","",TRACKER!$N132)</f>
        <v/>
      </c>
      <c r="R130">
        <f>TRACKER!$Y132</f>
        <v/>
      </c>
      <c r="S130">
        <f>TRACKER!$Z132</f>
        <v/>
      </c>
      <c r="T130">
        <f>TRACKER!$X132</f>
        <v/>
      </c>
    </row>
    <row r="131">
      <c r="G131">
        <f>IF(OR(SETUP!$B$98="",$A$11="",$B$11&lt;&gt;"System"),"","System")</f>
        <v/>
      </c>
      <c r="H131">
        <f>IF($G131="","",SETUP!$B$98)</f>
        <v/>
      </c>
      <c r="I131">
        <f>IF($G131="","",$A$11)</f>
        <v/>
      </c>
      <c r="J131">
        <f>IF($G131="","",IF(COUNTIFS(DOC_TYPE,$I131,DOC_SYS,$H131,DOC_SCOPE,"System",DOC_ACTIVE,1)+COUNTIFS(DOC_TYPE,$I131,DOC_SCOPE,"All",DOC_ACTIVE,1)&gt;0,"",IFERROR(IF($E$11&lt;&gt;"",$E$11-$C$11,SETUP!$E$98-$C$11),60000)+ROW()/1000000))</f>
        <v/>
      </c>
      <c r="L131">
        <f>IF(TRACKER!$A133="","","Document")</f>
        <v/>
      </c>
      <c r="M131">
        <f>IF($L131="","",TRACKER!$E133&amp;"  -  "&amp;TRACKER!$A133)</f>
        <v/>
      </c>
      <c r="N131">
        <f>IF($L131="","",IF(TRACKER!$B133="Equipment",TRACKER!$D133,IF(TRACKER!$B133="System",TRACKER!$C133,"Whole contract")))</f>
        <v/>
      </c>
      <c r="O131">
        <f>IF($L131="","",TRACKER!$F133)</f>
        <v/>
      </c>
      <c r="P131">
        <f>IF($L131="","",TRACKER!$K133)</f>
        <v/>
      </c>
      <c r="Q131">
        <f>IF($L131="","",TRACKER!$N133)</f>
        <v/>
      </c>
      <c r="R131">
        <f>TRACKER!$Y133</f>
        <v/>
      </c>
      <c r="S131">
        <f>TRACKER!$Z133</f>
        <v/>
      </c>
      <c r="T131">
        <f>TRACKER!$X133</f>
        <v/>
      </c>
    </row>
    <row r="132">
      <c r="G132">
        <f>IF(OR(SETUP!$B$98="",$A$12="",$B$12&lt;&gt;"System"),"","System")</f>
        <v/>
      </c>
      <c r="H132">
        <f>IF($G132="","",SETUP!$B$98)</f>
        <v/>
      </c>
      <c r="I132">
        <f>IF($G132="","",$A$12)</f>
        <v/>
      </c>
      <c r="J132">
        <f>IF($G132="","",IF(COUNTIFS(DOC_TYPE,$I132,DOC_SYS,$H132,DOC_SCOPE,"System",DOC_ACTIVE,1)+COUNTIFS(DOC_TYPE,$I132,DOC_SCOPE,"All",DOC_ACTIVE,1)&gt;0,"",IFERROR(IF($E$12&lt;&gt;"",$E$12-$C$12,SETUP!$E$98-$C$12),60000)+ROW()/1000000))</f>
        <v/>
      </c>
      <c r="L132">
        <f>IF(TRACKER!$A134="","","Document")</f>
        <v/>
      </c>
      <c r="M132">
        <f>IF($L132="","",TRACKER!$E134&amp;"  -  "&amp;TRACKER!$A134)</f>
        <v/>
      </c>
      <c r="N132">
        <f>IF($L132="","",IF(TRACKER!$B134="Equipment",TRACKER!$D134,IF(TRACKER!$B134="System",TRACKER!$C134,"Whole contract")))</f>
        <v/>
      </c>
      <c r="O132">
        <f>IF($L132="","",TRACKER!$F134)</f>
        <v/>
      </c>
      <c r="P132">
        <f>IF($L132="","",TRACKER!$K134)</f>
        <v/>
      </c>
      <c r="Q132">
        <f>IF($L132="","",TRACKER!$N134)</f>
        <v/>
      </c>
      <c r="R132">
        <f>TRACKER!$Y134</f>
        <v/>
      </c>
      <c r="S132">
        <f>TRACKER!$Z134</f>
        <v/>
      </c>
      <c r="T132">
        <f>TRACKER!$X134</f>
        <v/>
      </c>
    </row>
    <row r="133">
      <c r="G133">
        <f>IF(OR(SETUP!$B$98="",$A$13="",$B$13&lt;&gt;"System"),"","System")</f>
        <v/>
      </c>
      <c r="H133">
        <f>IF($G133="","",SETUP!$B$98)</f>
        <v/>
      </c>
      <c r="I133">
        <f>IF($G133="","",$A$13)</f>
        <v/>
      </c>
      <c r="J133">
        <f>IF($G133="","",IF(COUNTIFS(DOC_TYPE,$I133,DOC_SYS,$H133,DOC_SCOPE,"System",DOC_ACTIVE,1)+COUNTIFS(DOC_TYPE,$I133,DOC_SCOPE,"All",DOC_ACTIVE,1)&gt;0,"",IFERROR(IF($E$13&lt;&gt;"",$E$13-$C$13,SETUP!$E$98-$C$13),60000)+ROW()/1000000))</f>
        <v/>
      </c>
      <c r="L133">
        <f>IF(TRACKER!$A135="","","Document")</f>
        <v/>
      </c>
      <c r="M133">
        <f>IF($L133="","",TRACKER!$E135&amp;"  -  "&amp;TRACKER!$A135)</f>
        <v/>
      </c>
      <c r="N133">
        <f>IF($L133="","",IF(TRACKER!$B135="Equipment",TRACKER!$D135,IF(TRACKER!$B135="System",TRACKER!$C135,"Whole contract")))</f>
        <v/>
      </c>
      <c r="O133">
        <f>IF($L133="","",TRACKER!$F135)</f>
        <v/>
      </c>
      <c r="P133">
        <f>IF($L133="","",TRACKER!$K135)</f>
        <v/>
      </c>
      <c r="Q133">
        <f>IF($L133="","",TRACKER!$N135)</f>
        <v/>
      </c>
      <c r="R133">
        <f>TRACKER!$Y135</f>
        <v/>
      </c>
      <c r="S133">
        <f>TRACKER!$Z135</f>
        <v/>
      </c>
      <c r="T133">
        <f>TRACKER!$X135</f>
        <v/>
      </c>
    </row>
    <row r="134">
      <c r="G134">
        <f>IF(OR(SETUP!$B$99="",$A$2="",$B$2&lt;&gt;"System"),"","System")</f>
        <v/>
      </c>
      <c r="H134">
        <f>IF($G134="","",SETUP!$B$99)</f>
        <v/>
      </c>
      <c r="I134">
        <f>IF($G134="","",$A$2)</f>
        <v/>
      </c>
      <c r="J134">
        <f>IF($G134="","",IF(COUNTIFS(DOC_TYPE,$I134,DOC_SYS,$H134,DOC_SCOPE,"System",DOC_ACTIVE,1)+COUNTIFS(DOC_TYPE,$I134,DOC_SCOPE,"All",DOC_ACTIVE,1)&gt;0,"",IFERROR(IF($E$2&lt;&gt;"",$E$2-$C$2,SETUP!$E$99-$C$2),60000)+ROW()/1000000))</f>
        <v/>
      </c>
      <c r="L134">
        <f>IF(TRACKER!$A136="","","Document")</f>
        <v/>
      </c>
      <c r="M134">
        <f>IF($L134="","",TRACKER!$E136&amp;"  -  "&amp;TRACKER!$A136)</f>
        <v/>
      </c>
      <c r="N134">
        <f>IF($L134="","",IF(TRACKER!$B136="Equipment",TRACKER!$D136,IF(TRACKER!$B136="System",TRACKER!$C136,"Whole contract")))</f>
        <v/>
      </c>
      <c r="O134">
        <f>IF($L134="","",TRACKER!$F136)</f>
        <v/>
      </c>
      <c r="P134">
        <f>IF($L134="","",TRACKER!$K136)</f>
        <v/>
      </c>
      <c r="Q134">
        <f>IF($L134="","",TRACKER!$N136)</f>
        <v/>
      </c>
      <c r="R134">
        <f>TRACKER!$Y136</f>
        <v/>
      </c>
      <c r="S134">
        <f>TRACKER!$Z136</f>
        <v/>
      </c>
      <c r="T134">
        <f>TRACKER!$X136</f>
        <v/>
      </c>
    </row>
    <row r="135">
      <c r="G135">
        <f>IF(OR(SETUP!$B$99="",$A$3="",$B$3&lt;&gt;"System"),"","System")</f>
        <v/>
      </c>
      <c r="H135">
        <f>IF($G135="","",SETUP!$B$99)</f>
        <v/>
      </c>
      <c r="I135">
        <f>IF($G135="","",$A$3)</f>
        <v/>
      </c>
      <c r="J135">
        <f>IF($G135="","",IF(COUNTIFS(DOC_TYPE,$I135,DOC_SYS,$H135,DOC_SCOPE,"System",DOC_ACTIVE,1)+COUNTIFS(DOC_TYPE,$I135,DOC_SCOPE,"All",DOC_ACTIVE,1)&gt;0,"",IFERROR(IF($E$3&lt;&gt;"",$E$3-$C$3,SETUP!$E$99-$C$3),60000)+ROW()/1000000))</f>
        <v/>
      </c>
      <c r="L135">
        <f>IF(TRACKER!$A137="","","Document")</f>
        <v/>
      </c>
      <c r="M135">
        <f>IF($L135="","",TRACKER!$E137&amp;"  -  "&amp;TRACKER!$A137)</f>
        <v/>
      </c>
      <c r="N135">
        <f>IF($L135="","",IF(TRACKER!$B137="Equipment",TRACKER!$D137,IF(TRACKER!$B137="System",TRACKER!$C137,"Whole contract")))</f>
        <v/>
      </c>
      <c r="O135">
        <f>IF($L135="","",TRACKER!$F137)</f>
        <v/>
      </c>
      <c r="P135">
        <f>IF($L135="","",TRACKER!$K137)</f>
        <v/>
      </c>
      <c r="Q135">
        <f>IF($L135="","",TRACKER!$N137)</f>
        <v/>
      </c>
      <c r="R135">
        <f>TRACKER!$Y137</f>
        <v/>
      </c>
      <c r="S135">
        <f>TRACKER!$Z137</f>
        <v/>
      </c>
      <c r="T135">
        <f>TRACKER!$X137</f>
        <v/>
      </c>
    </row>
    <row r="136">
      <c r="G136">
        <f>IF(OR(SETUP!$B$99="",$A$4="",$B$4&lt;&gt;"System"),"","System")</f>
        <v/>
      </c>
      <c r="H136">
        <f>IF($G136="","",SETUP!$B$99)</f>
        <v/>
      </c>
      <c r="I136">
        <f>IF($G136="","",$A$4)</f>
        <v/>
      </c>
      <c r="J136">
        <f>IF($G136="","",IF(COUNTIFS(DOC_TYPE,$I136,DOC_SYS,$H136,DOC_SCOPE,"System",DOC_ACTIVE,1)+COUNTIFS(DOC_TYPE,$I136,DOC_SCOPE,"All",DOC_ACTIVE,1)&gt;0,"",IFERROR(IF($E$4&lt;&gt;"",$E$4-$C$4,SETUP!$E$99-$C$4),60000)+ROW()/1000000))</f>
        <v/>
      </c>
      <c r="L136">
        <f>IF(TRACKER!$A138="","","Document")</f>
        <v/>
      </c>
      <c r="M136">
        <f>IF($L136="","",TRACKER!$E138&amp;"  -  "&amp;TRACKER!$A138)</f>
        <v/>
      </c>
      <c r="N136">
        <f>IF($L136="","",IF(TRACKER!$B138="Equipment",TRACKER!$D138,IF(TRACKER!$B138="System",TRACKER!$C138,"Whole contract")))</f>
        <v/>
      </c>
      <c r="O136">
        <f>IF($L136="","",TRACKER!$F138)</f>
        <v/>
      </c>
      <c r="P136">
        <f>IF($L136="","",TRACKER!$K138)</f>
        <v/>
      </c>
      <c r="Q136">
        <f>IF($L136="","",TRACKER!$N138)</f>
        <v/>
      </c>
      <c r="R136">
        <f>TRACKER!$Y138</f>
        <v/>
      </c>
      <c r="S136">
        <f>TRACKER!$Z138</f>
        <v/>
      </c>
      <c r="T136">
        <f>TRACKER!$X138</f>
        <v/>
      </c>
    </row>
    <row r="137">
      <c r="G137">
        <f>IF(OR(SETUP!$B$99="",$A$5="",$B$5&lt;&gt;"System"),"","System")</f>
        <v/>
      </c>
      <c r="H137">
        <f>IF($G137="","",SETUP!$B$99)</f>
        <v/>
      </c>
      <c r="I137">
        <f>IF($G137="","",$A$5)</f>
        <v/>
      </c>
      <c r="J137">
        <f>IF($G137="","",IF(COUNTIFS(DOC_TYPE,$I137,DOC_SYS,$H137,DOC_SCOPE,"System",DOC_ACTIVE,1)+COUNTIFS(DOC_TYPE,$I137,DOC_SCOPE,"All",DOC_ACTIVE,1)&gt;0,"",IFERROR(IF($E$5&lt;&gt;"",$E$5-$C$5,SETUP!$E$99-$C$5),60000)+ROW()/1000000))</f>
        <v/>
      </c>
      <c r="L137">
        <f>IF(TRACKER!$A139="","","Document")</f>
        <v/>
      </c>
      <c r="M137">
        <f>IF($L137="","",TRACKER!$E139&amp;"  -  "&amp;TRACKER!$A139)</f>
        <v/>
      </c>
      <c r="N137">
        <f>IF($L137="","",IF(TRACKER!$B139="Equipment",TRACKER!$D139,IF(TRACKER!$B139="System",TRACKER!$C139,"Whole contract")))</f>
        <v/>
      </c>
      <c r="O137">
        <f>IF($L137="","",TRACKER!$F139)</f>
        <v/>
      </c>
      <c r="P137">
        <f>IF($L137="","",TRACKER!$K139)</f>
        <v/>
      </c>
      <c r="Q137">
        <f>IF($L137="","",TRACKER!$N139)</f>
        <v/>
      </c>
      <c r="R137">
        <f>TRACKER!$Y139</f>
        <v/>
      </c>
      <c r="S137">
        <f>TRACKER!$Z139</f>
        <v/>
      </c>
      <c r="T137">
        <f>TRACKER!$X139</f>
        <v/>
      </c>
    </row>
    <row r="138">
      <c r="G138">
        <f>IF(OR(SETUP!$B$99="",$A$6="",$B$6&lt;&gt;"System"),"","System")</f>
        <v/>
      </c>
      <c r="H138">
        <f>IF($G138="","",SETUP!$B$99)</f>
        <v/>
      </c>
      <c r="I138">
        <f>IF($G138="","",$A$6)</f>
        <v/>
      </c>
      <c r="J138">
        <f>IF($G138="","",IF(COUNTIFS(DOC_TYPE,$I138,DOC_SYS,$H138,DOC_SCOPE,"System",DOC_ACTIVE,1)+COUNTIFS(DOC_TYPE,$I138,DOC_SCOPE,"All",DOC_ACTIVE,1)&gt;0,"",IFERROR(IF($E$6&lt;&gt;"",$E$6-$C$6,SETUP!$E$99-$C$6),60000)+ROW()/1000000))</f>
        <v/>
      </c>
      <c r="L138">
        <f>IF(TRACKER!$A140="","","Document")</f>
        <v/>
      </c>
      <c r="M138">
        <f>IF($L138="","",TRACKER!$E140&amp;"  -  "&amp;TRACKER!$A140)</f>
        <v/>
      </c>
      <c r="N138">
        <f>IF($L138="","",IF(TRACKER!$B140="Equipment",TRACKER!$D140,IF(TRACKER!$B140="System",TRACKER!$C140,"Whole contract")))</f>
        <v/>
      </c>
      <c r="O138">
        <f>IF($L138="","",TRACKER!$F140)</f>
        <v/>
      </c>
      <c r="P138">
        <f>IF($L138="","",TRACKER!$K140)</f>
        <v/>
      </c>
      <c r="Q138">
        <f>IF($L138="","",TRACKER!$N140)</f>
        <v/>
      </c>
      <c r="R138">
        <f>TRACKER!$Y140</f>
        <v/>
      </c>
      <c r="S138">
        <f>TRACKER!$Z140</f>
        <v/>
      </c>
      <c r="T138">
        <f>TRACKER!$X140</f>
        <v/>
      </c>
    </row>
    <row r="139">
      <c r="G139">
        <f>IF(OR(SETUP!$B$99="",$A$7="",$B$7&lt;&gt;"System"),"","System")</f>
        <v/>
      </c>
      <c r="H139">
        <f>IF($G139="","",SETUP!$B$99)</f>
        <v/>
      </c>
      <c r="I139">
        <f>IF($G139="","",$A$7)</f>
        <v/>
      </c>
      <c r="J139">
        <f>IF($G139="","",IF(COUNTIFS(DOC_TYPE,$I139,DOC_SYS,$H139,DOC_SCOPE,"System",DOC_ACTIVE,1)+COUNTIFS(DOC_TYPE,$I139,DOC_SCOPE,"All",DOC_ACTIVE,1)&gt;0,"",IFERROR(IF($E$7&lt;&gt;"",$E$7-$C$7,SETUP!$E$99-$C$7),60000)+ROW()/1000000))</f>
        <v/>
      </c>
      <c r="L139">
        <f>IF(TRACKER!$A141="","","Document")</f>
        <v/>
      </c>
      <c r="M139">
        <f>IF($L139="","",TRACKER!$E141&amp;"  -  "&amp;TRACKER!$A141)</f>
        <v/>
      </c>
      <c r="N139">
        <f>IF($L139="","",IF(TRACKER!$B141="Equipment",TRACKER!$D141,IF(TRACKER!$B141="System",TRACKER!$C141,"Whole contract")))</f>
        <v/>
      </c>
      <c r="O139">
        <f>IF($L139="","",TRACKER!$F141)</f>
        <v/>
      </c>
      <c r="P139">
        <f>IF($L139="","",TRACKER!$K141)</f>
        <v/>
      </c>
      <c r="Q139">
        <f>IF($L139="","",TRACKER!$N141)</f>
        <v/>
      </c>
      <c r="R139">
        <f>TRACKER!$Y141</f>
        <v/>
      </c>
      <c r="S139">
        <f>TRACKER!$Z141</f>
        <v/>
      </c>
      <c r="T139">
        <f>TRACKER!$X141</f>
        <v/>
      </c>
    </row>
    <row r="140">
      <c r="G140">
        <f>IF(OR(SETUP!$B$99="",$A$8="",$B$8&lt;&gt;"System"),"","System")</f>
        <v/>
      </c>
      <c r="H140">
        <f>IF($G140="","",SETUP!$B$99)</f>
        <v/>
      </c>
      <c r="I140">
        <f>IF($G140="","",$A$8)</f>
        <v/>
      </c>
      <c r="J140">
        <f>IF($G140="","",IF(COUNTIFS(DOC_TYPE,$I140,DOC_SYS,$H140,DOC_SCOPE,"System",DOC_ACTIVE,1)+COUNTIFS(DOC_TYPE,$I140,DOC_SCOPE,"All",DOC_ACTIVE,1)&gt;0,"",IFERROR(IF($E$8&lt;&gt;"",$E$8-$C$8,SETUP!$E$99-$C$8),60000)+ROW()/1000000))</f>
        <v/>
      </c>
      <c r="L140">
        <f>IF(TRACKER!$A142="","","Document")</f>
        <v/>
      </c>
      <c r="M140">
        <f>IF($L140="","",TRACKER!$E142&amp;"  -  "&amp;TRACKER!$A142)</f>
        <v/>
      </c>
      <c r="N140">
        <f>IF($L140="","",IF(TRACKER!$B142="Equipment",TRACKER!$D142,IF(TRACKER!$B142="System",TRACKER!$C142,"Whole contract")))</f>
        <v/>
      </c>
      <c r="O140">
        <f>IF($L140="","",TRACKER!$F142)</f>
        <v/>
      </c>
      <c r="P140">
        <f>IF($L140="","",TRACKER!$K142)</f>
        <v/>
      </c>
      <c r="Q140">
        <f>IF($L140="","",TRACKER!$N142)</f>
        <v/>
      </c>
      <c r="R140">
        <f>TRACKER!$Y142</f>
        <v/>
      </c>
      <c r="S140">
        <f>TRACKER!$Z142</f>
        <v/>
      </c>
      <c r="T140">
        <f>TRACKER!$X142</f>
        <v/>
      </c>
    </row>
    <row r="141">
      <c r="G141">
        <f>IF(OR(SETUP!$B$99="",$A$9="",$B$9&lt;&gt;"System"),"","System")</f>
        <v/>
      </c>
      <c r="H141">
        <f>IF($G141="","",SETUP!$B$99)</f>
        <v/>
      </c>
      <c r="I141">
        <f>IF($G141="","",$A$9)</f>
        <v/>
      </c>
      <c r="J141">
        <f>IF($G141="","",IF(COUNTIFS(DOC_TYPE,$I141,DOC_SYS,$H141,DOC_SCOPE,"System",DOC_ACTIVE,1)+COUNTIFS(DOC_TYPE,$I141,DOC_SCOPE,"All",DOC_ACTIVE,1)&gt;0,"",IFERROR(IF($E$9&lt;&gt;"",$E$9-$C$9,SETUP!$E$99-$C$9),60000)+ROW()/1000000))</f>
        <v/>
      </c>
      <c r="L141">
        <f>IF(TRACKER!$A143="","","Document")</f>
        <v/>
      </c>
      <c r="M141">
        <f>IF($L141="","",TRACKER!$E143&amp;"  -  "&amp;TRACKER!$A143)</f>
        <v/>
      </c>
      <c r="N141">
        <f>IF($L141="","",IF(TRACKER!$B143="Equipment",TRACKER!$D143,IF(TRACKER!$B143="System",TRACKER!$C143,"Whole contract")))</f>
        <v/>
      </c>
      <c r="O141">
        <f>IF($L141="","",TRACKER!$F143)</f>
        <v/>
      </c>
      <c r="P141">
        <f>IF($L141="","",TRACKER!$K143)</f>
        <v/>
      </c>
      <c r="Q141">
        <f>IF($L141="","",TRACKER!$N143)</f>
        <v/>
      </c>
      <c r="R141">
        <f>TRACKER!$Y143</f>
        <v/>
      </c>
      <c r="S141">
        <f>TRACKER!$Z143</f>
        <v/>
      </c>
      <c r="T141">
        <f>TRACKER!$X143</f>
        <v/>
      </c>
    </row>
    <row r="142">
      <c r="G142">
        <f>IF(OR(SETUP!$B$99="",$A$10="",$B$10&lt;&gt;"System"),"","System")</f>
        <v/>
      </c>
      <c r="H142">
        <f>IF($G142="","",SETUP!$B$99)</f>
        <v/>
      </c>
      <c r="I142">
        <f>IF($G142="","",$A$10)</f>
        <v/>
      </c>
      <c r="J142">
        <f>IF($G142="","",IF(COUNTIFS(DOC_TYPE,$I142,DOC_SYS,$H142,DOC_SCOPE,"System",DOC_ACTIVE,1)+COUNTIFS(DOC_TYPE,$I142,DOC_SCOPE,"All",DOC_ACTIVE,1)&gt;0,"",IFERROR(IF($E$10&lt;&gt;"",$E$10-$C$10,SETUP!$E$99-$C$10),60000)+ROW()/1000000))</f>
        <v/>
      </c>
      <c r="L142">
        <f>IF(TRACKER!$A144="","","Document")</f>
        <v/>
      </c>
      <c r="M142">
        <f>IF($L142="","",TRACKER!$E144&amp;"  -  "&amp;TRACKER!$A144)</f>
        <v/>
      </c>
      <c r="N142">
        <f>IF($L142="","",IF(TRACKER!$B144="Equipment",TRACKER!$D144,IF(TRACKER!$B144="System",TRACKER!$C144,"Whole contract")))</f>
        <v/>
      </c>
      <c r="O142">
        <f>IF($L142="","",TRACKER!$F144)</f>
        <v/>
      </c>
      <c r="P142">
        <f>IF($L142="","",TRACKER!$K144)</f>
        <v/>
      </c>
      <c r="Q142">
        <f>IF($L142="","",TRACKER!$N144)</f>
        <v/>
      </c>
      <c r="R142">
        <f>TRACKER!$Y144</f>
        <v/>
      </c>
      <c r="S142">
        <f>TRACKER!$Z144</f>
        <v/>
      </c>
      <c r="T142">
        <f>TRACKER!$X144</f>
        <v/>
      </c>
    </row>
    <row r="143">
      <c r="G143">
        <f>IF(OR(SETUP!$B$99="",$A$11="",$B$11&lt;&gt;"System"),"","System")</f>
        <v/>
      </c>
      <c r="H143">
        <f>IF($G143="","",SETUP!$B$99)</f>
        <v/>
      </c>
      <c r="I143">
        <f>IF($G143="","",$A$11)</f>
        <v/>
      </c>
      <c r="J143">
        <f>IF($G143="","",IF(COUNTIFS(DOC_TYPE,$I143,DOC_SYS,$H143,DOC_SCOPE,"System",DOC_ACTIVE,1)+COUNTIFS(DOC_TYPE,$I143,DOC_SCOPE,"All",DOC_ACTIVE,1)&gt;0,"",IFERROR(IF($E$11&lt;&gt;"",$E$11-$C$11,SETUP!$E$99-$C$11),60000)+ROW()/1000000))</f>
        <v/>
      </c>
      <c r="L143">
        <f>IF(TRACKER!$A145="","","Document")</f>
        <v/>
      </c>
      <c r="M143">
        <f>IF($L143="","",TRACKER!$E145&amp;"  -  "&amp;TRACKER!$A145)</f>
        <v/>
      </c>
      <c r="N143">
        <f>IF($L143="","",IF(TRACKER!$B145="Equipment",TRACKER!$D145,IF(TRACKER!$B145="System",TRACKER!$C145,"Whole contract")))</f>
        <v/>
      </c>
      <c r="O143">
        <f>IF($L143="","",TRACKER!$F145)</f>
        <v/>
      </c>
      <c r="P143">
        <f>IF($L143="","",TRACKER!$K145)</f>
        <v/>
      </c>
      <c r="Q143">
        <f>IF($L143="","",TRACKER!$N145)</f>
        <v/>
      </c>
      <c r="R143">
        <f>TRACKER!$Y145</f>
        <v/>
      </c>
      <c r="S143">
        <f>TRACKER!$Z145</f>
        <v/>
      </c>
      <c r="T143">
        <f>TRACKER!$X145</f>
        <v/>
      </c>
    </row>
    <row r="144">
      <c r="G144">
        <f>IF(OR(SETUP!$B$99="",$A$12="",$B$12&lt;&gt;"System"),"","System")</f>
        <v/>
      </c>
      <c r="H144">
        <f>IF($G144="","",SETUP!$B$99)</f>
        <v/>
      </c>
      <c r="I144">
        <f>IF($G144="","",$A$12)</f>
        <v/>
      </c>
      <c r="J144">
        <f>IF($G144="","",IF(COUNTIFS(DOC_TYPE,$I144,DOC_SYS,$H144,DOC_SCOPE,"System",DOC_ACTIVE,1)+COUNTIFS(DOC_TYPE,$I144,DOC_SCOPE,"All",DOC_ACTIVE,1)&gt;0,"",IFERROR(IF($E$12&lt;&gt;"",$E$12-$C$12,SETUP!$E$99-$C$12),60000)+ROW()/1000000))</f>
        <v/>
      </c>
      <c r="L144">
        <f>IF(TRACKER!$A146="","","Document")</f>
        <v/>
      </c>
      <c r="M144">
        <f>IF($L144="","",TRACKER!$E146&amp;"  -  "&amp;TRACKER!$A146)</f>
        <v/>
      </c>
      <c r="N144">
        <f>IF($L144="","",IF(TRACKER!$B146="Equipment",TRACKER!$D146,IF(TRACKER!$B146="System",TRACKER!$C146,"Whole contract")))</f>
        <v/>
      </c>
      <c r="O144">
        <f>IF($L144="","",TRACKER!$F146)</f>
        <v/>
      </c>
      <c r="P144">
        <f>IF($L144="","",TRACKER!$K146)</f>
        <v/>
      </c>
      <c r="Q144">
        <f>IF($L144="","",TRACKER!$N146)</f>
        <v/>
      </c>
      <c r="R144">
        <f>TRACKER!$Y146</f>
        <v/>
      </c>
      <c r="S144">
        <f>TRACKER!$Z146</f>
        <v/>
      </c>
      <c r="T144">
        <f>TRACKER!$X146</f>
        <v/>
      </c>
    </row>
    <row r="145">
      <c r="G145">
        <f>IF(OR(SETUP!$B$99="",$A$13="",$B$13&lt;&gt;"System"),"","System")</f>
        <v/>
      </c>
      <c r="H145">
        <f>IF($G145="","",SETUP!$B$99)</f>
        <v/>
      </c>
      <c r="I145">
        <f>IF($G145="","",$A$13)</f>
        <v/>
      </c>
      <c r="J145">
        <f>IF($G145="","",IF(COUNTIFS(DOC_TYPE,$I145,DOC_SYS,$H145,DOC_SCOPE,"System",DOC_ACTIVE,1)+COUNTIFS(DOC_TYPE,$I145,DOC_SCOPE,"All",DOC_ACTIVE,1)&gt;0,"",IFERROR(IF($E$13&lt;&gt;"",$E$13-$C$13,SETUP!$E$99-$C$13),60000)+ROW()/1000000))</f>
        <v/>
      </c>
      <c r="L145">
        <f>IF(TRACKER!$A147="","","Document")</f>
        <v/>
      </c>
      <c r="M145">
        <f>IF($L145="","",TRACKER!$E147&amp;"  -  "&amp;TRACKER!$A147)</f>
        <v/>
      </c>
      <c r="N145">
        <f>IF($L145="","",IF(TRACKER!$B147="Equipment",TRACKER!$D147,IF(TRACKER!$B147="System",TRACKER!$C147,"Whole contract")))</f>
        <v/>
      </c>
      <c r="O145">
        <f>IF($L145="","",TRACKER!$F147)</f>
        <v/>
      </c>
      <c r="P145">
        <f>IF($L145="","",TRACKER!$K147)</f>
        <v/>
      </c>
      <c r="Q145">
        <f>IF($L145="","",TRACKER!$N147)</f>
        <v/>
      </c>
      <c r="R145">
        <f>TRACKER!$Y147</f>
        <v/>
      </c>
      <c r="S145">
        <f>TRACKER!$Z147</f>
        <v/>
      </c>
      <c r="T145">
        <f>TRACKER!$X147</f>
        <v/>
      </c>
    </row>
    <row r="146">
      <c r="G146">
        <f>IF(OR(SETUP!$B$100="",$A$2="",$B$2&lt;&gt;"System"),"","System")</f>
        <v/>
      </c>
      <c r="H146">
        <f>IF($G146="","",SETUP!$B$100)</f>
        <v/>
      </c>
      <c r="I146">
        <f>IF($G146="","",$A$2)</f>
        <v/>
      </c>
      <c r="J146">
        <f>IF($G146="","",IF(COUNTIFS(DOC_TYPE,$I146,DOC_SYS,$H146,DOC_SCOPE,"System",DOC_ACTIVE,1)+COUNTIFS(DOC_TYPE,$I146,DOC_SCOPE,"All",DOC_ACTIVE,1)&gt;0,"",IFERROR(IF($E$2&lt;&gt;"",$E$2-$C$2,SETUP!$E$100-$C$2),60000)+ROW()/1000000))</f>
        <v/>
      </c>
      <c r="L146">
        <f>IF(TRACKER!$A148="","","Document")</f>
        <v/>
      </c>
      <c r="M146">
        <f>IF($L146="","",TRACKER!$E148&amp;"  -  "&amp;TRACKER!$A148)</f>
        <v/>
      </c>
      <c r="N146">
        <f>IF($L146="","",IF(TRACKER!$B148="Equipment",TRACKER!$D148,IF(TRACKER!$B148="System",TRACKER!$C148,"Whole contract")))</f>
        <v/>
      </c>
      <c r="O146">
        <f>IF($L146="","",TRACKER!$F148)</f>
        <v/>
      </c>
      <c r="P146">
        <f>IF($L146="","",TRACKER!$K148)</f>
        <v/>
      </c>
      <c r="Q146">
        <f>IF($L146="","",TRACKER!$N148)</f>
        <v/>
      </c>
      <c r="R146">
        <f>TRACKER!$Y148</f>
        <v/>
      </c>
      <c r="S146">
        <f>TRACKER!$Z148</f>
        <v/>
      </c>
      <c r="T146">
        <f>TRACKER!$X148</f>
        <v/>
      </c>
    </row>
    <row r="147">
      <c r="G147">
        <f>IF(OR(SETUP!$B$100="",$A$3="",$B$3&lt;&gt;"System"),"","System")</f>
        <v/>
      </c>
      <c r="H147">
        <f>IF($G147="","",SETUP!$B$100)</f>
        <v/>
      </c>
      <c r="I147">
        <f>IF($G147="","",$A$3)</f>
        <v/>
      </c>
      <c r="J147">
        <f>IF($G147="","",IF(COUNTIFS(DOC_TYPE,$I147,DOC_SYS,$H147,DOC_SCOPE,"System",DOC_ACTIVE,1)+COUNTIFS(DOC_TYPE,$I147,DOC_SCOPE,"All",DOC_ACTIVE,1)&gt;0,"",IFERROR(IF($E$3&lt;&gt;"",$E$3-$C$3,SETUP!$E$100-$C$3),60000)+ROW()/1000000))</f>
        <v/>
      </c>
      <c r="L147">
        <f>IF(TRACKER!$A149="","","Document")</f>
        <v/>
      </c>
      <c r="M147">
        <f>IF($L147="","",TRACKER!$E149&amp;"  -  "&amp;TRACKER!$A149)</f>
        <v/>
      </c>
      <c r="N147">
        <f>IF($L147="","",IF(TRACKER!$B149="Equipment",TRACKER!$D149,IF(TRACKER!$B149="System",TRACKER!$C149,"Whole contract")))</f>
        <v/>
      </c>
      <c r="O147">
        <f>IF($L147="","",TRACKER!$F149)</f>
        <v/>
      </c>
      <c r="P147">
        <f>IF($L147="","",TRACKER!$K149)</f>
        <v/>
      </c>
      <c r="Q147">
        <f>IF($L147="","",TRACKER!$N149)</f>
        <v/>
      </c>
      <c r="R147">
        <f>TRACKER!$Y149</f>
        <v/>
      </c>
      <c r="S147">
        <f>TRACKER!$Z149</f>
        <v/>
      </c>
      <c r="T147">
        <f>TRACKER!$X149</f>
        <v/>
      </c>
    </row>
    <row r="148">
      <c r="G148">
        <f>IF(OR(SETUP!$B$100="",$A$4="",$B$4&lt;&gt;"System"),"","System")</f>
        <v/>
      </c>
      <c r="H148">
        <f>IF($G148="","",SETUP!$B$100)</f>
        <v/>
      </c>
      <c r="I148">
        <f>IF($G148="","",$A$4)</f>
        <v/>
      </c>
      <c r="J148">
        <f>IF($G148="","",IF(COUNTIFS(DOC_TYPE,$I148,DOC_SYS,$H148,DOC_SCOPE,"System",DOC_ACTIVE,1)+COUNTIFS(DOC_TYPE,$I148,DOC_SCOPE,"All",DOC_ACTIVE,1)&gt;0,"",IFERROR(IF($E$4&lt;&gt;"",$E$4-$C$4,SETUP!$E$100-$C$4),60000)+ROW()/1000000))</f>
        <v/>
      </c>
      <c r="L148">
        <f>IF(TRACKER!$A150="","","Document")</f>
        <v/>
      </c>
      <c r="M148">
        <f>IF($L148="","",TRACKER!$E150&amp;"  -  "&amp;TRACKER!$A150)</f>
        <v/>
      </c>
      <c r="N148">
        <f>IF($L148="","",IF(TRACKER!$B150="Equipment",TRACKER!$D150,IF(TRACKER!$B150="System",TRACKER!$C150,"Whole contract")))</f>
        <v/>
      </c>
      <c r="O148">
        <f>IF($L148="","",TRACKER!$F150)</f>
        <v/>
      </c>
      <c r="P148">
        <f>IF($L148="","",TRACKER!$K150)</f>
        <v/>
      </c>
      <c r="Q148">
        <f>IF($L148="","",TRACKER!$N150)</f>
        <v/>
      </c>
      <c r="R148">
        <f>TRACKER!$Y150</f>
        <v/>
      </c>
      <c r="S148">
        <f>TRACKER!$Z150</f>
        <v/>
      </c>
      <c r="T148">
        <f>TRACKER!$X150</f>
        <v/>
      </c>
    </row>
    <row r="149">
      <c r="G149">
        <f>IF(OR(SETUP!$B$100="",$A$5="",$B$5&lt;&gt;"System"),"","System")</f>
        <v/>
      </c>
      <c r="H149">
        <f>IF($G149="","",SETUP!$B$100)</f>
        <v/>
      </c>
      <c r="I149">
        <f>IF($G149="","",$A$5)</f>
        <v/>
      </c>
      <c r="J149">
        <f>IF($G149="","",IF(COUNTIFS(DOC_TYPE,$I149,DOC_SYS,$H149,DOC_SCOPE,"System",DOC_ACTIVE,1)+COUNTIFS(DOC_TYPE,$I149,DOC_SCOPE,"All",DOC_ACTIVE,1)&gt;0,"",IFERROR(IF($E$5&lt;&gt;"",$E$5-$C$5,SETUP!$E$100-$C$5),60000)+ROW()/1000000))</f>
        <v/>
      </c>
      <c r="L149">
        <f>IF(TRACKER!$A151="","","Document")</f>
        <v/>
      </c>
      <c r="M149">
        <f>IF($L149="","",TRACKER!$E151&amp;"  -  "&amp;TRACKER!$A151)</f>
        <v/>
      </c>
      <c r="N149">
        <f>IF($L149="","",IF(TRACKER!$B151="Equipment",TRACKER!$D151,IF(TRACKER!$B151="System",TRACKER!$C151,"Whole contract")))</f>
        <v/>
      </c>
      <c r="O149">
        <f>IF($L149="","",TRACKER!$F151)</f>
        <v/>
      </c>
      <c r="P149">
        <f>IF($L149="","",TRACKER!$K151)</f>
        <v/>
      </c>
      <c r="Q149">
        <f>IF($L149="","",TRACKER!$N151)</f>
        <v/>
      </c>
      <c r="R149">
        <f>TRACKER!$Y151</f>
        <v/>
      </c>
      <c r="S149">
        <f>TRACKER!$Z151</f>
        <v/>
      </c>
      <c r="T149">
        <f>TRACKER!$X151</f>
        <v/>
      </c>
    </row>
    <row r="150">
      <c r="G150">
        <f>IF(OR(SETUP!$B$100="",$A$6="",$B$6&lt;&gt;"System"),"","System")</f>
        <v/>
      </c>
      <c r="H150">
        <f>IF($G150="","",SETUP!$B$100)</f>
        <v/>
      </c>
      <c r="I150">
        <f>IF($G150="","",$A$6)</f>
        <v/>
      </c>
      <c r="J150">
        <f>IF($G150="","",IF(COUNTIFS(DOC_TYPE,$I150,DOC_SYS,$H150,DOC_SCOPE,"System",DOC_ACTIVE,1)+COUNTIFS(DOC_TYPE,$I150,DOC_SCOPE,"All",DOC_ACTIVE,1)&gt;0,"",IFERROR(IF($E$6&lt;&gt;"",$E$6-$C$6,SETUP!$E$100-$C$6),60000)+ROW()/1000000))</f>
        <v/>
      </c>
      <c r="L150">
        <f>IF(TRACKER!$A152="","","Document")</f>
        <v/>
      </c>
      <c r="M150">
        <f>IF($L150="","",TRACKER!$E152&amp;"  -  "&amp;TRACKER!$A152)</f>
        <v/>
      </c>
      <c r="N150">
        <f>IF($L150="","",IF(TRACKER!$B152="Equipment",TRACKER!$D152,IF(TRACKER!$B152="System",TRACKER!$C152,"Whole contract")))</f>
        <v/>
      </c>
      <c r="O150">
        <f>IF($L150="","",TRACKER!$F152)</f>
        <v/>
      </c>
      <c r="P150">
        <f>IF($L150="","",TRACKER!$K152)</f>
        <v/>
      </c>
      <c r="Q150">
        <f>IF($L150="","",TRACKER!$N152)</f>
        <v/>
      </c>
      <c r="R150">
        <f>TRACKER!$Y152</f>
        <v/>
      </c>
      <c r="S150">
        <f>TRACKER!$Z152</f>
        <v/>
      </c>
      <c r="T150">
        <f>TRACKER!$X152</f>
        <v/>
      </c>
    </row>
    <row r="151">
      <c r="G151">
        <f>IF(OR(SETUP!$B$100="",$A$7="",$B$7&lt;&gt;"System"),"","System")</f>
        <v/>
      </c>
      <c r="H151">
        <f>IF($G151="","",SETUP!$B$100)</f>
        <v/>
      </c>
      <c r="I151">
        <f>IF($G151="","",$A$7)</f>
        <v/>
      </c>
      <c r="J151">
        <f>IF($G151="","",IF(COUNTIFS(DOC_TYPE,$I151,DOC_SYS,$H151,DOC_SCOPE,"System",DOC_ACTIVE,1)+COUNTIFS(DOC_TYPE,$I151,DOC_SCOPE,"All",DOC_ACTIVE,1)&gt;0,"",IFERROR(IF($E$7&lt;&gt;"",$E$7-$C$7,SETUP!$E$100-$C$7),60000)+ROW()/1000000))</f>
        <v/>
      </c>
      <c r="L151">
        <f>IF(TRACKER!$A153="","","Document")</f>
        <v/>
      </c>
      <c r="M151">
        <f>IF($L151="","",TRACKER!$E153&amp;"  -  "&amp;TRACKER!$A153)</f>
        <v/>
      </c>
      <c r="N151">
        <f>IF($L151="","",IF(TRACKER!$B153="Equipment",TRACKER!$D153,IF(TRACKER!$B153="System",TRACKER!$C153,"Whole contract")))</f>
        <v/>
      </c>
      <c r="O151">
        <f>IF($L151="","",TRACKER!$F153)</f>
        <v/>
      </c>
      <c r="P151">
        <f>IF($L151="","",TRACKER!$K153)</f>
        <v/>
      </c>
      <c r="Q151">
        <f>IF($L151="","",TRACKER!$N153)</f>
        <v/>
      </c>
      <c r="R151">
        <f>TRACKER!$Y153</f>
        <v/>
      </c>
      <c r="S151">
        <f>TRACKER!$Z153</f>
        <v/>
      </c>
      <c r="T151">
        <f>TRACKER!$X153</f>
        <v/>
      </c>
    </row>
    <row r="152">
      <c r="G152">
        <f>IF(OR(SETUP!$B$100="",$A$8="",$B$8&lt;&gt;"System"),"","System")</f>
        <v/>
      </c>
      <c r="H152">
        <f>IF($G152="","",SETUP!$B$100)</f>
        <v/>
      </c>
      <c r="I152">
        <f>IF($G152="","",$A$8)</f>
        <v/>
      </c>
      <c r="J152">
        <f>IF($G152="","",IF(COUNTIFS(DOC_TYPE,$I152,DOC_SYS,$H152,DOC_SCOPE,"System",DOC_ACTIVE,1)+COUNTIFS(DOC_TYPE,$I152,DOC_SCOPE,"All",DOC_ACTIVE,1)&gt;0,"",IFERROR(IF($E$8&lt;&gt;"",$E$8-$C$8,SETUP!$E$100-$C$8),60000)+ROW()/1000000))</f>
        <v/>
      </c>
      <c r="L152">
        <f>IF(TRACKER!$A154="","","Document")</f>
        <v/>
      </c>
      <c r="M152">
        <f>IF($L152="","",TRACKER!$E154&amp;"  -  "&amp;TRACKER!$A154)</f>
        <v/>
      </c>
      <c r="N152">
        <f>IF($L152="","",IF(TRACKER!$B154="Equipment",TRACKER!$D154,IF(TRACKER!$B154="System",TRACKER!$C154,"Whole contract")))</f>
        <v/>
      </c>
      <c r="O152">
        <f>IF($L152="","",TRACKER!$F154)</f>
        <v/>
      </c>
      <c r="P152">
        <f>IF($L152="","",TRACKER!$K154)</f>
        <v/>
      </c>
      <c r="Q152">
        <f>IF($L152="","",TRACKER!$N154)</f>
        <v/>
      </c>
      <c r="R152">
        <f>TRACKER!$Y154</f>
        <v/>
      </c>
      <c r="S152">
        <f>TRACKER!$Z154</f>
        <v/>
      </c>
      <c r="T152">
        <f>TRACKER!$X154</f>
        <v/>
      </c>
    </row>
    <row r="153">
      <c r="G153">
        <f>IF(OR(SETUP!$B$100="",$A$9="",$B$9&lt;&gt;"System"),"","System")</f>
        <v/>
      </c>
      <c r="H153">
        <f>IF($G153="","",SETUP!$B$100)</f>
        <v/>
      </c>
      <c r="I153">
        <f>IF($G153="","",$A$9)</f>
        <v/>
      </c>
      <c r="J153">
        <f>IF($G153="","",IF(COUNTIFS(DOC_TYPE,$I153,DOC_SYS,$H153,DOC_SCOPE,"System",DOC_ACTIVE,1)+COUNTIFS(DOC_TYPE,$I153,DOC_SCOPE,"All",DOC_ACTIVE,1)&gt;0,"",IFERROR(IF($E$9&lt;&gt;"",$E$9-$C$9,SETUP!$E$100-$C$9),60000)+ROW()/1000000))</f>
        <v/>
      </c>
      <c r="L153">
        <f>IF(TRACKER!$A155="","","Document")</f>
        <v/>
      </c>
      <c r="M153">
        <f>IF($L153="","",TRACKER!$E155&amp;"  -  "&amp;TRACKER!$A155)</f>
        <v/>
      </c>
      <c r="N153">
        <f>IF($L153="","",IF(TRACKER!$B155="Equipment",TRACKER!$D155,IF(TRACKER!$B155="System",TRACKER!$C155,"Whole contract")))</f>
        <v/>
      </c>
      <c r="O153">
        <f>IF($L153="","",TRACKER!$F155)</f>
        <v/>
      </c>
      <c r="P153">
        <f>IF($L153="","",TRACKER!$K155)</f>
        <v/>
      </c>
      <c r="Q153">
        <f>IF($L153="","",TRACKER!$N155)</f>
        <v/>
      </c>
      <c r="R153">
        <f>TRACKER!$Y155</f>
        <v/>
      </c>
      <c r="S153">
        <f>TRACKER!$Z155</f>
        <v/>
      </c>
      <c r="T153">
        <f>TRACKER!$X155</f>
        <v/>
      </c>
    </row>
    <row r="154">
      <c r="G154">
        <f>IF(OR(SETUP!$B$100="",$A$10="",$B$10&lt;&gt;"System"),"","System")</f>
        <v/>
      </c>
      <c r="H154">
        <f>IF($G154="","",SETUP!$B$100)</f>
        <v/>
      </c>
      <c r="I154">
        <f>IF($G154="","",$A$10)</f>
        <v/>
      </c>
      <c r="J154">
        <f>IF($G154="","",IF(COUNTIFS(DOC_TYPE,$I154,DOC_SYS,$H154,DOC_SCOPE,"System",DOC_ACTIVE,1)+COUNTIFS(DOC_TYPE,$I154,DOC_SCOPE,"All",DOC_ACTIVE,1)&gt;0,"",IFERROR(IF($E$10&lt;&gt;"",$E$10-$C$10,SETUP!$E$100-$C$10),60000)+ROW()/1000000))</f>
        <v/>
      </c>
      <c r="L154">
        <f>IF(TRACKER!$A156="","","Document")</f>
        <v/>
      </c>
      <c r="M154">
        <f>IF($L154="","",TRACKER!$E156&amp;"  -  "&amp;TRACKER!$A156)</f>
        <v/>
      </c>
      <c r="N154">
        <f>IF($L154="","",IF(TRACKER!$B156="Equipment",TRACKER!$D156,IF(TRACKER!$B156="System",TRACKER!$C156,"Whole contract")))</f>
        <v/>
      </c>
      <c r="O154">
        <f>IF($L154="","",TRACKER!$F156)</f>
        <v/>
      </c>
      <c r="P154">
        <f>IF($L154="","",TRACKER!$K156)</f>
        <v/>
      </c>
      <c r="Q154">
        <f>IF($L154="","",TRACKER!$N156)</f>
        <v/>
      </c>
      <c r="R154">
        <f>TRACKER!$Y156</f>
        <v/>
      </c>
      <c r="S154">
        <f>TRACKER!$Z156</f>
        <v/>
      </c>
      <c r="T154">
        <f>TRACKER!$X156</f>
        <v/>
      </c>
    </row>
    <row r="155">
      <c r="G155">
        <f>IF(OR(SETUP!$B$100="",$A$11="",$B$11&lt;&gt;"System"),"","System")</f>
        <v/>
      </c>
      <c r="H155">
        <f>IF($G155="","",SETUP!$B$100)</f>
        <v/>
      </c>
      <c r="I155">
        <f>IF($G155="","",$A$11)</f>
        <v/>
      </c>
      <c r="J155">
        <f>IF($G155="","",IF(COUNTIFS(DOC_TYPE,$I155,DOC_SYS,$H155,DOC_SCOPE,"System",DOC_ACTIVE,1)+COUNTIFS(DOC_TYPE,$I155,DOC_SCOPE,"All",DOC_ACTIVE,1)&gt;0,"",IFERROR(IF($E$11&lt;&gt;"",$E$11-$C$11,SETUP!$E$100-$C$11),60000)+ROW()/1000000))</f>
        <v/>
      </c>
      <c r="L155">
        <f>IF(TRACKER!$A157="","","Document")</f>
        <v/>
      </c>
      <c r="M155">
        <f>IF($L155="","",TRACKER!$E157&amp;"  -  "&amp;TRACKER!$A157)</f>
        <v/>
      </c>
      <c r="N155">
        <f>IF($L155="","",IF(TRACKER!$B157="Equipment",TRACKER!$D157,IF(TRACKER!$B157="System",TRACKER!$C157,"Whole contract")))</f>
        <v/>
      </c>
      <c r="O155">
        <f>IF($L155="","",TRACKER!$F157)</f>
        <v/>
      </c>
      <c r="P155">
        <f>IF($L155="","",TRACKER!$K157)</f>
        <v/>
      </c>
      <c r="Q155">
        <f>IF($L155="","",TRACKER!$N157)</f>
        <v/>
      </c>
      <c r="R155">
        <f>TRACKER!$Y157</f>
        <v/>
      </c>
      <c r="S155">
        <f>TRACKER!$Z157</f>
        <v/>
      </c>
      <c r="T155">
        <f>TRACKER!$X157</f>
        <v/>
      </c>
    </row>
    <row r="156">
      <c r="G156">
        <f>IF(OR(SETUP!$B$100="",$A$12="",$B$12&lt;&gt;"System"),"","System")</f>
        <v/>
      </c>
      <c r="H156">
        <f>IF($G156="","",SETUP!$B$100)</f>
        <v/>
      </c>
      <c r="I156">
        <f>IF($G156="","",$A$12)</f>
        <v/>
      </c>
      <c r="J156">
        <f>IF($G156="","",IF(COUNTIFS(DOC_TYPE,$I156,DOC_SYS,$H156,DOC_SCOPE,"System",DOC_ACTIVE,1)+COUNTIFS(DOC_TYPE,$I156,DOC_SCOPE,"All",DOC_ACTIVE,1)&gt;0,"",IFERROR(IF($E$12&lt;&gt;"",$E$12-$C$12,SETUP!$E$100-$C$12),60000)+ROW()/1000000))</f>
        <v/>
      </c>
      <c r="L156">
        <f>IF(TRACKER!$A158="","","Document")</f>
        <v/>
      </c>
      <c r="M156">
        <f>IF($L156="","",TRACKER!$E158&amp;"  -  "&amp;TRACKER!$A158)</f>
        <v/>
      </c>
      <c r="N156">
        <f>IF($L156="","",IF(TRACKER!$B158="Equipment",TRACKER!$D158,IF(TRACKER!$B158="System",TRACKER!$C158,"Whole contract")))</f>
        <v/>
      </c>
      <c r="O156">
        <f>IF($L156="","",TRACKER!$F158)</f>
        <v/>
      </c>
      <c r="P156">
        <f>IF($L156="","",TRACKER!$K158)</f>
        <v/>
      </c>
      <c r="Q156">
        <f>IF($L156="","",TRACKER!$N158)</f>
        <v/>
      </c>
      <c r="R156">
        <f>TRACKER!$Y158</f>
        <v/>
      </c>
      <c r="S156">
        <f>TRACKER!$Z158</f>
        <v/>
      </c>
      <c r="T156">
        <f>TRACKER!$X158</f>
        <v/>
      </c>
    </row>
    <row r="157">
      <c r="G157">
        <f>IF(OR(SETUP!$B$100="",$A$13="",$B$13&lt;&gt;"System"),"","System")</f>
        <v/>
      </c>
      <c r="H157">
        <f>IF($G157="","",SETUP!$B$100)</f>
        <v/>
      </c>
      <c r="I157">
        <f>IF($G157="","",$A$13)</f>
        <v/>
      </c>
      <c r="J157">
        <f>IF($G157="","",IF(COUNTIFS(DOC_TYPE,$I157,DOC_SYS,$H157,DOC_SCOPE,"System",DOC_ACTIVE,1)+COUNTIFS(DOC_TYPE,$I157,DOC_SCOPE,"All",DOC_ACTIVE,1)&gt;0,"",IFERROR(IF($E$13&lt;&gt;"",$E$13-$C$13,SETUP!$E$100-$C$13),60000)+ROW()/1000000))</f>
        <v/>
      </c>
      <c r="L157">
        <f>IF(TRACKER!$A159="","","Document")</f>
        <v/>
      </c>
      <c r="M157">
        <f>IF($L157="","",TRACKER!$E159&amp;"  -  "&amp;TRACKER!$A159)</f>
        <v/>
      </c>
      <c r="N157">
        <f>IF($L157="","",IF(TRACKER!$B159="Equipment",TRACKER!$D159,IF(TRACKER!$B159="System",TRACKER!$C159,"Whole contract")))</f>
        <v/>
      </c>
      <c r="O157">
        <f>IF($L157="","",TRACKER!$F159)</f>
        <v/>
      </c>
      <c r="P157">
        <f>IF($L157="","",TRACKER!$K159)</f>
        <v/>
      </c>
      <c r="Q157">
        <f>IF($L157="","",TRACKER!$N159)</f>
        <v/>
      </c>
      <c r="R157">
        <f>TRACKER!$Y159</f>
        <v/>
      </c>
      <c r="S157">
        <f>TRACKER!$Z159</f>
        <v/>
      </c>
      <c r="T157">
        <f>TRACKER!$X159</f>
        <v/>
      </c>
    </row>
    <row r="158">
      <c r="G158">
        <f>IF(OR(SETUP!$B$101="",$A$2="",$B$2&lt;&gt;"System"),"","System")</f>
        <v/>
      </c>
      <c r="H158">
        <f>IF($G158="","",SETUP!$B$101)</f>
        <v/>
      </c>
      <c r="I158">
        <f>IF($G158="","",$A$2)</f>
        <v/>
      </c>
      <c r="J158">
        <f>IF($G158="","",IF(COUNTIFS(DOC_TYPE,$I158,DOC_SYS,$H158,DOC_SCOPE,"System",DOC_ACTIVE,1)+COUNTIFS(DOC_TYPE,$I158,DOC_SCOPE,"All",DOC_ACTIVE,1)&gt;0,"",IFERROR(IF($E$2&lt;&gt;"",$E$2-$C$2,SETUP!$E$101-$C$2),60000)+ROW()/1000000))</f>
        <v/>
      </c>
      <c r="L158">
        <f>IF(TRACKER!$A160="","","Document")</f>
        <v/>
      </c>
      <c r="M158">
        <f>IF($L158="","",TRACKER!$E160&amp;"  -  "&amp;TRACKER!$A160)</f>
        <v/>
      </c>
      <c r="N158">
        <f>IF($L158="","",IF(TRACKER!$B160="Equipment",TRACKER!$D160,IF(TRACKER!$B160="System",TRACKER!$C160,"Whole contract")))</f>
        <v/>
      </c>
      <c r="O158">
        <f>IF($L158="","",TRACKER!$F160)</f>
        <v/>
      </c>
      <c r="P158">
        <f>IF($L158="","",TRACKER!$K160)</f>
        <v/>
      </c>
      <c r="Q158">
        <f>IF($L158="","",TRACKER!$N160)</f>
        <v/>
      </c>
      <c r="R158">
        <f>TRACKER!$Y160</f>
        <v/>
      </c>
      <c r="S158">
        <f>TRACKER!$Z160</f>
        <v/>
      </c>
      <c r="T158">
        <f>TRACKER!$X160</f>
        <v/>
      </c>
    </row>
    <row r="159">
      <c r="G159">
        <f>IF(OR(SETUP!$B$101="",$A$3="",$B$3&lt;&gt;"System"),"","System")</f>
        <v/>
      </c>
      <c r="H159">
        <f>IF($G159="","",SETUP!$B$101)</f>
        <v/>
      </c>
      <c r="I159">
        <f>IF($G159="","",$A$3)</f>
        <v/>
      </c>
      <c r="J159">
        <f>IF($G159="","",IF(COUNTIFS(DOC_TYPE,$I159,DOC_SYS,$H159,DOC_SCOPE,"System",DOC_ACTIVE,1)+COUNTIFS(DOC_TYPE,$I159,DOC_SCOPE,"All",DOC_ACTIVE,1)&gt;0,"",IFERROR(IF($E$3&lt;&gt;"",$E$3-$C$3,SETUP!$E$101-$C$3),60000)+ROW()/1000000))</f>
        <v/>
      </c>
      <c r="L159">
        <f>IF(TRACKER!$A161="","","Document")</f>
        <v/>
      </c>
      <c r="M159">
        <f>IF($L159="","",TRACKER!$E161&amp;"  -  "&amp;TRACKER!$A161)</f>
        <v/>
      </c>
      <c r="N159">
        <f>IF($L159="","",IF(TRACKER!$B161="Equipment",TRACKER!$D161,IF(TRACKER!$B161="System",TRACKER!$C161,"Whole contract")))</f>
        <v/>
      </c>
      <c r="O159">
        <f>IF($L159="","",TRACKER!$F161)</f>
        <v/>
      </c>
      <c r="P159">
        <f>IF($L159="","",TRACKER!$K161)</f>
        <v/>
      </c>
      <c r="Q159">
        <f>IF($L159="","",TRACKER!$N161)</f>
        <v/>
      </c>
      <c r="R159">
        <f>TRACKER!$Y161</f>
        <v/>
      </c>
      <c r="S159">
        <f>TRACKER!$Z161</f>
        <v/>
      </c>
      <c r="T159">
        <f>TRACKER!$X161</f>
        <v/>
      </c>
    </row>
    <row r="160">
      <c r="G160">
        <f>IF(OR(SETUP!$B$101="",$A$4="",$B$4&lt;&gt;"System"),"","System")</f>
        <v/>
      </c>
      <c r="H160">
        <f>IF($G160="","",SETUP!$B$101)</f>
        <v/>
      </c>
      <c r="I160">
        <f>IF($G160="","",$A$4)</f>
        <v/>
      </c>
      <c r="J160">
        <f>IF($G160="","",IF(COUNTIFS(DOC_TYPE,$I160,DOC_SYS,$H160,DOC_SCOPE,"System",DOC_ACTIVE,1)+COUNTIFS(DOC_TYPE,$I160,DOC_SCOPE,"All",DOC_ACTIVE,1)&gt;0,"",IFERROR(IF($E$4&lt;&gt;"",$E$4-$C$4,SETUP!$E$101-$C$4),60000)+ROW()/1000000))</f>
        <v/>
      </c>
      <c r="L160">
        <f>IF(TRACKER!$A162="","","Document")</f>
        <v/>
      </c>
      <c r="M160">
        <f>IF($L160="","",TRACKER!$E162&amp;"  -  "&amp;TRACKER!$A162)</f>
        <v/>
      </c>
      <c r="N160">
        <f>IF($L160="","",IF(TRACKER!$B162="Equipment",TRACKER!$D162,IF(TRACKER!$B162="System",TRACKER!$C162,"Whole contract")))</f>
        <v/>
      </c>
      <c r="O160">
        <f>IF($L160="","",TRACKER!$F162)</f>
        <v/>
      </c>
      <c r="P160">
        <f>IF($L160="","",TRACKER!$K162)</f>
        <v/>
      </c>
      <c r="Q160">
        <f>IF($L160="","",TRACKER!$N162)</f>
        <v/>
      </c>
      <c r="R160">
        <f>TRACKER!$Y162</f>
        <v/>
      </c>
      <c r="S160">
        <f>TRACKER!$Z162</f>
        <v/>
      </c>
      <c r="T160">
        <f>TRACKER!$X162</f>
        <v/>
      </c>
    </row>
    <row r="161">
      <c r="G161">
        <f>IF(OR(SETUP!$B$101="",$A$5="",$B$5&lt;&gt;"System"),"","System")</f>
        <v/>
      </c>
      <c r="H161">
        <f>IF($G161="","",SETUP!$B$101)</f>
        <v/>
      </c>
      <c r="I161">
        <f>IF($G161="","",$A$5)</f>
        <v/>
      </c>
      <c r="J161">
        <f>IF($G161="","",IF(COUNTIFS(DOC_TYPE,$I161,DOC_SYS,$H161,DOC_SCOPE,"System",DOC_ACTIVE,1)+COUNTIFS(DOC_TYPE,$I161,DOC_SCOPE,"All",DOC_ACTIVE,1)&gt;0,"",IFERROR(IF($E$5&lt;&gt;"",$E$5-$C$5,SETUP!$E$101-$C$5),60000)+ROW()/1000000))</f>
        <v/>
      </c>
      <c r="L161">
        <f>IF(TRACKER!$A163="","","Document")</f>
        <v/>
      </c>
      <c r="M161">
        <f>IF($L161="","",TRACKER!$E163&amp;"  -  "&amp;TRACKER!$A163)</f>
        <v/>
      </c>
      <c r="N161">
        <f>IF($L161="","",IF(TRACKER!$B163="Equipment",TRACKER!$D163,IF(TRACKER!$B163="System",TRACKER!$C163,"Whole contract")))</f>
        <v/>
      </c>
      <c r="O161">
        <f>IF($L161="","",TRACKER!$F163)</f>
        <v/>
      </c>
      <c r="P161">
        <f>IF($L161="","",TRACKER!$K163)</f>
        <v/>
      </c>
      <c r="Q161">
        <f>IF($L161="","",TRACKER!$N163)</f>
        <v/>
      </c>
      <c r="R161">
        <f>TRACKER!$Y163</f>
        <v/>
      </c>
      <c r="S161">
        <f>TRACKER!$Z163</f>
        <v/>
      </c>
      <c r="T161">
        <f>TRACKER!$X163</f>
        <v/>
      </c>
    </row>
    <row r="162">
      <c r="G162">
        <f>IF(OR(SETUP!$B$101="",$A$6="",$B$6&lt;&gt;"System"),"","System")</f>
        <v/>
      </c>
      <c r="H162">
        <f>IF($G162="","",SETUP!$B$101)</f>
        <v/>
      </c>
      <c r="I162">
        <f>IF($G162="","",$A$6)</f>
        <v/>
      </c>
      <c r="J162">
        <f>IF($G162="","",IF(COUNTIFS(DOC_TYPE,$I162,DOC_SYS,$H162,DOC_SCOPE,"System",DOC_ACTIVE,1)+COUNTIFS(DOC_TYPE,$I162,DOC_SCOPE,"All",DOC_ACTIVE,1)&gt;0,"",IFERROR(IF($E$6&lt;&gt;"",$E$6-$C$6,SETUP!$E$101-$C$6),60000)+ROW()/1000000))</f>
        <v/>
      </c>
      <c r="L162">
        <f>IF(TRACKER!$A164="","","Document")</f>
        <v/>
      </c>
      <c r="M162">
        <f>IF($L162="","",TRACKER!$E164&amp;"  -  "&amp;TRACKER!$A164)</f>
        <v/>
      </c>
      <c r="N162">
        <f>IF($L162="","",IF(TRACKER!$B164="Equipment",TRACKER!$D164,IF(TRACKER!$B164="System",TRACKER!$C164,"Whole contract")))</f>
        <v/>
      </c>
      <c r="O162">
        <f>IF($L162="","",TRACKER!$F164)</f>
        <v/>
      </c>
      <c r="P162">
        <f>IF($L162="","",TRACKER!$K164)</f>
        <v/>
      </c>
      <c r="Q162">
        <f>IF($L162="","",TRACKER!$N164)</f>
        <v/>
      </c>
      <c r="R162">
        <f>TRACKER!$Y164</f>
        <v/>
      </c>
      <c r="S162">
        <f>TRACKER!$Z164</f>
        <v/>
      </c>
      <c r="T162">
        <f>TRACKER!$X164</f>
        <v/>
      </c>
    </row>
    <row r="163">
      <c r="G163">
        <f>IF(OR(SETUP!$B$101="",$A$7="",$B$7&lt;&gt;"System"),"","System")</f>
        <v/>
      </c>
      <c r="H163">
        <f>IF($G163="","",SETUP!$B$101)</f>
        <v/>
      </c>
      <c r="I163">
        <f>IF($G163="","",$A$7)</f>
        <v/>
      </c>
      <c r="J163">
        <f>IF($G163="","",IF(COUNTIFS(DOC_TYPE,$I163,DOC_SYS,$H163,DOC_SCOPE,"System",DOC_ACTIVE,1)+COUNTIFS(DOC_TYPE,$I163,DOC_SCOPE,"All",DOC_ACTIVE,1)&gt;0,"",IFERROR(IF($E$7&lt;&gt;"",$E$7-$C$7,SETUP!$E$101-$C$7),60000)+ROW()/1000000))</f>
        <v/>
      </c>
      <c r="L163">
        <f>IF(TRACKER!$A165="","","Document")</f>
        <v/>
      </c>
      <c r="M163">
        <f>IF($L163="","",TRACKER!$E165&amp;"  -  "&amp;TRACKER!$A165)</f>
        <v/>
      </c>
      <c r="N163">
        <f>IF($L163="","",IF(TRACKER!$B165="Equipment",TRACKER!$D165,IF(TRACKER!$B165="System",TRACKER!$C165,"Whole contract")))</f>
        <v/>
      </c>
      <c r="O163">
        <f>IF($L163="","",TRACKER!$F165)</f>
        <v/>
      </c>
      <c r="P163">
        <f>IF($L163="","",TRACKER!$K165)</f>
        <v/>
      </c>
      <c r="Q163">
        <f>IF($L163="","",TRACKER!$N165)</f>
        <v/>
      </c>
      <c r="R163">
        <f>TRACKER!$Y165</f>
        <v/>
      </c>
      <c r="S163">
        <f>TRACKER!$Z165</f>
        <v/>
      </c>
      <c r="T163">
        <f>TRACKER!$X165</f>
        <v/>
      </c>
    </row>
    <row r="164">
      <c r="G164">
        <f>IF(OR(SETUP!$B$101="",$A$8="",$B$8&lt;&gt;"System"),"","System")</f>
        <v/>
      </c>
      <c r="H164">
        <f>IF($G164="","",SETUP!$B$101)</f>
        <v/>
      </c>
      <c r="I164">
        <f>IF($G164="","",$A$8)</f>
        <v/>
      </c>
      <c r="J164">
        <f>IF($G164="","",IF(COUNTIFS(DOC_TYPE,$I164,DOC_SYS,$H164,DOC_SCOPE,"System",DOC_ACTIVE,1)+COUNTIFS(DOC_TYPE,$I164,DOC_SCOPE,"All",DOC_ACTIVE,1)&gt;0,"",IFERROR(IF($E$8&lt;&gt;"",$E$8-$C$8,SETUP!$E$101-$C$8),60000)+ROW()/1000000))</f>
        <v/>
      </c>
      <c r="L164">
        <f>IF(TRACKER!$A166="","","Document")</f>
        <v/>
      </c>
      <c r="M164">
        <f>IF($L164="","",TRACKER!$E166&amp;"  -  "&amp;TRACKER!$A166)</f>
        <v/>
      </c>
      <c r="N164">
        <f>IF($L164="","",IF(TRACKER!$B166="Equipment",TRACKER!$D166,IF(TRACKER!$B166="System",TRACKER!$C166,"Whole contract")))</f>
        <v/>
      </c>
      <c r="O164">
        <f>IF($L164="","",TRACKER!$F166)</f>
        <v/>
      </c>
      <c r="P164">
        <f>IF($L164="","",TRACKER!$K166)</f>
        <v/>
      </c>
      <c r="Q164">
        <f>IF($L164="","",TRACKER!$N166)</f>
        <v/>
      </c>
      <c r="R164">
        <f>TRACKER!$Y166</f>
        <v/>
      </c>
      <c r="S164">
        <f>TRACKER!$Z166</f>
        <v/>
      </c>
      <c r="T164">
        <f>TRACKER!$X166</f>
        <v/>
      </c>
    </row>
    <row r="165">
      <c r="G165">
        <f>IF(OR(SETUP!$B$101="",$A$9="",$B$9&lt;&gt;"System"),"","System")</f>
        <v/>
      </c>
      <c r="H165">
        <f>IF($G165="","",SETUP!$B$101)</f>
        <v/>
      </c>
      <c r="I165">
        <f>IF($G165="","",$A$9)</f>
        <v/>
      </c>
      <c r="J165">
        <f>IF($G165="","",IF(COUNTIFS(DOC_TYPE,$I165,DOC_SYS,$H165,DOC_SCOPE,"System",DOC_ACTIVE,1)+COUNTIFS(DOC_TYPE,$I165,DOC_SCOPE,"All",DOC_ACTIVE,1)&gt;0,"",IFERROR(IF($E$9&lt;&gt;"",$E$9-$C$9,SETUP!$E$101-$C$9),60000)+ROW()/1000000))</f>
        <v/>
      </c>
      <c r="L165">
        <f>IF(TRACKER!$A167="","","Document")</f>
        <v/>
      </c>
      <c r="M165">
        <f>IF($L165="","",TRACKER!$E167&amp;"  -  "&amp;TRACKER!$A167)</f>
        <v/>
      </c>
      <c r="N165">
        <f>IF($L165="","",IF(TRACKER!$B167="Equipment",TRACKER!$D167,IF(TRACKER!$B167="System",TRACKER!$C167,"Whole contract")))</f>
        <v/>
      </c>
      <c r="O165">
        <f>IF($L165="","",TRACKER!$F167)</f>
        <v/>
      </c>
      <c r="P165">
        <f>IF($L165="","",TRACKER!$K167)</f>
        <v/>
      </c>
      <c r="Q165">
        <f>IF($L165="","",TRACKER!$N167)</f>
        <v/>
      </c>
      <c r="R165">
        <f>TRACKER!$Y167</f>
        <v/>
      </c>
      <c r="S165">
        <f>TRACKER!$Z167</f>
        <v/>
      </c>
      <c r="T165">
        <f>TRACKER!$X167</f>
        <v/>
      </c>
    </row>
    <row r="166">
      <c r="G166">
        <f>IF(OR(SETUP!$B$101="",$A$10="",$B$10&lt;&gt;"System"),"","System")</f>
        <v/>
      </c>
      <c r="H166">
        <f>IF($G166="","",SETUP!$B$101)</f>
        <v/>
      </c>
      <c r="I166">
        <f>IF($G166="","",$A$10)</f>
        <v/>
      </c>
      <c r="J166">
        <f>IF($G166="","",IF(COUNTIFS(DOC_TYPE,$I166,DOC_SYS,$H166,DOC_SCOPE,"System",DOC_ACTIVE,1)+COUNTIFS(DOC_TYPE,$I166,DOC_SCOPE,"All",DOC_ACTIVE,1)&gt;0,"",IFERROR(IF($E$10&lt;&gt;"",$E$10-$C$10,SETUP!$E$101-$C$10),60000)+ROW()/1000000))</f>
        <v/>
      </c>
      <c r="L166">
        <f>IF(TRACKER!$A168="","","Document")</f>
        <v/>
      </c>
      <c r="M166">
        <f>IF($L166="","",TRACKER!$E168&amp;"  -  "&amp;TRACKER!$A168)</f>
        <v/>
      </c>
      <c r="N166">
        <f>IF($L166="","",IF(TRACKER!$B168="Equipment",TRACKER!$D168,IF(TRACKER!$B168="System",TRACKER!$C168,"Whole contract")))</f>
        <v/>
      </c>
      <c r="O166">
        <f>IF($L166="","",TRACKER!$F168)</f>
        <v/>
      </c>
      <c r="P166">
        <f>IF($L166="","",TRACKER!$K168)</f>
        <v/>
      </c>
      <c r="Q166">
        <f>IF($L166="","",TRACKER!$N168)</f>
        <v/>
      </c>
      <c r="R166">
        <f>TRACKER!$Y168</f>
        <v/>
      </c>
      <c r="S166">
        <f>TRACKER!$Z168</f>
        <v/>
      </c>
      <c r="T166">
        <f>TRACKER!$X168</f>
        <v/>
      </c>
    </row>
    <row r="167">
      <c r="G167">
        <f>IF(OR(SETUP!$B$101="",$A$11="",$B$11&lt;&gt;"System"),"","System")</f>
        <v/>
      </c>
      <c r="H167">
        <f>IF($G167="","",SETUP!$B$101)</f>
        <v/>
      </c>
      <c r="I167">
        <f>IF($G167="","",$A$11)</f>
        <v/>
      </c>
      <c r="J167">
        <f>IF($G167="","",IF(COUNTIFS(DOC_TYPE,$I167,DOC_SYS,$H167,DOC_SCOPE,"System",DOC_ACTIVE,1)+COUNTIFS(DOC_TYPE,$I167,DOC_SCOPE,"All",DOC_ACTIVE,1)&gt;0,"",IFERROR(IF($E$11&lt;&gt;"",$E$11-$C$11,SETUP!$E$101-$C$11),60000)+ROW()/1000000))</f>
        <v/>
      </c>
      <c r="L167">
        <f>IF(TRACKER!$A169="","","Document")</f>
        <v/>
      </c>
      <c r="M167">
        <f>IF($L167="","",TRACKER!$E169&amp;"  -  "&amp;TRACKER!$A169)</f>
        <v/>
      </c>
      <c r="N167">
        <f>IF($L167="","",IF(TRACKER!$B169="Equipment",TRACKER!$D169,IF(TRACKER!$B169="System",TRACKER!$C169,"Whole contract")))</f>
        <v/>
      </c>
      <c r="O167">
        <f>IF($L167="","",TRACKER!$F169)</f>
        <v/>
      </c>
      <c r="P167">
        <f>IF($L167="","",TRACKER!$K169)</f>
        <v/>
      </c>
      <c r="Q167">
        <f>IF($L167="","",TRACKER!$N169)</f>
        <v/>
      </c>
      <c r="R167">
        <f>TRACKER!$Y169</f>
        <v/>
      </c>
      <c r="S167">
        <f>TRACKER!$Z169</f>
        <v/>
      </c>
      <c r="T167">
        <f>TRACKER!$X169</f>
        <v/>
      </c>
    </row>
    <row r="168">
      <c r="G168">
        <f>IF(OR(SETUP!$B$101="",$A$12="",$B$12&lt;&gt;"System"),"","System")</f>
        <v/>
      </c>
      <c r="H168">
        <f>IF($G168="","",SETUP!$B$101)</f>
        <v/>
      </c>
      <c r="I168">
        <f>IF($G168="","",$A$12)</f>
        <v/>
      </c>
      <c r="J168">
        <f>IF($G168="","",IF(COUNTIFS(DOC_TYPE,$I168,DOC_SYS,$H168,DOC_SCOPE,"System",DOC_ACTIVE,1)+COUNTIFS(DOC_TYPE,$I168,DOC_SCOPE,"All",DOC_ACTIVE,1)&gt;0,"",IFERROR(IF($E$12&lt;&gt;"",$E$12-$C$12,SETUP!$E$101-$C$12),60000)+ROW()/1000000))</f>
        <v/>
      </c>
      <c r="L168">
        <f>IF(TRACKER!$A170="","","Document")</f>
        <v/>
      </c>
      <c r="M168">
        <f>IF($L168="","",TRACKER!$E170&amp;"  -  "&amp;TRACKER!$A170)</f>
        <v/>
      </c>
      <c r="N168">
        <f>IF($L168="","",IF(TRACKER!$B170="Equipment",TRACKER!$D170,IF(TRACKER!$B170="System",TRACKER!$C170,"Whole contract")))</f>
        <v/>
      </c>
      <c r="O168">
        <f>IF($L168="","",TRACKER!$F170)</f>
        <v/>
      </c>
      <c r="P168">
        <f>IF($L168="","",TRACKER!$K170)</f>
        <v/>
      </c>
      <c r="Q168">
        <f>IF($L168="","",TRACKER!$N170)</f>
        <v/>
      </c>
      <c r="R168">
        <f>TRACKER!$Y170</f>
        <v/>
      </c>
      <c r="S168">
        <f>TRACKER!$Z170</f>
        <v/>
      </c>
      <c r="T168">
        <f>TRACKER!$X170</f>
        <v/>
      </c>
    </row>
    <row r="169">
      <c r="G169">
        <f>IF(OR(SETUP!$B$101="",$A$13="",$B$13&lt;&gt;"System"),"","System")</f>
        <v/>
      </c>
      <c r="H169">
        <f>IF($G169="","",SETUP!$B$101)</f>
        <v/>
      </c>
      <c r="I169">
        <f>IF($G169="","",$A$13)</f>
        <v/>
      </c>
      <c r="J169">
        <f>IF($G169="","",IF(COUNTIFS(DOC_TYPE,$I169,DOC_SYS,$H169,DOC_SCOPE,"System",DOC_ACTIVE,1)+COUNTIFS(DOC_TYPE,$I169,DOC_SCOPE,"All",DOC_ACTIVE,1)&gt;0,"",IFERROR(IF($E$13&lt;&gt;"",$E$13-$C$13,SETUP!$E$101-$C$13),60000)+ROW()/1000000))</f>
        <v/>
      </c>
      <c r="L169">
        <f>IF(TRACKER!$A171="","","Document")</f>
        <v/>
      </c>
      <c r="M169">
        <f>IF($L169="","",TRACKER!$E171&amp;"  -  "&amp;TRACKER!$A171)</f>
        <v/>
      </c>
      <c r="N169">
        <f>IF($L169="","",IF(TRACKER!$B171="Equipment",TRACKER!$D171,IF(TRACKER!$B171="System",TRACKER!$C171,"Whole contract")))</f>
        <v/>
      </c>
      <c r="O169">
        <f>IF($L169="","",TRACKER!$F171)</f>
        <v/>
      </c>
      <c r="P169">
        <f>IF($L169="","",TRACKER!$K171)</f>
        <v/>
      </c>
      <c r="Q169">
        <f>IF($L169="","",TRACKER!$N171)</f>
        <v/>
      </c>
      <c r="R169">
        <f>TRACKER!$Y171</f>
        <v/>
      </c>
      <c r="S169">
        <f>TRACKER!$Z171</f>
        <v/>
      </c>
      <c r="T169">
        <f>TRACKER!$X171</f>
        <v/>
      </c>
    </row>
    <row r="170">
      <c r="G170">
        <f>IF(OR(SETUP!$B$102="",$A$2="",$B$2&lt;&gt;"System"),"","System")</f>
        <v/>
      </c>
      <c r="H170">
        <f>IF($G170="","",SETUP!$B$102)</f>
        <v/>
      </c>
      <c r="I170">
        <f>IF($G170="","",$A$2)</f>
        <v/>
      </c>
      <c r="J170">
        <f>IF($G170="","",IF(COUNTIFS(DOC_TYPE,$I170,DOC_SYS,$H170,DOC_SCOPE,"System",DOC_ACTIVE,1)+COUNTIFS(DOC_TYPE,$I170,DOC_SCOPE,"All",DOC_ACTIVE,1)&gt;0,"",IFERROR(IF($E$2&lt;&gt;"",$E$2-$C$2,SETUP!$E$102-$C$2),60000)+ROW()/1000000))</f>
        <v/>
      </c>
      <c r="L170">
        <f>IF(TRACKER!$A172="","","Document")</f>
        <v/>
      </c>
      <c r="M170">
        <f>IF($L170="","",TRACKER!$E172&amp;"  -  "&amp;TRACKER!$A172)</f>
        <v/>
      </c>
      <c r="N170">
        <f>IF($L170="","",IF(TRACKER!$B172="Equipment",TRACKER!$D172,IF(TRACKER!$B172="System",TRACKER!$C172,"Whole contract")))</f>
        <v/>
      </c>
      <c r="O170">
        <f>IF($L170="","",TRACKER!$F172)</f>
        <v/>
      </c>
      <c r="P170">
        <f>IF($L170="","",TRACKER!$K172)</f>
        <v/>
      </c>
      <c r="Q170">
        <f>IF($L170="","",TRACKER!$N172)</f>
        <v/>
      </c>
      <c r="R170">
        <f>TRACKER!$Y172</f>
        <v/>
      </c>
      <c r="S170">
        <f>TRACKER!$Z172</f>
        <v/>
      </c>
      <c r="T170">
        <f>TRACKER!$X172</f>
        <v/>
      </c>
    </row>
    <row r="171">
      <c r="G171">
        <f>IF(OR(SETUP!$B$102="",$A$3="",$B$3&lt;&gt;"System"),"","System")</f>
        <v/>
      </c>
      <c r="H171">
        <f>IF($G171="","",SETUP!$B$102)</f>
        <v/>
      </c>
      <c r="I171">
        <f>IF($G171="","",$A$3)</f>
        <v/>
      </c>
      <c r="J171">
        <f>IF($G171="","",IF(COUNTIFS(DOC_TYPE,$I171,DOC_SYS,$H171,DOC_SCOPE,"System",DOC_ACTIVE,1)+COUNTIFS(DOC_TYPE,$I171,DOC_SCOPE,"All",DOC_ACTIVE,1)&gt;0,"",IFERROR(IF($E$3&lt;&gt;"",$E$3-$C$3,SETUP!$E$102-$C$3),60000)+ROW()/1000000))</f>
        <v/>
      </c>
      <c r="L171">
        <f>IF(TRACKER!$A173="","","Document")</f>
        <v/>
      </c>
      <c r="M171">
        <f>IF($L171="","",TRACKER!$E173&amp;"  -  "&amp;TRACKER!$A173)</f>
        <v/>
      </c>
      <c r="N171">
        <f>IF($L171="","",IF(TRACKER!$B173="Equipment",TRACKER!$D173,IF(TRACKER!$B173="System",TRACKER!$C173,"Whole contract")))</f>
        <v/>
      </c>
      <c r="O171">
        <f>IF($L171="","",TRACKER!$F173)</f>
        <v/>
      </c>
      <c r="P171">
        <f>IF($L171="","",TRACKER!$K173)</f>
        <v/>
      </c>
      <c r="Q171">
        <f>IF($L171="","",TRACKER!$N173)</f>
        <v/>
      </c>
      <c r="R171">
        <f>TRACKER!$Y173</f>
        <v/>
      </c>
      <c r="S171">
        <f>TRACKER!$Z173</f>
        <v/>
      </c>
      <c r="T171">
        <f>TRACKER!$X173</f>
        <v/>
      </c>
    </row>
    <row r="172">
      <c r="G172">
        <f>IF(OR(SETUP!$B$102="",$A$4="",$B$4&lt;&gt;"System"),"","System")</f>
        <v/>
      </c>
      <c r="H172">
        <f>IF($G172="","",SETUP!$B$102)</f>
        <v/>
      </c>
      <c r="I172">
        <f>IF($G172="","",$A$4)</f>
        <v/>
      </c>
      <c r="J172">
        <f>IF($G172="","",IF(COUNTIFS(DOC_TYPE,$I172,DOC_SYS,$H172,DOC_SCOPE,"System",DOC_ACTIVE,1)+COUNTIFS(DOC_TYPE,$I172,DOC_SCOPE,"All",DOC_ACTIVE,1)&gt;0,"",IFERROR(IF($E$4&lt;&gt;"",$E$4-$C$4,SETUP!$E$102-$C$4),60000)+ROW()/1000000))</f>
        <v/>
      </c>
      <c r="L172">
        <f>IF(TRACKER!$A174="","","Document")</f>
        <v/>
      </c>
      <c r="M172">
        <f>IF($L172="","",TRACKER!$E174&amp;"  -  "&amp;TRACKER!$A174)</f>
        <v/>
      </c>
      <c r="N172">
        <f>IF($L172="","",IF(TRACKER!$B174="Equipment",TRACKER!$D174,IF(TRACKER!$B174="System",TRACKER!$C174,"Whole contract")))</f>
        <v/>
      </c>
      <c r="O172">
        <f>IF($L172="","",TRACKER!$F174)</f>
        <v/>
      </c>
      <c r="P172">
        <f>IF($L172="","",TRACKER!$K174)</f>
        <v/>
      </c>
      <c r="Q172">
        <f>IF($L172="","",TRACKER!$N174)</f>
        <v/>
      </c>
      <c r="R172">
        <f>TRACKER!$Y174</f>
        <v/>
      </c>
      <c r="S172">
        <f>TRACKER!$Z174</f>
        <v/>
      </c>
      <c r="T172">
        <f>TRACKER!$X174</f>
        <v/>
      </c>
    </row>
    <row r="173">
      <c r="G173">
        <f>IF(OR(SETUP!$B$102="",$A$5="",$B$5&lt;&gt;"System"),"","System")</f>
        <v/>
      </c>
      <c r="H173">
        <f>IF($G173="","",SETUP!$B$102)</f>
        <v/>
      </c>
      <c r="I173">
        <f>IF($G173="","",$A$5)</f>
        <v/>
      </c>
      <c r="J173">
        <f>IF($G173="","",IF(COUNTIFS(DOC_TYPE,$I173,DOC_SYS,$H173,DOC_SCOPE,"System",DOC_ACTIVE,1)+COUNTIFS(DOC_TYPE,$I173,DOC_SCOPE,"All",DOC_ACTIVE,1)&gt;0,"",IFERROR(IF($E$5&lt;&gt;"",$E$5-$C$5,SETUP!$E$102-$C$5),60000)+ROW()/1000000))</f>
        <v/>
      </c>
      <c r="L173">
        <f>IF(TRACKER!$A175="","","Document")</f>
        <v/>
      </c>
      <c r="M173">
        <f>IF($L173="","",TRACKER!$E175&amp;"  -  "&amp;TRACKER!$A175)</f>
        <v/>
      </c>
      <c r="N173">
        <f>IF($L173="","",IF(TRACKER!$B175="Equipment",TRACKER!$D175,IF(TRACKER!$B175="System",TRACKER!$C175,"Whole contract")))</f>
        <v/>
      </c>
      <c r="O173">
        <f>IF($L173="","",TRACKER!$F175)</f>
        <v/>
      </c>
      <c r="P173">
        <f>IF($L173="","",TRACKER!$K175)</f>
        <v/>
      </c>
      <c r="Q173">
        <f>IF($L173="","",TRACKER!$N175)</f>
        <v/>
      </c>
      <c r="R173">
        <f>TRACKER!$Y175</f>
        <v/>
      </c>
      <c r="S173">
        <f>TRACKER!$Z175</f>
        <v/>
      </c>
      <c r="T173">
        <f>TRACKER!$X175</f>
        <v/>
      </c>
    </row>
    <row r="174">
      <c r="G174">
        <f>IF(OR(SETUP!$B$102="",$A$6="",$B$6&lt;&gt;"System"),"","System")</f>
        <v/>
      </c>
      <c r="H174">
        <f>IF($G174="","",SETUP!$B$102)</f>
        <v/>
      </c>
      <c r="I174">
        <f>IF($G174="","",$A$6)</f>
        <v/>
      </c>
      <c r="J174">
        <f>IF($G174="","",IF(COUNTIFS(DOC_TYPE,$I174,DOC_SYS,$H174,DOC_SCOPE,"System",DOC_ACTIVE,1)+COUNTIFS(DOC_TYPE,$I174,DOC_SCOPE,"All",DOC_ACTIVE,1)&gt;0,"",IFERROR(IF($E$6&lt;&gt;"",$E$6-$C$6,SETUP!$E$102-$C$6),60000)+ROW()/1000000))</f>
        <v/>
      </c>
      <c r="L174">
        <f>IF(TRACKER!$A176="","","Document")</f>
        <v/>
      </c>
      <c r="M174">
        <f>IF($L174="","",TRACKER!$E176&amp;"  -  "&amp;TRACKER!$A176)</f>
        <v/>
      </c>
      <c r="N174">
        <f>IF($L174="","",IF(TRACKER!$B176="Equipment",TRACKER!$D176,IF(TRACKER!$B176="System",TRACKER!$C176,"Whole contract")))</f>
        <v/>
      </c>
      <c r="O174">
        <f>IF($L174="","",TRACKER!$F176)</f>
        <v/>
      </c>
      <c r="P174">
        <f>IF($L174="","",TRACKER!$K176)</f>
        <v/>
      </c>
      <c r="Q174">
        <f>IF($L174="","",TRACKER!$N176)</f>
        <v/>
      </c>
      <c r="R174">
        <f>TRACKER!$Y176</f>
        <v/>
      </c>
      <c r="S174">
        <f>TRACKER!$Z176</f>
        <v/>
      </c>
      <c r="T174">
        <f>TRACKER!$X176</f>
        <v/>
      </c>
    </row>
    <row r="175">
      <c r="G175">
        <f>IF(OR(SETUP!$B$102="",$A$7="",$B$7&lt;&gt;"System"),"","System")</f>
        <v/>
      </c>
      <c r="H175">
        <f>IF($G175="","",SETUP!$B$102)</f>
        <v/>
      </c>
      <c r="I175">
        <f>IF($G175="","",$A$7)</f>
        <v/>
      </c>
      <c r="J175">
        <f>IF($G175="","",IF(COUNTIFS(DOC_TYPE,$I175,DOC_SYS,$H175,DOC_SCOPE,"System",DOC_ACTIVE,1)+COUNTIFS(DOC_TYPE,$I175,DOC_SCOPE,"All",DOC_ACTIVE,1)&gt;0,"",IFERROR(IF($E$7&lt;&gt;"",$E$7-$C$7,SETUP!$E$102-$C$7),60000)+ROW()/1000000))</f>
        <v/>
      </c>
      <c r="L175">
        <f>IF(TRACKER!$A177="","","Document")</f>
        <v/>
      </c>
      <c r="M175">
        <f>IF($L175="","",TRACKER!$E177&amp;"  -  "&amp;TRACKER!$A177)</f>
        <v/>
      </c>
      <c r="N175">
        <f>IF($L175="","",IF(TRACKER!$B177="Equipment",TRACKER!$D177,IF(TRACKER!$B177="System",TRACKER!$C177,"Whole contract")))</f>
        <v/>
      </c>
      <c r="O175">
        <f>IF($L175="","",TRACKER!$F177)</f>
        <v/>
      </c>
      <c r="P175">
        <f>IF($L175="","",TRACKER!$K177)</f>
        <v/>
      </c>
      <c r="Q175">
        <f>IF($L175="","",TRACKER!$N177)</f>
        <v/>
      </c>
      <c r="R175">
        <f>TRACKER!$Y177</f>
        <v/>
      </c>
      <c r="S175">
        <f>TRACKER!$Z177</f>
        <v/>
      </c>
      <c r="T175">
        <f>TRACKER!$X177</f>
        <v/>
      </c>
    </row>
    <row r="176">
      <c r="G176">
        <f>IF(OR(SETUP!$B$102="",$A$8="",$B$8&lt;&gt;"System"),"","System")</f>
        <v/>
      </c>
      <c r="H176">
        <f>IF($G176="","",SETUP!$B$102)</f>
        <v/>
      </c>
      <c r="I176">
        <f>IF($G176="","",$A$8)</f>
        <v/>
      </c>
      <c r="J176">
        <f>IF($G176="","",IF(COUNTIFS(DOC_TYPE,$I176,DOC_SYS,$H176,DOC_SCOPE,"System",DOC_ACTIVE,1)+COUNTIFS(DOC_TYPE,$I176,DOC_SCOPE,"All",DOC_ACTIVE,1)&gt;0,"",IFERROR(IF($E$8&lt;&gt;"",$E$8-$C$8,SETUP!$E$102-$C$8),60000)+ROW()/1000000))</f>
        <v/>
      </c>
      <c r="L176">
        <f>IF(TRACKER!$A178="","","Document")</f>
        <v/>
      </c>
      <c r="M176">
        <f>IF($L176="","",TRACKER!$E178&amp;"  -  "&amp;TRACKER!$A178)</f>
        <v/>
      </c>
      <c r="N176">
        <f>IF($L176="","",IF(TRACKER!$B178="Equipment",TRACKER!$D178,IF(TRACKER!$B178="System",TRACKER!$C178,"Whole contract")))</f>
        <v/>
      </c>
      <c r="O176">
        <f>IF($L176="","",TRACKER!$F178)</f>
        <v/>
      </c>
      <c r="P176">
        <f>IF($L176="","",TRACKER!$K178)</f>
        <v/>
      </c>
      <c r="Q176">
        <f>IF($L176="","",TRACKER!$N178)</f>
        <v/>
      </c>
      <c r="R176">
        <f>TRACKER!$Y178</f>
        <v/>
      </c>
      <c r="S176">
        <f>TRACKER!$Z178</f>
        <v/>
      </c>
      <c r="T176">
        <f>TRACKER!$X178</f>
        <v/>
      </c>
    </row>
    <row r="177">
      <c r="G177">
        <f>IF(OR(SETUP!$B$102="",$A$9="",$B$9&lt;&gt;"System"),"","System")</f>
        <v/>
      </c>
      <c r="H177">
        <f>IF($G177="","",SETUP!$B$102)</f>
        <v/>
      </c>
      <c r="I177">
        <f>IF($G177="","",$A$9)</f>
        <v/>
      </c>
      <c r="J177">
        <f>IF($G177="","",IF(COUNTIFS(DOC_TYPE,$I177,DOC_SYS,$H177,DOC_SCOPE,"System",DOC_ACTIVE,1)+COUNTIFS(DOC_TYPE,$I177,DOC_SCOPE,"All",DOC_ACTIVE,1)&gt;0,"",IFERROR(IF($E$9&lt;&gt;"",$E$9-$C$9,SETUP!$E$102-$C$9),60000)+ROW()/1000000))</f>
        <v/>
      </c>
      <c r="L177">
        <f>IF(TRACKER!$A179="","","Document")</f>
        <v/>
      </c>
      <c r="M177">
        <f>IF($L177="","",TRACKER!$E179&amp;"  -  "&amp;TRACKER!$A179)</f>
        <v/>
      </c>
      <c r="N177">
        <f>IF($L177="","",IF(TRACKER!$B179="Equipment",TRACKER!$D179,IF(TRACKER!$B179="System",TRACKER!$C179,"Whole contract")))</f>
        <v/>
      </c>
      <c r="O177">
        <f>IF($L177="","",TRACKER!$F179)</f>
        <v/>
      </c>
      <c r="P177">
        <f>IF($L177="","",TRACKER!$K179)</f>
        <v/>
      </c>
      <c r="Q177">
        <f>IF($L177="","",TRACKER!$N179)</f>
        <v/>
      </c>
      <c r="R177">
        <f>TRACKER!$Y179</f>
        <v/>
      </c>
      <c r="S177">
        <f>TRACKER!$Z179</f>
        <v/>
      </c>
      <c r="T177">
        <f>TRACKER!$X179</f>
        <v/>
      </c>
    </row>
    <row r="178">
      <c r="G178">
        <f>IF(OR(SETUP!$B$102="",$A$10="",$B$10&lt;&gt;"System"),"","System")</f>
        <v/>
      </c>
      <c r="H178">
        <f>IF($G178="","",SETUP!$B$102)</f>
        <v/>
      </c>
      <c r="I178">
        <f>IF($G178="","",$A$10)</f>
        <v/>
      </c>
      <c r="J178">
        <f>IF($G178="","",IF(COUNTIFS(DOC_TYPE,$I178,DOC_SYS,$H178,DOC_SCOPE,"System",DOC_ACTIVE,1)+COUNTIFS(DOC_TYPE,$I178,DOC_SCOPE,"All",DOC_ACTIVE,1)&gt;0,"",IFERROR(IF($E$10&lt;&gt;"",$E$10-$C$10,SETUP!$E$102-$C$10),60000)+ROW()/1000000))</f>
        <v/>
      </c>
      <c r="L178">
        <f>IF(TRACKER!$A180="","","Document")</f>
        <v/>
      </c>
      <c r="M178">
        <f>IF($L178="","",TRACKER!$E180&amp;"  -  "&amp;TRACKER!$A180)</f>
        <v/>
      </c>
      <c r="N178">
        <f>IF($L178="","",IF(TRACKER!$B180="Equipment",TRACKER!$D180,IF(TRACKER!$B180="System",TRACKER!$C180,"Whole contract")))</f>
        <v/>
      </c>
      <c r="O178">
        <f>IF($L178="","",TRACKER!$F180)</f>
        <v/>
      </c>
      <c r="P178">
        <f>IF($L178="","",TRACKER!$K180)</f>
        <v/>
      </c>
      <c r="Q178">
        <f>IF($L178="","",TRACKER!$N180)</f>
        <v/>
      </c>
      <c r="R178">
        <f>TRACKER!$Y180</f>
        <v/>
      </c>
      <c r="S178">
        <f>TRACKER!$Z180</f>
        <v/>
      </c>
      <c r="T178">
        <f>TRACKER!$X180</f>
        <v/>
      </c>
    </row>
    <row r="179">
      <c r="G179">
        <f>IF(OR(SETUP!$B$102="",$A$11="",$B$11&lt;&gt;"System"),"","System")</f>
        <v/>
      </c>
      <c r="H179">
        <f>IF($G179="","",SETUP!$B$102)</f>
        <v/>
      </c>
      <c r="I179">
        <f>IF($G179="","",$A$11)</f>
        <v/>
      </c>
      <c r="J179">
        <f>IF($G179="","",IF(COUNTIFS(DOC_TYPE,$I179,DOC_SYS,$H179,DOC_SCOPE,"System",DOC_ACTIVE,1)+COUNTIFS(DOC_TYPE,$I179,DOC_SCOPE,"All",DOC_ACTIVE,1)&gt;0,"",IFERROR(IF($E$11&lt;&gt;"",$E$11-$C$11,SETUP!$E$102-$C$11),60000)+ROW()/1000000))</f>
        <v/>
      </c>
      <c r="L179">
        <f>IF(TRACKER!$A181="","","Document")</f>
        <v/>
      </c>
      <c r="M179">
        <f>IF($L179="","",TRACKER!$E181&amp;"  -  "&amp;TRACKER!$A181)</f>
        <v/>
      </c>
      <c r="N179">
        <f>IF($L179="","",IF(TRACKER!$B181="Equipment",TRACKER!$D181,IF(TRACKER!$B181="System",TRACKER!$C181,"Whole contract")))</f>
        <v/>
      </c>
      <c r="O179">
        <f>IF($L179="","",TRACKER!$F181)</f>
        <v/>
      </c>
      <c r="P179">
        <f>IF($L179="","",TRACKER!$K181)</f>
        <v/>
      </c>
      <c r="Q179">
        <f>IF($L179="","",TRACKER!$N181)</f>
        <v/>
      </c>
      <c r="R179">
        <f>TRACKER!$Y181</f>
        <v/>
      </c>
      <c r="S179">
        <f>TRACKER!$Z181</f>
        <v/>
      </c>
      <c r="T179">
        <f>TRACKER!$X181</f>
        <v/>
      </c>
    </row>
    <row r="180">
      <c r="G180">
        <f>IF(OR(SETUP!$B$102="",$A$12="",$B$12&lt;&gt;"System"),"","System")</f>
        <v/>
      </c>
      <c r="H180">
        <f>IF($G180="","",SETUP!$B$102)</f>
        <v/>
      </c>
      <c r="I180">
        <f>IF($G180="","",$A$12)</f>
        <v/>
      </c>
      <c r="J180">
        <f>IF($G180="","",IF(COUNTIFS(DOC_TYPE,$I180,DOC_SYS,$H180,DOC_SCOPE,"System",DOC_ACTIVE,1)+COUNTIFS(DOC_TYPE,$I180,DOC_SCOPE,"All",DOC_ACTIVE,1)&gt;0,"",IFERROR(IF($E$12&lt;&gt;"",$E$12-$C$12,SETUP!$E$102-$C$12),60000)+ROW()/1000000))</f>
        <v/>
      </c>
      <c r="L180">
        <f>IF(TRACKER!$A182="","","Document")</f>
        <v/>
      </c>
      <c r="M180">
        <f>IF($L180="","",TRACKER!$E182&amp;"  -  "&amp;TRACKER!$A182)</f>
        <v/>
      </c>
      <c r="N180">
        <f>IF($L180="","",IF(TRACKER!$B182="Equipment",TRACKER!$D182,IF(TRACKER!$B182="System",TRACKER!$C182,"Whole contract")))</f>
        <v/>
      </c>
      <c r="O180">
        <f>IF($L180="","",TRACKER!$F182)</f>
        <v/>
      </c>
      <c r="P180">
        <f>IF($L180="","",TRACKER!$K182)</f>
        <v/>
      </c>
      <c r="Q180">
        <f>IF($L180="","",TRACKER!$N182)</f>
        <v/>
      </c>
      <c r="R180">
        <f>TRACKER!$Y182</f>
        <v/>
      </c>
      <c r="S180">
        <f>TRACKER!$Z182</f>
        <v/>
      </c>
      <c r="T180">
        <f>TRACKER!$X182</f>
        <v/>
      </c>
    </row>
    <row r="181">
      <c r="G181">
        <f>IF(OR(SETUP!$B$102="",$A$13="",$B$13&lt;&gt;"System"),"","System")</f>
        <v/>
      </c>
      <c r="H181">
        <f>IF($G181="","",SETUP!$B$102)</f>
        <v/>
      </c>
      <c r="I181">
        <f>IF($G181="","",$A$13)</f>
        <v/>
      </c>
      <c r="J181">
        <f>IF($G181="","",IF(COUNTIFS(DOC_TYPE,$I181,DOC_SYS,$H181,DOC_SCOPE,"System",DOC_ACTIVE,1)+COUNTIFS(DOC_TYPE,$I181,DOC_SCOPE,"All",DOC_ACTIVE,1)&gt;0,"",IFERROR(IF($E$13&lt;&gt;"",$E$13-$C$13,SETUP!$E$102-$C$13),60000)+ROW()/1000000))</f>
        <v/>
      </c>
      <c r="L181">
        <f>IF(TRACKER!$A183="","","Document")</f>
        <v/>
      </c>
      <c r="M181">
        <f>IF($L181="","",TRACKER!$E183&amp;"  -  "&amp;TRACKER!$A183)</f>
        <v/>
      </c>
      <c r="N181">
        <f>IF($L181="","",IF(TRACKER!$B183="Equipment",TRACKER!$D183,IF(TRACKER!$B183="System",TRACKER!$C183,"Whole contract")))</f>
        <v/>
      </c>
      <c r="O181">
        <f>IF($L181="","",TRACKER!$F183)</f>
        <v/>
      </c>
      <c r="P181">
        <f>IF($L181="","",TRACKER!$K183)</f>
        <v/>
      </c>
      <c r="Q181">
        <f>IF($L181="","",TRACKER!$N183)</f>
        <v/>
      </c>
      <c r="R181">
        <f>TRACKER!$Y183</f>
        <v/>
      </c>
      <c r="S181">
        <f>TRACKER!$Z183</f>
        <v/>
      </c>
      <c r="T181">
        <f>TRACKER!$X183</f>
        <v/>
      </c>
    </row>
    <row r="182">
      <c r="G182">
        <f>IF(OR(SETUP!$B$103="",$A$2="",$B$2&lt;&gt;"System"),"","System")</f>
        <v/>
      </c>
      <c r="H182">
        <f>IF($G182="","",SETUP!$B$103)</f>
        <v/>
      </c>
      <c r="I182">
        <f>IF($G182="","",$A$2)</f>
        <v/>
      </c>
      <c r="J182">
        <f>IF($G182="","",IF(COUNTIFS(DOC_TYPE,$I182,DOC_SYS,$H182,DOC_SCOPE,"System",DOC_ACTIVE,1)+COUNTIFS(DOC_TYPE,$I182,DOC_SCOPE,"All",DOC_ACTIVE,1)&gt;0,"",IFERROR(IF($E$2&lt;&gt;"",$E$2-$C$2,SETUP!$E$103-$C$2),60000)+ROW()/1000000))</f>
        <v/>
      </c>
      <c r="L182">
        <f>IF(TRACKER!$A184="","","Document")</f>
        <v/>
      </c>
      <c r="M182">
        <f>IF($L182="","",TRACKER!$E184&amp;"  -  "&amp;TRACKER!$A184)</f>
        <v/>
      </c>
      <c r="N182">
        <f>IF($L182="","",IF(TRACKER!$B184="Equipment",TRACKER!$D184,IF(TRACKER!$B184="System",TRACKER!$C184,"Whole contract")))</f>
        <v/>
      </c>
      <c r="O182">
        <f>IF($L182="","",TRACKER!$F184)</f>
        <v/>
      </c>
      <c r="P182">
        <f>IF($L182="","",TRACKER!$K184)</f>
        <v/>
      </c>
      <c r="Q182">
        <f>IF($L182="","",TRACKER!$N184)</f>
        <v/>
      </c>
      <c r="R182">
        <f>TRACKER!$Y184</f>
        <v/>
      </c>
      <c r="S182">
        <f>TRACKER!$Z184</f>
        <v/>
      </c>
      <c r="T182">
        <f>TRACKER!$X184</f>
        <v/>
      </c>
    </row>
    <row r="183">
      <c r="G183">
        <f>IF(OR(SETUP!$B$103="",$A$3="",$B$3&lt;&gt;"System"),"","System")</f>
        <v/>
      </c>
      <c r="H183">
        <f>IF($G183="","",SETUP!$B$103)</f>
        <v/>
      </c>
      <c r="I183">
        <f>IF($G183="","",$A$3)</f>
        <v/>
      </c>
      <c r="J183">
        <f>IF($G183="","",IF(COUNTIFS(DOC_TYPE,$I183,DOC_SYS,$H183,DOC_SCOPE,"System",DOC_ACTIVE,1)+COUNTIFS(DOC_TYPE,$I183,DOC_SCOPE,"All",DOC_ACTIVE,1)&gt;0,"",IFERROR(IF($E$3&lt;&gt;"",$E$3-$C$3,SETUP!$E$103-$C$3),60000)+ROW()/1000000))</f>
        <v/>
      </c>
      <c r="L183">
        <f>IF(TRACKER!$A185="","","Document")</f>
        <v/>
      </c>
      <c r="M183">
        <f>IF($L183="","",TRACKER!$E185&amp;"  -  "&amp;TRACKER!$A185)</f>
        <v/>
      </c>
      <c r="N183">
        <f>IF($L183="","",IF(TRACKER!$B185="Equipment",TRACKER!$D185,IF(TRACKER!$B185="System",TRACKER!$C185,"Whole contract")))</f>
        <v/>
      </c>
      <c r="O183">
        <f>IF($L183="","",TRACKER!$F185)</f>
        <v/>
      </c>
      <c r="P183">
        <f>IF($L183="","",TRACKER!$K185)</f>
        <v/>
      </c>
      <c r="Q183">
        <f>IF($L183="","",TRACKER!$N185)</f>
        <v/>
      </c>
      <c r="R183">
        <f>TRACKER!$Y185</f>
        <v/>
      </c>
      <c r="S183">
        <f>TRACKER!$Z185</f>
        <v/>
      </c>
      <c r="T183">
        <f>TRACKER!$X185</f>
        <v/>
      </c>
    </row>
    <row r="184">
      <c r="G184">
        <f>IF(OR(SETUP!$B$103="",$A$4="",$B$4&lt;&gt;"System"),"","System")</f>
        <v/>
      </c>
      <c r="H184">
        <f>IF($G184="","",SETUP!$B$103)</f>
        <v/>
      </c>
      <c r="I184">
        <f>IF($G184="","",$A$4)</f>
        <v/>
      </c>
      <c r="J184">
        <f>IF($G184="","",IF(COUNTIFS(DOC_TYPE,$I184,DOC_SYS,$H184,DOC_SCOPE,"System",DOC_ACTIVE,1)+COUNTIFS(DOC_TYPE,$I184,DOC_SCOPE,"All",DOC_ACTIVE,1)&gt;0,"",IFERROR(IF($E$4&lt;&gt;"",$E$4-$C$4,SETUP!$E$103-$C$4),60000)+ROW()/1000000))</f>
        <v/>
      </c>
      <c r="L184">
        <f>IF(TRACKER!$A186="","","Document")</f>
        <v/>
      </c>
      <c r="M184">
        <f>IF($L184="","",TRACKER!$E186&amp;"  -  "&amp;TRACKER!$A186)</f>
        <v/>
      </c>
      <c r="N184">
        <f>IF($L184="","",IF(TRACKER!$B186="Equipment",TRACKER!$D186,IF(TRACKER!$B186="System",TRACKER!$C186,"Whole contract")))</f>
        <v/>
      </c>
      <c r="O184">
        <f>IF($L184="","",TRACKER!$F186)</f>
        <v/>
      </c>
      <c r="P184">
        <f>IF($L184="","",TRACKER!$K186)</f>
        <v/>
      </c>
      <c r="Q184">
        <f>IF($L184="","",TRACKER!$N186)</f>
        <v/>
      </c>
      <c r="R184">
        <f>TRACKER!$Y186</f>
        <v/>
      </c>
      <c r="S184">
        <f>TRACKER!$Z186</f>
        <v/>
      </c>
      <c r="T184">
        <f>TRACKER!$X186</f>
        <v/>
      </c>
    </row>
    <row r="185">
      <c r="G185">
        <f>IF(OR(SETUP!$B$103="",$A$5="",$B$5&lt;&gt;"System"),"","System")</f>
        <v/>
      </c>
      <c r="H185">
        <f>IF($G185="","",SETUP!$B$103)</f>
        <v/>
      </c>
      <c r="I185">
        <f>IF($G185="","",$A$5)</f>
        <v/>
      </c>
      <c r="J185">
        <f>IF($G185="","",IF(COUNTIFS(DOC_TYPE,$I185,DOC_SYS,$H185,DOC_SCOPE,"System",DOC_ACTIVE,1)+COUNTIFS(DOC_TYPE,$I185,DOC_SCOPE,"All",DOC_ACTIVE,1)&gt;0,"",IFERROR(IF($E$5&lt;&gt;"",$E$5-$C$5,SETUP!$E$103-$C$5),60000)+ROW()/1000000))</f>
        <v/>
      </c>
      <c r="L185">
        <f>IF(TRACKER!$A187="","","Document")</f>
        <v/>
      </c>
      <c r="M185">
        <f>IF($L185="","",TRACKER!$E187&amp;"  -  "&amp;TRACKER!$A187)</f>
        <v/>
      </c>
      <c r="N185">
        <f>IF($L185="","",IF(TRACKER!$B187="Equipment",TRACKER!$D187,IF(TRACKER!$B187="System",TRACKER!$C187,"Whole contract")))</f>
        <v/>
      </c>
      <c r="O185">
        <f>IF($L185="","",TRACKER!$F187)</f>
        <v/>
      </c>
      <c r="P185">
        <f>IF($L185="","",TRACKER!$K187)</f>
        <v/>
      </c>
      <c r="Q185">
        <f>IF($L185="","",TRACKER!$N187)</f>
        <v/>
      </c>
      <c r="R185">
        <f>TRACKER!$Y187</f>
        <v/>
      </c>
      <c r="S185">
        <f>TRACKER!$Z187</f>
        <v/>
      </c>
      <c r="T185">
        <f>TRACKER!$X187</f>
        <v/>
      </c>
    </row>
    <row r="186">
      <c r="G186">
        <f>IF(OR(SETUP!$B$103="",$A$6="",$B$6&lt;&gt;"System"),"","System")</f>
        <v/>
      </c>
      <c r="H186">
        <f>IF($G186="","",SETUP!$B$103)</f>
        <v/>
      </c>
      <c r="I186">
        <f>IF($G186="","",$A$6)</f>
        <v/>
      </c>
      <c r="J186">
        <f>IF($G186="","",IF(COUNTIFS(DOC_TYPE,$I186,DOC_SYS,$H186,DOC_SCOPE,"System",DOC_ACTIVE,1)+COUNTIFS(DOC_TYPE,$I186,DOC_SCOPE,"All",DOC_ACTIVE,1)&gt;0,"",IFERROR(IF($E$6&lt;&gt;"",$E$6-$C$6,SETUP!$E$103-$C$6),60000)+ROW()/1000000))</f>
        <v/>
      </c>
      <c r="L186">
        <f>IF(TRACKER!$A188="","","Document")</f>
        <v/>
      </c>
      <c r="M186">
        <f>IF($L186="","",TRACKER!$E188&amp;"  -  "&amp;TRACKER!$A188)</f>
        <v/>
      </c>
      <c r="N186">
        <f>IF($L186="","",IF(TRACKER!$B188="Equipment",TRACKER!$D188,IF(TRACKER!$B188="System",TRACKER!$C188,"Whole contract")))</f>
        <v/>
      </c>
      <c r="O186">
        <f>IF($L186="","",TRACKER!$F188)</f>
        <v/>
      </c>
      <c r="P186">
        <f>IF($L186="","",TRACKER!$K188)</f>
        <v/>
      </c>
      <c r="Q186">
        <f>IF($L186="","",TRACKER!$N188)</f>
        <v/>
      </c>
      <c r="R186">
        <f>TRACKER!$Y188</f>
        <v/>
      </c>
      <c r="S186">
        <f>TRACKER!$Z188</f>
        <v/>
      </c>
      <c r="T186">
        <f>TRACKER!$X188</f>
        <v/>
      </c>
    </row>
    <row r="187">
      <c r="G187">
        <f>IF(OR(SETUP!$B$103="",$A$7="",$B$7&lt;&gt;"System"),"","System")</f>
        <v/>
      </c>
      <c r="H187">
        <f>IF($G187="","",SETUP!$B$103)</f>
        <v/>
      </c>
      <c r="I187">
        <f>IF($G187="","",$A$7)</f>
        <v/>
      </c>
      <c r="J187">
        <f>IF($G187="","",IF(COUNTIFS(DOC_TYPE,$I187,DOC_SYS,$H187,DOC_SCOPE,"System",DOC_ACTIVE,1)+COUNTIFS(DOC_TYPE,$I187,DOC_SCOPE,"All",DOC_ACTIVE,1)&gt;0,"",IFERROR(IF($E$7&lt;&gt;"",$E$7-$C$7,SETUP!$E$103-$C$7),60000)+ROW()/1000000))</f>
        <v/>
      </c>
      <c r="L187">
        <f>IF(TRACKER!$A189="","","Document")</f>
        <v/>
      </c>
      <c r="M187">
        <f>IF($L187="","",TRACKER!$E189&amp;"  -  "&amp;TRACKER!$A189)</f>
        <v/>
      </c>
      <c r="N187">
        <f>IF($L187="","",IF(TRACKER!$B189="Equipment",TRACKER!$D189,IF(TRACKER!$B189="System",TRACKER!$C189,"Whole contract")))</f>
        <v/>
      </c>
      <c r="O187">
        <f>IF($L187="","",TRACKER!$F189)</f>
        <v/>
      </c>
      <c r="P187">
        <f>IF($L187="","",TRACKER!$K189)</f>
        <v/>
      </c>
      <c r="Q187">
        <f>IF($L187="","",TRACKER!$N189)</f>
        <v/>
      </c>
      <c r="R187">
        <f>TRACKER!$Y189</f>
        <v/>
      </c>
      <c r="S187">
        <f>TRACKER!$Z189</f>
        <v/>
      </c>
      <c r="T187">
        <f>TRACKER!$X189</f>
        <v/>
      </c>
    </row>
    <row r="188">
      <c r="G188">
        <f>IF(OR(SETUP!$B$103="",$A$8="",$B$8&lt;&gt;"System"),"","System")</f>
        <v/>
      </c>
      <c r="H188">
        <f>IF($G188="","",SETUP!$B$103)</f>
        <v/>
      </c>
      <c r="I188">
        <f>IF($G188="","",$A$8)</f>
        <v/>
      </c>
      <c r="J188">
        <f>IF($G188="","",IF(COUNTIFS(DOC_TYPE,$I188,DOC_SYS,$H188,DOC_SCOPE,"System",DOC_ACTIVE,1)+COUNTIFS(DOC_TYPE,$I188,DOC_SCOPE,"All",DOC_ACTIVE,1)&gt;0,"",IFERROR(IF($E$8&lt;&gt;"",$E$8-$C$8,SETUP!$E$103-$C$8),60000)+ROW()/1000000))</f>
        <v/>
      </c>
      <c r="L188">
        <f>IF(TRACKER!$A190="","","Document")</f>
        <v/>
      </c>
      <c r="M188">
        <f>IF($L188="","",TRACKER!$E190&amp;"  -  "&amp;TRACKER!$A190)</f>
        <v/>
      </c>
      <c r="N188">
        <f>IF($L188="","",IF(TRACKER!$B190="Equipment",TRACKER!$D190,IF(TRACKER!$B190="System",TRACKER!$C190,"Whole contract")))</f>
        <v/>
      </c>
      <c r="O188">
        <f>IF($L188="","",TRACKER!$F190)</f>
        <v/>
      </c>
      <c r="P188">
        <f>IF($L188="","",TRACKER!$K190)</f>
        <v/>
      </c>
      <c r="Q188">
        <f>IF($L188="","",TRACKER!$N190)</f>
        <v/>
      </c>
      <c r="R188">
        <f>TRACKER!$Y190</f>
        <v/>
      </c>
      <c r="S188">
        <f>TRACKER!$Z190</f>
        <v/>
      </c>
      <c r="T188">
        <f>TRACKER!$X190</f>
        <v/>
      </c>
    </row>
    <row r="189">
      <c r="G189">
        <f>IF(OR(SETUP!$B$103="",$A$9="",$B$9&lt;&gt;"System"),"","System")</f>
        <v/>
      </c>
      <c r="H189">
        <f>IF($G189="","",SETUP!$B$103)</f>
        <v/>
      </c>
      <c r="I189">
        <f>IF($G189="","",$A$9)</f>
        <v/>
      </c>
      <c r="J189">
        <f>IF($G189="","",IF(COUNTIFS(DOC_TYPE,$I189,DOC_SYS,$H189,DOC_SCOPE,"System",DOC_ACTIVE,1)+COUNTIFS(DOC_TYPE,$I189,DOC_SCOPE,"All",DOC_ACTIVE,1)&gt;0,"",IFERROR(IF($E$9&lt;&gt;"",$E$9-$C$9,SETUP!$E$103-$C$9),60000)+ROW()/1000000))</f>
        <v/>
      </c>
      <c r="L189">
        <f>IF(TRACKER!$A191="","","Document")</f>
        <v/>
      </c>
      <c r="M189">
        <f>IF($L189="","",TRACKER!$E191&amp;"  -  "&amp;TRACKER!$A191)</f>
        <v/>
      </c>
      <c r="N189">
        <f>IF($L189="","",IF(TRACKER!$B191="Equipment",TRACKER!$D191,IF(TRACKER!$B191="System",TRACKER!$C191,"Whole contract")))</f>
        <v/>
      </c>
      <c r="O189">
        <f>IF($L189="","",TRACKER!$F191)</f>
        <v/>
      </c>
      <c r="P189">
        <f>IF($L189="","",TRACKER!$K191)</f>
        <v/>
      </c>
      <c r="Q189">
        <f>IF($L189="","",TRACKER!$N191)</f>
        <v/>
      </c>
      <c r="R189">
        <f>TRACKER!$Y191</f>
        <v/>
      </c>
      <c r="S189">
        <f>TRACKER!$Z191</f>
        <v/>
      </c>
      <c r="T189">
        <f>TRACKER!$X191</f>
        <v/>
      </c>
    </row>
    <row r="190">
      <c r="G190">
        <f>IF(OR(SETUP!$B$103="",$A$10="",$B$10&lt;&gt;"System"),"","System")</f>
        <v/>
      </c>
      <c r="H190">
        <f>IF($G190="","",SETUP!$B$103)</f>
        <v/>
      </c>
      <c r="I190">
        <f>IF($G190="","",$A$10)</f>
        <v/>
      </c>
      <c r="J190">
        <f>IF($G190="","",IF(COUNTIFS(DOC_TYPE,$I190,DOC_SYS,$H190,DOC_SCOPE,"System",DOC_ACTIVE,1)+COUNTIFS(DOC_TYPE,$I190,DOC_SCOPE,"All",DOC_ACTIVE,1)&gt;0,"",IFERROR(IF($E$10&lt;&gt;"",$E$10-$C$10,SETUP!$E$103-$C$10),60000)+ROW()/1000000))</f>
        <v/>
      </c>
      <c r="L190">
        <f>IF(TRACKER!$A192="","","Document")</f>
        <v/>
      </c>
      <c r="M190">
        <f>IF($L190="","",TRACKER!$E192&amp;"  -  "&amp;TRACKER!$A192)</f>
        <v/>
      </c>
      <c r="N190">
        <f>IF($L190="","",IF(TRACKER!$B192="Equipment",TRACKER!$D192,IF(TRACKER!$B192="System",TRACKER!$C192,"Whole contract")))</f>
        <v/>
      </c>
      <c r="O190">
        <f>IF($L190="","",TRACKER!$F192)</f>
        <v/>
      </c>
      <c r="P190">
        <f>IF($L190="","",TRACKER!$K192)</f>
        <v/>
      </c>
      <c r="Q190">
        <f>IF($L190="","",TRACKER!$N192)</f>
        <v/>
      </c>
      <c r="R190">
        <f>TRACKER!$Y192</f>
        <v/>
      </c>
      <c r="S190">
        <f>TRACKER!$Z192</f>
        <v/>
      </c>
      <c r="T190">
        <f>TRACKER!$X192</f>
        <v/>
      </c>
    </row>
    <row r="191">
      <c r="G191">
        <f>IF(OR(SETUP!$B$103="",$A$11="",$B$11&lt;&gt;"System"),"","System")</f>
        <v/>
      </c>
      <c r="H191">
        <f>IF($G191="","",SETUP!$B$103)</f>
        <v/>
      </c>
      <c r="I191">
        <f>IF($G191="","",$A$11)</f>
        <v/>
      </c>
      <c r="J191">
        <f>IF($G191="","",IF(COUNTIFS(DOC_TYPE,$I191,DOC_SYS,$H191,DOC_SCOPE,"System",DOC_ACTIVE,1)+COUNTIFS(DOC_TYPE,$I191,DOC_SCOPE,"All",DOC_ACTIVE,1)&gt;0,"",IFERROR(IF($E$11&lt;&gt;"",$E$11-$C$11,SETUP!$E$103-$C$11),60000)+ROW()/1000000))</f>
        <v/>
      </c>
      <c r="L191">
        <f>IF(TRACKER!$A193="","","Document")</f>
        <v/>
      </c>
      <c r="M191">
        <f>IF($L191="","",TRACKER!$E193&amp;"  -  "&amp;TRACKER!$A193)</f>
        <v/>
      </c>
      <c r="N191">
        <f>IF($L191="","",IF(TRACKER!$B193="Equipment",TRACKER!$D193,IF(TRACKER!$B193="System",TRACKER!$C193,"Whole contract")))</f>
        <v/>
      </c>
      <c r="O191">
        <f>IF($L191="","",TRACKER!$F193)</f>
        <v/>
      </c>
      <c r="P191">
        <f>IF($L191="","",TRACKER!$K193)</f>
        <v/>
      </c>
      <c r="Q191">
        <f>IF($L191="","",TRACKER!$N193)</f>
        <v/>
      </c>
      <c r="R191">
        <f>TRACKER!$Y193</f>
        <v/>
      </c>
      <c r="S191">
        <f>TRACKER!$Z193</f>
        <v/>
      </c>
      <c r="T191">
        <f>TRACKER!$X193</f>
        <v/>
      </c>
    </row>
    <row r="192">
      <c r="G192">
        <f>IF(OR(SETUP!$B$103="",$A$12="",$B$12&lt;&gt;"System"),"","System")</f>
        <v/>
      </c>
      <c r="H192">
        <f>IF($G192="","",SETUP!$B$103)</f>
        <v/>
      </c>
      <c r="I192">
        <f>IF($G192="","",$A$12)</f>
        <v/>
      </c>
      <c r="J192">
        <f>IF($G192="","",IF(COUNTIFS(DOC_TYPE,$I192,DOC_SYS,$H192,DOC_SCOPE,"System",DOC_ACTIVE,1)+COUNTIFS(DOC_TYPE,$I192,DOC_SCOPE,"All",DOC_ACTIVE,1)&gt;0,"",IFERROR(IF($E$12&lt;&gt;"",$E$12-$C$12,SETUP!$E$103-$C$12),60000)+ROW()/1000000))</f>
        <v/>
      </c>
      <c r="L192">
        <f>IF(TRACKER!$A194="","","Document")</f>
        <v/>
      </c>
      <c r="M192">
        <f>IF($L192="","",TRACKER!$E194&amp;"  -  "&amp;TRACKER!$A194)</f>
        <v/>
      </c>
      <c r="N192">
        <f>IF($L192="","",IF(TRACKER!$B194="Equipment",TRACKER!$D194,IF(TRACKER!$B194="System",TRACKER!$C194,"Whole contract")))</f>
        <v/>
      </c>
      <c r="O192">
        <f>IF($L192="","",TRACKER!$F194)</f>
        <v/>
      </c>
      <c r="P192">
        <f>IF($L192="","",TRACKER!$K194)</f>
        <v/>
      </c>
      <c r="Q192">
        <f>IF($L192="","",TRACKER!$N194)</f>
        <v/>
      </c>
      <c r="R192">
        <f>TRACKER!$Y194</f>
        <v/>
      </c>
      <c r="S192">
        <f>TRACKER!$Z194</f>
        <v/>
      </c>
      <c r="T192">
        <f>TRACKER!$X194</f>
        <v/>
      </c>
    </row>
    <row r="193">
      <c r="G193">
        <f>IF(OR(SETUP!$B$103="",$A$13="",$B$13&lt;&gt;"System"),"","System")</f>
        <v/>
      </c>
      <c r="H193">
        <f>IF($G193="","",SETUP!$B$103)</f>
        <v/>
      </c>
      <c r="I193">
        <f>IF($G193="","",$A$13)</f>
        <v/>
      </c>
      <c r="J193">
        <f>IF($G193="","",IF(COUNTIFS(DOC_TYPE,$I193,DOC_SYS,$H193,DOC_SCOPE,"System",DOC_ACTIVE,1)+COUNTIFS(DOC_TYPE,$I193,DOC_SCOPE,"All",DOC_ACTIVE,1)&gt;0,"",IFERROR(IF($E$13&lt;&gt;"",$E$13-$C$13,SETUP!$E$103-$C$13),60000)+ROW()/1000000))</f>
        <v/>
      </c>
      <c r="L193">
        <f>IF(TRACKER!$A195="","","Document")</f>
        <v/>
      </c>
      <c r="M193">
        <f>IF($L193="","",TRACKER!$E195&amp;"  -  "&amp;TRACKER!$A195)</f>
        <v/>
      </c>
      <c r="N193">
        <f>IF($L193="","",IF(TRACKER!$B195="Equipment",TRACKER!$D195,IF(TRACKER!$B195="System",TRACKER!$C195,"Whole contract")))</f>
        <v/>
      </c>
      <c r="O193">
        <f>IF($L193="","",TRACKER!$F195)</f>
        <v/>
      </c>
      <c r="P193">
        <f>IF($L193="","",TRACKER!$K195)</f>
        <v/>
      </c>
      <c r="Q193">
        <f>IF($L193="","",TRACKER!$N195)</f>
        <v/>
      </c>
      <c r="R193">
        <f>TRACKER!$Y195</f>
        <v/>
      </c>
      <c r="S193">
        <f>TRACKER!$Z195</f>
        <v/>
      </c>
      <c r="T193">
        <f>TRACKER!$X195</f>
        <v/>
      </c>
    </row>
    <row r="194">
      <c r="G194">
        <f>IF(OR(SETUP!$B$104="",$A$2="",$B$2&lt;&gt;"System"),"","System")</f>
        <v/>
      </c>
      <c r="H194">
        <f>IF($G194="","",SETUP!$B$104)</f>
        <v/>
      </c>
      <c r="I194">
        <f>IF($G194="","",$A$2)</f>
        <v/>
      </c>
      <c r="J194">
        <f>IF($G194="","",IF(COUNTIFS(DOC_TYPE,$I194,DOC_SYS,$H194,DOC_SCOPE,"System",DOC_ACTIVE,1)+COUNTIFS(DOC_TYPE,$I194,DOC_SCOPE,"All",DOC_ACTIVE,1)&gt;0,"",IFERROR(IF($E$2&lt;&gt;"",$E$2-$C$2,SETUP!$E$104-$C$2),60000)+ROW()/1000000))</f>
        <v/>
      </c>
      <c r="L194">
        <f>IF(TRACKER!$A196="","","Document")</f>
        <v/>
      </c>
      <c r="M194">
        <f>IF($L194="","",TRACKER!$E196&amp;"  -  "&amp;TRACKER!$A196)</f>
        <v/>
      </c>
      <c r="N194">
        <f>IF($L194="","",IF(TRACKER!$B196="Equipment",TRACKER!$D196,IF(TRACKER!$B196="System",TRACKER!$C196,"Whole contract")))</f>
        <v/>
      </c>
      <c r="O194">
        <f>IF($L194="","",TRACKER!$F196)</f>
        <v/>
      </c>
      <c r="P194">
        <f>IF($L194="","",TRACKER!$K196)</f>
        <v/>
      </c>
      <c r="Q194">
        <f>IF($L194="","",TRACKER!$N196)</f>
        <v/>
      </c>
      <c r="R194">
        <f>TRACKER!$Y196</f>
        <v/>
      </c>
      <c r="S194">
        <f>TRACKER!$Z196</f>
        <v/>
      </c>
      <c r="T194">
        <f>TRACKER!$X196</f>
        <v/>
      </c>
    </row>
    <row r="195">
      <c r="G195">
        <f>IF(OR(SETUP!$B$104="",$A$3="",$B$3&lt;&gt;"System"),"","System")</f>
        <v/>
      </c>
      <c r="H195">
        <f>IF($G195="","",SETUP!$B$104)</f>
        <v/>
      </c>
      <c r="I195">
        <f>IF($G195="","",$A$3)</f>
        <v/>
      </c>
      <c r="J195">
        <f>IF($G195="","",IF(COUNTIFS(DOC_TYPE,$I195,DOC_SYS,$H195,DOC_SCOPE,"System",DOC_ACTIVE,1)+COUNTIFS(DOC_TYPE,$I195,DOC_SCOPE,"All",DOC_ACTIVE,1)&gt;0,"",IFERROR(IF($E$3&lt;&gt;"",$E$3-$C$3,SETUP!$E$104-$C$3),60000)+ROW()/1000000))</f>
        <v/>
      </c>
      <c r="L195">
        <f>IF(TRACKER!$A197="","","Document")</f>
        <v/>
      </c>
      <c r="M195">
        <f>IF($L195="","",TRACKER!$E197&amp;"  -  "&amp;TRACKER!$A197)</f>
        <v/>
      </c>
      <c r="N195">
        <f>IF($L195="","",IF(TRACKER!$B197="Equipment",TRACKER!$D197,IF(TRACKER!$B197="System",TRACKER!$C197,"Whole contract")))</f>
        <v/>
      </c>
      <c r="O195">
        <f>IF($L195="","",TRACKER!$F197)</f>
        <v/>
      </c>
      <c r="P195">
        <f>IF($L195="","",TRACKER!$K197)</f>
        <v/>
      </c>
      <c r="Q195">
        <f>IF($L195="","",TRACKER!$N197)</f>
        <v/>
      </c>
      <c r="R195">
        <f>TRACKER!$Y197</f>
        <v/>
      </c>
      <c r="S195">
        <f>TRACKER!$Z197</f>
        <v/>
      </c>
      <c r="T195">
        <f>TRACKER!$X197</f>
        <v/>
      </c>
    </row>
    <row r="196">
      <c r="G196">
        <f>IF(OR(SETUP!$B$104="",$A$4="",$B$4&lt;&gt;"System"),"","System")</f>
        <v/>
      </c>
      <c r="H196">
        <f>IF($G196="","",SETUP!$B$104)</f>
        <v/>
      </c>
      <c r="I196">
        <f>IF($G196="","",$A$4)</f>
        <v/>
      </c>
      <c r="J196">
        <f>IF($G196="","",IF(COUNTIFS(DOC_TYPE,$I196,DOC_SYS,$H196,DOC_SCOPE,"System",DOC_ACTIVE,1)+COUNTIFS(DOC_TYPE,$I196,DOC_SCOPE,"All",DOC_ACTIVE,1)&gt;0,"",IFERROR(IF($E$4&lt;&gt;"",$E$4-$C$4,SETUP!$E$104-$C$4),60000)+ROW()/1000000))</f>
        <v/>
      </c>
      <c r="L196">
        <f>IF(TRACKER!$A198="","","Document")</f>
        <v/>
      </c>
      <c r="M196">
        <f>IF($L196="","",TRACKER!$E198&amp;"  -  "&amp;TRACKER!$A198)</f>
        <v/>
      </c>
      <c r="N196">
        <f>IF($L196="","",IF(TRACKER!$B198="Equipment",TRACKER!$D198,IF(TRACKER!$B198="System",TRACKER!$C198,"Whole contract")))</f>
        <v/>
      </c>
      <c r="O196">
        <f>IF($L196="","",TRACKER!$F198)</f>
        <v/>
      </c>
      <c r="P196">
        <f>IF($L196="","",TRACKER!$K198)</f>
        <v/>
      </c>
      <c r="Q196">
        <f>IF($L196="","",TRACKER!$N198)</f>
        <v/>
      </c>
      <c r="R196">
        <f>TRACKER!$Y198</f>
        <v/>
      </c>
      <c r="S196">
        <f>TRACKER!$Z198</f>
        <v/>
      </c>
      <c r="T196">
        <f>TRACKER!$X198</f>
        <v/>
      </c>
    </row>
    <row r="197">
      <c r="G197">
        <f>IF(OR(SETUP!$B$104="",$A$5="",$B$5&lt;&gt;"System"),"","System")</f>
        <v/>
      </c>
      <c r="H197">
        <f>IF($G197="","",SETUP!$B$104)</f>
        <v/>
      </c>
      <c r="I197">
        <f>IF($G197="","",$A$5)</f>
        <v/>
      </c>
      <c r="J197">
        <f>IF($G197="","",IF(COUNTIFS(DOC_TYPE,$I197,DOC_SYS,$H197,DOC_SCOPE,"System",DOC_ACTIVE,1)+COUNTIFS(DOC_TYPE,$I197,DOC_SCOPE,"All",DOC_ACTIVE,1)&gt;0,"",IFERROR(IF($E$5&lt;&gt;"",$E$5-$C$5,SETUP!$E$104-$C$5),60000)+ROW()/1000000))</f>
        <v/>
      </c>
      <c r="L197">
        <f>IF(TRACKER!$A199="","","Document")</f>
        <v/>
      </c>
      <c r="M197">
        <f>IF($L197="","",TRACKER!$E199&amp;"  -  "&amp;TRACKER!$A199)</f>
        <v/>
      </c>
      <c r="N197">
        <f>IF($L197="","",IF(TRACKER!$B199="Equipment",TRACKER!$D199,IF(TRACKER!$B199="System",TRACKER!$C199,"Whole contract")))</f>
        <v/>
      </c>
      <c r="O197">
        <f>IF($L197="","",TRACKER!$F199)</f>
        <v/>
      </c>
      <c r="P197">
        <f>IF($L197="","",TRACKER!$K199)</f>
        <v/>
      </c>
      <c r="Q197">
        <f>IF($L197="","",TRACKER!$N199)</f>
        <v/>
      </c>
      <c r="R197">
        <f>TRACKER!$Y199</f>
        <v/>
      </c>
      <c r="S197">
        <f>TRACKER!$Z199</f>
        <v/>
      </c>
      <c r="T197">
        <f>TRACKER!$X199</f>
        <v/>
      </c>
    </row>
    <row r="198">
      <c r="G198">
        <f>IF(OR(SETUP!$B$104="",$A$6="",$B$6&lt;&gt;"System"),"","System")</f>
        <v/>
      </c>
      <c r="H198">
        <f>IF($G198="","",SETUP!$B$104)</f>
        <v/>
      </c>
      <c r="I198">
        <f>IF($G198="","",$A$6)</f>
        <v/>
      </c>
      <c r="J198">
        <f>IF($G198="","",IF(COUNTIFS(DOC_TYPE,$I198,DOC_SYS,$H198,DOC_SCOPE,"System",DOC_ACTIVE,1)+COUNTIFS(DOC_TYPE,$I198,DOC_SCOPE,"All",DOC_ACTIVE,1)&gt;0,"",IFERROR(IF($E$6&lt;&gt;"",$E$6-$C$6,SETUP!$E$104-$C$6),60000)+ROW()/1000000))</f>
        <v/>
      </c>
      <c r="L198">
        <f>IF(TRACKER!$A200="","","Document")</f>
        <v/>
      </c>
      <c r="M198">
        <f>IF($L198="","",TRACKER!$E200&amp;"  -  "&amp;TRACKER!$A200)</f>
        <v/>
      </c>
      <c r="N198">
        <f>IF($L198="","",IF(TRACKER!$B200="Equipment",TRACKER!$D200,IF(TRACKER!$B200="System",TRACKER!$C200,"Whole contract")))</f>
        <v/>
      </c>
      <c r="O198">
        <f>IF($L198="","",TRACKER!$F200)</f>
        <v/>
      </c>
      <c r="P198">
        <f>IF($L198="","",TRACKER!$K200)</f>
        <v/>
      </c>
      <c r="Q198">
        <f>IF($L198="","",TRACKER!$N200)</f>
        <v/>
      </c>
      <c r="R198">
        <f>TRACKER!$Y200</f>
        <v/>
      </c>
      <c r="S198">
        <f>TRACKER!$Z200</f>
        <v/>
      </c>
      <c r="T198">
        <f>TRACKER!$X200</f>
        <v/>
      </c>
    </row>
    <row r="199">
      <c r="G199">
        <f>IF(OR(SETUP!$B$104="",$A$7="",$B$7&lt;&gt;"System"),"","System")</f>
        <v/>
      </c>
      <c r="H199">
        <f>IF($G199="","",SETUP!$B$104)</f>
        <v/>
      </c>
      <c r="I199">
        <f>IF($G199="","",$A$7)</f>
        <v/>
      </c>
      <c r="J199">
        <f>IF($G199="","",IF(COUNTIFS(DOC_TYPE,$I199,DOC_SYS,$H199,DOC_SCOPE,"System",DOC_ACTIVE,1)+COUNTIFS(DOC_TYPE,$I199,DOC_SCOPE,"All",DOC_ACTIVE,1)&gt;0,"",IFERROR(IF($E$7&lt;&gt;"",$E$7-$C$7,SETUP!$E$104-$C$7),60000)+ROW()/1000000))</f>
        <v/>
      </c>
      <c r="L199">
        <f>IF(TRACKER!$A201="","","Document")</f>
        <v/>
      </c>
      <c r="M199">
        <f>IF($L199="","",TRACKER!$E201&amp;"  -  "&amp;TRACKER!$A201)</f>
        <v/>
      </c>
      <c r="N199">
        <f>IF($L199="","",IF(TRACKER!$B201="Equipment",TRACKER!$D201,IF(TRACKER!$B201="System",TRACKER!$C201,"Whole contract")))</f>
        <v/>
      </c>
      <c r="O199">
        <f>IF($L199="","",TRACKER!$F201)</f>
        <v/>
      </c>
      <c r="P199">
        <f>IF($L199="","",TRACKER!$K201)</f>
        <v/>
      </c>
      <c r="Q199">
        <f>IF($L199="","",TRACKER!$N201)</f>
        <v/>
      </c>
      <c r="R199">
        <f>TRACKER!$Y201</f>
        <v/>
      </c>
      <c r="S199">
        <f>TRACKER!$Z201</f>
        <v/>
      </c>
      <c r="T199">
        <f>TRACKER!$X201</f>
        <v/>
      </c>
    </row>
    <row r="200">
      <c r="G200">
        <f>IF(OR(SETUP!$B$104="",$A$8="",$B$8&lt;&gt;"System"),"","System")</f>
        <v/>
      </c>
      <c r="H200">
        <f>IF($G200="","",SETUP!$B$104)</f>
        <v/>
      </c>
      <c r="I200">
        <f>IF($G200="","",$A$8)</f>
        <v/>
      </c>
      <c r="J200">
        <f>IF($G200="","",IF(COUNTIFS(DOC_TYPE,$I200,DOC_SYS,$H200,DOC_SCOPE,"System",DOC_ACTIVE,1)+COUNTIFS(DOC_TYPE,$I200,DOC_SCOPE,"All",DOC_ACTIVE,1)&gt;0,"",IFERROR(IF($E$8&lt;&gt;"",$E$8-$C$8,SETUP!$E$104-$C$8),60000)+ROW()/1000000))</f>
        <v/>
      </c>
      <c r="L200">
        <f>IF(TRACKER!$A202="","","Document")</f>
        <v/>
      </c>
      <c r="M200">
        <f>IF($L200="","",TRACKER!$E202&amp;"  -  "&amp;TRACKER!$A202)</f>
        <v/>
      </c>
      <c r="N200">
        <f>IF($L200="","",IF(TRACKER!$B202="Equipment",TRACKER!$D202,IF(TRACKER!$B202="System",TRACKER!$C202,"Whole contract")))</f>
        <v/>
      </c>
      <c r="O200">
        <f>IF($L200="","",TRACKER!$F202)</f>
        <v/>
      </c>
      <c r="P200">
        <f>IF($L200="","",TRACKER!$K202)</f>
        <v/>
      </c>
      <c r="Q200">
        <f>IF($L200="","",TRACKER!$N202)</f>
        <v/>
      </c>
      <c r="R200">
        <f>TRACKER!$Y202</f>
        <v/>
      </c>
      <c r="S200">
        <f>TRACKER!$Z202</f>
        <v/>
      </c>
      <c r="T200">
        <f>TRACKER!$X202</f>
        <v/>
      </c>
    </row>
    <row r="201">
      <c r="G201">
        <f>IF(OR(SETUP!$B$104="",$A$9="",$B$9&lt;&gt;"System"),"","System")</f>
        <v/>
      </c>
      <c r="H201">
        <f>IF($G201="","",SETUP!$B$104)</f>
        <v/>
      </c>
      <c r="I201">
        <f>IF($G201="","",$A$9)</f>
        <v/>
      </c>
      <c r="J201">
        <f>IF($G201="","",IF(COUNTIFS(DOC_TYPE,$I201,DOC_SYS,$H201,DOC_SCOPE,"System",DOC_ACTIVE,1)+COUNTIFS(DOC_TYPE,$I201,DOC_SCOPE,"All",DOC_ACTIVE,1)&gt;0,"",IFERROR(IF($E$9&lt;&gt;"",$E$9-$C$9,SETUP!$E$104-$C$9),60000)+ROW()/1000000))</f>
        <v/>
      </c>
      <c r="L201">
        <f>IF(TRACKER!$A203="","","Document")</f>
        <v/>
      </c>
      <c r="M201">
        <f>IF($L201="","",TRACKER!$E203&amp;"  -  "&amp;TRACKER!$A203)</f>
        <v/>
      </c>
      <c r="N201">
        <f>IF($L201="","",IF(TRACKER!$B203="Equipment",TRACKER!$D203,IF(TRACKER!$B203="System",TRACKER!$C203,"Whole contract")))</f>
        <v/>
      </c>
      <c r="O201">
        <f>IF($L201="","",TRACKER!$F203)</f>
        <v/>
      </c>
      <c r="P201">
        <f>IF($L201="","",TRACKER!$K203)</f>
        <v/>
      </c>
      <c r="Q201">
        <f>IF($L201="","",TRACKER!$N203)</f>
        <v/>
      </c>
      <c r="R201">
        <f>TRACKER!$Y203</f>
        <v/>
      </c>
      <c r="S201">
        <f>TRACKER!$Z203</f>
        <v/>
      </c>
      <c r="T201">
        <f>TRACKER!$X203</f>
        <v/>
      </c>
    </row>
    <row r="202">
      <c r="G202">
        <f>IF(OR(SETUP!$B$104="",$A$10="",$B$10&lt;&gt;"System"),"","System")</f>
        <v/>
      </c>
      <c r="H202">
        <f>IF($G202="","",SETUP!$B$104)</f>
        <v/>
      </c>
      <c r="I202">
        <f>IF($G202="","",$A$10)</f>
        <v/>
      </c>
      <c r="J202">
        <f>IF($G202="","",IF(COUNTIFS(DOC_TYPE,$I202,DOC_SYS,$H202,DOC_SCOPE,"System",DOC_ACTIVE,1)+COUNTIFS(DOC_TYPE,$I202,DOC_SCOPE,"All",DOC_ACTIVE,1)&gt;0,"",IFERROR(IF($E$10&lt;&gt;"",$E$10-$C$10,SETUP!$E$104-$C$10),60000)+ROW()/1000000))</f>
        <v/>
      </c>
      <c r="L202">
        <f>IF(TRACKER!$A204="","","Document")</f>
        <v/>
      </c>
      <c r="M202">
        <f>IF($L202="","",TRACKER!$E204&amp;"  -  "&amp;TRACKER!$A204)</f>
        <v/>
      </c>
      <c r="N202">
        <f>IF($L202="","",IF(TRACKER!$B204="Equipment",TRACKER!$D204,IF(TRACKER!$B204="System",TRACKER!$C204,"Whole contract")))</f>
        <v/>
      </c>
      <c r="O202">
        <f>IF($L202="","",TRACKER!$F204)</f>
        <v/>
      </c>
      <c r="P202">
        <f>IF($L202="","",TRACKER!$K204)</f>
        <v/>
      </c>
      <c r="Q202">
        <f>IF($L202="","",TRACKER!$N204)</f>
        <v/>
      </c>
      <c r="R202">
        <f>TRACKER!$Y204</f>
        <v/>
      </c>
      <c r="S202">
        <f>TRACKER!$Z204</f>
        <v/>
      </c>
      <c r="T202">
        <f>TRACKER!$X204</f>
        <v/>
      </c>
    </row>
    <row r="203">
      <c r="G203">
        <f>IF(OR(SETUP!$B$104="",$A$11="",$B$11&lt;&gt;"System"),"","System")</f>
        <v/>
      </c>
      <c r="H203">
        <f>IF($G203="","",SETUP!$B$104)</f>
        <v/>
      </c>
      <c r="I203">
        <f>IF($G203="","",$A$11)</f>
        <v/>
      </c>
      <c r="J203">
        <f>IF($G203="","",IF(COUNTIFS(DOC_TYPE,$I203,DOC_SYS,$H203,DOC_SCOPE,"System",DOC_ACTIVE,1)+COUNTIFS(DOC_TYPE,$I203,DOC_SCOPE,"All",DOC_ACTIVE,1)&gt;0,"",IFERROR(IF($E$11&lt;&gt;"",$E$11-$C$11,SETUP!$E$104-$C$11),60000)+ROW()/1000000))</f>
        <v/>
      </c>
      <c r="L203">
        <f>IF(TRACKER!$A205="","","Document")</f>
        <v/>
      </c>
      <c r="M203">
        <f>IF($L203="","",TRACKER!$E205&amp;"  -  "&amp;TRACKER!$A205)</f>
        <v/>
      </c>
      <c r="N203">
        <f>IF($L203="","",IF(TRACKER!$B205="Equipment",TRACKER!$D205,IF(TRACKER!$B205="System",TRACKER!$C205,"Whole contract")))</f>
        <v/>
      </c>
      <c r="O203">
        <f>IF($L203="","",TRACKER!$F205)</f>
        <v/>
      </c>
      <c r="P203">
        <f>IF($L203="","",TRACKER!$K205)</f>
        <v/>
      </c>
      <c r="Q203">
        <f>IF($L203="","",TRACKER!$N205)</f>
        <v/>
      </c>
      <c r="R203">
        <f>TRACKER!$Y205</f>
        <v/>
      </c>
      <c r="S203">
        <f>TRACKER!$Z205</f>
        <v/>
      </c>
      <c r="T203">
        <f>TRACKER!$X205</f>
        <v/>
      </c>
    </row>
    <row r="204">
      <c r="G204">
        <f>IF(OR(SETUP!$B$104="",$A$12="",$B$12&lt;&gt;"System"),"","System")</f>
        <v/>
      </c>
      <c r="H204">
        <f>IF($G204="","",SETUP!$B$104)</f>
        <v/>
      </c>
      <c r="I204">
        <f>IF($G204="","",$A$12)</f>
        <v/>
      </c>
      <c r="J204">
        <f>IF($G204="","",IF(COUNTIFS(DOC_TYPE,$I204,DOC_SYS,$H204,DOC_SCOPE,"System",DOC_ACTIVE,1)+COUNTIFS(DOC_TYPE,$I204,DOC_SCOPE,"All",DOC_ACTIVE,1)&gt;0,"",IFERROR(IF($E$12&lt;&gt;"",$E$12-$C$12,SETUP!$E$104-$C$12),60000)+ROW()/1000000))</f>
        <v/>
      </c>
      <c r="L204">
        <f>IF(TRACKER!$A206="","","Document")</f>
        <v/>
      </c>
      <c r="M204">
        <f>IF($L204="","",TRACKER!$E206&amp;"  -  "&amp;TRACKER!$A206)</f>
        <v/>
      </c>
      <c r="N204">
        <f>IF($L204="","",IF(TRACKER!$B206="Equipment",TRACKER!$D206,IF(TRACKER!$B206="System",TRACKER!$C206,"Whole contract")))</f>
        <v/>
      </c>
      <c r="O204">
        <f>IF($L204="","",TRACKER!$F206)</f>
        <v/>
      </c>
      <c r="P204">
        <f>IF($L204="","",TRACKER!$K206)</f>
        <v/>
      </c>
      <c r="Q204">
        <f>IF($L204="","",TRACKER!$N206)</f>
        <v/>
      </c>
      <c r="R204">
        <f>TRACKER!$Y206</f>
        <v/>
      </c>
      <c r="S204">
        <f>TRACKER!$Z206</f>
        <v/>
      </c>
      <c r="T204">
        <f>TRACKER!$X206</f>
        <v/>
      </c>
    </row>
    <row r="205">
      <c r="G205">
        <f>IF(OR(SETUP!$B$104="",$A$13="",$B$13&lt;&gt;"System"),"","System")</f>
        <v/>
      </c>
      <c r="H205">
        <f>IF($G205="","",SETUP!$B$104)</f>
        <v/>
      </c>
      <c r="I205">
        <f>IF($G205="","",$A$13)</f>
        <v/>
      </c>
      <c r="J205">
        <f>IF($G205="","",IF(COUNTIFS(DOC_TYPE,$I205,DOC_SYS,$H205,DOC_SCOPE,"System",DOC_ACTIVE,1)+COUNTIFS(DOC_TYPE,$I205,DOC_SCOPE,"All",DOC_ACTIVE,1)&gt;0,"",IFERROR(IF($E$13&lt;&gt;"",$E$13-$C$13,SETUP!$E$104-$C$13),60000)+ROW()/1000000))</f>
        <v/>
      </c>
      <c r="L205">
        <f>IF(TRACKER!$A207="","","Document")</f>
        <v/>
      </c>
      <c r="M205">
        <f>IF($L205="","",TRACKER!$E207&amp;"  -  "&amp;TRACKER!$A207)</f>
        <v/>
      </c>
      <c r="N205">
        <f>IF($L205="","",IF(TRACKER!$B207="Equipment",TRACKER!$D207,IF(TRACKER!$B207="System",TRACKER!$C207,"Whole contract")))</f>
        <v/>
      </c>
      <c r="O205">
        <f>IF($L205="","",TRACKER!$F207)</f>
        <v/>
      </c>
      <c r="P205">
        <f>IF($L205="","",TRACKER!$K207)</f>
        <v/>
      </c>
      <c r="Q205">
        <f>IF($L205="","",TRACKER!$N207)</f>
        <v/>
      </c>
      <c r="R205">
        <f>TRACKER!$Y207</f>
        <v/>
      </c>
      <c r="S205">
        <f>TRACKER!$Z207</f>
        <v/>
      </c>
      <c r="T205">
        <f>TRACKER!$X207</f>
        <v/>
      </c>
    </row>
    <row r="206">
      <c r="G206">
        <f>IF(OR(SETUP!$B$105="",$A$2="",$B$2&lt;&gt;"System"),"","System")</f>
        <v/>
      </c>
      <c r="H206">
        <f>IF($G206="","",SETUP!$B$105)</f>
        <v/>
      </c>
      <c r="I206">
        <f>IF($G206="","",$A$2)</f>
        <v/>
      </c>
      <c r="J206">
        <f>IF($G206="","",IF(COUNTIFS(DOC_TYPE,$I206,DOC_SYS,$H206,DOC_SCOPE,"System",DOC_ACTIVE,1)+COUNTIFS(DOC_TYPE,$I206,DOC_SCOPE,"All",DOC_ACTIVE,1)&gt;0,"",IFERROR(IF($E$2&lt;&gt;"",$E$2-$C$2,SETUP!$E$105-$C$2),60000)+ROW()/1000000))</f>
        <v/>
      </c>
      <c r="L206">
        <f>IF(TRACKER!$A208="","","Document")</f>
        <v/>
      </c>
      <c r="M206">
        <f>IF($L206="","",TRACKER!$E208&amp;"  -  "&amp;TRACKER!$A208)</f>
        <v/>
      </c>
      <c r="N206">
        <f>IF($L206="","",IF(TRACKER!$B208="Equipment",TRACKER!$D208,IF(TRACKER!$B208="System",TRACKER!$C208,"Whole contract")))</f>
        <v/>
      </c>
      <c r="O206">
        <f>IF($L206="","",TRACKER!$F208)</f>
        <v/>
      </c>
      <c r="P206">
        <f>IF($L206="","",TRACKER!$K208)</f>
        <v/>
      </c>
      <c r="Q206">
        <f>IF($L206="","",TRACKER!$N208)</f>
        <v/>
      </c>
      <c r="R206">
        <f>TRACKER!$Y208</f>
        <v/>
      </c>
      <c r="S206">
        <f>TRACKER!$Z208</f>
        <v/>
      </c>
      <c r="T206">
        <f>TRACKER!$X208</f>
        <v/>
      </c>
    </row>
    <row r="207">
      <c r="G207">
        <f>IF(OR(SETUP!$B$105="",$A$3="",$B$3&lt;&gt;"System"),"","System")</f>
        <v/>
      </c>
      <c r="H207">
        <f>IF($G207="","",SETUP!$B$105)</f>
        <v/>
      </c>
      <c r="I207">
        <f>IF($G207="","",$A$3)</f>
        <v/>
      </c>
      <c r="J207">
        <f>IF($G207="","",IF(COUNTIFS(DOC_TYPE,$I207,DOC_SYS,$H207,DOC_SCOPE,"System",DOC_ACTIVE,1)+COUNTIFS(DOC_TYPE,$I207,DOC_SCOPE,"All",DOC_ACTIVE,1)&gt;0,"",IFERROR(IF($E$3&lt;&gt;"",$E$3-$C$3,SETUP!$E$105-$C$3),60000)+ROW()/1000000))</f>
        <v/>
      </c>
      <c r="L207">
        <f>IF(TRACKER!$A209="","","Document")</f>
        <v/>
      </c>
      <c r="M207">
        <f>IF($L207="","",TRACKER!$E209&amp;"  -  "&amp;TRACKER!$A209)</f>
        <v/>
      </c>
      <c r="N207">
        <f>IF($L207="","",IF(TRACKER!$B209="Equipment",TRACKER!$D209,IF(TRACKER!$B209="System",TRACKER!$C209,"Whole contract")))</f>
        <v/>
      </c>
      <c r="O207">
        <f>IF($L207="","",TRACKER!$F209)</f>
        <v/>
      </c>
      <c r="P207">
        <f>IF($L207="","",TRACKER!$K209)</f>
        <v/>
      </c>
      <c r="Q207">
        <f>IF($L207="","",TRACKER!$N209)</f>
        <v/>
      </c>
      <c r="R207">
        <f>TRACKER!$Y209</f>
        <v/>
      </c>
      <c r="S207">
        <f>TRACKER!$Z209</f>
        <v/>
      </c>
      <c r="T207">
        <f>TRACKER!$X209</f>
        <v/>
      </c>
    </row>
    <row r="208">
      <c r="G208">
        <f>IF(OR(SETUP!$B$105="",$A$4="",$B$4&lt;&gt;"System"),"","System")</f>
        <v/>
      </c>
      <c r="H208">
        <f>IF($G208="","",SETUP!$B$105)</f>
        <v/>
      </c>
      <c r="I208">
        <f>IF($G208="","",$A$4)</f>
        <v/>
      </c>
      <c r="J208">
        <f>IF($G208="","",IF(COUNTIFS(DOC_TYPE,$I208,DOC_SYS,$H208,DOC_SCOPE,"System",DOC_ACTIVE,1)+COUNTIFS(DOC_TYPE,$I208,DOC_SCOPE,"All",DOC_ACTIVE,1)&gt;0,"",IFERROR(IF($E$4&lt;&gt;"",$E$4-$C$4,SETUP!$E$105-$C$4),60000)+ROW()/1000000))</f>
        <v/>
      </c>
      <c r="L208">
        <f>IF(TRACKER!$A210="","","Document")</f>
        <v/>
      </c>
      <c r="M208">
        <f>IF($L208="","",TRACKER!$E210&amp;"  -  "&amp;TRACKER!$A210)</f>
        <v/>
      </c>
      <c r="N208">
        <f>IF($L208="","",IF(TRACKER!$B210="Equipment",TRACKER!$D210,IF(TRACKER!$B210="System",TRACKER!$C210,"Whole contract")))</f>
        <v/>
      </c>
      <c r="O208">
        <f>IF($L208="","",TRACKER!$F210)</f>
        <v/>
      </c>
      <c r="P208">
        <f>IF($L208="","",TRACKER!$K210)</f>
        <v/>
      </c>
      <c r="Q208">
        <f>IF($L208="","",TRACKER!$N210)</f>
        <v/>
      </c>
      <c r="R208">
        <f>TRACKER!$Y210</f>
        <v/>
      </c>
      <c r="S208">
        <f>TRACKER!$Z210</f>
        <v/>
      </c>
      <c r="T208">
        <f>TRACKER!$X210</f>
        <v/>
      </c>
    </row>
    <row r="209">
      <c r="G209">
        <f>IF(OR(SETUP!$B$105="",$A$5="",$B$5&lt;&gt;"System"),"","System")</f>
        <v/>
      </c>
      <c r="H209">
        <f>IF($G209="","",SETUP!$B$105)</f>
        <v/>
      </c>
      <c r="I209">
        <f>IF($G209="","",$A$5)</f>
        <v/>
      </c>
      <c r="J209">
        <f>IF($G209="","",IF(COUNTIFS(DOC_TYPE,$I209,DOC_SYS,$H209,DOC_SCOPE,"System",DOC_ACTIVE,1)+COUNTIFS(DOC_TYPE,$I209,DOC_SCOPE,"All",DOC_ACTIVE,1)&gt;0,"",IFERROR(IF($E$5&lt;&gt;"",$E$5-$C$5,SETUP!$E$105-$C$5),60000)+ROW()/1000000))</f>
        <v/>
      </c>
      <c r="L209">
        <f>IF(TRACKER!$A211="","","Document")</f>
        <v/>
      </c>
      <c r="M209">
        <f>IF($L209="","",TRACKER!$E211&amp;"  -  "&amp;TRACKER!$A211)</f>
        <v/>
      </c>
      <c r="N209">
        <f>IF($L209="","",IF(TRACKER!$B211="Equipment",TRACKER!$D211,IF(TRACKER!$B211="System",TRACKER!$C211,"Whole contract")))</f>
        <v/>
      </c>
      <c r="O209">
        <f>IF($L209="","",TRACKER!$F211)</f>
        <v/>
      </c>
      <c r="P209">
        <f>IF($L209="","",TRACKER!$K211)</f>
        <v/>
      </c>
      <c r="Q209">
        <f>IF($L209="","",TRACKER!$N211)</f>
        <v/>
      </c>
      <c r="R209">
        <f>TRACKER!$Y211</f>
        <v/>
      </c>
      <c r="S209">
        <f>TRACKER!$Z211</f>
        <v/>
      </c>
      <c r="T209">
        <f>TRACKER!$X211</f>
        <v/>
      </c>
    </row>
    <row r="210">
      <c r="G210">
        <f>IF(OR(SETUP!$B$105="",$A$6="",$B$6&lt;&gt;"System"),"","System")</f>
        <v/>
      </c>
      <c r="H210">
        <f>IF($G210="","",SETUP!$B$105)</f>
        <v/>
      </c>
      <c r="I210">
        <f>IF($G210="","",$A$6)</f>
        <v/>
      </c>
      <c r="J210">
        <f>IF($G210="","",IF(COUNTIFS(DOC_TYPE,$I210,DOC_SYS,$H210,DOC_SCOPE,"System",DOC_ACTIVE,1)+COUNTIFS(DOC_TYPE,$I210,DOC_SCOPE,"All",DOC_ACTIVE,1)&gt;0,"",IFERROR(IF($E$6&lt;&gt;"",$E$6-$C$6,SETUP!$E$105-$C$6),60000)+ROW()/1000000))</f>
        <v/>
      </c>
      <c r="L210">
        <f>IF(TRACKER!$A212="","","Document")</f>
        <v/>
      </c>
      <c r="M210">
        <f>IF($L210="","",TRACKER!$E212&amp;"  -  "&amp;TRACKER!$A212)</f>
        <v/>
      </c>
      <c r="N210">
        <f>IF($L210="","",IF(TRACKER!$B212="Equipment",TRACKER!$D212,IF(TRACKER!$B212="System",TRACKER!$C212,"Whole contract")))</f>
        <v/>
      </c>
      <c r="O210">
        <f>IF($L210="","",TRACKER!$F212)</f>
        <v/>
      </c>
      <c r="P210">
        <f>IF($L210="","",TRACKER!$K212)</f>
        <v/>
      </c>
      <c r="Q210">
        <f>IF($L210="","",TRACKER!$N212)</f>
        <v/>
      </c>
      <c r="R210">
        <f>TRACKER!$Y212</f>
        <v/>
      </c>
      <c r="S210">
        <f>TRACKER!$Z212</f>
        <v/>
      </c>
      <c r="T210">
        <f>TRACKER!$X212</f>
        <v/>
      </c>
    </row>
    <row r="211">
      <c r="G211">
        <f>IF(OR(SETUP!$B$105="",$A$7="",$B$7&lt;&gt;"System"),"","System")</f>
        <v/>
      </c>
      <c r="H211">
        <f>IF($G211="","",SETUP!$B$105)</f>
        <v/>
      </c>
      <c r="I211">
        <f>IF($G211="","",$A$7)</f>
        <v/>
      </c>
      <c r="J211">
        <f>IF($G211="","",IF(COUNTIFS(DOC_TYPE,$I211,DOC_SYS,$H211,DOC_SCOPE,"System",DOC_ACTIVE,1)+COUNTIFS(DOC_TYPE,$I211,DOC_SCOPE,"All",DOC_ACTIVE,1)&gt;0,"",IFERROR(IF($E$7&lt;&gt;"",$E$7-$C$7,SETUP!$E$105-$C$7),60000)+ROW()/1000000))</f>
        <v/>
      </c>
      <c r="L211">
        <f>IF(TRACKER!$A213="","","Document")</f>
        <v/>
      </c>
      <c r="M211">
        <f>IF($L211="","",TRACKER!$E213&amp;"  -  "&amp;TRACKER!$A213)</f>
        <v/>
      </c>
      <c r="N211">
        <f>IF($L211="","",IF(TRACKER!$B213="Equipment",TRACKER!$D213,IF(TRACKER!$B213="System",TRACKER!$C213,"Whole contract")))</f>
        <v/>
      </c>
      <c r="O211">
        <f>IF($L211="","",TRACKER!$F213)</f>
        <v/>
      </c>
      <c r="P211">
        <f>IF($L211="","",TRACKER!$K213)</f>
        <v/>
      </c>
      <c r="Q211">
        <f>IF($L211="","",TRACKER!$N213)</f>
        <v/>
      </c>
      <c r="R211">
        <f>TRACKER!$Y213</f>
        <v/>
      </c>
      <c r="S211">
        <f>TRACKER!$Z213</f>
        <v/>
      </c>
      <c r="T211">
        <f>TRACKER!$X213</f>
        <v/>
      </c>
    </row>
    <row r="212">
      <c r="G212">
        <f>IF(OR(SETUP!$B$105="",$A$8="",$B$8&lt;&gt;"System"),"","System")</f>
        <v/>
      </c>
      <c r="H212">
        <f>IF($G212="","",SETUP!$B$105)</f>
        <v/>
      </c>
      <c r="I212">
        <f>IF($G212="","",$A$8)</f>
        <v/>
      </c>
      <c r="J212">
        <f>IF($G212="","",IF(COUNTIFS(DOC_TYPE,$I212,DOC_SYS,$H212,DOC_SCOPE,"System",DOC_ACTIVE,1)+COUNTIFS(DOC_TYPE,$I212,DOC_SCOPE,"All",DOC_ACTIVE,1)&gt;0,"",IFERROR(IF($E$8&lt;&gt;"",$E$8-$C$8,SETUP!$E$105-$C$8),60000)+ROW()/1000000))</f>
        <v/>
      </c>
      <c r="L212">
        <f>IF(TRACKER!$A214="","","Document")</f>
        <v/>
      </c>
      <c r="M212">
        <f>IF($L212="","",TRACKER!$E214&amp;"  -  "&amp;TRACKER!$A214)</f>
        <v/>
      </c>
      <c r="N212">
        <f>IF($L212="","",IF(TRACKER!$B214="Equipment",TRACKER!$D214,IF(TRACKER!$B214="System",TRACKER!$C214,"Whole contract")))</f>
        <v/>
      </c>
      <c r="O212">
        <f>IF($L212="","",TRACKER!$F214)</f>
        <v/>
      </c>
      <c r="P212">
        <f>IF($L212="","",TRACKER!$K214)</f>
        <v/>
      </c>
      <c r="Q212">
        <f>IF($L212="","",TRACKER!$N214)</f>
        <v/>
      </c>
      <c r="R212">
        <f>TRACKER!$Y214</f>
        <v/>
      </c>
      <c r="S212">
        <f>TRACKER!$Z214</f>
        <v/>
      </c>
      <c r="T212">
        <f>TRACKER!$X214</f>
        <v/>
      </c>
    </row>
    <row r="213">
      <c r="G213">
        <f>IF(OR(SETUP!$B$105="",$A$9="",$B$9&lt;&gt;"System"),"","System")</f>
        <v/>
      </c>
      <c r="H213">
        <f>IF($G213="","",SETUP!$B$105)</f>
        <v/>
      </c>
      <c r="I213">
        <f>IF($G213="","",$A$9)</f>
        <v/>
      </c>
      <c r="J213">
        <f>IF($G213="","",IF(COUNTIFS(DOC_TYPE,$I213,DOC_SYS,$H213,DOC_SCOPE,"System",DOC_ACTIVE,1)+COUNTIFS(DOC_TYPE,$I213,DOC_SCOPE,"All",DOC_ACTIVE,1)&gt;0,"",IFERROR(IF($E$9&lt;&gt;"",$E$9-$C$9,SETUP!$E$105-$C$9),60000)+ROW()/1000000))</f>
        <v/>
      </c>
      <c r="L213">
        <f>IF(TRACKER!$A215="","","Document")</f>
        <v/>
      </c>
      <c r="M213">
        <f>IF($L213="","",TRACKER!$E215&amp;"  -  "&amp;TRACKER!$A215)</f>
        <v/>
      </c>
      <c r="N213">
        <f>IF($L213="","",IF(TRACKER!$B215="Equipment",TRACKER!$D215,IF(TRACKER!$B215="System",TRACKER!$C215,"Whole contract")))</f>
        <v/>
      </c>
      <c r="O213">
        <f>IF($L213="","",TRACKER!$F215)</f>
        <v/>
      </c>
      <c r="P213">
        <f>IF($L213="","",TRACKER!$K215)</f>
        <v/>
      </c>
      <c r="Q213">
        <f>IF($L213="","",TRACKER!$N215)</f>
        <v/>
      </c>
      <c r="R213">
        <f>TRACKER!$Y215</f>
        <v/>
      </c>
      <c r="S213">
        <f>TRACKER!$Z215</f>
        <v/>
      </c>
      <c r="T213">
        <f>TRACKER!$X215</f>
        <v/>
      </c>
    </row>
    <row r="214">
      <c r="G214">
        <f>IF(OR(SETUP!$B$105="",$A$10="",$B$10&lt;&gt;"System"),"","System")</f>
        <v/>
      </c>
      <c r="H214">
        <f>IF($G214="","",SETUP!$B$105)</f>
        <v/>
      </c>
      <c r="I214">
        <f>IF($G214="","",$A$10)</f>
        <v/>
      </c>
      <c r="J214">
        <f>IF($G214="","",IF(COUNTIFS(DOC_TYPE,$I214,DOC_SYS,$H214,DOC_SCOPE,"System",DOC_ACTIVE,1)+COUNTIFS(DOC_TYPE,$I214,DOC_SCOPE,"All",DOC_ACTIVE,1)&gt;0,"",IFERROR(IF($E$10&lt;&gt;"",$E$10-$C$10,SETUP!$E$105-$C$10),60000)+ROW()/1000000))</f>
        <v/>
      </c>
      <c r="L214">
        <f>IF(TRACKER!$A216="","","Document")</f>
        <v/>
      </c>
      <c r="M214">
        <f>IF($L214="","",TRACKER!$E216&amp;"  -  "&amp;TRACKER!$A216)</f>
        <v/>
      </c>
      <c r="N214">
        <f>IF($L214="","",IF(TRACKER!$B216="Equipment",TRACKER!$D216,IF(TRACKER!$B216="System",TRACKER!$C216,"Whole contract")))</f>
        <v/>
      </c>
      <c r="O214">
        <f>IF($L214="","",TRACKER!$F216)</f>
        <v/>
      </c>
      <c r="P214">
        <f>IF($L214="","",TRACKER!$K216)</f>
        <v/>
      </c>
      <c r="Q214">
        <f>IF($L214="","",TRACKER!$N216)</f>
        <v/>
      </c>
      <c r="R214">
        <f>TRACKER!$Y216</f>
        <v/>
      </c>
      <c r="S214">
        <f>TRACKER!$Z216</f>
        <v/>
      </c>
      <c r="T214">
        <f>TRACKER!$X216</f>
        <v/>
      </c>
    </row>
    <row r="215">
      <c r="G215">
        <f>IF(OR(SETUP!$B$105="",$A$11="",$B$11&lt;&gt;"System"),"","System")</f>
        <v/>
      </c>
      <c r="H215">
        <f>IF($G215="","",SETUP!$B$105)</f>
        <v/>
      </c>
      <c r="I215">
        <f>IF($G215="","",$A$11)</f>
        <v/>
      </c>
      <c r="J215">
        <f>IF($G215="","",IF(COUNTIFS(DOC_TYPE,$I215,DOC_SYS,$H215,DOC_SCOPE,"System",DOC_ACTIVE,1)+COUNTIFS(DOC_TYPE,$I215,DOC_SCOPE,"All",DOC_ACTIVE,1)&gt;0,"",IFERROR(IF($E$11&lt;&gt;"",$E$11-$C$11,SETUP!$E$105-$C$11),60000)+ROW()/1000000))</f>
        <v/>
      </c>
      <c r="L215">
        <f>IF(TRACKER!$A217="","","Document")</f>
        <v/>
      </c>
      <c r="M215">
        <f>IF($L215="","",TRACKER!$E217&amp;"  -  "&amp;TRACKER!$A217)</f>
        <v/>
      </c>
      <c r="N215">
        <f>IF($L215="","",IF(TRACKER!$B217="Equipment",TRACKER!$D217,IF(TRACKER!$B217="System",TRACKER!$C217,"Whole contract")))</f>
        <v/>
      </c>
      <c r="O215">
        <f>IF($L215="","",TRACKER!$F217)</f>
        <v/>
      </c>
      <c r="P215">
        <f>IF($L215="","",TRACKER!$K217)</f>
        <v/>
      </c>
      <c r="Q215">
        <f>IF($L215="","",TRACKER!$N217)</f>
        <v/>
      </c>
      <c r="R215">
        <f>TRACKER!$Y217</f>
        <v/>
      </c>
      <c r="S215">
        <f>TRACKER!$Z217</f>
        <v/>
      </c>
      <c r="T215">
        <f>TRACKER!$X217</f>
        <v/>
      </c>
    </row>
    <row r="216">
      <c r="G216">
        <f>IF(OR(SETUP!$B$105="",$A$12="",$B$12&lt;&gt;"System"),"","System")</f>
        <v/>
      </c>
      <c r="H216">
        <f>IF($G216="","",SETUP!$B$105)</f>
        <v/>
      </c>
      <c r="I216">
        <f>IF($G216="","",$A$12)</f>
        <v/>
      </c>
      <c r="J216">
        <f>IF($G216="","",IF(COUNTIFS(DOC_TYPE,$I216,DOC_SYS,$H216,DOC_SCOPE,"System",DOC_ACTIVE,1)+COUNTIFS(DOC_TYPE,$I216,DOC_SCOPE,"All",DOC_ACTIVE,1)&gt;0,"",IFERROR(IF($E$12&lt;&gt;"",$E$12-$C$12,SETUP!$E$105-$C$12),60000)+ROW()/1000000))</f>
        <v/>
      </c>
      <c r="L216">
        <f>IF(TRACKER!$A218="","","Document")</f>
        <v/>
      </c>
      <c r="M216">
        <f>IF($L216="","",TRACKER!$E218&amp;"  -  "&amp;TRACKER!$A218)</f>
        <v/>
      </c>
      <c r="N216">
        <f>IF($L216="","",IF(TRACKER!$B218="Equipment",TRACKER!$D218,IF(TRACKER!$B218="System",TRACKER!$C218,"Whole contract")))</f>
        <v/>
      </c>
      <c r="O216">
        <f>IF($L216="","",TRACKER!$F218)</f>
        <v/>
      </c>
      <c r="P216">
        <f>IF($L216="","",TRACKER!$K218)</f>
        <v/>
      </c>
      <c r="Q216">
        <f>IF($L216="","",TRACKER!$N218)</f>
        <v/>
      </c>
      <c r="R216">
        <f>TRACKER!$Y218</f>
        <v/>
      </c>
      <c r="S216">
        <f>TRACKER!$Z218</f>
        <v/>
      </c>
      <c r="T216">
        <f>TRACKER!$X218</f>
        <v/>
      </c>
    </row>
    <row r="217">
      <c r="G217">
        <f>IF(OR(SETUP!$B$105="",$A$13="",$B$13&lt;&gt;"System"),"","System")</f>
        <v/>
      </c>
      <c r="H217">
        <f>IF($G217="","",SETUP!$B$105)</f>
        <v/>
      </c>
      <c r="I217">
        <f>IF($G217="","",$A$13)</f>
        <v/>
      </c>
      <c r="J217">
        <f>IF($G217="","",IF(COUNTIFS(DOC_TYPE,$I217,DOC_SYS,$H217,DOC_SCOPE,"System",DOC_ACTIVE,1)+COUNTIFS(DOC_TYPE,$I217,DOC_SCOPE,"All",DOC_ACTIVE,1)&gt;0,"",IFERROR(IF($E$13&lt;&gt;"",$E$13-$C$13,SETUP!$E$105-$C$13),60000)+ROW()/1000000))</f>
        <v/>
      </c>
      <c r="L217">
        <f>IF(TRACKER!$A219="","","Document")</f>
        <v/>
      </c>
      <c r="M217">
        <f>IF($L217="","",TRACKER!$E219&amp;"  -  "&amp;TRACKER!$A219)</f>
        <v/>
      </c>
      <c r="N217">
        <f>IF($L217="","",IF(TRACKER!$B219="Equipment",TRACKER!$D219,IF(TRACKER!$B219="System",TRACKER!$C219,"Whole contract")))</f>
        <v/>
      </c>
      <c r="O217">
        <f>IF($L217="","",TRACKER!$F219)</f>
        <v/>
      </c>
      <c r="P217">
        <f>IF($L217="","",TRACKER!$K219)</f>
        <v/>
      </c>
      <c r="Q217">
        <f>IF($L217="","",TRACKER!$N219)</f>
        <v/>
      </c>
      <c r="R217">
        <f>TRACKER!$Y219</f>
        <v/>
      </c>
      <c r="S217">
        <f>TRACKER!$Z219</f>
        <v/>
      </c>
      <c r="T217">
        <f>TRACKER!$X219</f>
        <v/>
      </c>
    </row>
    <row r="218">
      <c r="G218">
        <f>IF(OR(SETUP!$B$106="",$A$2="",$B$2&lt;&gt;"System"),"","System")</f>
        <v/>
      </c>
      <c r="H218">
        <f>IF($G218="","",SETUP!$B$106)</f>
        <v/>
      </c>
      <c r="I218">
        <f>IF($G218="","",$A$2)</f>
        <v/>
      </c>
      <c r="J218">
        <f>IF($G218="","",IF(COUNTIFS(DOC_TYPE,$I218,DOC_SYS,$H218,DOC_SCOPE,"System",DOC_ACTIVE,1)+COUNTIFS(DOC_TYPE,$I218,DOC_SCOPE,"All",DOC_ACTIVE,1)&gt;0,"",IFERROR(IF($E$2&lt;&gt;"",$E$2-$C$2,SETUP!$E$106-$C$2),60000)+ROW()/1000000))</f>
        <v/>
      </c>
      <c r="L218">
        <f>IF(TRACKER!$A220="","","Document")</f>
        <v/>
      </c>
      <c r="M218">
        <f>IF($L218="","",TRACKER!$E220&amp;"  -  "&amp;TRACKER!$A220)</f>
        <v/>
      </c>
      <c r="N218">
        <f>IF($L218="","",IF(TRACKER!$B220="Equipment",TRACKER!$D220,IF(TRACKER!$B220="System",TRACKER!$C220,"Whole contract")))</f>
        <v/>
      </c>
      <c r="O218">
        <f>IF($L218="","",TRACKER!$F220)</f>
        <v/>
      </c>
      <c r="P218">
        <f>IF($L218="","",TRACKER!$K220)</f>
        <v/>
      </c>
      <c r="Q218">
        <f>IF($L218="","",TRACKER!$N220)</f>
        <v/>
      </c>
      <c r="R218">
        <f>TRACKER!$Y220</f>
        <v/>
      </c>
      <c r="S218">
        <f>TRACKER!$Z220</f>
        <v/>
      </c>
      <c r="T218">
        <f>TRACKER!$X220</f>
        <v/>
      </c>
    </row>
    <row r="219">
      <c r="G219">
        <f>IF(OR(SETUP!$B$106="",$A$3="",$B$3&lt;&gt;"System"),"","System")</f>
        <v/>
      </c>
      <c r="H219">
        <f>IF($G219="","",SETUP!$B$106)</f>
        <v/>
      </c>
      <c r="I219">
        <f>IF($G219="","",$A$3)</f>
        <v/>
      </c>
      <c r="J219">
        <f>IF($G219="","",IF(COUNTIFS(DOC_TYPE,$I219,DOC_SYS,$H219,DOC_SCOPE,"System",DOC_ACTIVE,1)+COUNTIFS(DOC_TYPE,$I219,DOC_SCOPE,"All",DOC_ACTIVE,1)&gt;0,"",IFERROR(IF($E$3&lt;&gt;"",$E$3-$C$3,SETUP!$E$106-$C$3),60000)+ROW()/1000000))</f>
        <v/>
      </c>
      <c r="L219">
        <f>IF(TRACKER!$A221="","","Document")</f>
        <v/>
      </c>
      <c r="M219">
        <f>IF($L219="","",TRACKER!$E221&amp;"  -  "&amp;TRACKER!$A221)</f>
        <v/>
      </c>
      <c r="N219">
        <f>IF($L219="","",IF(TRACKER!$B221="Equipment",TRACKER!$D221,IF(TRACKER!$B221="System",TRACKER!$C221,"Whole contract")))</f>
        <v/>
      </c>
      <c r="O219">
        <f>IF($L219="","",TRACKER!$F221)</f>
        <v/>
      </c>
      <c r="P219">
        <f>IF($L219="","",TRACKER!$K221)</f>
        <v/>
      </c>
      <c r="Q219">
        <f>IF($L219="","",TRACKER!$N221)</f>
        <v/>
      </c>
      <c r="R219">
        <f>TRACKER!$Y221</f>
        <v/>
      </c>
      <c r="S219">
        <f>TRACKER!$Z221</f>
        <v/>
      </c>
      <c r="T219">
        <f>TRACKER!$X221</f>
        <v/>
      </c>
    </row>
    <row r="220">
      <c r="G220">
        <f>IF(OR(SETUP!$B$106="",$A$4="",$B$4&lt;&gt;"System"),"","System")</f>
        <v/>
      </c>
      <c r="H220">
        <f>IF($G220="","",SETUP!$B$106)</f>
        <v/>
      </c>
      <c r="I220">
        <f>IF($G220="","",$A$4)</f>
        <v/>
      </c>
      <c r="J220">
        <f>IF($G220="","",IF(COUNTIFS(DOC_TYPE,$I220,DOC_SYS,$H220,DOC_SCOPE,"System",DOC_ACTIVE,1)+COUNTIFS(DOC_TYPE,$I220,DOC_SCOPE,"All",DOC_ACTIVE,1)&gt;0,"",IFERROR(IF($E$4&lt;&gt;"",$E$4-$C$4,SETUP!$E$106-$C$4),60000)+ROW()/1000000))</f>
        <v/>
      </c>
      <c r="L220">
        <f>IF(TRACKER!$A222="","","Document")</f>
        <v/>
      </c>
      <c r="M220">
        <f>IF($L220="","",TRACKER!$E222&amp;"  -  "&amp;TRACKER!$A222)</f>
        <v/>
      </c>
      <c r="N220">
        <f>IF($L220="","",IF(TRACKER!$B222="Equipment",TRACKER!$D222,IF(TRACKER!$B222="System",TRACKER!$C222,"Whole contract")))</f>
        <v/>
      </c>
      <c r="O220">
        <f>IF($L220="","",TRACKER!$F222)</f>
        <v/>
      </c>
      <c r="P220">
        <f>IF($L220="","",TRACKER!$K222)</f>
        <v/>
      </c>
      <c r="Q220">
        <f>IF($L220="","",TRACKER!$N222)</f>
        <v/>
      </c>
      <c r="R220">
        <f>TRACKER!$Y222</f>
        <v/>
      </c>
      <c r="S220">
        <f>TRACKER!$Z222</f>
        <v/>
      </c>
      <c r="T220">
        <f>TRACKER!$X222</f>
        <v/>
      </c>
    </row>
    <row r="221">
      <c r="G221">
        <f>IF(OR(SETUP!$B$106="",$A$5="",$B$5&lt;&gt;"System"),"","System")</f>
        <v/>
      </c>
      <c r="H221">
        <f>IF($G221="","",SETUP!$B$106)</f>
        <v/>
      </c>
      <c r="I221">
        <f>IF($G221="","",$A$5)</f>
        <v/>
      </c>
      <c r="J221">
        <f>IF($G221="","",IF(COUNTIFS(DOC_TYPE,$I221,DOC_SYS,$H221,DOC_SCOPE,"System",DOC_ACTIVE,1)+COUNTIFS(DOC_TYPE,$I221,DOC_SCOPE,"All",DOC_ACTIVE,1)&gt;0,"",IFERROR(IF($E$5&lt;&gt;"",$E$5-$C$5,SETUP!$E$106-$C$5),60000)+ROW()/1000000))</f>
        <v/>
      </c>
      <c r="L221">
        <f>IF(TRACKER!$A223="","","Document")</f>
        <v/>
      </c>
      <c r="M221">
        <f>IF($L221="","",TRACKER!$E223&amp;"  -  "&amp;TRACKER!$A223)</f>
        <v/>
      </c>
      <c r="N221">
        <f>IF($L221="","",IF(TRACKER!$B223="Equipment",TRACKER!$D223,IF(TRACKER!$B223="System",TRACKER!$C223,"Whole contract")))</f>
        <v/>
      </c>
      <c r="O221">
        <f>IF($L221="","",TRACKER!$F223)</f>
        <v/>
      </c>
      <c r="P221">
        <f>IF($L221="","",TRACKER!$K223)</f>
        <v/>
      </c>
      <c r="Q221">
        <f>IF($L221="","",TRACKER!$N223)</f>
        <v/>
      </c>
      <c r="R221">
        <f>TRACKER!$Y223</f>
        <v/>
      </c>
      <c r="S221">
        <f>TRACKER!$Z223</f>
        <v/>
      </c>
      <c r="T221">
        <f>TRACKER!$X223</f>
        <v/>
      </c>
    </row>
    <row r="222">
      <c r="G222">
        <f>IF(OR(SETUP!$B$106="",$A$6="",$B$6&lt;&gt;"System"),"","System")</f>
        <v/>
      </c>
      <c r="H222">
        <f>IF($G222="","",SETUP!$B$106)</f>
        <v/>
      </c>
      <c r="I222">
        <f>IF($G222="","",$A$6)</f>
        <v/>
      </c>
      <c r="J222">
        <f>IF($G222="","",IF(COUNTIFS(DOC_TYPE,$I222,DOC_SYS,$H222,DOC_SCOPE,"System",DOC_ACTIVE,1)+COUNTIFS(DOC_TYPE,$I222,DOC_SCOPE,"All",DOC_ACTIVE,1)&gt;0,"",IFERROR(IF($E$6&lt;&gt;"",$E$6-$C$6,SETUP!$E$106-$C$6),60000)+ROW()/1000000))</f>
        <v/>
      </c>
      <c r="L222">
        <f>IF(TRACKER!$A224="","","Document")</f>
        <v/>
      </c>
      <c r="M222">
        <f>IF($L222="","",TRACKER!$E224&amp;"  -  "&amp;TRACKER!$A224)</f>
        <v/>
      </c>
      <c r="N222">
        <f>IF($L222="","",IF(TRACKER!$B224="Equipment",TRACKER!$D224,IF(TRACKER!$B224="System",TRACKER!$C224,"Whole contract")))</f>
        <v/>
      </c>
      <c r="O222">
        <f>IF($L222="","",TRACKER!$F224)</f>
        <v/>
      </c>
      <c r="P222">
        <f>IF($L222="","",TRACKER!$K224)</f>
        <v/>
      </c>
      <c r="Q222">
        <f>IF($L222="","",TRACKER!$N224)</f>
        <v/>
      </c>
      <c r="R222">
        <f>TRACKER!$Y224</f>
        <v/>
      </c>
      <c r="S222">
        <f>TRACKER!$Z224</f>
        <v/>
      </c>
      <c r="T222">
        <f>TRACKER!$X224</f>
        <v/>
      </c>
    </row>
    <row r="223">
      <c r="G223">
        <f>IF(OR(SETUP!$B$106="",$A$7="",$B$7&lt;&gt;"System"),"","System")</f>
        <v/>
      </c>
      <c r="H223">
        <f>IF($G223="","",SETUP!$B$106)</f>
        <v/>
      </c>
      <c r="I223">
        <f>IF($G223="","",$A$7)</f>
        <v/>
      </c>
      <c r="J223">
        <f>IF($G223="","",IF(COUNTIFS(DOC_TYPE,$I223,DOC_SYS,$H223,DOC_SCOPE,"System",DOC_ACTIVE,1)+COUNTIFS(DOC_TYPE,$I223,DOC_SCOPE,"All",DOC_ACTIVE,1)&gt;0,"",IFERROR(IF($E$7&lt;&gt;"",$E$7-$C$7,SETUP!$E$106-$C$7),60000)+ROW()/1000000))</f>
        <v/>
      </c>
      <c r="L223">
        <f>IF(TRACKER!$A225="","","Document")</f>
        <v/>
      </c>
      <c r="M223">
        <f>IF($L223="","",TRACKER!$E225&amp;"  -  "&amp;TRACKER!$A225)</f>
        <v/>
      </c>
      <c r="N223">
        <f>IF($L223="","",IF(TRACKER!$B225="Equipment",TRACKER!$D225,IF(TRACKER!$B225="System",TRACKER!$C225,"Whole contract")))</f>
        <v/>
      </c>
      <c r="O223">
        <f>IF($L223="","",TRACKER!$F225)</f>
        <v/>
      </c>
      <c r="P223">
        <f>IF($L223="","",TRACKER!$K225)</f>
        <v/>
      </c>
      <c r="Q223">
        <f>IF($L223="","",TRACKER!$N225)</f>
        <v/>
      </c>
      <c r="R223">
        <f>TRACKER!$Y225</f>
        <v/>
      </c>
      <c r="S223">
        <f>TRACKER!$Z225</f>
        <v/>
      </c>
      <c r="T223">
        <f>TRACKER!$X225</f>
        <v/>
      </c>
    </row>
    <row r="224">
      <c r="G224">
        <f>IF(OR(SETUP!$B$106="",$A$8="",$B$8&lt;&gt;"System"),"","System")</f>
        <v/>
      </c>
      <c r="H224">
        <f>IF($G224="","",SETUP!$B$106)</f>
        <v/>
      </c>
      <c r="I224">
        <f>IF($G224="","",$A$8)</f>
        <v/>
      </c>
      <c r="J224">
        <f>IF($G224="","",IF(COUNTIFS(DOC_TYPE,$I224,DOC_SYS,$H224,DOC_SCOPE,"System",DOC_ACTIVE,1)+COUNTIFS(DOC_TYPE,$I224,DOC_SCOPE,"All",DOC_ACTIVE,1)&gt;0,"",IFERROR(IF($E$8&lt;&gt;"",$E$8-$C$8,SETUP!$E$106-$C$8),60000)+ROW()/1000000))</f>
        <v/>
      </c>
      <c r="L224">
        <f>IF(TRACKER!$A226="","","Document")</f>
        <v/>
      </c>
      <c r="M224">
        <f>IF($L224="","",TRACKER!$E226&amp;"  -  "&amp;TRACKER!$A226)</f>
        <v/>
      </c>
      <c r="N224">
        <f>IF($L224="","",IF(TRACKER!$B226="Equipment",TRACKER!$D226,IF(TRACKER!$B226="System",TRACKER!$C226,"Whole contract")))</f>
        <v/>
      </c>
      <c r="O224">
        <f>IF($L224="","",TRACKER!$F226)</f>
        <v/>
      </c>
      <c r="P224">
        <f>IF($L224="","",TRACKER!$K226)</f>
        <v/>
      </c>
      <c r="Q224">
        <f>IF($L224="","",TRACKER!$N226)</f>
        <v/>
      </c>
      <c r="R224">
        <f>TRACKER!$Y226</f>
        <v/>
      </c>
      <c r="S224">
        <f>TRACKER!$Z226</f>
        <v/>
      </c>
      <c r="T224">
        <f>TRACKER!$X226</f>
        <v/>
      </c>
    </row>
    <row r="225">
      <c r="G225">
        <f>IF(OR(SETUP!$B$106="",$A$9="",$B$9&lt;&gt;"System"),"","System")</f>
        <v/>
      </c>
      <c r="H225">
        <f>IF($G225="","",SETUP!$B$106)</f>
        <v/>
      </c>
      <c r="I225">
        <f>IF($G225="","",$A$9)</f>
        <v/>
      </c>
      <c r="J225">
        <f>IF($G225="","",IF(COUNTIFS(DOC_TYPE,$I225,DOC_SYS,$H225,DOC_SCOPE,"System",DOC_ACTIVE,1)+COUNTIFS(DOC_TYPE,$I225,DOC_SCOPE,"All",DOC_ACTIVE,1)&gt;0,"",IFERROR(IF($E$9&lt;&gt;"",$E$9-$C$9,SETUP!$E$106-$C$9),60000)+ROW()/1000000))</f>
        <v/>
      </c>
      <c r="L225">
        <f>IF(TRACKER!$A227="","","Document")</f>
        <v/>
      </c>
      <c r="M225">
        <f>IF($L225="","",TRACKER!$E227&amp;"  -  "&amp;TRACKER!$A227)</f>
        <v/>
      </c>
      <c r="N225">
        <f>IF($L225="","",IF(TRACKER!$B227="Equipment",TRACKER!$D227,IF(TRACKER!$B227="System",TRACKER!$C227,"Whole contract")))</f>
        <v/>
      </c>
      <c r="O225">
        <f>IF($L225="","",TRACKER!$F227)</f>
        <v/>
      </c>
      <c r="P225">
        <f>IF($L225="","",TRACKER!$K227)</f>
        <v/>
      </c>
      <c r="Q225">
        <f>IF($L225="","",TRACKER!$N227)</f>
        <v/>
      </c>
      <c r="R225">
        <f>TRACKER!$Y227</f>
        <v/>
      </c>
      <c r="S225">
        <f>TRACKER!$Z227</f>
        <v/>
      </c>
      <c r="T225">
        <f>TRACKER!$X227</f>
        <v/>
      </c>
    </row>
    <row r="226">
      <c r="G226">
        <f>IF(OR(SETUP!$B$106="",$A$10="",$B$10&lt;&gt;"System"),"","System")</f>
        <v/>
      </c>
      <c r="H226">
        <f>IF($G226="","",SETUP!$B$106)</f>
        <v/>
      </c>
      <c r="I226">
        <f>IF($G226="","",$A$10)</f>
        <v/>
      </c>
      <c r="J226">
        <f>IF($G226="","",IF(COUNTIFS(DOC_TYPE,$I226,DOC_SYS,$H226,DOC_SCOPE,"System",DOC_ACTIVE,1)+COUNTIFS(DOC_TYPE,$I226,DOC_SCOPE,"All",DOC_ACTIVE,1)&gt;0,"",IFERROR(IF($E$10&lt;&gt;"",$E$10-$C$10,SETUP!$E$106-$C$10),60000)+ROW()/1000000))</f>
        <v/>
      </c>
      <c r="L226">
        <f>IF(TRACKER!$A228="","","Document")</f>
        <v/>
      </c>
      <c r="M226">
        <f>IF($L226="","",TRACKER!$E228&amp;"  -  "&amp;TRACKER!$A228)</f>
        <v/>
      </c>
      <c r="N226">
        <f>IF($L226="","",IF(TRACKER!$B228="Equipment",TRACKER!$D228,IF(TRACKER!$B228="System",TRACKER!$C228,"Whole contract")))</f>
        <v/>
      </c>
      <c r="O226">
        <f>IF($L226="","",TRACKER!$F228)</f>
        <v/>
      </c>
      <c r="P226">
        <f>IF($L226="","",TRACKER!$K228)</f>
        <v/>
      </c>
      <c r="Q226">
        <f>IF($L226="","",TRACKER!$N228)</f>
        <v/>
      </c>
      <c r="R226">
        <f>TRACKER!$Y228</f>
        <v/>
      </c>
      <c r="S226">
        <f>TRACKER!$Z228</f>
        <v/>
      </c>
      <c r="T226">
        <f>TRACKER!$X228</f>
        <v/>
      </c>
    </row>
    <row r="227">
      <c r="G227">
        <f>IF(OR(SETUP!$B$106="",$A$11="",$B$11&lt;&gt;"System"),"","System")</f>
        <v/>
      </c>
      <c r="H227">
        <f>IF($G227="","",SETUP!$B$106)</f>
        <v/>
      </c>
      <c r="I227">
        <f>IF($G227="","",$A$11)</f>
        <v/>
      </c>
      <c r="J227">
        <f>IF($G227="","",IF(COUNTIFS(DOC_TYPE,$I227,DOC_SYS,$H227,DOC_SCOPE,"System",DOC_ACTIVE,1)+COUNTIFS(DOC_TYPE,$I227,DOC_SCOPE,"All",DOC_ACTIVE,1)&gt;0,"",IFERROR(IF($E$11&lt;&gt;"",$E$11-$C$11,SETUP!$E$106-$C$11),60000)+ROW()/1000000))</f>
        <v/>
      </c>
      <c r="L227">
        <f>IF(TRACKER!$A229="","","Document")</f>
        <v/>
      </c>
      <c r="M227">
        <f>IF($L227="","",TRACKER!$E229&amp;"  -  "&amp;TRACKER!$A229)</f>
        <v/>
      </c>
      <c r="N227">
        <f>IF($L227="","",IF(TRACKER!$B229="Equipment",TRACKER!$D229,IF(TRACKER!$B229="System",TRACKER!$C229,"Whole contract")))</f>
        <v/>
      </c>
      <c r="O227">
        <f>IF($L227="","",TRACKER!$F229)</f>
        <v/>
      </c>
      <c r="P227">
        <f>IF($L227="","",TRACKER!$K229)</f>
        <v/>
      </c>
      <c r="Q227">
        <f>IF($L227="","",TRACKER!$N229)</f>
        <v/>
      </c>
      <c r="R227">
        <f>TRACKER!$Y229</f>
        <v/>
      </c>
      <c r="S227">
        <f>TRACKER!$Z229</f>
        <v/>
      </c>
      <c r="T227">
        <f>TRACKER!$X229</f>
        <v/>
      </c>
    </row>
    <row r="228">
      <c r="G228">
        <f>IF(OR(SETUP!$B$106="",$A$12="",$B$12&lt;&gt;"System"),"","System")</f>
        <v/>
      </c>
      <c r="H228">
        <f>IF($G228="","",SETUP!$B$106)</f>
        <v/>
      </c>
      <c r="I228">
        <f>IF($G228="","",$A$12)</f>
        <v/>
      </c>
      <c r="J228">
        <f>IF($G228="","",IF(COUNTIFS(DOC_TYPE,$I228,DOC_SYS,$H228,DOC_SCOPE,"System",DOC_ACTIVE,1)+COUNTIFS(DOC_TYPE,$I228,DOC_SCOPE,"All",DOC_ACTIVE,1)&gt;0,"",IFERROR(IF($E$12&lt;&gt;"",$E$12-$C$12,SETUP!$E$106-$C$12),60000)+ROW()/1000000))</f>
        <v/>
      </c>
      <c r="L228">
        <f>IF(TRACKER!$A230="","","Document")</f>
        <v/>
      </c>
      <c r="M228">
        <f>IF($L228="","",TRACKER!$E230&amp;"  -  "&amp;TRACKER!$A230)</f>
        <v/>
      </c>
      <c r="N228">
        <f>IF($L228="","",IF(TRACKER!$B230="Equipment",TRACKER!$D230,IF(TRACKER!$B230="System",TRACKER!$C230,"Whole contract")))</f>
        <v/>
      </c>
      <c r="O228">
        <f>IF($L228="","",TRACKER!$F230)</f>
        <v/>
      </c>
      <c r="P228">
        <f>IF($L228="","",TRACKER!$K230)</f>
        <v/>
      </c>
      <c r="Q228">
        <f>IF($L228="","",TRACKER!$N230)</f>
        <v/>
      </c>
      <c r="R228">
        <f>TRACKER!$Y230</f>
        <v/>
      </c>
      <c r="S228">
        <f>TRACKER!$Z230</f>
        <v/>
      </c>
      <c r="T228">
        <f>TRACKER!$X230</f>
        <v/>
      </c>
    </row>
    <row r="229">
      <c r="G229">
        <f>IF(OR(SETUP!$B$106="",$A$13="",$B$13&lt;&gt;"System"),"","System")</f>
        <v/>
      </c>
      <c r="H229">
        <f>IF($G229="","",SETUP!$B$106)</f>
        <v/>
      </c>
      <c r="I229">
        <f>IF($G229="","",$A$13)</f>
        <v/>
      </c>
      <c r="J229">
        <f>IF($G229="","",IF(COUNTIFS(DOC_TYPE,$I229,DOC_SYS,$H229,DOC_SCOPE,"System",DOC_ACTIVE,1)+COUNTIFS(DOC_TYPE,$I229,DOC_SCOPE,"All",DOC_ACTIVE,1)&gt;0,"",IFERROR(IF($E$13&lt;&gt;"",$E$13-$C$13,SETUP!$E$106-$C$13),60000)+ROW()/1000000))</f>
        <v/>
      </c>
      <c r="L229">
        <f>IF(TRACKER!$A231="","","Document")</f>
        <v/>
      </c>
      <c r="M229">
        <f>IF($L229="","",TRACKER!$E231&amp;"  -  "&amp;TRACKER!$A231)</f>
        <v/>
      </c>
      <c r="N229">
        <f>IF($L229="","",IF(TRACKER!$B231="Equipment",TRACKER!$D231,IF(TRACKER!$B231="System",TRACKER!$C231,"Whole contract")))</f>
        <v/>
      </c>
      <c r="O229">
        <f>IF($L229="","",TRACKER!$F231)</f>
        <v/>
      </c>
      <c r="P229">
        <f>IF($L229="","",TRACKER!$K231)</f>
        <v/>
      </c>
      <c r="Q229">
        <f>IF($L229="","",TRACKER!$N231)</f>
        <v/>
      </c>
      <c r="R229">
        <f>TRACKER!$Y231</f>
        <v/>
      </c>
      <c r="S229">
        <f>TRACKER!$Z231</f>
        <v/>
      </c>
      <c r="T229">
        <f>TRACKER!$X231</f>
        <v/>
      </c>
    </row>
    <row r="230">
      <c r="G230">
        <f>IF(OR(SETUP!$B$107="",$A$2="",$B$2&lt;&gt;"System"),"","System")</f>
        <v/>
      </c>
      <c r="H230">
        <f>IF($G230="","",SETUP!$B$107)</f>
        <v/>
      </c>
      <c r="I230">
        <f>IF($G230="","",$A$2)</f>
        <v/>
      </c>
      <c r="J230">
        <f>IF($G230="","",IF(COUNTIFS(DOC_TYPE,$I230,DOC_SYS,$H230,DOC_SCOPE,"System",DOC_ACTIVE,1)+COUNTIFS(DOC_TYPE,$I230,DOC_SCOPE,"All",DOC_ACTIVE,1)&gt;0,"",IFERROR(IF($E$2&lt;&gt;"",$E$2-$C$2,SETUP!$E$107-$C$2),60000)+ROW()/1000000))</f>
        <v/>
      </c>
      <c r="L230">
        <f>IF(TRACKER!$A232="","","Document")</f>
        <v/>
      </c>
      <c r="M230">
        <f>IF($L230="","",TRACKER!$E232&amp;"  -  "&amp;TRACKER!$A232)</f>
        <v/>
      </c>
      <c r="N230">
        <f>IF($L230="","",IF(TRACKER!$B232="Equipment",TRACKER!$D232,IF(TRACKER!$B232="System",TRACKER!$C232,"Whole contract")))</f>
        <v/>
      </c>
      <c r="O230">
        <f>IF($L230="","",TRACKER!$F232)</f>
        <v/>
      </c>
      <c r="P230">
        <f>IF($L230="","",TRACKER!$K232)</f>
        <v/>
      </c>
      <c r="Q230">
        <f>IF($L230="","",TRACKER!$N232)</f>
        <v/>
      </c>
      <c r="R230">
        <f>TRACKER!$Y232</f>
        <v/>
      </c>
      <c r="S230">
        <f>TRACKER!$Z232</f>
        <v/>
      </c>
      <c r="T230">
        <f>TRACKER!$X232</f>
        <v/>
      </c>
    </row>
    <row r="231">
      <c r="G231">
        <f>IF(OR(SETUP!$B$107="",$A$3="",$B$3&lt;&gt;"System"),"","System")</f>
        <v/>
      </c>
      <c r="H231">
        <f>IF($G231="","",SETUP!$B$107)</f>
        <v/>
      </c>
      <c r="I231">
        <f>IF($G231="","",$A$3)</f>
        <v/>
      </c>
      <c r="J231">
        <f>IF($G231="","",IF(COUNTIFS(DOC_TYPE,$I231,DOC_SYS,$H231,DOC_SCOPE,"System",DOC_ACTIVE,1)+COUNTIFS(DOC_TYPE,$I231,DOC_SCOPE,"All",DOC_ACTIVE,1)&gt;0,"",IFERROR(IF($E$3&lt;&gt;"",$E$3-$C$3,SETUP!$E$107-$C$3),60000)+ROW()/1000000))</f>
        <v/>
      </c>
      <c r="L231">
        <f>IF(TRACKER!$A233="","","Document")</f>
        <v/>
      </c>
      <c r="M231">
        <f>IF($L231="","",TRACKER!$E233&amp;"  -  "&amp;TRACKER!$A233)</f>
        <v/>
      </c>
      <c r="N231">
        <f>IF($L231="","",IF(TRACKER!$B233="Equipment",TRACKER!$D233,IF(TRACKER!$B233="System",TRACKER!$C233,"Whole contract")))</f>
        <v/>
      </c>
      <c r="O231">
        <f>IF($L231="","",TRACKER!$F233)</f>
        <v/>
      </c>
      <c r="P231">
        <f>IF($L231="","",TRACKER!$K233)</f>
        <v/>
      </c>
      <c r="Q231">
        <f>IF($L231="","",TRACKER!$N233)</f>
        <v/>
      </c>
      <c r="R231">
        <f>TRACKER!$Y233</f>
        <v/>
      </c>
      <c r="S231">
        <f>TRACKER!$Z233</f>
        <v/>
      </c>
      <c r="T231">
        <f>TRACKER!$X233</f>
        <v/>
      </c>
    </row>
    <row r="232">
      <c r="G232">
        <f>IF(OR(SETUP!$B$107="",$A$4="",$B$4&lt;&gt;"System"),"","System")</f>
        <v/>
      </c>
      <c r="H232">
        <f>IF($G232="","",SETUP!$B$107)</f>
        <v/>
      </c>
      <c r="I232">
        <f>IF($G232="","",$A$4)</f>
        <v/>
      </c>
      <c r="J232">
        <f>IF($G232="","",IF(COUNTIFS(DOC_TYPE,$I232,DOC_SYS,$H232,DOC_SCOPE,"System",DOC_ACTIVE,1)+COUNTIFS(DOC_TYPE,$I232,DOC_SCOPE,"All",DOC_ACTIVE,1)&gt;0,"",IFERROR(IF($E$4&lt;&gt;"",$E$4-$C$4,SETUP!$E$107-$C$4),60000)+ROW()/1000000))</f>
        <v/>
      </c>
      <c r="L232">
        <f>IF(TRACKER!$A234="","","Document")</f>
        <v/>
      </c>
      <c r="M232">
        <f>IF($L232="","",TRACKER!$E234&amp;"  -  "&amp;TRACKER!$A234)</f>
        <v/>
      </c>
      <c r="N232">
        <f>IF($L232="","",IF(TRACKER!$B234="Equipment",TRACKER!$D234,IF(TRACKER!$B234="System",TRACKER!$C234,"Whole contract")))</f>
        <v/>
      </c>
      <c r="O232">
        <f>IF($L232="","",TRACKER!$F234)</f>
        <v/>
      </c>
      <c r="P232">
        <f>IF($L232="","",TRACKER!$K234)</f>
        <v/>
      </c>
      <c r="Q232">
        <f>IF($L232="","",TRACKER!$N234)</f>
        <v/>
      </c>
      <c r="R232">
        <f>TRACKER!$Y234</f>
        <v/>
      </c>
      <c r="S232">
        <f>TRACKER!$Z234</f>
        <v/>
      </c>
      <c r="T232">
        <f>TRACKER!$X234</f>
        <v/>
      </c>
    </row>
    <row r="233">
      <c r="G233">
        <f>IF(OR(SETUP!$B$107="",$A$5="",$B$5&lt;&gt;"System"),"","System")</f>
        <v/>
      </c>
      <c r="H233">
        <f>IF($G233="","",SETUP!$B$107)</f>
        <v/>
      </c>
      <c r="I233">
        <f>IF($G233="","",$A$5)</f>
        <v/>
      </c>
      <c r="J233">
        <f>IF($G233="","",IF(COUNTIFS(DOC_TYPE,$I233,DOC_SYS,$H233,DOC_SCOPE,"System",DOC_ACTIVE,1)+COUNTIFS(DOC_TYPE,$I233,DOC_SCOPE,"All",DOC_ACTIVE,1)&gt;0,"",IFERROR(IF($E$5&lt;&gt;"",$E$5-$C$5,SETUP!$E$107-$C$5),60000)+ROW()/1000000))</f>
        <v/>
      </c>
      <c r="L233">
        <f>IF(TRACKER!$A235="","","Document")</f>
        <v/>
      </c>
      <c r="M233">
        <f>IF($L233="","",TRACKER!$E235&amp;"  -  "&amp;TRACKER!$A235)</f>
        <v/>
      </c>
      <c r="N233">
        <f>IF($L233="","",IF(TRACKER!$B235="Equipment",TRACKER!$D235,IF(TRACKER!$B235="System",TRACKER!$C235,"Whole contract")))</f>
        <v/>
      </c>
      <c r="O233">
        <f>IF($L233="","",TRACKER!$F235)</f>
        <v/>
      </c>
      <c r="P233">
        <f>IF($L233="","",TRACKER!$K235)</f>
        <v/>
      </c>
      <c r="Q233">
        <f>IF($L233="","",TRACKER!$N235)</f>
        <v/>
      </c>
      <c r="R233">
        <f>TRACKER!$Y235</f>
        <v/>
      </c>
      <c r="S233">
        <f>TRACKER!$Z235</f>
        <v/>
      </c>
      <c r="T233">
        <f>TRACKER!$X235</f>
        <v/>
      </c>
    </row>
    <row r="234">
      <c r="G234">
        <f>IF(OR(SETUP!$B$107="",$A$6="",$B$6&lt;&gt;"System"),"","System")</f>
        <v/>
      </c>
      <c r="H234">
        <f>IF($G234="","",SETUP!$B$107)</f>
        <v/>
      </c>
      <c r="I234">
        <f>IF($G234="","",$A$6)</f>
        <v/>
      </c>
      <c r="J234">
        <f>IF($G234="","",IF(COUNTIFS(DOC_TYPE,$I234,DOC_SYS,$H234,DOC_SCOPE,"System",DOC_ACTIVE,1)+COUNTIFS(DOC_TYPE,$I234,DOC_SCOPE,"All",DOC_ACTIVE,1)&gt;0,"",IFERROR(IF($E$6&lt;&gt;"",$E$6-$C$6,SETUP!$E$107-$C$6),60000)+ROW()/1000000))</f>
        <v/>
      </c>
      <c r="L234">
        <f>IF(TRACKER!$A236="","","Document")</f>
        <v/>
      </c>
      <c r="M234">
        <f>IF($L234="","",TRACKER!$E236&amp;"  -  "&amp;TRACKER!$A236)</f>
        <v/>
      </c>
      <c r="N234">
        <f>IF($L234="","",IF(TRACKER!$B236="Equipment",TRACKER!$D236,IF(TRACKER!$B236="System",TRACKER!$C236,"Whole contract")))</f>
        <v/>
      </c>
      <c r="O234">
        <f>IF($L234="","",TRACKER!$F236)</f>
        <v/>
      </c>
      <c r="P234">
        <f>IF($L234="","",TRACKER!$K236)</f>
        <v/>
      </c>
      <c r="Q234">
        <f>IF($L234="","",TRACKER!$N236)</f>
        <v/>
      </c>
      <c r="R234">
        <f>TRACKER!$Y236</f>
        <v/>
      </c>
      <c r="S234">
        <f>TRACKER!$Z236</f>
        <v/>
      </c>
      <c r="T234">
        <f>TRACKER!$X236</f>
        <v/>
      </c>
    </row>
    <row r="235">
      <c r="G235">
        <f>IF(OR(SETUP!$B$107="",$A$7="",$B$7&lt;&gt;"System"),"","System")</f>
        <v/>
      </c>
      <c r="H235">
        <f>IF($G235="","",SETUP!$B$107)</f>
        <v/>
      </c>
      <c r="I235">
        <f>IF($G235="","",$A$7)</f>
        <v/>
      </c>
      <c r="J235">
        <f>IF($G235="","",IF(COUNTIFS(DOC_TYPE,$I235,DOC_SYS,$H235,DOC_SCOPE,"System",DOC_ACTIVE,1)+COUNTIFS(DOC_TYPE,$I235,DOC_SCOPE,"All",DOC_ACTIVE,1)&gt;0,"",IFERROR(IF($E$7&lt;&gt;"",$E$7-$C$7,SETUP!$E$107-$C$7),60000)+ROW()/1000000))</f>
        <v/>
      </c>
      <c r="L235">
        <f>IF(TRACKER!$A237="","","Document")</f>
        <v/>
      </c>
      <c r="M235">
        <f>IF($L235="","",TRACKER!$E237&amp;"  -  "&amp;TRACKER!$A237)</f>
        <v/>
      </c>
      <c r="N235">
        <f>IF($L235="","",IF(TRACKER!$B237="Equipment",TRACKER!$D237,IF(TRACKER!$B237="System",TRACKER!$C237,"Whole contract")))</f>
        <v/>
      </c>
      <c r="O235">
        <f>IF($L235="","",TRACKER!$F237)</f>
        <v/>
      </c>
      <c r="P235">
        <f>IF($L235="","",TRACKER!$K237)</f>
        <v/>
      </c>
      <c r="Q235">
        <f>IF($L235="","",TRACKER!$N237)</f>
        <v/>
      </c>
      <c r="R235">
        <f>TRACKER!$Y237</f>
        <v/>
      </c>
      <c r="S235">
        <f>TRACKER!$Z237</f>
        <v/>
      </c>
      <c r="T235">
        <f>TRACKER!$X237</f>
        <v/>
      </c>
    </row>
    <row r="236">
      <c r="G236">
        <f>IF(OR(SETUP!$B$107="",$A$8="",$B$8&lt;&gt;"System"),"","System")</f>
        <v/>
      </c>
      <c r="H236">
        <f>IF($G236="","",SETUP!$B$107)</f>
        <v/>
      </c>
      <c r="I236">
        <f>IF($G236="","",$A$8)</f>
        <v/>
      </c>
      <c r="J236">
        <f>IF($G236="","",IF(COUNTIFS(DOC_TYPE,$I236,DOC_SYS,$H236,DOC_SCOPE,"System",DOC_ACTIVE,1)+COUNTIFS(DOC_TYPE,$I236,DOC_SCOPE,"All",DOC_ACTIVE,1)&gt;0,"",IFERROR(IF($E$8&lt;&gt;"",$E$8-$C$8,SETUP!$E$107-$C$8),60000)+ROW()/1000000))</f>
        <v/>
      </c>
      <c r="L236">
        <f>IF(TRACKER!$A238="","","Document")</f>
        <v/>
      </c>
      <c r="M236">
        <f>IF($L236="","",TRACKER!$E238&amp;"  -  "&amp;TRACKER!$A238)</f>
        <v/>
      </c>
      <c r="N236">
        <f>IF($L236="","",IF(TRACKER!$B238="Equipment",TRACKER!$D238,IF(TRACKER!$B238="System",TRACKER!$C238,"Whole contract")))</f>
        <v/>
      </c>
      <c r="O236">
        <f>IF($L236="","",TRACKER!$F238)</f>
        <v/>
      </c>
      <c r="P236">
        <f>IF($L236="","",TRACKER!$K238)</f>
        <v/>
      </c>
      <c r="Q236">
        <f>IF($L236="","",TRACKER!$N238)</f>
        <v/>
      </c>
      <c r="R236">
        <f>TRACKER!$Y238</f>
        <v/>
      </c>
      <c r="S236">
        <f>TRACKER!$Z238</f>
        <v/>
      </c>
      <c r="T236">
        <f>TRACKER!$X238</f>
        <v/>
      </c>
    </row>
    <row r="237">
      <c r="G237">
        <f>IF(OR(SETUP!$B$107="",$A$9="",$B$9&lt;&gt;"System"),"","System")</f>
        <v/>
      </c>
      <c r="H237">
        <f>IF($G237="","",SETUP!$B$107)</f>
        <v/>
      </c>
      <c r="I237">
        <f>IF($G237="","",$A$9)</f>
        <v/>
      </c>
      <c r="J237">
        <f>IF($G237="","",IF(COUNTIFS(DOC_TYPE,$I237,DOC_SYS,$H237,DOC_SCOPE,"System",DOC_ACTIVE,1)+COUNTIFS(DOC_TYPE,$I237,DOC_SCOPE,"All",DOC_ACTIVE,1)&gt;0,"",IFERROR(IF($E$9&lt;&gt;"",$E$9-$C$9,SETUP!$E$107-$C$9),60000)+ROW()/1000000))</f>
        <v/>
      </c>
      <c r="L237">
        <f>IF(TRACKER!$A239="","","Document")</f>
        <v/>
      </c>
      <c r="M237">
        <f>IF($L237="","",TRACKER!$E239&amp;"  -  "&amp;TRACKER!$A239)</f>
        <v/>
      </c>
      <c r="N237">
        <f>IF($L237="","",IF(TRACKER!$B239="Equipment",TRACKER!$D239,IF(TRACKER!$B239="System",TRACKER!$C239,"Whole contract")))</f>
        <v/>
      </c>
      <c r="O237">
        <f>IF($L237="","",TRACKER!$F239)</f>
        <v/>
      </c>
      <c r="P237">
        <f>IF($L237="","",TRACKER!$K239)</f>
        <v/>
      </c>
      <c r="Q237">
        <f>IF($L237="","",TRACKER!$N239)</f>
        <v/>
      </c>
      <c r="R237">
        <f>TRACKER!$Y239</f>
        <v/>
      </c>
      <c r="S237">
        <f>TRACKER!$Z239</f>
        <v/>
      </c>
      <c r="T237">
        <f>TRACKER!$X239</f>
        <v/>
      </c>
    </row>
    <row r="238">
      <c r="G238">
        <f>IF(OR(SETUP!$B$107="",$A$10="",$B$10&lt;&gt;"System"),"","System")</f>
        <v/>
      </c>
      <c r="H238">
        <f>IF($G238="","",SETUP!$B$107)</f>
        <v/>
      </c>
      <c r="I238">
        <f>IF($G238="","",$A$10)</f>
        <v/>
      </c>
      <c r="J238">
        <f>IF($G238="","",IF(COUNTIFS(DOC_TYPE,$I238,DOC_SYS,$H238,DOC_SCOPE,"System",DOC_ACTIVE,1)+COUNTIFS(DOC_TYPE,$I238,DOC_SCOPE,"All",DOC_ACTIVE,1)&gt;0,"",IFERROR(IF($E$10&lt;&gt;"",$E$10-$C$10,SETUP!$E$107-$C$10),60000)+ROW()/1000000))</f>
        <v/>
      </c>
      <c r="L238">
        <f>IF(TRACKER!$A240="","","Document")</f>
        <v/>
      </c>
      <c r="M238">
        <f>IF($L238="","",TRACKER!$E240&amp;"  -  "&amp;TRACKER!$A240)</f>
        <v/>
      </c>
      <c r="N238">
        <f>IF($L238="","",IF(TRACKER!$B240="Equipment",TRACKER!$D240,IF(TRACKER!$B240="System",TRACKER!$C240,"Whole contract")))</f>
        <v/>
      </c>
      <c r="O238">
        <f>IF($L238="","",TRACKER!$F240)</f>
        <v/>
      </c>
      <c r="P238">
        <f>IF($L238="","",TRACKER!$K240)</f>
        <v/>
      </c>
      <c r="Q238">
        <f>IF($L238="","",TRACKER!$N240)</f>
        <v/>
      </c>
      <c r="R238">
        <f>TRACKER!$Y240</f>
        <v/>
      </c>
      <c r="S238">
        <f>TRACKER!$Z240</f>
        <v/>
      </c>
      <c r="T238">
        <f>TRACKER!$X240</f>
        <v/>
      </c>
    </row>
    <row r="239">
      <c r="G239">
        <f>IF(OR(SETUP!$B$107="",$A$11="",$B$11&lt;&gt;"System"),"","System")</f>
        <v/>
      </c>
      <c r="H239">
        <f>IF($G239="","",SETUP!$B$107)</f>
        <v/>
      </c>
      <c r="I239">
        <f>IF($G239="","",$A$11)</f>
        <v/>
      </c>
      <c r="J239">
        <f>IF($G239="","",IF(COUNTIFS(DOC_TYPE,$I239,DOC_SYS,$H239,DOC_SCOPE,"System",DOC_ACTIVE,1)+COUNTIFS(DOC_TYPE,$I239,DOC_SCOPE,"All",DOC_ACTIVE,1)&gt;0,"",IFERROR(IF($E$11&lt;&gt;"",$E$11-$C$11,SETUP!$E$107-$C$11),60000)+ROW()/1000000))</f>
        <v/>
      </c>
      <c r="L239">
        <f>IF(TRACKER!$A241="","","Document")</f>
        <v/>
      </c>
      <c r="M239">
        <f>IF($L239="","",TRACKER!$E241&amp;"  -  "&amp;TRACKER!$A241)</f>
        <v/>
      </c>
      <c r="N239">
        <f>IF($L239="","",IF(TRACKER!$B241="Equipment",TRACKER!$D241,IF(TRACKER!$B241="System",TRACKER!$C241,"Whole contract")))</f>
        <v/>
      </c>
      <c r="O239">
        <f>IF($L239="","",TRACKER!$F241)</f>
        <v/>
      </c>
      <c r="P239">
        <f>IF($L239="","",TRACKER!$K241)</f>
        <v/>
      </c>
      <c r="Q239">
        <f>IF($L239="","",TRACKER!$N241)</f>
        <v/>
      </c>
      <c r="R239">
        <f>TRACKER!$Y241</f>
        <v/>
      </c>
      <c r="S239">
        <f>TRACKER!$Z241</f>
        <v/>
      </c>
      <c r="T239">
        <f>TRACKER!$X241</f>
        <v/>
      </c>
    </row>
    <row r="240">
      <c r="G240">
        <f>IF(OR(SETUP!$B$107="",$A$12="",$B$12&lt;&gt;"System"),"","System")</f>
        <v/>
      </c>
      <c r="H240">
        <f>IF($G240="","",SETUP!$B$107)</f>
        <v/>
      </c>
      <c r="I240">
        <f>IF($G240="","",$A$12)</f>
        <v/>
      </c>
      <c r="J240">
        <f>IF($G240="","",IF(COUNTIFS(DOC_TYPE,$I240,DOC_SYS,$H240,DOC_SCOPE,"System",DOC_ACTIVE,1)+COUNTIFS(DOC_TYPE,$I240,DOC_SCOPE,"All",DOC_ACTIVE,1)&gt;0,"",IFERROR(IF($E$12&lt;&gt;"",$E$12-$C$12,SETUP!$E$107-$C$12),60000)+ROW()/1000000))</f>
        <v/>
      </c>
      <c r="L240">
        <f>IF(TRACKER!$A242="","","Document")</f>
        <v/>
      </c>
      <c r="M240">
        <f>IF($L240="","",TRACKER!$E242&amp;"  -  "&amp;TRACKER!$A242)</f>
        <v/>
      </c>
      <c r="N240">
        <f>IF($L240="","",IF(TRACKER!$B242="Equipment",TRACKER!$D242,IF(TRACKER!$B242="System",TRACKER!$C242,"Whole contract")))</f>
        <v/>
      </c>
      <c r="O240">
        <f>IF($L240="","",TRACKER!$F242)</f>
        <v/>
      </c>
      <c r="P240">
        <f>IF($L240="","",TRACKER!$K242)</f>
        <v/>
      </c>
      <c r="Q240">
        <f>IF($L240="","",TRACKER!$N242)</f>
        <v/>
      </c>
      <c r="R240">
        <f>TRACKER!$Y242</f>
        <v/>
      </c>
      <c r="S240">
        <f>TRACKER!$Z242</f>
        <v/>
      </c>
      <c r="T240">
        <f>TRACKER!$X242</f>
        <v/>
      </c>
    </row>
    <row r="241">
      <c r="G241">
        <f>IF(OR(SETUP!$B$107="",$A$13="",$B$13&lt;&gt;"System"),"","System")</f>
        <v/>
      </c>
      <c r="H241">
        <f>IF($G241="","",SETUP!$B$107)</f>
        <v/>
      </c>
      <c r="I241">
        <f>IF($G241="","",$A$13)</f>
        <v/>
      </c>
      <c r="J241">
        <f>IF($G241="","",IF(COUNTIFS(DOC_TYPE,$I241,DOC_SYS,$H241,DOC_SCOPE,"System",DOC_ACTIVE,1)+COUNTIFS(DOC_TYPE,$I241,DOC_SCOPE,"All",DOC_ACTIVE,1)&gt;0,"",IFERROR(IF($E$13&lt;&gt;"",$E$13-$C$13,SETUP!$E$107-$C$13),60000)+ROW()/1000000))</f>
        <v/>
      </c>
      <c r="L241">
        <f>IF(TRACKER!$A243="","","Document")</f>
        <v/>
      </c>
      <c r="M241">
        <f>IF($L241="","",TRACKER!$E243&amp;"  -  "&amp;TRACKER!$A243)</f>
        <v/>
      </c>
      <c r="N241">
        <f>IF($L241="","",IF(TRACKER!$B243="Equipment",TRACKER!$D243,IF(TRACKER!$B243="System",TRACKER!$C243,"Whole contract")))</f>
        <v/>
      </c>
      <c r="O241">
        <f>IF($L241="","",TRACKER!$F243)</f>
        <v/>
      </c>
      <c r="P241">
        <f>IF($L241="","",TRACKER!$K243)</f>
        <v/>
      </c>
      <c r="Q241">
        <f>IF($L241="","",TRACKER!$N243)</f>
        <v/>
      </c>
      <c r="R241">
        <f>TRACKER!$Y243</f>
        <v/>
      </c>
      <c r="S241">
        <f>TRACKER!$Z243</f>
        <v/>
      </c>
      <c r="T241">
        <f>TRACKER!$X243</f>
        <v/>
      </c>
    </row>
    <row r="242">
      <c r="G242">
        <f>IF(OR(SETUP!$B$108="",$A$2="",$B$2&lt;&gt;"System"),"","System")</f>
        <v/>
      </c>
      <c r="H242">
        <f>IF($G242="","",SETUP!$B$108)</f>
        <v/>
      </c>
      <c r="I242">
        <f>IF($G242="","",$A$2)</f>
        <v/>
      </c>
      <c r="J242">
        <f>IF($G242="","",IF(COUNTIFS(DOC_TYPE,$I242,DOC_SYS,$H242,DOC_SCOPE,"System",DOC_ACTIVE,1)+COUNTIFS(DOC_TYPE,$I242,DOC_SCOPE,"All",DOC_ACTIVE,1)&gt;0,"",IFERROR(IF($E$2&lt;&gt;"",$E$2-$C$2,SETUP!$E$108-$C$2),60000)+ROW()/1000000))</f>
        <v/>
      </c>
      <c r="L242">
        <f>IF(TRACKER!$A244="","","Document")</f>
        <v/>
      </c>
      <c r="M242">
        <f>IF($L242="","",TRACKER!$E244&amp;"  -  "&amp;TRACKER!$A244)</f>
        <v/>
      </c>
      <c r="N242">
        <f>IF($L242="","",IF(TRACKER!$B244="Equipment",TRACKER!$D244,IF(TRACKER!$B244="System",TRACKER!$C244,"Whole contract")))</f>
        <v/>
      </c>
      <c r="O242">
        <f>IF($L242="","",TRACKER!$F244)</f>
        <v/>
      </c>
      <c r="P242">
        <f>IF($L242="","",TRACKER!$K244)</f>
        <v/>
      </c>
      <c r="Q242">
        <f>IF($L242="","",TRACKER!$N244)</f>
        <v/>
      </c>
      <c r="R242">
        <f>TRACKER!$Y244</f>
        <v/>
      </c>
      <c r="S242">
        <f>TRACKER!$Z244</f>
        <v/>
      </c>
      <c r="T242">
        <f>TRACKER!$X244</f>
        <v/>
      </c>
    </row>
    <row r="243">
      <c r="G243">
        <f>IF(OR(SETUP!$B$108="",$A$3="",$B$3&lt;&gt;"System"),"","System")</f>
        <v/>
      </c>
      <c r="H243">
        <f>IF($G243="","",SETUP!$B$108)</f>
        <v/>
      </c>
      <c r="I243">
        <f>IF($G243="","",$A$3)</f>
        <v/>
      </c>
      <c r="J243">
        <f>IF($G243="","",IF(COUNTIFS(DOC_TYPE,$I243,DOC_SYS,$H243,DOC_SCOPE,"System",DOC_ACTIVE,1)+COUNTIFS(DOC_TYPE,$I243,DOC_SCOPE,"All",DOC_ACTIVE,1)&gt;0,"",IFERROR(IF($E$3&lt;&gt;"",$E$3-$C$3,SETUP!$E$108-$C$3),60000)+ROW()/1000000))</f>
        <v/>
      </c>
      <c r="L243">
        <f>IF(TRACKER!$A245="","","Document")</f>
        <v/>
      </c>
      <c r="M243">
        <f>IF($L243="","",TRACKER!$E245&amp;"  -  "&amp;TRACKER!$A245)</f>
        <v/>
      </c>
      <c r="N243">
        <f>IF($L243="","",IF(TRACKER!$B245="Equipment",TRACKER!$D245,IF(TRACKER!$B245="System",TRACKER!$C245,"Whole contract")))</f>
        <v/>
      </c>
      <c r="O243">
        <f>IF($L243="","",TRACKER!$F245)</f>
        <v/>
      </c>
      <c r="P243">
        <f>IF($L243="","",TRACKER!$K245)</f>
        <v/>
      </c>
      <c r="Q243">
        <f>IF($L243="","",TRACKER!$N245)</f>
        <v/>
      </c>
      <c r="R243">
        <f>TRACKER!$Y245</f>
        <v/>
      </c>
      <c r="S243">
        <f>TRACKER!$Z245</f>
        <v/>
      </c>
      <c r="T243">
        <f>TRACKER!$X245</f>
        <v/>
      </c>
    </row>
    <row r="244">
      <c r="G244">
        <f>IF(OR(SETUP!$B$108="",$A$4="",$B$4&lt;&gt;"System"),"","System")</f>
        <v/>
      </c>
      <c r="H244">
        <f>IF($G244="","",SETUP!$B$108)</f>
        <v/>
      </c>
      <c r="I244">
        <f>IF($G244="","",$A$4)</f>
        <v/>
      </c>
      <c r="J244">
        <f>IF($G244="","",IF(COUNTIFS(DOC_TYPE,$I244,DOC_SYS,$H244,DOC_SCOPE,"System",DOC_ACTIVE,1)+COUNTIFS(DOC_TYPE,$I244,DOC_SCOPE,"All",DOC_ACTIVE,1)&gt;0,"",IFERROR(IF($E$4&lt;&gt;"",$E$4-$C$4,SETUP!$E$108-$C$4),60000)+ROW()/1000000))</f>
        <v/>
      </c>
      <c r="L244">
        <f>IF(TRACKER!$A246="","","Document")</f>
        <v/>
      </c>
      <c r="M244">
        <f>IF($L244="","",TRACKER!$E246&amp;"  -  "&amp;TRACKER!$A246)</f>
        <v/>
      </c>
      <c r="N244">
        <f>IF($L244="","",IF(TRACKER!$B246="Equipment",TRACKER!$D246,IF(TRACKER!$B246="System",TRACKER!$C246,"Whole contract")))</f>
        <v/>
      </c>
      <c r="O244">
        <f>IF($L244="","",TRACKER!$F246)</f>
        <v/>
      </c>
      <c r="P244">
        <f>IF($L244="","",TRACKER!$K246)</f>
        <v/>
      </c>
      <c r="Q244">
        <f>IF($L244="","",TRACKER!$N246)</f>
        <v/>
      </c>
      <c r="R244">
        <f>TRACKER!$Y246</f>
        <v/>
      </c>
      <c r="S244">
        <f>TRACKER!$Z246</f>
        <v/>
      </c>
      <c r="T244">
        <f>TRACKER!$X246</f>
        <v/>
      </c>
    </row>
    <row r="245">
      <c r="G245">
        <f>IF(OR(SETUP!$B$108="",$A$5="",$B$5&lt;&gt;"System"),"","System")</f>
        <v/>
      </c>
      <c r="H245">
        <f>IF($G245="","",SETUP!$B$108)</f>
        <v/>
      </c>
      <c r="I245">
        <f>IF($G245="","",$A$5)</f>
        <v/>
      </c>
      <c r="J245">
        <f>IF($G245="","",IF(COUNTIFS(DOC_TYPE,$I245,DOC_SYS,$H245,DOC_SCOPE,"System",DOC_ACTIVE,1)+COUNTIFS(DOC_TYPE,$I245,DOC_SCOPE,"All",DOC_ACTIVE,1)&gt;0,"",IFERROR(IF($E$5&lt;&gt;"",$E$5-$C$5,SETUP!$E$108-$C$5),60000)+ROW()/1000000))</f>
        <v/>
      </c>
      <c r="L245">
        <f>IF(TRACKER!$A247="","","Document")</f>
        <v/>
      </c>
      <c r="M245">
        <f>IF($L245="","",TRACKER!$E247&amp;"  -  "&amp;TRACKER!$A247)</f>
        <v/>
      </c>
      <c r="N245">
        <f>IF($L245="","",IF(TRACKER!$B247="Equipment",TRACKER!$D247,IF(TRACKER!$B247="System",TRACKER!$C247,"Whole contract")))</f>
        <v/>
      </c>
      <c r="O245">
        <f>IF($L245="","",TRACKER!$F247)</f>
        <v/>
      </c>
      <c r="P245">
        <f>IF($L245="","",TRACKER!$K247)</f>
        <v/>
      </c>
      <c r="Q245">
        <f>IF($L245="","",TRACKER!$N247)</f>
        <v/>
      </c>
      <c r="R245">
        <f>TRACKER!$Y247</f>
        <v/>
      </c>
      <c r="S245">
        <f>TRACKER!$Z247</f>
        <v/>
      </c>
      <c r="T245">
        <f>TRACKER!$X247</f>
        <v/>
      </c>
    </row>
    <row r="246">
      <c r="G246">
        <f>IF(OR(SETUP!$B$108="",$A$6="",$B$6&lt;&gt;"System"),"","System")</f>
        <v/>
      </c>
      <c r="H246">
        <f>IF($G246="","",SETUP!$B$108)</f>
        <v/>
      </c>
      <c r="I246">
        <f>IF($G246="","",$A$6)</f>
        <v/>
      </c>
      <c r="J246">
        <f>IF($G246="","",IF(COUNTIFS(DOC_TYPE,$I246,DOC_SYS,$H246,DOC_SCOPE,"System",DOC_ACTIVE,1)+COUNTIFS(DOC_TYPE,$I246,DOC_SCOPE,"All",DOC_ACTIVE,1)&gt;0,"",IFERROR(IF($E$6&lt;&gt;"",$E$6-$C$6,SETUP!$E$108-$C$6),60000)+ROW()/1000000))</f>
        <v/>
      </c>
      <c r="L246">
        <f>IF(TRACKER!$A248="","","Document")</f>
        <v/>
      </c>
      <c r="M246">
        <f>IF($L246="","",TRACKER!$E248&amp;"  -  "&amp;TRACKER!$A248)</f>
        <v/>
      </c>
      <c r="N246">
        <f>IF($L246="","",IF(TRACKER!$B248="Equipment",TRACKER!$D248,IF(TRACKER!$B248="System",TRACKER!$C248,"Whole contract")))</f>
        <v/>
      </c>
      <c r="O246">
        <f>IF($L246="","",TRACKER!$F248)</f>
        <v/>
      </c>
      <c r="P246">
        <f>IF($L246="","",TRACKER!$K248)</f>
        <v/>
      </c>
      <c r="Q246">
        <f>IF($L246="","",TRACKER!$N248)</f>
        <v/>
      </c>
      <c r="R246">
        <f>TRACKER!$Y248</f>
        <v/>
      </c>
      <c r="S246">
        <f>TRACKER!$Z248</f>
        <v/>
      </c>
      <c r="T246">
        <f>TRACKER!$X248</f>
        <v/>
      </c>
    </row>
    <row r="247">
      <c r="G247">
        <f>IF(OR(SETUP!$B$108="",$A$7="",$B$7&lt;&gt;"System"),"","System")</f>
        <v/>
      </c>
      <c r="H247">
        <f>IF($G247="","",SETUP!$B$108)</f>
        <v/>
      </c>
      <c r="I247">
        <f>IF($G247="","",$A$7)</f>
        <v/>
      </c>
      <c r="J247">
        <f>IF($G247="","",IF(COUNTIFS(DOC_TYPE,$I247,DOC_SYS,$H247,DOC_SCOPE,"System",DOC_ACTIVE,1)+COUNTIFS(DOC_TYPE,$I247,DOC_SCOPE,"All",DOC_ACTIVE,1)&gt;0,"",IFERROR(IF($E$7&lt;&gt;"",$E$7-$C$7,SETUP!$E$108-$C$7),60000)+ROW()/1000000))</f>
        <v/>
      </c>
      <c r="L247">
        <f>IF(TRACKER!$A249="","","Document")</f>
        <v/>
      </c>
      <c r="M247">
        <f>IF($L247="","",TRACKER!$E249&amp;"  -  "&amp;TRACKER!$A249)</f>
        <v/>
      </c>
      <c r="N247">
        <f>IF($L247="","",IF(TRACKER!$B249="Equipment",TRACKER!$D249,IF(TRACKER!$B249="System",TRACKER!$C249,"Whole contract")))</f>
        <v/>
      </c>
      <c r="O247">
        <f>IF($L247="","",TRACKER!$F249)</f>
        <v/>
      </c>
      <c r="P247">
        <f>IF($L247="","",TRACKER!$K249)</f>
        <v/>
      </c>
      <c r="Q247">
        <f>IF($L247="","",TRACKER!$N249)</f>
        <v/>
      </c>
      <c r="R247">
        <f>TRACKER!$Y249</f>
        <v/>
      </c>
      <c r="S247">
        <f>TRACKER!$Z249</f>
        <v/>
      </c>
      <c r="T247">
        <f>TRACKER!$X249</f>
        <v/>
      </c>
    </row>
    <row r="248">
      <c r="G248">
        <f>IF(OR(SETUP!$B$108="",$A$8="",$B$8&lt;&gt;"System"),"","System")</f>
        <v/>
      </c>
      <c r="H248">
        <f>IF($G248="","",SETUP!$B$108)</f>
        <v/>
      </c>
      <c r="I248">
        <f>IF($G248="","",$A$8)</f>
        <v/>
      </c>
      <c r="J248">
        <f>IF($G248="","",IF(COUNTIFS(DOC_TYPE,$I248,DOC_SYS,$H248,DOC_SCOPE,"System",DOC_ACTIVE,1)+COUNTIFS(DOC_TYPE,$I248,DOC_SCOPE,"All",DOC_ACTIVE,1)&gt;0,"",IFERROR(IF($E$8&lt;&gt;"",$E$8-$C$8,SETUP!$E$108-$C$8),60000)+ROW()/1000000))</f>
        <v/>
      </c>
      <c r="L248">
        <f>IF(TRACKER!$A250="","","Document")</f>
        <v/>
      </c>
      <c r="M248">
        <f>IF($L248="","",TRACKER!$E250&amp;"  -  "&amp;TRACKER!$A250)</f>
        <v/>
      </c>
      <c r="N248">
        <f>IF($L248="","",IF(TRACKER!$B250="Equipment",TRACKER!$D250,IF(TRACKER!$B250="System",TRACKER!$C250,"Whole contract")))</f>
        <v/>
      </c>
      <c r="O248">
        <f>IF($L248="","",TRACKER!$F250)</f>
        <v/>
      </c>
      <c r="P248">
        <f>IF($L248="","",TRACKER!$K250)</f>
        <v/>
      </c>
      <c r="Q248">
        <f>IF($L248="","",TRACKER!$N250)</f>
        <v/>
      </c>
      <c r="R248">
        <f>TRACKER!$Y250</f>
        <v/>
      </c>
      <c r="S248">
        <f>TRACKER!$Z250</f>
        <v/>
      </c>
      <c r="T248">
        <f>TRACKER!$X250</f>
        <v/>
      </c>
    </row>
    <row r="249">
      <c r="G249">
        <f>IF(OR(SETUP!$B$108="",$A$9="",$B$9&lt;&gt;"System"),"","System")</f>
        <v/>
      </c>
      <c r="H249">
        <f>IF($G249="","",SETUP!$B$108)</f>
        <v/>
      </c>
      <c r="I249">
        <f>IF($G249="","",$A$9)</f>
        <v/>
      </c>
      <c r="J249">
        <f>IF($G249="","",IF(COUNTIFS(DOC_TYPE,$I249,DOC_SYS,$H249,DOC_SCOPE,"System",DOC_ACTIVE,1)+COUNTIFS(DOC_TYPE,$I249,DOC_SCOPE,"All",DOC_ACTIVE,1)&gt;0,"",IFERROR(IF($E$9&lt;&gt;"",$E$9-$C$9,SETUP!$E$108-$C$9),60000)+ROW()/1000000))</f>
        <v/>
      </c>
      <c r="L249">
        <f>IF(TRACKER!$A251="","","Document")</f>
        <v/>
      </c>
      <c r="M249">
        <f>IF($L249="","",TRACKER!$E251&amp;"  -  "&amp;TRACKER!$A251)</f>
        <v/>
      </c>
      <c r="N249">
        <f>IF($L249="","",IF(TRACKER!$B251="Equipment",TRACKER!$D251,IF(TRACKER!$B251="System",TRACKER!$C251,"Whole contract")))</f>
        <v/>
      </c>
      <c r="O249">
        <f>IF($L249="","",TRACKER!$F251)</f>
        <v/>
      </c>
      <c r="P249">
        <f>IF($L249="","",TRACKER!$K251)</f>
        <v/>
      </c>
      <c r="Q249">
        <f>IF($L249="","",TRACKER!$N251)</f>
        <v/>
      </c>
      <c r="R249">
        <f>TRACKER!$Y251</f>
        <v/>
      </c>
      <c r="S249">
        <f>TRACKER!$Z251</f>
        <v/>
      </c>
      <c r="T249">
        <f>TRACKER!$X251</f>
        <v/>
      </c>
    </row>
    <row r="250">
      <c r="G250">
        <f>IF(OR(SETUP!$B$108="",$A$10="",$B$10&lt;&gt;"System"),"","System")</f>
        <v/>
      </c>
      <c r="H250">
        <f>IF($G250="","",SETUP!$B$108)</f>
        <v/>
      </c>
      <c r="I250">
        <f>IF($G250="","",$A$10)</f>
        <v/>
      </c>
      <c r="J250">
        <f>IF($G250="","",IF(COUNTIFS(DOC_TYPE,$I250,DOC_SYS,$H250,DOC_SCOPE,"System",DOC_ACTIVE,1)+COUNTIFS(DOC_TYPE,$I250,DOC_SCOPE,"All",DOC_ACTIVE,1)&gt;0,"",IFERROR(IF($E$10&lt;&gt;"",$E$10-$C$10,SETUP!$E$108-$C$10),60000)+ROW()/1000000))</f>
        <v/>
      </c>
      <c r="L250">
        <f>IF(TRACKER!$A252="","","Document")</f>
        <v/>
      </c>
      <c r="M250">
        <f>IF($L250="","",TRACKER!$E252&amp;"  -  "&amp;TRACKER!$A252)</f>
        <v/>
      </c>
      <c r="N250">
        <f>IF($L250="","",IF(TRACKER!$B252="Equipment",TRACKER!$D252,IF(TRACKER!$B252="System",TRACKER!$C252,"Whole contract")))</f>
        <v/>
      </c>
      <c r="O250">
        <f>IF($L250="","",TRACKER!$F252)</f>
        <v/>
      </c>
      <c r="P250">
        <f>IF($L250="","",TRACKER!$K252)</f>
        <v/>
      </c>
      <c r="Q250">
        <f>IF($L250="","",TRACKER!$N252)</f>
        <v/>
      </c>
      <c r="R250">
        <f>TRACKER!$Y252</f>
        <v/>
      </c>
      <c r="S250">
        <f>TRACKER!$Z252</f>
        <v/>
      </c>
      <c r="T250">
        <f>TRACKER!$X252</f>
        <v/>
      </c>
    </row>
    <row r="251">
      <c r="G251">
        <f>IF(OR(SETUP!$B$108="",$A$11="",$B$11&lt;&gt;"System"),"","System")</f>
        <v/>
      </c>
      <c r="H251">
        <f>IF($G251="","",SETUP!$B$108)</f>
        <v/>
      </c>
      <c r="I251">
        <f>IF($G251="","",$A$11)</f>
        <v/>
      </c>
      <c r="J251">
        <f>IF($G251="","",IF(COUNTIFS(DOC_TYPE,$I251,DOC_SYS,$H251,DOC_SCOPE,"System",DOC_ACTIVE,1)+COUNTIFS(DOC_TYPE,$I251,DOC_SCOPE,"All",DOC_ACTIVE,1)&gt;0,"",IFERROR(IF($E$11&lt;&gt;"",$E$11-$C$11,SETUP!$E$108-$C$11),60000)+ROW()/1000000))</f>
        <v/>
      </c>
      <c r="L251">
        <f>IF(TRACKER!$A253="","","Document")</f>
        <v/>
      </c>
      <c r="M251">
        <f>IF($L251="","",TRACKER!$E253&amp;"  -  "&amp;TRACKER!$A253)</f>
        <v/>
      </c>
      <c r="N251">
        <f>IF($L251="","",IF(TRACKER!$B253="Equipment",TRACKER!$D253,IF(TRACKER!$B253="System",TRACKER!$C253,"Whole contract")))</f>
        <v/>
      </c>
      <c r="O251">
        <f>IF($L251="","",TRACKER!$F253)</f>
        <v/>
      </c>
      <c r="P251">
        <f>IF($L251="","",TRACKER!$K253)</f>
        <v/>
      </c>
      <c r="Q251">
        <f>IF($L251="","",TRACKER!$N253)</f>
        <v/>
      </c>
      <c r="R251">
        <f>TRACKER!$Y253</f>
        <v/>
      </c>
      <c r="S251">
        <f>TRACKER!$Z253</f>
        <v/>
      </c>
      <c r="T251">
        <f>TRACKER!$X253</f>
        <v/>
      </c>
    </row>
    <row r="252">
      <c r="G252">
        <f>IF(OR(SETUP!$B$108="",$A$12="",$B$12&lt;&gt;"System"),"","System")</f>
        <v/>
      </c>
      <c r="H252">
        <f>IF($G252="","",SETUP!$B$108)</f>
        <v/>
      </c>
      <c r="I252">
        <f>IF($G252="","",$A$12)</f>
        <v/>
      </c>
      <c r="J252">
        <f>IF($G252="","",IF(COUNTIFS(DOC_TYPE,$I252,DOC_SYS,$H252,DOC_SCOPE,"System",DOC_ACTIVE,1)+COUNTIFS(DOC_TYPE,$I252,DOC_SCOPE,"All",DOC_ACTIVE,1)&gt;0,"",IFERROR(IF($E$12&lt;&gt;"",$E$12-$C$12,SETUP!$E$108-$C$12),60000)+ROW()/1000000))</f>
        <v/>
      </c>
      <c r="L252">
        <f>IF(TRACKER!$A254="","","Document")</f>
        <v/>
      </c>
      <c r="M252">
        <f>IF($L252="","",TRACKER!$E254&amp;"  -  "&amp;TRACKER!$A254)</f>
        <v/>
      </c>
      <c r="N252">
        <f>IF($L252="","",IF(TRACKER!$B254="Equipment",TRACKER!$D254,IF(TRACKER!$B254="System",TRACKER!$C254,"Whole contract")))</f>
        <v/>
      </c>
      <c r="O252">
        <f>IF($L252="","",TRACKER!$F254)</f>
        <v/>
      </c>
      <c r="P252">
        <f>IF($L252="","",TRACKER!$K254)</f>
        <v/>
      </c>
      <c r="Q252">
        <f>IF($L252="","",TRACKER!$N254)</f>
        <v/>
      </c>
      <c r="R252">
        <f>TRACKER!$Y254</f>
        <v/>
      </c>
      <c r="S252">
        <f>TRACKER!$Z254</f>
        <v/>
      </c>
      <c r="T252">
        <f>TRACKER!$X254</f>
        <v/>
      </c>
    </row>
    <row r="253">
      <c r="G253">
        <f>IF(OR(SETUP!$B$108="",$A$13="",$B$13&lt;&gt;"System"),"","System")</f>
        <v/>
      </c>
      <c r="H253">
        <f>IF($G253="","",SETUP!$B$108)</f>
        <v/>
      </c>
      <c r="I253">
        <f>IF($G253="","",$A$13)</f>
        <v/>
      </c>
      <c r="J253">
        <f>IF($G253="","",IF(COUNTIFS(DOC_TYPE,$I253,DOC_SYS,$H253,DOC_SCOPE,"System",DOC_ACTIVE,1)+COUNTIFS(DOC_TYPE,$I253,DOC_SCOPE,"All",DOC_ACTIVE,1)&gt;0,"",IFERROR(IF($E$13&lt;&gt;"",$E$13-$C$13,SETUP!$E$108-$C$13),60000)+ROW()/1000000))</f>
        <v/>
      </c>
      <c r="L253">
        <f>IF(TRACKER!$A255="","","Document")</f>
        <v/>
      </c>
      <c r="M253">
        <f>IF($L253="","",TRACKER!$E255&amp;"  -  "&amp;TRACKER!$A255)</f>
        <v/>
      </c>
      <c r="N253">
        <f>IF($L253="","",IF(TRACKER!$B255="Equipment",TRACKER!$D255,IF(TRACKER!$B255="System",TRACKER!$C255,"Whole contract")))</f>
        <v/>
      </c>
      <c r="O253">
        <f>IF($L253="","",TRACKER!$F255)</f>
        <v/>
      </c>
      <c r="P253">
        <f>IF($L253="","",TRACKER!$K255)</f>
        <v/>
      </c>
      <c r="Q253">
        <f>IF($L253="","",TRACKER!$N255)</f>
        <v/>
      </c>
      <c r="R253">
        <f>TRACKER!$Y255</f>
        <v/>
      </c>
      <c r="S253">
        <f>TRACKER!$Z255</f>
        <v/>
      </c>
      <c r="T253">
        <f>TRACKER!$X255</f>
        <v/>
      </c>
    </row>
    <row r="254">
      <c r="G254">
        <f>IF(OR(SETUP!$B$109="",$A$2="",$B$2&lt;&gt;"System"),"","System")</f>
        <v/>
      </c>
      <c r="H254">
        <f>IF($G254="","",SETUP!$B$109)</f>
        <v/>
      </c>
      <c r="I254">
        <f>IF($G254="","",$A$2)</f>
        <v/>
      </c>
      <c r="J254">
        <f>IF($G254="","",IF(COUNTIFS(DOC_TYPE,$I254,DOC_SYS,$H254,DOC_SCOPE,"System",DOC_ACTIVE,1)+COUNTIFS(DOC_TYPE,$I254,DOC_SCOPE,"All",DOC_ACTIVE,1)&gt;0,"",IFERROR(IF($E$2&lt;&gt;"",$E$2-$C$2,SETUP!$E$109-$C$2),60000)+ROW()/1000000))</f>
        <v/>
      </c>
      <c r="L254">
        <f>IF(TRACKER!$A256="","","Document")</f>
        <v/>
      </c>
      <c r="M254">
        <f>IF($L254="","",TRACKER!$E256&amp;"  -  "&amp;TRACKER!$A256)</f>
        <v/>
      </c>
      <c r="N254">
        <f>IF($L254="","",IF(TRACKER!$B256="Equipment",TRACKER!$D256,IF(TRACKER!$B256="System",TRACKER!$C256,"Whole contract")))</f>
        <v/>
      </c>
      <c r="O254">
        <f>IF($L254="","",TRACKER!$F256)</f>
        <v/>
      </c>
      <c r="P254">
        <f>IF($L254="","",TRACKER!$K256)</f>
        <v/>
      </c>
      <c r="Q254">
        <f>IF($L254="","",TRACKER!$N256)</f>
        <v/>
      </c>
      <c r="R254">
        <f>TRACKER!$Y256</f>
        <v/>
      </c>
      <c r="S254">
        <f>TRACKER!$Z256</f>
        <v/>
      </c>
      <c r="T254">
        <f>TRACKER!$X256</f>
        <v/>
      </c>
    </row>
    <row r="255">
      <c r="G255">
        <f>IF(OR(SETUP!$B$109="",$A$3="",$B$3&lt;&gt;"System"),"","System")</f>
        <v/>
      </c>
      <c r="H255">
        <f>IF($G255="","",SETUP!$B$109)</f>
        <v/>
      </c>
      <c r="I255">
        <f>IF($G255="","",$A$3)</f>
        <v/>
      </c>
      <c r="J255">
        <f>IF($G255="","",IF(COUNTIFS(DOC_TYPE,$I255,DOC_SYS,$H255,DOC_SCOPE,"System",DOC_ACTIVE,1)+COUNTIFS(DOC_TYPE,$I255,DOC_SCOPE,"All",DOC_ACTIVE,1)&gt;0,"",IFERROR(IF($E$3&lt;&gt;"",$E$3-$C$3,SETUP!$E$109-$C$3),60000)+ROW()/1000000))</f>
        <v/>
      </c>
      <c r="L255">
        <f>IF(TRACKER!$A257="","","Document")</f>
        <v/>
      </c>
      <c r="M255">
        <f>IF($L255="","",TRACKER!$E257&amp;"  -  "&amp;TRACKER!$A257)</f>
        <v/>
      </c>
      <c r="N255">
        <f>IF($L255="","",IF(TRACKER!$B257="Equipment",TRACKER!$D257,IF(TRACKER!$B257="System",TRACKER!$C257,"Whole contract")))</f>
        <v/>
      </c>
      <c r="O255">
        <f>IF($L255="","",TRACKER!$F257)</f>
        <v/>
      </c>
      <c r="P255">
        <f>IF($L255="","",TRACKER!$K257)</f>
        <v/>
      </c>
      <c r="Q255">
        <f>IF($L255="","",TRACKER!$N257)</f>
        <v/>
      </c>
      <c r="R255">
        <f>TRACKER!$Y257</f>
        <v/>
      </c>
      <c r="S255">
        <f>TRACKER!$Z257</f>
        <v/>
      </c>
      <c r="T255">
        <f>TRACKER!$X257</f>
        <v/>
      </c>
    </row>
    <row r="256">
      <c r="G256">
        <f>IF(OR(SETUP!$B$109="",$A$4="",$B$4&lt;&gt;"System"),"","System")</f>
        <v/>
      </c>
      <c r="H256">
        <f>IF($G256="","",SETUP!$B$109)</f>
        <v/>
      </c>
      <c r="I256">
        <f>IF($G256="","",$A$4)</f>
        <v/>
      </c>
      <c r="J256">
        <f>IF($G256="","",IF(COUNTIFS(DOC_TYPE,$I256,DOC_SYS,$H256,DOC_SCOPE,"System",DOC_ACTIVE,1)+COUNTIFS(DOC_TYPE,$I256,DOC_SCOPE,"All",DOC_ACTIVE,1)&gt;0,"",IFERROR(IF($E$4&lt;&gt;"",$E$4-$C$4,SETUP!$E$109-$C$4),60000)+ROW()/1000000))</f>
        <v/>
      </c>
      <c r="L256">
        <f>IF(TRACKER!$A258="","","Document")</f>
        <v/>
      </c>
      <c r="M256">
        <f>IF($L256="","",TRACKER!$E258&amp;"  -  "&amp;TRACKER!$A258)</f>
        <v/>
      </c>
      <c r="N256">
        <f>IF($L256="","",IF(TRACKER!$B258="Equipment",TRACKER!$D258,IF(TRACKER!$B258="System",TRACKER!$C258,"Whole contract")))</f>
        <v/>
      </c>
      <c r="O256">
        <f>IF($L256="","",TRACKER!$F258)</f>
        <v/>
      </c>
      <c r="P256">
        <f>IF($L256="","",TRACKER!$K258)</f>
        <v/>
      </c>
      <c r="Q256">
        <f>IF($L256="","",TRACKER!$N258)</f>
        <v/>
      </c>
      <c r="R256">
        <f>TRACKER!$Y258</f>
        <v/>
      </c>
      <c r="S256">
        <f>TRACKER!$Z258</f>
        <v/>
      </c>
      <c r="T256">
        <f>TRACKER!$X258</f>
        <v/>
      </c>
    </row>
    <row r="257">
      <c r="G257">
        <f>IF(OR(SETUP!$B$109="",$A$5="",$B$5&lt;&gt;"System"),"","System")</f>
        <v/>
      </c>
      <c r="H257">
        <f>IF($G257="","",SETUP!$B$109)</f>
        <v/>
      </c>
      <c r="I257">
        <f>IF($G257="","",$A$5)</f>
        <v/>
      </c>
      <c r="J257">
        <f>IF($G257="","",IF(COUNTIFS(DOC_TYPE,$I257,DOC_SYS,$H257,DOC_SCOPE,"System",DOC_ACTIVE,1)+COUNTIFS(DOC_TYPE,$I257,DOC_SCOPE,"All",DOC_ACTIVE,1)&gt;0,"",IFERROR(IF($E$5&lt;&gt;"",$E$5-$C$5,SETUP!$E$109-$C$5),60000)+ROW()/1000000))</f>
        <v/>
      </c>
      <c r="L257">
        <f>IF(TRACKER!$A259="","","Document")</f>
        <v/>
      </c>
      <c r="M257">
        <f>IF($L257="","",TRACKER!$E259&amp;"  -  "&amp;TRACKER!$A259)</f>
        <v/>
      </c>
      <c r="N257">
        <f>IF($L257="","",IF(TRACKER!$B259="Equipment",TRACKER!$D259,IF(TRACKER!$B259="System",TRACKER!$C259,"Whole contract")))</f>
        <v/>
      </c>
      <c r="O257">
        <f>IF($L257="","",TRACKER!$F259)</f>
        <v/>
      </c>
      <c r="P257">
        <f>IF($L257="","",TRACKER!$K259)</f>
        <v/>
      </c>
      <c r="Q257">
        <f>IF($L257="","",TRACKER!$N259)</f>
        <v/>
      </c>
      <c r="R257">
        <f>TRACKER!$Y259</f>
        <v/>
      </c>
      <c r="S257">
        <f>TRACKER!$Z259</f>
        <v/>
      </c>
      <c r="T257">
        <f>TRACKER!$X259</f>
        <v/>
      </c>
    </row>
    <row r="258">
      <c r="G258">
        <f>IF(OR(SETUP!$B$109="",$A$6="",$B$6&lt;&gt;"System"),"","System")</f>
        <v/>
      </c>
      <c r="H258">
        <f>IF($G258="","",SETUP!$B$109)</f>
        <v/>
      </c>
      <c r="I258">
        <f>IF($G258="","",$A$6)</f>
        <v/>
      </c>
      <c r="J258">
        <f>IF($G258="","",IF(COUNTIFS(DOC_TYPE,$I258,DOC_SYS,$H258,DOC_SCOPE,"System",DOC_ACTIVE,1)+COUNTIFS(DOC_TYPE,$I258,DOC_SCOPE,"All",DOC_ACTIVE,1)&gt;0,"",IFERROR(IF($E$6&lt;&gt;"",$E$6-$C$6,SETUP!$E$109-$C$6),60000)+ROW()/1000000))</f>
        <v/>
      </c>
      <c r="L258">
        <f>IF(TRACKER!$A260="","","Document")</f>
        <v/>
      </c>
      <c r="M258">
        <f>IF($L258="","",TRACKER!$E260&amp;"  -  "&amp;TRACKER!$A260)</f>
        <v/>
      </c>
      <c r="N258">
        <f>IF($L258="","",IF(TRACKER!$B260="Equipment",TRACKER!$D260,IF(TRACKER!$B260="System",TRACKER!$C260,"Whole contract")))</f>
        <v/>
      </c>
      <c r="O258">
        <f>IF($L258="","",TRACKER!$F260)</f>
        <v/>
      </c>
      <c r="P258">
        <f>IF($L258="","",TRACKER!$K260)</f>
        <v/>
      </c>
      <c r="Q258">
        <f>IF($L258="","",TRACKER!$N260)</f>
        <v/>
      </c>
      <c r="R258">
        <f>TRACKER!$Y260</f>
        <v/>
      </c>
      <c r="S258">
        <f>TRACKER!$Z260</f>
        <v/>
      </c>
      <c r="T258">
        <f>TRACKER!$X260</f>
        <v/>
      </c>
    </row>
    <row r="259">
      <c r="G259">
        <f>IF(OR(SETUP!$B$109="",$A$7="",$B$7&lt;&gt;"System"),"","System")</f>
        <v/>
      </c>
      <c r="H259">
        <f>IF($G259="","",SETUP!$B$109)</f>
        <v/>
      </c>
      <c r="I259">
        <f>IF($G259="","",$A$7)</f>
        <v/>
      </c>
      <c r="J259">
        <f>IF($G259="","",IF(COUNTIFS(DOC_TYPE,$I259,DOC_SYS,$H259,DOC_SCOPE,"System",DOC_ACTIVE,1)+COUNTIFS(DOC_TYPE,$I259,DOC_SCOPE,"All",DOC_ACTIVE,1)&gt;0,"",IFERROR(IF($E$7&lt;&gt;"",$E$7-$C$7,SETUP!$E$109-$C$7),60000)+ROW()/1000000))</f>
        <v/>
      </c>
      <c r="L259">
        <f>IF(TRACKER!$A261="","","Document")</f>
        <v/>
      </c>
      <c r="M259">
        <f>IF($L259="","",TRACKER!$E261&amp;"  -  "&amp;TRACKER!$A261)</f>
        <v/>
      </c>
      <c r="N259">
        <f>IF($L259="","",IF(TRACKER!$B261="Equipment",TRACKER!$D261,IF(TRACKER!$B261="System",TRACKER!$C261,"Whole contract")))</f>
        <v/>
      </c>
      <c r="O259">
        <f>IF($L259="","",TRACKER!$F261)</f>
        <v/>
      </c>
      <c r="P259">
        <f>IF($L259="","",TRACKER!$K261)</f>
        <v/>
      </c>
      <c r="Q259">
        <f>IF($L259="","",TRACKER!$N261)</f>
        <v/>
      </c>
      <c r="R259">
        <f>TRACKER!$Y261</f>
        <v/>
      </c>
      <c r="S259">
        <f>TRACKER!$Z261</f>
        <v/>
      </c>
      <c r="T259">
        <f>TRACKER!$X261</f>
        <v/>
      </c>
    </row>
    <row r="260">
      <c r="G260">
        <f>IF(OR(SETUP!$B$109="",$A$8="",$B$8&lt;&gt;"System"),"","System")</f>
        <v/>
      </c>
      <c r="H260">
        <f>IF($G260="","",SETUP!$B$109)</f>
        <v/>
      </c>
      <c r="I260">
        <f>IF($G260="","",$A$8)</f>
        <v/>
      </c>
      <c r="J260">
        <f>IF($G260="","",IF(COUNTIFS(DOC_TYPE,$I260,DOC_SYS,$H260,DOC_SCOPE,"System",DOC_ACTIVE,1)+COUNTIFS(DOC_TYPE,$I260,DOC_SCOPE,"All",DOC_ACTIVE,1)&gt;0,"",IFERROR(IF($E$8&lt;&gt;"",$E$8-$C$8,SETUP!$E$109-$C$8),60000)+ROW()/1000000))</f>
        <v/>
      </c>
      <c r="L260">
        <f>IF(TRACKER!$A262="","","Document")</f>
        <v/>
      </c>
      <c r="M260">
        <f>IF($L260="","",TRACKER!$E262&amp;"  -  "&amp;TRACKER!$A262)</f>
        <v/>
      </c>
      <c r="N260">
        <f>IF($L260="","",IF(TRACKER!$B262="Equipment",TRACKER!$D262,IF(TRACKER!$B262="System",TRACKER!$C262,"Whole contract")))</f>
        <v/>
      </c>
      <c r="O260">
        <f>IF($L260="","",TRACKER!$F262)</f>
        <v/>
      </c>
      <c r="P260">
        <f>IF($L260="","",TRACKER!$K262)</f>
        <v/>
      </c>
      <c r="Q260">
        <f>IF($L260="","",TRACKER!$N262)</f>
        <v/>
      </c>
      <c r="R260">
        <f>TRACKER!$Y262</f>
        <v/>
      </c>
      <c r="S260">
        <f>TRACKER!$Z262</f>
        <v/>
      </c>
      <c r="T260">
        <f>TRACKER!$X262</f>
        <v/>
      </c>
    </row>
    <row r="261">
      <c r="G261">
        <f>IF(OR(SETUP!$B$109="",$A$9="",$B$9&lt;&gt;"System"),"","System")</f>
        <v/>
      </c>
      <c r="H261">
        <f>IF($G261="","",SETUP!$B$109)</f>
        <v/>
      </c>
      <c r="I261">
        <f>IF($G261="","",$A$9)</f>
        <v/>
      </c>
      <c r="J261">
        <f>IF($G261="","",IF(COUNTIFS(DOC_TYPE,$I261,DOC_SYS,$H261,DOC_SCOPE,"System",DOC_ACTIVE,1)+COUNTIFS(DOC_TYPE,$I261,DOC_SCOPE,"All",DOC_ACTIVE,1)&gt;0,"",IFERROR(IF($E$9&lt;&gt;"",$E$9-$C$9,SETUP!$E$109-$C$9),60000)+ROW()/1000000))</f>
        <v/>
      </c>
      <c r="L261">
        <f>IF(TRACKER!$A263="","","Document")</f>
        <v/>
      </c>
      <c r="M261">
        <f>IF($L261="","",TRACKER!$E263&amp;"  -  "&amp;TRACKER!$A263)</f>
        <v/>
      </c>
      <c r="N261">
        <f>IF($L261="","",IF(TRACKER!$B263="Equipment",TRACKER!$D263,IF(TRACKER!$B263="System",TRACKER!$C263,"Whole contract")))</f>
        <v/>
      </c>
      <c r="O261">
        <f>IF($L261="","",TRACKER!$F263)</f>
        <v/>
      </c>
      <c r="P261">
        <f>IF($L261="","",TRACKER!$K263)</f>
        <v/>
      </c>
      <c r="Q261">
        <f>IF($L261="","",TRACKER!$N263)</f>
        <v/>
      </c>
      <c r="R261">
        <f>TRACKER!$Y263</f>
        <v/>
      </c>
      <c r="S261">
        <f>TRACKER!$Z263</f>
        <v/>
      </c>
      <c r="T261">
        <f>TRACKER!$X263</f>
        <v/>
      </c>
    </row>
    <row r="262">
      <c r="G262">
        <f>IF(OR(SETUP!$B$109="",$A$10="",$B$10&lt;&gt;"System"),"","System")</f>
        <v/>
      </c>
      <c r="H262">
        <f>IF($G262="","",SETUP!$B$109)</f>
        <v/>
      </c>
      <c r="I262">
        <f>IF($G262="","",$A$10)</f>
        <v/>
      </c>
      <c r="J262">
        <f>IF($G262="","",IF(COUNTIFS(DOC_TYPE,$I262,DOC_SYS,$H262,DOC_SCOPE,"System",DOC_ACTIVE,1)+COUNTIFS(DOC_TYPE,$I262,DOC_SCOPE,"All",DOC_ACTIVE,1)&gt;0,"",IFERROR(IF($E$10&lt;&gt;"",$E$10-$C$10,SETUP!$E$109-$C$10),60000)+ROW()/1000000))</f>
        <v/>
      </c>
      <c r="L262">
        <f>IF(TRACKER!$A264="","","Document")</f>
        <v/>
      </c>
      <c r="M262">
        <f>IF($L262="","",TRACKER!$E264&amp;"  -  "&amp;TRACKER!$A264)</f>
        <v/>
      </c>
      <c r="N262">
        <f>IF($L262="","",IF(TRACKER!$B264="Equipment",TRACKER!$D264,IF(TRACKER!$B264="System",TRACKER!$C264,"Whole contract")))</f>
        <v/>
      </c>
      <c r="O262">
        <f>IF($L262="","",TRACKER!$F264)</f>
        <v/>
      </c>
      <c r="P262">
        <f>IF($L262="","",TRACKER!$K264)</f>
        <v/>
      </c>
      <c r="Q262">
        <f>IF($L262="","",TRACKER!$N264)</f>
        <v/>
      </c>
      <c r="R262">
        <f>TRACKER!$Y264</f>
        <v/>
      </c>
      <c r="S262">
        <f>TRACKER!$Z264</f>
        <v/>
      </c>
      <c r="T262">
        <f>TRACKER!$X264</f>
        <v/>
      </c>
    </row>
    <row r="263">
      <c r="G263">
        <f>IF(OR(SETUP!$B$109="",$A$11="",$B$11&lt;&gt;"System"),"","System")</f>
        <v/>
      </c>
      <c r="H263">
        <f>IF($G263="","",SETUP!$B$109)</f>
        <v/>
      </c>
      <c r="I263">
        <f>IF($G263="","",$A$11)</f>
        <v/>
      </c>
      <c r="J263">
        <f>IF($G263="","",IF(COUNTIFS(DOC_TYPE,$I263,DOC_SYS,$H263,DOC_SCOPE,"System",DOC_ACTIVE,1)+COUNTIFS(DOC_TYPE,$I263,DOC_SCOPE,"All",DOC_ACTIVE,1)&gt;0,"",IFERROR(IF($E$11&lt;&gt;"",$E$11-$C$11,SETUP!$E$109-$C$11),60000)+ROW()/1000000))</f>
        <v/>
      </c>
      <c r="L263">
        <f>IF(TRACKER!$A265="","","Document")</f>
        <v/>
      </c>
      <c r="M263">
        <f>IF($L263="","",TRACKER!$E265&amp;"  -  "&amp;TRACKER!$A265)</f>
        <v/>
      </c>
      <c r="N263">
        <f>IF($L263="","",IF(TRACKER!$B265="Equipment",TRACKER!$D265,IF(TRACKER!$B265="System",TRACKER!$C265,"Whole contract")))</f>
        <v/>
      </c>
      <c r="O263">
        <f>IF($L263="","",TRACKER!$F265)</f>
        <v/>
      </c>
      <c r="P263">
        <f>IF($L263="","",TRACKER!$K265)</f>
        <v/>
      </c>
      <c r="Q263">
        <f>IF($L263="","",TRACKER!$N265)</f>
        <v/>
      </c>
      <c r="R263">
        <f>TRACKER!$Y265</f>
        <v/>
      </c>
      <c r="S263">
        <f>TRACKER!$Z265</f>
        <v/>
      </c>
      <c r="T263">
        <f>TRACKER!$X265</f>
        <v/>
      </c>
    </row>
    <row r="264">
      <c r="G264">
        <f>IF(OR(SETUP!$B$109="",$A$12="",$B$12&lt;&gt;"System"),"","System")</f>
        <v/>
      </c>
      <c r="H264">
        <f>IF($G264="","",SETUP!$B$109)</f>
        <v/>
      </c>
      <c r="I264">
        <f>IF($G264="","",$A$12)</f>
        <v/>
      </c>
      <c r="J264">
        <f>IF($G264="","",IF(COUNTIFS(DOC_TYPE,$I264,DOC_SYS,$H264,DOC_SCOPE,"System",DOC_ACTIVE,1)+COUNTIFS(DOC_TYPE,$I264,DOC_SCOPE,"All",DOC_ACTIVE,1)&gt;0,"",IFERROR(IF($E$12&lt;&gt;"",$E$12-$C$12,SETUP!$E$109-$C$12),60000)+ROW()/1000000))</f>
        <v/>
      </c>
      <c r="L264">
        <f>IF(TRACKER!$A266="","","Document")</f>
        <v/>
      </c>
      <c r="M264">
        <f>IF($L264="","",TRACKER!$E266&amp;"  -  "&amp;TRACKER!$A266)</f>
        <v/>
      </c>
      <c r="N264">
        <f>IF($L264="","",IF(TRACKER!$B266="Equipment",TRACKER!$D266,IF(TRACKER!$B266="System",TRACKER!$C266,"Whole contract")))</f>
        <v/>
      </c>
      <c r="O264">
        <f>IF($L264="","",TRACKER!$F266)</f>
        <v/>
      </c>
      <c r="P264">
        <f>IF($L264="","",TRACKER!$K266)</f>
        <v/>
      </c>
      <c r="Q264">
        <f>IF($L264="","",TRACKER!$N266)</f>
        <v/>
      </c>
      <c r="R264">
        <f>TRACKER!$Y266</f>
        <v/>
      </c>
      <c r="S264">
        <f>TRACKER!$Z266</f>
        <v/>
      </c>
      <c r="T264">
        <f>TRACKER!$X266</f>
        <v/>
      </c>
    </row>
    <row r="265">
      <c r="G265">
        <f>IF(OR(SETUP!$B$109="",$A$13="",$B$13&lt;&gt;"System"),"","System")</f>
        <v/>
      </c>
      <c r="H265">
        <f>IF($G265="","",SETUP!$B$109)</f>
        <v/>
      </c>
      <c r="I265">
        <f>IF($G265="","",$A$13)</f>
        <v/>
      </c>
      <c r="J265">
        <f>IF($G265="","",IF(COUNTIFS(DOC_TYPE,$I265,DOC_SYS,$H265,DOC_SCOPE,"System",DOC_ACTIVE,1)+COUNTIFS(DOC_TYPE,$I265,DOC_SCOPE,"All",DOC_ACTIVE,1)&gt;0,"",IFERROR(IF($E$13&lt;&gt;"",$E$13-$C$13,SETUP!$E$109-$C$13),60000)+ROW()/1000000))</f>
        <v/>
      </c>
      <c r="L265">
        <f>IF(TRACKER!$A267="","","Document")</f>
        <v/>
      </c>
      <c r="M265">
        <f>IF($L265="","",TRACKER!$E267&amp;"  -  "&amp;TRACKER!$A267)</f>
        <v/>
      </c>
      <c r="N265">
        <f>IF($L265="","",IF(TRACKER!$B267="Equipment",TRACKER!$D267,IF(TRACKER!$B267="System",TRACKER!$C267,"Whole contract")))</f>
        <v/>
      </c>
      <c r="O265">
        <f>IF($L265="","",TRACKER!$F267)</f>
        <v/>
      </c>
      <c r="P265">
        <f>IF($L265="","",TRACKER!$K267)</f>
        <v/>
      </c>
      <c r="Q265">
        <f>IF($L265="","",TRACKER!$N267)</f>
        <v/>
      </c>
      <c r="R265">
        <f>TRACKER!$Y267</f>
        <v/>
      </c>
      <c r="S265">
        <f>TRACKER!$Z267</f>
        <v/>
      </c>
      <c r="T265">
        <f>TRACKER!$X267</f>
        <v/>
      </c>
    </row>
    <row r="266">
      <c r="G266">
        <f>IF(OR(SETUP!$B$110="",$A$2="",$B$2&lt;&gt;"System"),"","System")</f>
        <v/>
      </c>
      <c r="H266">
        <f>IF($G266="","",SETUP!$B$110)</f>
        <v/>
      </c>
      <c r="I266">
        <f>IF($G266="","",$A$2)</f>
        <v/>
      </c>
      <c r="J266">
        <f>IF($G266="","",IF(COUNTIFS(DOC_TYPE,$I266,DOC_SYS,$H266,DOC_SCOPE,"System",DOC_ACTIVE,1)+COUNTIFS(DOC_TYPE,$I266,DOC_SCOPE,"All",DOC_ACTIVE,1)&gt;0,"",IFERROR(IF($E$2&lt;&gt;"",$E$2-$C$2,SETUP!$E$110-$C$2),60000)+ROW()/1000000))</f>
        <v/>
      </c>
      <c r="L266">
        <f>IF(TRACKER!$A268="","","Document")</f>
        <v/>
      </c>
      <c r="M266">
        <f>IF($L266="","",TRACKER!$E268&amp;"  -  "&amp;TRACKER!$A268)</f>
        <v/>
      </c>
      <c r="N266">
        <f>IF($L266="","",IF(TRACKER!$B268="Equipment",TRACKER!$D268,IF(TRACKER!$B268="System",TRACKER!$C268,"Whole contract")))</f>
        <v/>
      </c>
      <c r="O266">
        <f>IF($L266="","",TRACKER!$F268)</f>
        <v/>
      </c>
      <c r="P266">
        <f>IF($L266="","",TRACKER!$K268)</f>
        <v/>
      </c>
      <c r="Q266">
        <f>IF($L266="","",TRACKER!$N268)</f>
        <v/>
      </c>
      <c r="R266">
        <f>TRACKER!$Y268</f>
        <v/>
      </c>
      <c r="S266">
        <f>TRACKER!$Z268</f>
        <v/>
      </c>
      <c r="T266">
        <f>TRACKER!$X268</f>
        <v/>
      </c>
    </row>
    <row r="267">
      <c r="G267">
        <f>IF(OR(SETUP!$B$110="",$A$3="",$B$3&lt;&gt;"System"),"","System")</f>
        <v/>
      </c>
      <c r="H267">
        <f>IF($G267="","",SETUP!$B$110)</f>
        <v/>
      </c>
      <c r="I267">
        <f>IF($G267="","",$A$3)</f>
        <v/>
      </c>
      <c r="J267">
        <f>IF($G267="","",IF(COUNTIFS(DOC_TYPE,$I267,DOC_SYS,$H267,DOC_SCOPE,"System",DOC_ACTIVE,1)+COUNTIFS(DOC_TYPE,$I267,DOC_SCOPE,"All",DOC_ACTIVE,1)&gt;0,"",IFERROR(IF($E$3&lt;&gt;"",$E$3-$C$3,SETUP!$E$110-$C$3),60000)+ROW()/1000000))</f>
        <v/>
      </c>
      <c r="L267">
        <f>IF(TRACKER!$A269="","","Document")</f>
        <v/>
      </c>
      <c r="M267">
        <f>IF($L267="","",TRACKER!$E269&amp;"  -  "&amp;TRACKER!$A269)</f>
        <v/>
      </c>
      <c r="N267">
        <f>IF($L267="","",IF(TRACKER!$B269="Equipment",TRACKER!$D269,IF(TRACKER!$B269="System",TRACKER!$C269,"Whole contract")))</f>
        <v/>
      </c>
      <c r="O267">
        <f>IF($L267="","",TRACKER!$F269)</f>
        <v/>
      </c>
      <c r="P267">
        <f>IF($L267="","",TRACKER!$K269)</f>
        <v/>
      </c>
      <c r="Q267">
        <f>IF($L267="","",TRACKER!$N269)</f>
        <v/>
      </c>
      <c r="R267">
        <f>TRACKER!$Y269</f>
        <v/>
      </c>
      <c r="S267">
        <f>TRACKER!$Z269</f>
        <v/>
      </c>
      <c r="T267">
        <f>TRACKER!$X269</f>
        <v/>
      </c>
    </row>
    <row r="268">
      <c r="G268">
        <f>IF(OR(SETUP!$B$110="",$A$4="",$B$4&lt;&gt;"System"),"","System")</f>
        <v/>
      </c>
      <c r="H268">
        <f>IF($G268="","",SETUP!$B$110)</f>
        <v/>
      </c>
      <c r="I268">
        <f>IF($G268="","",$A$4)</f>
        <v/>
      </c>
      <c r="J268">
        <f>IF($G268="","",IF(COUNTIFS(DOC_TYPE,$I268,DOC_SYS,$H268,DOC_SCOPE,"System",DOC_ACTIVE,1)+COUNTIFS(DOC_TYPE,$I268,DOC_SCOPE,"All",DOC_ACTIVE,1)&gt;0,"",IFERROR(IF($E$4&lt;&gt;"",$E$4-$C$4,SETUP!$E$110-$C$4),60000)+ROW()/1000000))</f>
        <v/>
      </c>
      <c r="L268">
        <f>IF(TRACKER!$A270="","","Document")</f>
        <v/>
      </c>
      <c r="M268">
        <f>IF($L268="","",TRACKER!$E270&amp;"  -  "&amp;TRACKER!$A270)</f>
        <v/>
      </c>
      <c r="N268">
        <f>IF($L268="","",IF(TRACKER!$B270="Equipment",TRACKER!$D270,IF(TRACKER!$B270="System",TRACKER!$C270,"Whole contract")))</f>
        <v/>
      </c>
      <c r="O268">
        <f>IF($L268="","",TRACKER!$F270)</f>
        <v/>
      </c>
      <c r="P268">
        <f>IF($L268="","",TRACKER!$K270)</f>
        <v/>
      </c>
      <c r="Q268">
        <f>IF($L268="","",TRACKER!$N270)</f>
        <v/>
      </c>
      <c r="R268">
        <f>TRACKER!$Y270</f>
        <v/>
      </c>
      <c r="S268">
        <f>TRACKER!$Z270</f>
        <v/>
      </c>
      <c r="T268">
        <f>TRACKER!$X270</f>
        <v/>
      </c>
    </row>
    <row r="269">
      <c r="G269">
        <f>IF(OR(SETUP!$B$110="",$A$5="",$B$5&lt;&gt;"System"),"","System")</f>
        <v/>
      </c>
      <c r="H269">
        <f>IF($G269="","",SETUP!$B$110)</f>
        <v/>
      </c>
      <c r="I269">
        <f>IF($G269="","",$A$5)</f>
        <v/>
      </c>
      <c r="J269">
        <f>IF($G269="","",IF(COUNTIFS(DOC_TYPE,$I269,DOC_SYS,$H269,DOC_SCOPE,"System",DOC_ACTIVE,1)+COUNTIFS(DOC_TYPE,$I269,DOC_SCOPE,"All",DOC_ACTIVE,1)&gt;0,"",IFERROR(IF($E$5&lt;&gt;"",$E$5-$C$5,SETUP!$E$110-$C$5),60000)+ROW()/1000000))</f>
        <v/>
      </c>
      <c r="L269">
        <f>IF(TRACKER!$A271="","","Document")</f>
        <v/>
      </c>
      <c r="M269">
        <f>IF($L269="","",TRACKER!$E271&amp;"  -  "&amp;TRACKER!$A271)</f>
        <v/>
      </c>
      <c r="N269">
        <f>IF($L269="","",IF(TRACKER!$B271="Equipment",TRACKER!$D271,IF(TRACKER!$B271="System",TRACKER!$C271,"Whole contract")))</f>
        <v/>
      </c>
      <c r="O269">
        <f>IF($L269="","",TRACKER!$F271)</f>
        <v/>
      </c>
      <c r="P269">
        <f>IF($L269="","",TRACKER!$K271)</f>
        <v/>
      </c>
      <c r="Q269">
        <f>IF($L269="","",TRACKER!$N271)</f>
        <v/>
      </c>
      <c r="R269">
        <f>TRACKER!$Y271</f>
        <v/>
      </c>
      <c r="S269">
        <f>TRACKER!$Z271</f>
        <v/>
      </c>
      <c r="T269">
        <f>TRACKER!$X271</f>
        <v/>
      </c>
    </row>
    <row r="270">
      <c r="G270">
        <f>IF(OR(SETUP!$B$110="",$A$6="",$B$6&lt;&gt;"System"),"","System")</f>
        <v/>
      </c>
      <c r="H270">
        <f>IF($G270="","",SETUP!$B$110)</f>
        <v/>
      </c>
      <c r="I270">
        <f>IF($G270="","",$A$6)</f>
        <v/>
      </c>
      <c r="J270">
        <f>IF($G270="","",IF(COUNTIFS(DOC_TYPE,$I270,DOC_SYS,$H270,DOC_SCOPE,"System",DOC_ACTIVE,1)+COUNTIFS(DOC_TYPE,$I270,DOC_SCOPE,"All",DOC_ACTIVE,1)&gt;0,"",IFERROR(IF($E$6&lt;&gt;"",$E$6-$C$6,SETUP!$E$110-$C$6),60000)+ROW()/1000000))</f>
        <v/>
      </c>
      <c r="L270">
        <f>IF(TRACKER!$A272="","","Document")</f>
        <v/>
      </c>
      <c r="M270">
        <f>IF($L270="","",TRACKER!$E272&amp;"  -  "&amp;TRACKER!$A272)</f>
        <v/>
      </c>
      <c r="N270">
        <f>IF($L270="","",IF(TRACKER!$B272="Equipment",TRACKER!$D272,IF(TRACKER!$B272="System",TRACKER!$C272,"Whole contract")))</f>
        <v/>
      </c>
      <c r="O270">
        <f>IF($L270="","",TRACKER!$F272)</f>
        <v/>
      </c>
      <c r="P270">
        <f>IF($L270="","",TRACKER!$K272)</f>
        <v/>
      </c>
      <c r="Q270">
        <f>IF($L270="","",TRACKER!$N272)</f>
        <v/>
      </c>
      <c r="R270">
        <f>TRACKER!$Y272</f>
        <v/>
      </c>
      <c r="S270">
        <f>TRACKER!$Z272</f>
        <v/>
      </c>
      <c r="T270">
        <f>TRACKER!$X272</f>
        <v/>
      </c>
    </row>
    <row r="271">
      <c r="G271">
        <f>IF(OR(SETUP!$B$110="",$A$7="",$B$7&lt;&gt;"System"),"","System")</f>
        <v/>
      </c>
      <c r="H271">
        <f>IF($G271="","",SETUP!$B$110)</f>
        <v/>
      </c>
      <c r="I271">
        <f>IF($G271="","",$A$7)</f>
        <v/>
      </c>
      <c r="J271">
        <f>IF($G271="","",IF(COUNTIFS(DOC_TYPE,$I271,DOC_SYS,$H271,DOC_SCOPE,"System",DOC_ACTIVE,1)+COUNTIFS(DOC_TYPE,$I271,DOC_SCOPE,"All",DOC_ACTIVE,1)&gt;0,"",IFERROR(IF($E$7&lt;&gt;"",$E$7-$C$7,SETUP!$E$110-$C$7),60000)+ROW()/1000000))</f>
        <v/>
      </c>
      <c r="L271">
        <f>IF(TRACKER!$A273="","","Document")</f>
        <v/>
      </c>
      <c r="M271">
        <f>IF($L271="","",TRACKER!$E273&amp;"  -  "&amp;TRACKER!$A273)</f>
        <v/>
      </c>
      <c r="N271">
        <f>IF($L271="","",IF(TRACKER!$B273="Equipment",TRACKER!$D273,IF(TRACKER!$B273="System",TRACKER!$C273,"Whole contract")))</f>
        <v/>
      </c>
      <c r="O271">
        <f>IF($L271="","",TRACKER!$F273)</f>
        <v/>
      </c>
      <c r="P271">
        <f>IF($L271="","",TRACKER!$K273)</f>
        <v/>
      </c>
      <c r="Q271">
        <f>IF($L271="","",TRACKER!$N273)</f>
        <v/>
      </c>
      <c r="R271">
        <f>TRACKER!$Y273</f>
        <v/>
      </c>
      <c r="S271">
        <f>TRACKER!$Z273</f>
        <v/>
      </c>
      <c r="T271">
        <f>TRACKER!$X273</f>
        <v/>
      </c>
    </row>
    <row r="272">
      <c r="G272">
        <f>IF(OR(SETUP!$B$110="",$A$8="",$B$8&lt;&gt;"System"),"","System")</f>
        <v/>
      </c>
      <c r="H272">
        <f>IF($G272="","",SETUP!$B$110)</f>
        <v/>
      </c>
      <c r="I272">
        <f>IF($G272="","",$A$8)</f>
        <v/>
      </c>
      <c r="J272">
        <f>IF($G272="","",IF(COUNTIFS(DOC_TYPE,$I272,DOC_SYS,$H272,DOC_SCOPE,"System",DOC_ACTIVE,1)+COUNTIFS(DOC_TYPE,$I272,DOC_SCOPE,"All",DOC_ACTIVE,1)&gt;0,"",IFERROR(IF($E$8&lt;&gt;"",$E$8-$C$8,SETUP!$E$110-$C$8),60000)+ROW()/1000000))</f>
        <v/>
      </c>
      <c r="L272">
        <f>IF(TRACKER!$A274="","","Document")</f>
        <v/>
      </c>
      <c r="M272">
        <f>IF($L272="","",TRACKER!$E274&amp;"  -  "&amp;TRACKER!$A274)</f>
        <v/>
      </c>
      <c r="N272">
        <f>IF($L272="","",IF(TRACKER!$B274="Equipment",TRACKER!$D274,IF(TRACKER!$B274="System",TRACKER!$C274,"Whole contract")))</f>
        <v/>
      </c>
      <c r="O272">
        <f>IF($L272="","",TRACKER!$F274)</f>
        <v/>
      </c>
      <c r="P272">
        <f>IF($L272="","",TRACKER!$K274)</f>
        <v/>
      </c>
      <c r="Q272">
        <f>IF($L272="","",TRACKER!$N274)</f>
        <v/>
      </c>
      <c r="R272">
        <f>TRACKER!$Y274</f>
        <v/>
      </c>
      <c r="S272">
        <f>TRACKER!$Z274</f>
        <v/>
      </c>
      <c r="T272">
        <f>TRACKER!$X274</f>
        <v/>
      </c>
    </row>
    <row r="273">
      <c r="G273">
        <f>IF(OR(SETUP!$B$110="",$A$9="",$B$9&lt;&gt;"System"),"","System")</f>
        <v/>
      </c>
      <c r="H273">
        <f>IF($G273="","",SETUP!$B$110)</f>
        <v/>
      </c>
      <c r="I273">
        <f>IF($G273="","",$A$9)</f>
        <v/>
      </c>
      <c r="J273">
        <f>IF($G273="","",IF(COUNTIFS(DOC_TYPE,$I273,DOC_SYS,$H273,DOC_SCOPE,"System",DOC_ACTIVE,1)+COUNTIFS(DOC_TYPE,$I273,DOC_SCOPE,"All",DOC_ACTIVE,1)&gt;0,"",IFERROR(IF($E$9&lt;&gt;"",$E$9-$C$9,SETUP!$E$110-$C$9),60000)+ROW()/1000000))</f>
        <v/>
      </c>
      <c r="L273">
        <f>IF(TRACKER!$A275="","","Document")</f>
        <v/>
      </c>
      <c r="M273">
        <f>IF($L273="","",TRACKER!$E275&amp;"  -  "&amp;TRACKER!$A275)</f>
        <v/>
      </c>
      <c r="N273">
        <f>IF($L273="","",IF(TRACKER!$B275="Equipment",TRACKER!$D275,IF(TRACKER!$B275="System",TRACKER!$C275,"Whole contract")))</f>
        <v/>
      </c>
      <c r="O273">
        <f>IF($L273="","",TRACKER!$F275)</f>
        <v/>
      </c>
      <c r="P273">
        <f>IF($L273="","",TRACKER!$K275)</f>
        <v/>
      </c>
      <c r="Q273">
        <f>IF($L273="","",TRACKER!$N275)</f>
        <v/>
      </c>
      <c r="R273">
        <f>TRACKER!$Y275</f>
        <v/>
      </c>
      <c r="S273">
        <f>TRACKER!$Z275</f>
        <v/>
      </c>
      <c r="T273">
        <f>TRACKER!$X275</f>
        <v/>
      </c>
    </row>
    <row r="274">
      <c r="G274">
        <f>IF(OR(SETUP!$B$110="",$A$10="",$B$10&lt;&gt;"System"),"","System")</f>
        <v/>
      </c>
      <c r="H274">
        <f>IF($G274="","",SETUP!$B$110)</f>
        <v/>
      </c>
      <c r="I274">
        <f>IF($G274="","",$A$10)</f>
        <v/>
      </c>
      <c r="J274">
        <f>IF($G274="","",IF(COUNTIFS(DOC_TYPE,$I274,DOC_SYS,$H274,DOC_SCOPE,"System",DOC_ACTIVE,1)+COUNTIFS(DOC_TYPE,$I274,DOC_SCOPE,"All",DOC_ACTIVE,1)&gt;0,"",IFERROR(IF($E$10&lt;&gt;"",$E$10-$C$10,SETUP!$E$110-$C$10),60000)+ROW()/1000000))</f>
        <v/>
      </c>
      <c r="L274">
        <f>IF(TRACKER!$A276="","","Document")</f>
        <v/>
      </c>
      <c r="M274">
        <f>IF($L274="","",TRACKER!$E276&amp;"  -  "&amp;TRACKER!$A276)</f>
        <v/>
      </c>
      <c r="N274">
        <f>IF($L274="","",IF(TRACKER!$B276="Equipment",TRACKER!$D276,IF(TRACKER!$B276="System",TRACKER!$C276,"Whole contract")))</f>
        <v/>
      </c>
      <c r="O274">
        <f>IF($L274="","",TRACKER!$F276)</f>
        <v/>
      </c>
      <c r="P274">
        <f>IF($L274="","",TRACKER!$K276)</f>
        <v/>
      </c>
      <c r="Q274">
        <f>IF($L274="","",TRACKER!$N276)</f>
        <v/>
      </c>
      <c r="R274">
        <f>TRACKER!$Y276</f>
        <v/>
      </c>
      <c r="S274">
        <f>TRACKER!$Z276</f>
        <v/>
      </c>
      <c r="T274">
        <f>TRACKER!$X276</f>
        <v/>
      </c>
    </row>
    <row r="275">
      <c r="G275">
        <f>IF(OR(SETUP!$B$110="",$A$11="",$B$11&lt;&gt;"System"),"","System")</f>
        <v/>
      </c>
      <c r="H275">
        <f>IF($G275="","",SETUP!$B$110)</f>
        <v/>
      </c>
      <c r="I275">
        <f>IF($G275="","",$A$11)</f>
        <v/>
      </c>
      <c r="J275">
        <f>IF($G275="","",IF(COUNTIFS(DOC_TYPE,$I275,DOC_SYS,$H275,DOC_SCOPE,"System",DOC_ACTIVE,1)+COUNTIFS(DOC_TYPE,$I275,DOC_SCOPE,"All",DOC_ACTIVE,1)&gt;0,"",IFERROR(IF($E$11&lt;&gt;"",$E$11-$C$11,SETUP!$E$110-$C$11),60000)+ROW()/1000000))</f>
        <v/>
      </c>
      <c r="L275">
        <f>IF(TRACKER!$A277="","","Document")</f>
        <v/>
      </c>
      <c r="M275">
        <f>IF($L275="","",TRACKER!$E277&amp;"  -  "&amp;TRACKER!$A277)</f>
        <v/>
      </c>
      <c r="N275">
        <f>IF($L275="","",IF(TRACKER!$B277="Equipment",TRACKER!$D277,IF(TRACKER!$B277="System",TRACKER!$C277,"Whole contract")))</f>
        <v/>
      </c>
      <c r="O275">
        <f>IF($L275="","",TRACKER!$F277)</f>
        <v/>
      </c>
      <c r="P275">
        <f>IF($L275="","",TRACKER!$K277)</f>
        <v/>
      </c>
      <c r="Q275">
        <f>IF($L275="","",TRACKER!$N277)</f>
        <v/>
      </c>
      <c r="R275">
        <f>TRACKER!$Y277</f>
        <v/>
      </c>
      <c r="S275">
        <f>TRACKER!$Z277</f>
        <v/>
      </c>
      <c r="T275">
        <f>TRACKER!$X277</f>
        <v/>
      </c>
    </row>
    <row r="276">
      <c r="G276">
        <f>IF(OR(SETUP!$B$110="",$A$12="",$B$12&lt;&gt;"System"),"","System")</f>
        <v/>
      </c>
      <c r="H276">
        <f>IF($G276="","",SETUP!$B$110)</f>
        <v/>
      </c>
      <c r="I276">
        <f>IF($G276="","",$A$12)</f>
        <v/>
      </c>
      <c r="J276">
        <f>IF($G276="","",IF(COUNTIFS(DOC_TYPE,$I276,DOC_SYS,$H276,DOC_SCOPE,"System",DOC_ACTIVE,1)+COUNTIFS(DOC_TYPE,$I276,DOC_SCOPE,"All",DOC_ACTIVE,1)&gt;0,"",IFERROR(IF($E$12&lt;&gt;"",$E$12-$C$12,SETUP!$E$110-$C$12),60000)+ROW()/1000000))</f>
        <v/>
      </c>
      <c r="L276">
        <f>IF(TRACKER!$A278="","","Document")</f>
        <v/>
      </c>
      <c r="M276">
        <f>IF($L276="","",TRACKER!$E278&amp;"  -  "&amp;TRACKER!$A278)</f>
        <v/>
      </c>
      <c r="N276">
        <f>IF($L276="","",IF(TRACKER!$B278="Equipment",TRACKER!$D278,IF(TRACKER!$B278="System",TRACKER!$C278,"Whole contract")))</f>
        <v/>
      </c>
      <c r="O276">
        <f>IF($L276="","",TRACKER!$F278)</f>
        <v/>
      </c>
      <c r="P276">
        <f>IF($L276="","",TRACKER!$K278)</f>
        <v/>
      </c>
      <c r="Q276">
        <f>IF($L276="","",TRACKER!$N278)</f>
        <v/>
      </c>
      <c r="R276">
        <f>TRACKER!$Y278</f>
        <v/>
      </c>
      <c r="S276">
        <f>TRACKER!$Z278</f>
        <v/>
      </c>
      <c r="T276">
        <f>TRACKER!$X278</f>
        <v/>
      </c>
    </row>
    <row r="277">
      <c r="G277">
        <f>IF(OR(SETUP!$B$110="",$A$13="",$B$13&lt;&gt;"System"),"","System")</f>
        <v/>
      </c>
      <c r="H277">
        <f>IF($G277="","",SETUP!$B$110)</f>
        <v/>
      </c>
      <c r="I277">
        <f>IF($G277="","",$A$13)</f>
        <v/>
      </c>
      <c r="J277">
        <f>IF($G277="","",IF(COUNTIFS(DOC_TYPE,$I277,DOC_SYS,$H277,DOC_SCOPE,"System",DOC_ACTIVE,1)+COUNTIFS(DOC_TYPE,$I277,DOC_SCOPE,"All",DOC_ACTIVE,1)&gt;0,"",IFERROR(IF($E$13&lt;&gt;"",$E$13-$C$13,SETUP!$E$110-$C$13),60000)+ROW()/1000000))</f>
        <v/>
      </c>
      <c r="L277">
        <f>IF(TRACKER!$A279="","","Document")</f>
        <v/>
      </c>
      <c r="M277">
        <f>IF($L277="","",TRACKER!$E279&amp;"  -  "&amp;TRACKER!$A279)</f>
        <v/>
      </c>
      <c r="N277">
        <f>IF($L277="","",IF(TRACKER!$B279="Equipment",TRACKER!$D279,IF(TRACKER!$B279="System",TRACKER!$C279,"Whole contract")))</f>
        <v/>
      </c>
      <c r="O277">
        <f>IF($L277="","",TRACKER!$F279)</f>
        <v/>
      </c>
      <c r="P277">
        <f>IF($L277="","",TRACKER!$K279)</f>
        <v/>
      </c>
      <c r="Q277">
        <f>IF($L277="","",TRACKER!$N279)</f>
        <v/>
      </c>
      <c r="R277">
        <f>TRACKER!$Y279</f>
        <v/>
      </c>
      <c r="S277">
        <f>TRACKER!$Z279</f>
        <v/>
      </c>
      <c r="T277">
        <f>TRACKER!$X279</f>
        <v/>
      </c>
    </row>
    <row r="278">
      <c r="G278">
        <f>IF(OR(SETUP!$B$111="",$A$2="",$B$2&lt;&gt;"System"),"","System")</f>
        <v/>
      </c>
      <c r="H278">
        <f>IF($G278="","",SETUP!$B$111)</f>
        <v/>
      </c>
      <c r="I278">
        <f>IF($G278="","",$A$2)</f>
        <v/>
      </c>
      <c r="J278">
        <f>IF($G278="","",IF(COUNTIFS(DOC_TYPE,$I278,DOC_SYS,$H278,DOC_SCOPE,"System",DOC_ACTIVE,1)+COUNTIFS(DOC_TYPE,$I278,DOC_SCOPE,"All",DOC_ACTIVE,1)&gt;0,"",IFERROR(IF($E$2&lt;&gt;"",$E$2-$C$2,SETUP!$E$111-$C$2),60000)+ROW()/1000000))</f>
        <v/>
      </c>
      <c r="L278">
        <f>IF(TRACKER!$A280="","","Document")</f>
        <v/>
      </c>
      <c r="M278">
        <f>IF($L278="","",TRACKER!$E280&amp;"  -  "&amp;TRACKER!$A280)</f>
        <v/>
      </c>
      <c r="N278">
        <f>IF($L278="","",IF(TRACKER!$B280="Equipment",TRACKER!$D280,IF(TRACKER!$B280="System",TRACKER!$C280,"Whole contract")))</f>
        <v/>
      </c>
      <c r="O278">
        <f>IF($L278="","",TRACKER!$F280)</f>
        <v/>
      </c>
      <c r="P278">
        <f>IF($L278="","",TRACKER!$K280)</f>
        <v/>
      </c>
      <c r="Q278">
        <f>IF($L278="","",TRACKER!$N280)</f>
        <v/>
      </c>
      <c r="R278">
        <f>TRACKER!$Y280</f>
        <v/>
      </c>
      <c r="S278">
        <f>TRACKER!$Z280</f>
        <v/>
      </c>
      <c r="T278">
        <f>TRACKER!$X280</f>
        <v/>
      </c>
    </row>
    <row r="279">
      <c r="G279">
        <f>IF(OR(SETUP!$B$111="",$A$3="",$B$3&lt;&gt;"System"),"","System")</f>
        <v/>
      </c>
      <c r="H279">
        <f>IF($G279="","",SETUP!$B$111)</f>
        <v/>
      </c>
      <c r="I279">
        <f>IF($G279="","",$A$3)</f>
        <v/>
      </c>
      <c r="J279">
        <f>IF($G279="","",IF(COUNTIFS(DOC_TYPE,$I279,DOC_SYS,$H279,DOC_SCOPE,"System",DOC_ACTIVE,1)+COUNTIFS(DOC_TYPE,$I279,DOC_SCOPE,"All",DOC_ACTIVE,1)&gt;0,"",IFERROR(IF($E$3&lt;&gt;"",$E$3-$C$3,SETUP!$E$111-$C$3),60000)+ROW()/1000000))</f>
        <v/>
      </c>
      <c r="L279">
        <f>IF(TRACKER!$A281="","","Document")</f>
        <v/>
      </c>
      <c r="M279">
        <f>IF($L279="","",TRACKER!$E281&amp;"  -  "&amp;TRACKER!$A281)</f>
        <v/>
      </c>
      <c r="N279">
        <f>IF($L279="","",IF(TRACKER!$B281="Equipment",TRACKER!$D281,IF(TRACKER!$B281="System",TRACKER!$C281,"Whole contract")))</f>
        <v/>
      </c>
      <c r="O279">
        <f>IF($L279="","",TRACKER!$F281)</f>
        <v/>
      </c>
      <c r="P279">
        <f>IF($L279="","",TRACKER!$K281)</f>
        <v/>
      </c>
      <c r="Q279">
        <f>IF($L279="","",TRACKER!$N281)</f>
        <v/>
      </c>
      <c r="R279">
        <f>TRACKER!$Y281</f>
        <v/>
      </c>
      <c r="S279">
        <f>TRACKER!$Z281</f>
        <v/>
      </c>
      <c r="T279">
        <f>TRACKER!$X281</f>
        <v/>
      </c>
    </row>
    <row r="280">
      <c r="G280">
        <f>IF(OR(SETUP!$B$111="",$A$4="",$B$4&lt;&gt;"System"),"","System")</f>
        <v/>
      </c>
      <c r="H280">
        <f>IF($G280="","",SETUP!$B$111)</f>
        <v/>
      </c>
      <c r="I280">
        <f>IF($G280="","",$A$4)</f>
        <v/>
      </c>
      <c r="J280">
        <f>IF($G280="","",IF(COUNTIFS(DOC_TYPE,$I280,DOC_SYS,$H280,DOC_SCOPE,"System",DOC_ACTIVE,1)+COUNTIFS(DOC_TYPE,$I280,DOC_SCOPE,"All",DOC_ACTIVE,1)&gt;0,"",IFERROR(IF($E$4&lt;&gt;"",$E$4-$C$4,SETUP!$E$111-$C$4),60000)+ROW()/1000000))</f>
        <v/>
      </c>
      <c r="L280">
        <f>IF(TRACKER!$A282="","","Document")</f>
        <v/>
      </c>
      <c r="M280">
        <f>IF($L280="","",TRACKER!$E282&amp;"  -  "&amp;TRACKER!$A282)</f>
        <v/>
      </c>
      <c r="N280">
        <f>IF($L280="","",IF(TRACKER!$B282="Equipment",TRACKER!$D282,IF(TRACKER!$B282="System",TRACKER!$C282,"Whole contract")))</f>
        <v/>
      </c>
      <c r="O280">
        <f>IF($L280="","",TRACKER!$F282)</f>
        <v/>
      </c>
      <c r="P280">
        <f>IF($L280="","",TRACKER!$K282)</f>
        <v/>
      </c>
      <c r="Q280">
        <f>IF($L280="","",TRACKER!$N282)</f>
        <v/>
      </c>
      <c r="R280">
        <f>TRACKER!$Y282</f>
        <v/>
      </c>
      <c r="S280">
        <f>TRACKER!$Z282</f>
        <v/>
      </c>
      <c r="T280">
        <f>TRACKER!$X282</f>
        <v/>
      </c>
    </row>
    <row r="281">
      <c r="G281">
        <f>IF(OR(SETUP!$B$111="",$A$5="",$B$5&lt;&gt;"System"),"","System")</f>
        <v/>
      </c>
      <c r="H281">
        <f>IF($G281="","",SETUP!$B$111)</f>
        <v/>
      </c>
      <c r="I281">
        <f>IF($G281="","",$A$5)</f>
        <v/>
      </c>
      <c r="J281">
        <f>IF($G281="","",IF(COUNTIFS(DOC_TYPE,$I281,DOC_SYS,$H281,DOC_SCOPE,"System",DOC_ACTIVE,1)+COUNTIFS(DOC_TYPE,$I281,DOC_SCOPE,"All",DOC_ACTIVE,1)&gt;0,"",IFERROR(IF($E$5&lt;&gt;"",$E$5-$C$5,SETUP!$E$111-$C$5),60000)+ROW()/1000000))</f>
        <v/>
      </c>
      <c r="L281">
        <f>IF(TRACKER!$A283="","","Document")</f>
        <v/>
      </c>
      <c r="M281">
        <f>IF($L281="","",TRACKER!$E283&amp;"  -  "&amp;TRACKER!$A283)</f>
        <v/>
      </c>
      <c r="N281">
        <f>IF($L281="","",IF(TRACKER!$B283="Equipment",TRACKER!$D283,IF(TRACKER!$B283="System",TRACKER!$C283,"Whole contract")))</f>
        <v/>
      </c>
      <c r="O281">
        <f>IF($L281="","",TRACKER!$F283)</f>
        <v/>
      </c>
      <c r="P281">
        <f>IF($L281="","",TRACKER!$K283)</f>
        <v/>
      </c>
      <c r="Q281">
        <f>IF($L281="","",TRACKER!$N283)</f>
        <v/>
      </c>
      <c r="R281">
        <f>TRACKER!$Y283</f>
        <v/>
      </c>
      <c r="S281">
        <f>TRACKER!$Z283</f>
        <v/>
      </c>
      <c r="T281">
        <f>TRACKER!$X283</f>
        <v/>
      </c>
    </row>
    <row r="282">
      <c r="G282">
        <f>IF(OR(SETUP!$B$111="",$A$6="",$B$6&lt;&gt;"System"),"","System")</f>
        <v/>
      </c>
      <c r="H282">
        <f>IF($G282="","",SETUP!$B$111)</f>
        <v/>
      </c>
      <c r="I282">
        <f>IF($G282="","",$A$6)</f>
        <v/>
      </c>
      <c r="J282">
        <f>IF($G282="","",IF(COUNTIFS(DOC_TYPE,$I282,DOC_SYS,$H282,DOC_SCOPE,"System",DOC_ACTIVE,1)+COUNTIFS(DOC_TYPE,$I282,DOC_SCOPE,"All",DOC_ACTIVE,1)&gt;0,"",IFERROR(IF($E$6&lt;&gt;"",$E$6-$C$6,SETUP!$E$111-$C$6),60000)+ROW()/1000000))</f>
        <v/>
      </c>
      <c r="L282">
        <f>IF(TRACKER!$A284="","","Document")</f>
        <v/>
      </c>
      <c r="M282">
        <f>IF($L282="","",TRACKER!$E284&amp;"  -  "&amp;TRACKER!$A284)</f>
        <v/>
      </c>
      <c r="N282">
        <f>IF($L282="","",IF(TRACKER!$B284="Equipment",TRACKER!$D284,IF(TRACKER!$B284="System",TRACKER!$C284,"Whole contract")))</f>
        <v/>
      </c>
      <c r="O282">
        <f>IF($L282="","",TRACKER!$F284)</f>
        <v/>
      </c>
      <c r="P282">
        <f>IF($L282="","",TRACKER!$K284)</f>
        <v/>
      </c>
      <c r="Q282">
        <f>IF($L282="","",TRACKER!$N284)</f>
        <v/>
      </c>
      <c r="R282">
        <f>TRACKER!$Y284</f>
        <v/>
      </c>
      <c r="S282">
        <f>TRACKER!$Z284</f>
        <v/>
      </c>
      <c r="T282">
        <f>TRACKER!$X284</f>
        <v/>
      </c>
    </row>
    <row r="283">
      <c r="G283">
        <f>IF(OR(SETUP!$B$111="",$A$7="",$B$7&lt;&gt;"System"),"","System")</f>
        <v/>
      </c>
      <c r="H283">
        <f>IF($G283="","",SETUP!$B$111)</f>
        <v/>
      </c>
      <c r="I283">
        <f>IF($G283="","",$A$7)</f>
        <v/>
      </c>
      <c r="J283">
        <f>IF($G283="","",IF(COUNTIFS(DOC_TYPE,$I283,DOC_SYS,$H283,DOC_SCOPE,"System",DOC_ACTIVE,1)+COUNTIFS(DOC_TYPE,$I283,DOC_SCOPE,"All",DOC_ACTIVE,1)&gt;0,"",IFERROR(IF($E$7&lt;&gt;"",$E$7-$C$7,SETUP!$E$111-$C$7),60000)+ROW()/1000000))</f>
        <v/>
      </c>
      <c r="L283">
        <f>IF(TRACKER!$A285="","","Document")</f>
        <v/>
      </c>
      <c r="M283">
        <f>IF($L283="","",TRACKER!$E285&amp;"  -  "&amp;TRACKER!$A285)</f>
        <v/>
      </c>
      <c r="N283">
        <f>IF($L283="","",IF(TRACKER!$B285="Equipment",TRACKER!$D285,IF(TRACKER!$B285="System",TRACKER!$C285,"Whole contract")))</f>
        <v/>
      </c>
      <c r="O283">
        <f>IF($L283="","",TRACKER!$F285)</f>
        <v/>
      </c>
      <c r="P283">
        <f>IF($L283="","",TRACKER!$K285)</f>
        <v/>
      </c>
      <c r="Q283">
        <f>IF($L283="","",TRACKER!$N285)</f>
        <v/>
      </c>
      <c r="R283">
        <f>TRACKER!$Y285</f>
        <v/>
      </c>
      <c r="S283">
        <f>TRACKER!$Z285</f>
        <v/>
      </c>
      <c r="T283">
        <f>TRACKER!$X285</f>
        <v/>
      </c>
    </row>
    <row r="284">
      <c r="G284">
        <f>IF(OR(SETUP!$B$111="",$A$8="",$B$8&lt;&gt;"System"),"","System")</f>
        <v/>
      </c>
      <c r="H284">
        <f>IF($G284="","",SETUP!$B$111)</f>
        <v/>
      </c>
      <c r="I284">
        <f>IF($G284="","",$A$8)</f>
        <v/>
      </c>
      <c r="J284">
        <f>IF($G284="","",IF(COUNTIFS(DOC_TYPE,$I284,DOC_SYS,$H284,DOC_SCOPE,"System",DOC_ACTIVE,1)+COUNTIFS(DOC_TYPE,$I284,DOC_SCOPE,"All",DOC_ACTIVE,1)&gt;0,"",IFERROR(IF($E$8&lt;&gt;"",$E$8-$C$8,SETUP!$E$111-$C$8),60000)+ROW()/1000000))</f>
        <v/>
      </c>
      <c r="L284">
        <f>IF(TRACKER!$A286="","","Document")</f>
        <v/>
      </c>
      <c r="M284">
        <f>IF($L284="","",TRACKER!$E286&amp;"  -  "&amp;TRACKER!$A286)</f>
        <v/>
      </c>
      <c r="N284">
        <f>IF($L284="","",IF(TRACKER!$B286="Equipment",TRACKER!$D286,IF(TRACKER!$B286="System",TRACKER!$C286,"Whole contract")))</f>
        <v/>
      </c>
      <c r="O284">
        <f>IF($L284="","",TRACKER!$F286)</f>
        <v/>
      </c>
      <c r="P284">
        <f>IF($L284="","",TRACKER!$K286)</f>
        <v/>
      </c>
      <c r="Q284">
        <f>IF($L284="","",TRACKER!$N286)</f>
        <v/>
      </c>
      <c r="R284">
        <f>TRACKER!$Y286</f>
        <v/>
      </c>
      <c r="S284">
        <f>TRACKER!$Z286</f>
        <v/>
      </c>
      <c r="T284">
        <f>TRACKER!$X286</f>
        <v/>
      </c>
    </row>
    <row r="285">
      <c r="G285">
        <f>IF(OR(SETUP!$B$111="",$A$9="",$B$9&lt;&gt;"System"),"","System")</f>
        <v/>
      </c>
      <c r="H285">
        <f>IF($G285="","",SETUP!$B$111)</f>
        <v/>
      </c>
      <c r="I285">
        <f>IF($G285="","",$A$9)</f>
        <v/>
      </c>
      <c r="J285">
        <f>IF($G285="","",IF(COUNTIFS(DOC_TYPE,$I285,DOC_SYS,$H285,DOC_SCOPE,"System",DOC_ACTIVE,1)+COUNTIFS(DOC_TYPE,$I285,DOC_SCOPE,"All",DOC_ACTIVE,1)&gt;0,"",IFERROR(IF($E$9&lt;&gt;"",$E$9-$C$9,SETUP!$E$111-$C$9),60000)+ROW()/1000000))</f>
        <v/>
      </c>
      <c r="L285">
        <f>IF(TRACKER!$A287="","","Document")</f>
        <v/>
      </c>
      <c r="M285">
        <f>IF($L285="","",TRACKER!$E287&amp;"  -  "&amp;TRACKER!$A287)</f>
        <v/>
      </c>
      <c r="N285">
        <f>IF($L285="","",IF(TRACKER!$B287="Equipment",TRACKER!$D287,IF(TRACKER!$B287="System",TRACKER!$C287,"Whole contract")))</f>
        <v/>
      </c>
      <c r="O285">
        <f>IF($L285="","",TRACKER!$F287)</f>
        <v/>
      </c>
      <c r="P285">
        <f>IF($L285="","",TRACKER!$K287)</f>
        <v/>
      </c>
      <c r="Q285">
        <f>IF($L285="","",TRACKER!$N287)</f>
        <v/>
      </c>
      <c r="R285">
        <f>TRACKER!$Y287</f>
        <v/>
      </c>
      <c r="S285">
        <f>TRACKER!$Z287</f>
        <v/>
      </c>
      <c r="T285">
        <f>TRACKER!$X287</f>
        <v/>
      </c>
    </row>
    <row r="286">
      <c r="G286">
        <f>IF(OR(SETUP!$B$111="",$A$10="",$B$10&lt;&gt;"System"),"","System")</f>
        <v/>
      </c>
      <c r="H286">
        <f>IF($G286="","",SETUP!$B$111)</f>
        <v/>
      </c>
      <c r="I286">
        <f>IF($G286="","",$A$10)</f>
        <v/>
      </c>
      <c r="J286">
        <f>IF($G286="","",IF(COUNTIFS(DOC_TYPE,$I286,DOC_SYS,$H286,DOC_SCOPE,"System",DOC_ACTIVE,1)+COUNTIFS(DOC_TYPE,$I286,DOC_SCOPE,"All",DOC_ACTIVE,1)&gt;0,"",IFERROR(IF($E$10&lt;&gt;"",$E$10-$C$10,SETUP!$E$111-$C$10),60000)+ROW()/1000000))</f>
        <v/>
      </c>
      <c r="L286">
        <f>IF(TRACKER!$A288="","","Document")</f>
        <v/>
      </c>
      <c r="M286">
        <f>IF($L286="","",TRACKER!$E288&amp;"  -  "&amp;TRACKER!$A288)</f>
        <v/>
      </c>
      <c r="N286">
        <f>IF($L286="","",IF(TRACKER!$B288="Equipment",TRACKER!$D288,IF(TRACKER!$B288="System",TRACKER!$C288,"Whole contract")))</f>
        <v/>
      </c>
      <c r="O286">
        <f>IF($L286="","",TRACKER!$F288)</f>
        <v/>
      </c>
      <c r="P286">
        <f>IF($L286="","",TRACKER!$K288)</f>
        <v/>
      </c>
      <c r="Q286">
        <f>IF($L286="","",TRACKER!$N288)</f>
        <v/>
      </c>
      <c r="R286">
        <f>TRACKER!$Y288</f>
        <v/>
      </c>
      <c r="S286">
        <f>TRACKER!$Z288</f>
        <v/>
      </c>
      <c r="T286">
        <f>TRACKER!$X288</f>
        <v/>
      </c>
    </row>
    <row r="287">
      <c r="G287">
        <f>IF(OR(SETUP!$B$111="",$A$11="",$B$11&lt;&gt;"System"),"","System")</f>
        <v/>
      </c>
      <c r="H287">
        <f>IF($G287="","",SETUP!$B$111)</f>
        <v/>
      </c>
      <c r="I287">
        <f>IF($G287="","",$A$11)</f>
        <v/>
      </c>
      <c r="J287">
        <f>IF($G287="","",IF(COUNTIFS(DOC_TYPE,$I287,DOC_SYS,$H287,DOC_SCOPE,"System",DOC_ACTIVE,1)+COUNTIFS(DOC_TYPE,$I287,DOC_SCOPE,"All",DOC_ACTIVE,1)&gt;0,"",IFERROR(IF($E$11&lt;&gt;"",$E$11-$C$11,SETUP!$E$111-$C$11),60000)+ROW()/1000000))</f>
        <v/>
      </c>
      <c r="L287">
        <f>IF(TRACKER!$A289="","","Document")</f>
        <v/>
      </c>
      <c r="M287">
        <f>IF($L287="","",TRACKER!$E289&amp;"  -  "&amp;TRACKER!$A289)</f>
        <v/>
      </c>
      <c r="N287">
        <f>IF($L287="","",IF(TRACKER!$B289="Equipment",TRACKER!$D289,IF(TRACKER!$B289="System",TRACKER!$C289,"Whole contract")))</f>
        <v/>
      </c>
      <c r="O287">
        <f>IF($L287="","",TRACKER!$F289)</f>
        <v/>
      </c>
      <c r="P287">
        <f>IF($L287="","",TRACKER!$K289)</f>
        <v/>
      </c>
      <c r="Q287">
        <f>IF($L287="","",TRACKER!$N289)</f>
        <v/>
      </c>
      <c r="R287">
        <f>TRACKER!$Y289</f>
        <v/>
      </c>
      <c r="S287">
        <f>TRACKER!$Z289</f>
        <v/>
      </c>
      <c r="T287">
        <f>TRACKER!$X289</f>
        <v/>
      </c>
    </row>
    <row r="288">
      <c r="G288">
        <f>IF(OR(SETUP!$B$111="",$A$12="",$B$12&lt;&gt;"System"),"","System")</f>
        <v/>
      </c>
      <c r="H288">
        <f>IF($G288="","",SETUP!$B$111)</f>
        <v/>
      </c>
      <c r="I288">
        <f>IF($G288="","",$A$12)</f>
        <v/>
      </c>
      <c r="J288">
        <f>IF($G288="","",IF(COUNTIFS(DOC_TYPE,$I288,DOC_SYS,$H288,DOC_SCOPE,"System",DOC_ACTIVE,1)+COUNTIFS(DOC_TYPE,$I288,DOC_SCOPE,"All",DOC_ACTIVE,1)&gt;0,"",IFERROR(IF($E$12&lt;&gt;"",$E$12-$C$12,SETUP!$E$111-$C$12),60000)+ROW()/1000000))</f>
        <v/>
      </c>
      <c r="L288">
        <f>IF(TRACKER!$A290="","","Document")</f>
        <v/>
      </c>
      <c r="M288">
        <f>IF($L288="","",TRACKER!$E290&amp;"  -  "&amp;TRACKER!$A290)</f>
        <v/>
      </c>
      <c r="N288">
        <f>IF($L288="","",IF(TRACKER!$B290="Equipment",TRACKER!$D290,IF(TRACKER!$B290="System",TRACKER!$C290,"Whole contract")))</f>
        <v/>
      </c>
      <c r="O288">
        <f>IF($L288="","",TRACKER!$F290)</f>
        <v/>
      </c>
      <c r="P288">
        <f>IF($L288="","",TRACKER!$K290)</f>
        <v/>
      </c>
      <c r="Q288">
        <f>IF($L288="","",TRACKER!$N290)</f>
        <v/>
      </c>
      <c r="R288">
        <f>TRACKER!$Y290</f>
        <v/>
      </c>
      <c r="S288">
        <f>TRACKER!$Z290</f>
        <v/>
      </c>
      <c r="T288">
        <f>TRACKER!$X290</f>
        <v/>
      </c>
    </row>
    <row r="289">
      <c r="G289">
        <f>IF(OR(SETUP!$B$111="",$A$13="",$B$13&lt;&gt;"System"),"","System")</f>
        <v/>
      </c>
      <c r="H289">
        <f>IF($G289="","",SETUP!$B$111)</f>
        <v/>
      </c>
      <c r="I289">
        <f>IF($G289="","",$A$13)</f>
        <v/>
      </c>
      <c r="J289">
        <f>IF($G289="","",IF(COUNTIFS(DOC_TYPE,$I289,DOC_SYS,$H289,DOC_SCOPE,"System",DOC_ACTIVE,1)+COUNTIFS(DOC_TYPE,$I289,DOC_SCOPE,"All",DOC_ACTIVE,1)&gt;0,"",IFERROR(IF($E$13&lt;&gt;"",$E$13-$C$13,SETUP!$E$111-$C$13),60000)+ROW()/1000000))</f>
        <v/>
      </c>
      <c r="L289">
        <f>IF(TRACKER!$A291="","","Document")</f>
        <v/>
      </c>
      <c r="M289">
        <f>IF($L289="","",TRACKER!$E291&amp;"  -  "&amp;TRACKER!$A291)</f>
        <v/>
      </c>
      <c r="N289">
        <f>IF($L289="","",IF(TRACKER!$B291="Equipment",TRACKER!$D291,IF(TRACKER!$B291="System",TRACKER!$C291,"Whole contract")))</f>
        <v/>
      </c>
      <c r="O289">
        <f>IF($L289="","",TRACKER!$F291)</f>
        <v/>
      </c>
      <c r="P289">
        <f>IF($L289="","",TRACKER!$K291)</f>
        <v/>
      </c>
      <c r="Q289">
        <f>IF($L289="","",TRACKER!$N291)</f>
        <v/>
      </c>
      <c r="R289">
        <f>TRACKER!$Y291</f>
        <v/>
      </c>
      <c r="S289">
        <f>TRACKER!$Z291</f>
        <v/>
      </c>
      <c r="T289">
        <f>TRACKER!$X291</f>
        <v/>
      </c>
    </row>
    <row r="290">
      <c r="G290">
        <f>IF(OR(SETUP!$B$112="",$A$2="",$B$2&lt;&gt;"System"),"","System")</f>
        <v/>
      </c>
      <c r="H290">
        <f>IF($G290="","",SETUP!$B$112)</f>
        <v/>
      </c>
      <c r="I290">
        <f>IF($G290="","",$A$2)</f>
        <v/>
      </c>
      <c r="J290">
        <f>IF($G290="","",IF(COUNTIFS(DOC_TYPE,$I290,DOC_SYS,$H290,DOC_SCOPE,"System",DOC_ACTIVE,1)+COUNTIFS(DOC_TYPE,$I290,DOC_SCOPE,"All",DOC_ACTIVE,1)&gt;0,"",IFERROR(IF($E$2&lt;&gt;"",$E$2-$C$2,SETUP!$E$112-$C$2),60000)+ROW()/1000000))</f>
        <v/>
      </c>
      <c r="L290">
        <f>IF(TRACKER!$A292="","","Document")</f>
        <v/>
      </c>
      <c r="M290">
        <f>IF($L290="","",TRACKER!$E292&amp;"  -  "&amp;TRACKER!$A292)</f>
        <v/>
      </c>
      <c r="N290">
        <f>IF($L290="","",IF(TRACKER!$B292="Equipment",TRACKER!$D292,IF(TRACKER!$B292="System",TRACKER!$C292,"Whole contract")))</f>
        <v/>
      </c>
      <c r="O290">
        <f>IF($L290="","",TRACKER!$F292)</f>
        <v/>
      </c>
      <c r="P290">
        <f>IF($L290="","",TRACKER!$K292)</f>
        <v/>
      </c>
      <c r="Q290">
        <f>IF($L290="","",TRACKER!$N292)</f>
        <v/>
      </c>
      <c r="R290">
        <f>TRACKER!$Y292</f>
        <v/>
      </c>
      <c r="S290">
        <f>TRACKER!$Z292</f>
        <v/>
      </c>
      <c r="T290">
        <f>TRACKER!$X292</f>
        <v/>
      </c>
    </row>
    <row r="291">
      <c r="G291">
        <f>IF(OR(SETUP!$B$112="",$A$3="",$B$3&lt;&gt;"System"),"","System")</f>
        <v/>
      </c>
      <c r="H291">
        <f>IF($G291="","",SETUP!$B$112)</f>
        <v/>
      </c>
      <c r="I291">
        <f>IF($G291="","",$A$3)</f>
        <v/>
      </c>
      <c r="J291">
        <f>IF($G291="","",IF(COUNTIFS(DOC_TYPE,$I291,DOC_SYS,$H291,DOC_SCOPE,"System",DOC_ACTIVE,1)+COUNTIFS(DOC_TYPE,$I291,DOC_SCOPE,"All",DOC_ACTIVE,1)&gt;0,"",IFERROR(IF($E$3&lt;&gt;"",$E$3-$C$3,SETUP!$E$112-$C$3),60000)+ROW()/1000000))</f>
        <v/>
      </c>
      <c r="L291">
        <f>IF(TRACKER!$A293="","","Document")</f>
        <v/>
      </c>
      <c r="M291">
        <f>IF($L291="","",TRACKER!$E293&amp;"  -  "&amp;TRACKER!$A293)</f>
        <v/>
      </c>
      <c r="N291">
        <f>IF($L291="","",IF(TRACKER!$B293="Equipment",TRACKER!$D293,IF(TRACKER!$B293="System",TRACKER!$C293,"Whole contract")))</f>
        <v/>
      </c>
      <c r="O291">
        <f>IF($L291="","",TRACKER!$F293)</f>
        <v/>
      </c>
      <c r="P291">
        <f>IF($L291="","",TRACKER!$K293)</f>
        <v/>
      </c>
      <c r="Q291">
        <f>IF($L291="","",TRACKER!$N293)</f>
        <v/>
      </c>
      <c r="R291">
        <f>TRACKER!$Y293</f>
        <v/>
      </c>
      <c r="S291">
        <f>TRACKER!$Z293</f>
        <v/>
      </c>
      <c r="T291">
        <f>TRACKER!$X293</f>
        <v/>
      </c>
    </row>
    <row r="292">
      <c r="G292">
        <f>IF(OR(SETUP!$B$112="",$A$4="",$B$4&lt;&gt;"System"),"","System")</f>
        <v/>
      </c>
      <c r="H292">
        <f>IF($G292="","",SETUP!$B$112)</f>
        <v/>
      </c>
      <c r="I292">
        <f>IF($G292="","",$A$4)</f>
        <v/>
      </c>
      <c r="J292">
        <f>IF($G292="","",IF(COUNTIFS(DOC_TYPE,$I292,DOC_SYS,$H292,DOC_SCOPE,"System",DOC_ACTIVE,1)+COUNTIFS(DOC_TYPE,$I292,DOC_SCOPE,"All",DOC_ACTIVE,1)&gt;0,"",IFERROR(IF($E$4&lt;&gt;"",$E$4-$C$4,SETUP!$E$112-$C$4),60000)+ROW()/1000000))</f>
        <v/>
      </c>
      <c r="L292">
        <f>IF(TRACKER!$A294="","","Document")</f>
        <v/>
      </c>
      <c r="M292">
        <f>IF($L292="","",TRACKER!$E294&amp;"  -  "&amp;TRACKER!$A294)</f>
        <v/>
      </c>
      <c r="N292">
        <f>IF($L292="","",IF(TRACKER!$B294="Equipment",TRACKER!$D294,IF(TRACKER!$B294="System",TRACKER!$C294,"Whole contract")))</f>
        <v/>
      </c>
      <c r="O292">
        <f>IF($L292="","",TRACKER!$F294)</f>
        <v/>
      </c>
      <c r="P292">
        <f>IF($L292="","",TRACKER!$K294)</f>
        <v/>
      </c>
      <c r="Q292">
        <f>IF($L292="","",TRACKER!$N294)</f>
        <v/>
      </c>
      <c r="R292">
        <f>TRACKER!$Y294</f>
        <v/>
      </c>
      <c r="S292">
        <f>TRACKER!$Z294</f>
        <v/>
      </c>
      <c r="T292">
        <f>TRACKER!$X294</f>
        <v/>
      </c>
    </row>
    <row r="293">
      <c r="G293">
        <f>IF(OR(SETUP!$B$112="",$A$5="",$B$5&lt;&gt;"System"),"","System")</f>
        <v/>
      </c>
      <c r="H293">
        <f>IF($G293="","",SETUP!$B$112)</f>
        <v/>
      </c>
      <c r="I293">
        <f>IF($G293="","",$A$5)</f>
        <v/>
      </c>
      <c r="J293">
        <f>IF($G293="","",IF(COUNTIFS(DOC_TYPE,$I293,DOC_SYS,$H293,DOC_SCOPE,"System",DOC_ACTIVE,1)+COUNTIFS(DOC_TYPE,$I293,DOC_SCOPE,"All",DOC_ACTIVE,1)&gt;0,"",IFERROR(IF($E$5&lt;&gt;"",$E$5-$C$5,SETUP!$E$112-$C$5),60000)+ROW()/1000000))</f>
        <v/>
      </c>
      <c r="L293">
        <f>IF(TRACKER!$A295="","","Document")</f>
        <v/>
      </c>
      <c r="M293">
        <f>IF($L293="","",TRACKER!$E295&amp;"  -  "&amp;TRACKER!$A295)</f>
        <v/>
      </c>
      <c r="N293">
        <f>IF($L293="","",IF(TRACKER!$B295="Equipment",TRACKER!$D295,IF(TRACKER!$B295="System",TRACKER!$C295,"Whole contract")))</f>
        <v/>
      </c>
      <c r="O293">
        <f>IF($L293="","",TRACKER!$F295)</f>
        <v/>
      </c>
      <c r="P293">
        <f>IF($L293="","",TRACKER!$K295)</f>
        <v/>
      </c>
      <c r="Q293">
        <f>IF($L293="","",TRACKER!$N295)</f>
        <v/>
      </c>
      <c r="R293">
        <f>TRACKER!$Y295</f>
        <v/>
      </c>
      <c r="S293">
        <f>TRACKER!$Z295</f>
        <v/>
      </c>
      <c r="T293">
        <f>TRACKER!$X295</f>
        <v/>
      </c>
    </row>
    <row r="294">
      <c r="G294">
        <f>IF(OR(SETUP!$B$112="",$A$6="",$B$6&lt;&gt;"System"),"","System")</f>
        <v/>
      </c>
      <c r="H294">
        <f>IF($G294="","",SETUP!$B$112)</f>
        <v/>
      </c>
      <c r="I294">
        <f>IF($G294="","",$A$6)</f>
        <v/>
      </c>
      <c r="J294">
        <f>IF($G294="","",IF(COUNTIFS(DOC_TYPE,$I294,DOC_SYS,$H294,DOC_SCOPE,"System",DOC_ACTIVE,1)+COUNTIFS(DOC_TYPE,$I294,DOC_SCOPE,"All",DOC_ACTIVE,1)&gt;0,"",IFERROR(IF($E$6&lt;&gt;"",$E$6-$C$6,SETUP!$E$112-$C$6),60000)+ROW()/1000000))</f>
        <v/>
      </c>
      <c r="L294">
        <f>IF(TRACKER!$A296="","","Document")</f>
        <v/>
      </c>
      <c r="M294">
        <f>IF($L294="","",TRACKER!$E296&amp;"  -  "&amp;TRACKER!$A296)</f>
        <v/>
      </c>
      <c r="N294">
        <f>IF($L294="","",IF(TRACKER!$B296="Equipment",TRACKER!$D296,IF(TRACKER!$B296="System",TRACKER!$C296,"Whole contract")))</f>
        <v/>
      </c>
      <c r="O294">
        <f>IF($L294="","",TRACKER!$F296)</f>
        <v/>
      </c>
      <c r="P294">
        <f>IF($L294="","",TRACKER!$K296)</f>
        <v/>
      </c>
      <c r="Q294">
        <f>IF($L294="","",TRACKER!$N296)</f>
        <v/>
      </c>
      <c r="R294">
        <f>TRACKER!$Y296</f>
        <v/>
      </c>
      <c r="S294">
        <f>TRACKER!$Z296</f>
        <v/>
      </c>
      <c r="T294">
        <f>TRACKER!$X296</f>
        <v/>
      </c>
    </row>
    <row r="295">
      <c r="G295">
        <f>IF(OR(SETUP!$B$112="",$A$7="",$B$7&lt;&gt;"System"),"","System")</f>
        <v/>
      </c>
      <c r="H295">
        <f>IF($G295="","",SETUP!$B$112)</f>
        <v/>
      </c>
      <c r="I295">
        <f>IF($G295="","",$A$7)</f>
        <v/>
      </c>
      <c r="J295">
        <f>IF($G295="","",IF(COUNTIFS(DOC_TYPE,$I295,DOC_SYS,$H295,DOC_SCOPE,"System",DOC_ACTIVE,1)+COUNTIFS(DOC_TYPE,$I295,DOC_SCOPE,"All",DOC_ACTIVE,1)&gt;0,"",IFERROR(IF($E$7&lt;&gt;"",$E$7-$C$7,SETUP!$E$112-$C$7),60000)+ROW()/1000000))</f>
        <v/>
      </c>
      <c r="L295">
        <f>IF(TRACKER!$A297="","","Document")</f>
        <v/>
      </c>
      <c r="M295">
        <f>IF($L295="","",TRACKER!$E297&amp;"  -  "&amp;TRACKER!$A297)</f>
        <v/>
      </c>
      <c r="N295">
        <f>IF($L295="","",IF(TRACKER!$B297="Equipment",TRACKER!$D297,IF(TRACKER!$B297="System",TRACKER!$C297,"Whole contract")))</f>
        <v/>
      </c>
      <c r="O295">
        <f>IF($L295="","",TRACKER!$F297)</f>
        <v/>
      </c>
      <c r="P295">
        <f>IF($L295="","",TRACKER!$K297)</f>
        <v/>
      </c>
      <c r="Q295">
        <f>IF($L295="","",TRACKER!$N297)</f>
        <v/>
      </c>
      <c r="R295">
        <f>TRACKER!$Y297</f>
        <v/>
      </c>
      <c r="S295">
        <f>TRACKER!$Z297</f>
        <v/>
      </c>
      <c r="T295">
        <f>TRACKER!$X297</f>
        <v/>
      </c>
    </row>
    <row r="296">
      <c r="G296">
        <f>IF(OR(SETUP!$B$112="",$A$8="",$B$8&lt;&gt;"System"),"","System")</f>
        <v/>
      </c>
      <c r="H296">
        <f>IF($G296="","",SETUP!$B$112)</f>
        <v/>
      </c>
      <c r="I296">
        <f>IF($G296="","",$A$8)</f>
        <v/>
      </c>
      <c r="J296">
        <f>IF($G296="","",IF(COUNTIFS(DOC_TYPE,$I296,DOC_SYS,$H296,DOC_SCOPE,"System",DOC_ACTIVE,1)+COUNTIFS(DOC_TYPE,$I296,DOC_SCOPE,"All",DOC_ACTIVE,1)&gt;0,"",IFERROR(IF($E$8&lt;&gt;"",$E$8-$C$8,SETUP!$E$112-$C$8),60000)+ROW()/1000000))</f>
        <v/>
      </c>
      <c r="L296">
        <f>IF(TRACKER!$A298="","","Document")</f>
        <v/>
      </c>
      <c r="M296">
        <f>IF($L296="","",TRACKER!$E298&amp;"  -  "&amp;TRACKER!$A298)</f>
        <v/>
      </c>
      <c r="N296">
        <f>IF($L296="","",IF(TRACKER!$B298="Equipment",TRACKER!$D298,IF(TRACKER!$B298="System",TRACKER!$C298,"Whole contract")))</f>
        <v/>
      </c>
      <c r="O296">
        <f>IF($L296="","",TRACKER!$F298)</f>
        <v/>
      </c>
      <c r="P296">
        <f>IF($L296="","",TRACKER!$K298)</f>
        <v/>
      </c>
      <c r="Q296">
        <f>IF($L296="","",TRACKER!$N298)</f>
        <v/>
      </c>
      <c r="R296">
        <f>TRACKER!$Y298</f>
        <v/>
      </c>
      <c r="S296">
        <f>TRACKER!$Z298</f>
        <v/>
      </c>
      <c r="T296">
        <f>TRACKER!$X298</f>
        <v/>
      </c>
    </row>
    <row r="297">
      <c r="G297">
        <f>IF(OR(SETUP!$B$112="",$A$9="",$B$9&lt;&gt;"System"),"","System")</f>
        <v/>
      </c>
      <c r="H297">
        <f>IF($G297="","",SETUP!$B$112)</f>
        <v/>
      </c>
      <c r="I297">
        <f>IF($G297="","",$A$9)</f>
        <v/>
      </c>
      <c r="J297">
        <f>IF($G297="","",IF(COUNTIFS(DOC_TYPE,$I297,DOC_SYS,$H297,DOC_SCOPE,"System",DOC_ACTIVE,1)+COUNTIFS(DOC_TYPE,$I297,DOC_SCOPE,"All",DOC_ACTIVE,1)&gt;0,"",IFERROR(IF($E$9&lt;&gt;"",$E$9-$C$9,SETUP!$E$112-$C$9),60000)+ROW()/1000000))</f>
        <v/>
      </c>
      <c r="L297">
        <f>IF(TRACKER!$A299="","","Document")</f>
        <v/>
      </c>
      <c r="M297">
        <f>IF($L297="","",TRACKER!$E299&amp;"  -  "&amp;TRACKER!$A299)</f>
        <v/>
      </c>
      <c r="N297">
        <f>IF($L297="","",IF(TRACKER!$B299="Equipment",TRACKER!$D299,IF(TRACKER!$B299="System",TRACKER!$C299,"Whole contract")))</f>
        <v/>
      </c>
      <c r="O297">
        <f>IF($L297="","",TRACKER!$F299)</f>
        <v/>
      </c>
      <c r="P297">
        <f>IF($L297="","",TRACKER!$K299)</f>
        <v/>
      </c>
      <c r="Q297">
        <f>IF($L297="","",TRACKER!$N299)</f>
        <v/>
      </c>
      <c r="R297">
        <f>TRACKER!$Y299</f>
        <v/>
      </c>
      <c r="S297">
        <f>TRACKER!$Z299</f>
        <v/>
      </c>
      <c r="T297">
        <f>TRACKER!$X299</f>
        <v/>
      </c>
    </row>
    <row r="298">
      <c r="G298">
        <f>IF(OR(SETUP!$B$112="",$A$10="",$B$10&lt;&gt;"System"),"","System")</f>
        <v/>
      </c>
      <c r="H298">
        <f>IF($G298="","",SETUP!$B$112)</f>
        <v/>
      </c>
      <c r="I298">
        <f>IF($G298="","",$A$10)</f>
        <v/>
      </c>
      <c r="J298">
        <f>IF($G298="","",IF(COUNTIFS(DOC_TYPE,$I298,DOC_SYS,$H298,DOC_SCOPE,"System",DOC_ACTIVE,1)+COUNTIFS(DOC_TYPE,$I298,DOC_SCOPE,"All",DOC_ACTIVE,1)&gt;0,"",IFERROR(IF($E$10&lt;&gt;"",$E$10-$C$10,SETUP!$E$112-$C$10),60000)+ROW()/1000000))</f>
        <v/>
      </c>
      <c r="L298">
        <f>IF(TRACKER!$A300="","","Document")</f>
        <v/>
      </c>
      <c r="M298">
        <f>IF($L298="","",TRACKER!$E300&amp;"  -  "&amp;TRACKER!$A300)</f>
        <v/>
      </c>
      <c r="N298">
        <f>IF($L298="","",IF(TRACKER!$B300="Equipment",TRACKER!$D300,IF(TRACKER!$B300="System",TRACKER!$C300,"Whole contract")))</f>
        <v/>
      </c>
      <c r="O298">
        <f>IF($L298="","",TRACKER!$F300)</f>
        <v/>
      </c>
      <c r="P298">
        <f>IF($L298="","",TRACKER!$K300)</f>
        <v/>
      </c>
      <c r="Q298">
        <f>IF($L298="","",TRACKER!$N300)</f>
        <v/>
      </c>
      <c r="R298">
        <f>TRACKER!$Y300</f>
        <v/>
      </c>
      <c r="S298">
        <f>TRACKER!$Z300</f>
        <v/>
      </c>
      <c r="T298">
        <f>TRACKER!$X300</f>
        <v/>
      </c>
    </row>
    <row r="299">
      <c r="G299">
        <f>IF(OR(SETUP!$B$112="",$A$11="",$B$11&lt;&gt;"System"),"","System")</f>
        <v/>
      </c>
      <c r="H299">
        <f>IF($G299="","",SETUP!$B$112)</f>
        <v/>
      </c>
      <c r="I299">
        <f>IF($G299="","",$A$11)</f>
        <v/>
      </c>
      <c r="J299">
        <f>IF($G299="","",IF(COUNTIFS(DOC_TYPE,$I299,DOC_SYS,$H299,DOC_SCOPE,"System",DOC_ACTIVE,1)+COUNTIFS(DOC_TYPE,$I299,DOC_SCOPE,"All",DOC_ACTIVE,1)&gt;0,"",IFERROR(IF($E$11&lt;&gt;"",$E$11-$C$11,SETUP!$E$112-$C$11),60000)+ROW()/1000000))</f>
        <v/>
      </c>
      <c r="L299">
        <f>IF(TRACKER!$A301="","","Document")</f>
        <v/>
      </c>
      <c r="M299">
        <f>IF($L299="","",TRACKER!$E301&amp;"  -  "&amp;TRACKER!$A301)</f>
        <v/>
      </c>
      <c r="N299">
        <f>IF($L299="","",IF(TRACKER!$B301="Equipment",TRACKER!$D301,IF(TRACKER!$B301="System",TRACKER!$C301,"Whole contract")))</f>
        <v/>
      </c>
      <c r="O299">
        <f>IF($L299="","",TRACKER!$F301)</f>
        <v/>
      </c>
      <c r="P299">
        <f>IF($L299="","",TRACKER!$K301)</f>
        <v/>
      </c>
      <c r="Q299">
        <f>IF($L299="","",TRACKER!$N301)</f>
        <v/>
      </c>
      <c r="R299">
        <f>TRACKER!$Y301</f>
        <v/>
      </c>
      <c r="S299">
        <f>TRACKER!$Z301</f>
        <v/>
      </c>
      <c r="T299">
        <f>TRACKER!$X301</f>
        <v/>
      </c>
    </row>
    <row r="300">
      <c r="G300">
        <f>IF(OR(SETUP!$B$112="",$A$12="",$B$12&lt;&gt;"System"),"","System")</f>
        <v/>
      </c>
      <c r="H300">
        <f>IF($G300="","",SETUP!$B$112)</f>
        <v/>
      </c>
      <c r="I300">
        <f>IF($G300="","",$A$12)</f>
        <v/>
      </c>
      <c r="J300">
        <f>IF($G300="","",IF(COUNTIFS(DOC_TYPE,$I300,DOC_SYS,$H300,DOC_SCOPE,"System",DOC_ACTIVE,1)+COUNTIFS(DOC_TYPE,$I300,DOC_SCOPE,"All",DOC_ACTIVE,1)&gt;0,"",IFERROR(IF($E$12&lt;&gt;"",$E$12-$C$12,SETUP!$E$112-$C$12),60000)+ROW()/1000000))</f>
        <v/>
      </c>
      <c r="L300">
        <f>IF(TRACKER!$A302="","","Document")</f>
        <v/>
      </c>
      <c r="M300">
        <f>IF($L300="","",TRACKER!$E302&amp;"  -  "&amp;TRACKER!$A302)</f>
        <v/>
      </c>
      <c r="N300">
        <f>IF($L300="","",IF(TRACKER!$B302="Equipment",TRACKER!$D302,IF(TRACKER!$B302="System",TRACKER!$C302,"Whole contract")))</f>
        <v/>
      </c>
      <c r="O300">
        <f>IF($L300="","",TRACKER!$F302)</f>
        <v/>
      </c>
      <c r="P300">
        <f>IF($L300="","",TRACKER!$K302)</f>
        <v/>
      </c>
      <c r="Q300">
        <f>IF($L300="","",TRACKER!$N302)</f>
        <v/>
      </c>
      <c r="R300">
        <f>TRACKER!$Y302</f>
        <v/>
      </c>
      <c r="S300">
        <f>TRACKER!$Z302</f>
        <v/>
      </c>
      <c r="T300">
        <f>TRACKER!$X302</f>
        <v/>
      </c>
    </row>
    <row r="301">
      <c r="G301">
        <f>IF(OR(SETUP!$B$112="",$A$13="",$B$13&lt;&gt;"System"),"","System")</f>
        <v/>
      </c>
      <c r="H301">
        <f>IF($G301="","",SETUP!$B$112)</f>
        <v/>
      </c>
      <c r="I301">
        <f>IF($G301="","",$A$13)</f>
        <v/>
      </c>
      <c r="J301">
        <f>IF($G301="","",IF(COUNTIFS(DOC_TYPE,$I301,DOC_SYS,$H301,DOC_SCOPE,"System",DOC_ACTIVE,1)+COUNTIFS(DOC_TYPE,$I301,DOC_SCOPE,"All",DOC_ACTIVE,1)&gt;0,"",IFERROR(IF($E$13&lt;&gt;"",$E$13-$C$13,SETUP!$E$112-$C$13),60000)+ROW()/1000000))</f>
        <v/>
      </c>
      <c r="L301">
        <f>IF(TRACKER!$A303="","","Document")</f>
        <v/>
      </c>
      <c r="M301">
        <f>IF($L301="","",TRACKER!$E303&amp;"  -  "&amp;TRACKER!$A303)</f>
        <v/>
      </c>
      <c r="N301">
        <f>IF($L301="","",IF(TRACKER!$B303="Equipment",TRACKER!$D303,IF(TRACKER!$B303="System",TRACKER!$C303,"Whole contract")))</f>
        <v/>
      </c>
      <c r="O301">
        <f>IF($L301="","",TRACKER!$F303)</f>
        <v/>
      </c>
      <c r="P301">
        <f>IF($L301="","",TRACKER!$K303)</f>
        <v/>
      </c>
      <c r="Q301">
        <f>IF($L301="","",TRACKER!$N303)</f>
        <v/>
      </c>
      <c r="R301">
        <f>TRACKER!$Y303</f>
        <v/>
      </c>
      <c r="S301">
        <f>TRACKER!$Z303</f>
        <v/>
      </c>
      <c r="T301">
        <f>TRACKER!$X303</f>
        <v/>
      </c>
    </row>
    <row r="302">
      <c r="G302">
        <f>IF(OR(SETUP!$B$113="",$A$2="",$B$2&lt;&gt;"System"),"","System")</f>
        <v/>
      </c>
      <c r="H302">
        <f>IF($G302="","",SETUP!$B$113)</f>
        <v/>
      </c>
      <c r="I302">
        <f>IF($G302="","",$A$2)</f>
        <v/>
      </c>
      <c r="J302">
        <f>IF($G302="","",IF(COUNTIFS(DOC_TYPE,$I302,DOC_SYS,$H302,DOC_SCOPE,"System",DOC_ACTIVE,1)+COUNTIFS(DOC_TYPE,$I302,DOC_SCOPE,"All",DOC_ACTIVE,1)&gt;0,"",IFERROR(IF($E$2&lt;&gt;"",$E$2-$C$2,SETUP!$E$113-$C$2),60000)+ROW()/1000000))</f>
        <v/>
      </c>
      <c r="L302">
        <f>IF(TRACKER!$A304="","","Document")</f>
        <v/>
      </c>
      <c r="M302">
        <f>IF($L302="","",TRACKER!$E304&amp;"  -  "&amp;TRACKER!$A304)</f>
        <v/>
      </c>
      <c r="N302">
        <f>IF($L302="","",IF(TRACKER!$B304="Equipment",TRACKER!$D304,IF(TRACKER!$B304="System",TRACKER!$C304,"Whole contract")))</f>
        <v/>
      </c>
      <c r="O302">
        <f>IF($L302="","",TRACKER!$F304)</f>
        <v/>
      </c>
      <c r="P302">
        <f>IF($L302="","",TRACKER!$K304)</f>
        <v/>
      </c>
      <c r="Q302">
        <f>IF($L302="","",TRACKER!$N304)</f>
        <v/>
      </c>
      <c r="R302">
        <f>TRACKER!$Y304</f>
        <v/>
      </c>
      <c r="S302">
        <f>TRACKER!$Z304</f>
        <v/>
      </c>
      <c r="T302">
        <f>TRACKER!$X304</f>
        <v/>
      </c>
    </row>
    <row r="303">
      <c r="G303">
        <f>IF(OR(SETUP!$B$113="",$A$3="",$B$3&lt;&gt;"System"),"","System")</f>
        <v/>
      </c>
      <c r="H303">
        <f>IF($G303="","",SETUP!$B$113)</f>
        <v/>
      </c>
      <c r="I303">
        <f>IF($G303="","",$A$3)</f>
        <v/>
      </c>
      <c r="J303">
        <f>IF($G303="","",IF(COUNTIFS(DOC_TYPE,$I303,DOC_SYS,$H303,DOC_SCOPE,"System",DOC_ACTIVE,1)+COUNTIFS(DOC_TYPE,$I303,DOC_SCOPE,"All",DOC_ACTIVE,1)&gt;0,"",IFERROR(IF($E$3&lt;&gt;"",$E$3-$C$3,SETUP!$E$113-$C$3),60000)+ROW()/1000000))</f>
        <v/>
      </c>
      <c r="L303">
        <f>IF(TRACKER!$A305="","","Document")</f>
        <v/>
      </c>
      <c r="M303">
        <f>IF($L303="","",TRACKER!$E305&amp;"  -  "&amp;TRACKER!$A305)</f>
        <v/>
      </c>
      <c r="N303">
        <f>IF($L303="","",IF(TRACKER!$B305="Equipment",TRACKER!$D305,IF(TRACKER!$B305="System",TRACKER!$C305,"Whole contract")))</f>
        <v/>
      </c>
      <c r="O303">
        <f>IF($L303="","",TRACKER!$F305)</f>
        <v/>
      </c>
      <c r="P303">
        <f>IF($L303="","",TRACKER!$K305)</f>
        <v/>
      </c>
      <c r="Q303">
        <f>IF($L303="","",TRACKER!$N305)</f>
        <v/>
      </c>
      <c r="R303">
        <f>TRACKER!$Y305</f>
        <v/>
      </c>
      <c r="S303">
        <f>TRACKER!$Z305</f>
        <v/>
      </c>
      <c r="T303">
        <f>TRACKER!$X305</f>
        <v/>
      </c>
    </row>
    <row r="304">
      <c r="G304">
        <f>IF(OR(SETUP!$B$113="",$A$4="",$B$4&lt;&gt;"System"),"","System")</f>
        <v/>
      </c>
      <c r="H304">
        <f>IF($G304="","",SETUP!$B$113)</f>
        <v/>
      </c>
      <c r="I304">
        <f>IF($G304="","",$A$4)</f>
        <v/>
      </c>
      <c r="J304">
        <f>IF($G304="","",IF(COUNTIFS(DOC_TYPE,$I304,DOC_SYS,$H304,DOC_SCOPE,"System",DOC_ACTIVE,1)+COUNTIFS(DOC_TYPE,$I304,DOC_SCOPE,"All",DOC_ACTIVE,1)&gt;0,"",IFERROR(IF($E$4&lt;&gt;"",$E$4-$C$4,SETUP!$E$113-$C$4),60000)+ROW()/1000000))</f>
        <v/>
      </c>
      <c r="L304">
        <f>IF(TRACKER!$A306="","","Document")</f>
        <v/>
      </c>
      <c r="M304">
        <f>IF($L304="","",TRACKER!$E306&amp;"  -  "&amp;TRACKER!$A306)</f>
        <v/>
      </c>
      <c r="N304">
        <f>IF($L304="","",IF(TRACKER!$B306="Equipment",TRACKER!$D306,IF(TRACKER!$B306="System",TRACKER!$C306,"Whole contract")))</f>
        <v/>
      </c>
      <c r="O304">
        <f>IF($L304="","",TRACKER!$F306)</f>
        <v/>
      </c>
      <c r="P304">
        <f>IF($L304="","",TRACKER!$K306)</f>
        <v/>
      </c>
      <c r="Q304">
        <f>IF($L304="","",TRACKER!$N306)</f>
        <v/>
      </c>
      <c r="R304">
        <f>TRACKER!$Y306</f>
        <v/>
      </c>
      <c r="S304">
        <f>TRACKER!$Z306</f>
        <v/>
      </c>
      <c r="T304">
        <f>TRACKER!$X306</f>
        <v/>
      </c>
    </row>
    <row r="305">
      <c r="G305">
        <f>IF(OR(SETUP!$B$113="",$A$5="",$B$5&lt;&gt;"System"),"","System")</f>
        <v/>
      </c>
      <c r="H305">
        <f>IF($G305="","",SETUP!$B$113)</f>
        <v/>
      </c>
      <c r="I305">
        <f>IF($G305="","",$A$5)</f>
        <v/>
      </c>
      <c r="J305">
        <f>IF($G305="","",IF(COUNTIFS(DOC_TYPE,$I305,DOC_SYS,$H305,DOC_SCOPE,"System",DOC_ACTIVE,1)+COUNTIFS(DOC_TYPE,$I305,DOC_SCOPE,"All",DOC_ACTIVE,1)&gt;0,"",IFERROR(IF($E$5&lt;&gt;"",$E$5-$C$5,SETUP!$E$113-$C$5),60000)+ROW()/1000000))</f>
        <v/>
      </c>
      <c r="L305">
        <f>IF(TRACKER!$A307="","","Document")</f>
        <v/>
      </c>
      <c r="M305">
        <f>IF($L305="","",TRACKER!$E307&amp;"  -  "&amp;TRACKER!$A307)</f>
        <v/>
      </c>
      <c r="N305">
        <f>IF($L305="","",IF(TRACKER!$B307="Equipment",TRACKER!$D307,IF(TRACKER!$B307="System",TRACKER!$C307,"Whole contract")))</f>
        <v/>
      </c>
      <c r="O305">
        <f>IF($L305="","",TRACKER!$F307)</f>
        <v/>
      </c>
      <c r="P305">
        <f>IF($L305="","",TRACKER!$K307)</f>
        <v/>
      </c>
      <c r="Q305">
        <f>IF($L305="","",TRACKER!$N307)</f>
        <v/>
      </c>
      <c r="R305">
        <f>TRACKER!$Y307</f>
        <v/>
      </c>
      <c r="S305">
        <f>TRACKER!$Z307</f>
        <v/>
      </c>
      <c r="T305">
        <f>TRACKER!$X307</f>
        <v/>
      </c>
    </row>
    <row r="306">
      <c r="G306">
        <f>IF(OR(SETUP!$B$113="",$A$6="",$B$6&lt;&gt;"System"),"","System")</f>
        <v/>
      </c>
      <c r="H306">
        <f>IF($G306="","",SETUP!$B$113)</f>
        <v/>
      </c>
      <c r="I306">
        <f>IF($G306="","",$A$6)</f>
        <v/>
      </c>
      <c r="J306">
        <f>IF($G306="","",IF(COUNTIFS(DOC_TYPE,$I306,DOC_SYS,$H306,DOC_SCOPE,"System",DOC_ACTIVE,1)+COUNTIFS(DOC_TYPE,$I306,DOC_SCOPE,"All",DOC_ACTIVE,1)&gt;0,"",IFERROR(IF($E$6&lt;&gt;"",$E$6-$C$6,SETUP!$E$113-$C$6),60000)+ROW()/1000000))</f>
        <v/>
      </c>
      <c r="L306">
        <f>IF(TRACKER!$A308="","","Document")</f>
        <v/>
      </c>
      <c r="M306">
        <f>IF($L306="","",TRACKER!$E308&amp;"  -  "&amp;TRACKER!$A308)</f>
        <v/>
      </c>
      <c r="N306">
        <f>IF($L306="","",IF(TRACKER!$B308="Equipment",TRACKER!$D308,IF(TRACKER!$B308="System",TRACKER!$C308,"Whole contract")))</f>
        <v/>
      </c>
      <c r="O306">
        <f>IF($L306="","",TRACKER!$F308)</f>
        <v/>
      </c>
      <c r="P306">
        <f>IF($L306="","",TRACKER!$K308)</f>
        <v/>
      </c>
      <c r="Q306">
        <f>IF($L306="","",TRACKER!$N308)</f>
        <v/>
      </c>
      <c r="R306">
        <f>TRACKER!$Y308</f>
        <v/>
      </c>
      <c r="S306">
        <f>TRACKER!$Z308</f>
        <v/>
      </c>
      <c r="T306">
        <f>TRACKER!$X308</f>
        <v/>
      </c>
    </row>
    <row r="307">
      <c r="G307">
        <f>IF(OR(SETUP!$B$113="",$A$7="",$B$7&lt;&gt;"System"),"","System")</f>
        <v/>
      </c>
      <c r="H307">
        <f>IF($G307="","",SETUP!$B$113)</f>
        <v/>
      </c>
      <c r="I307">
        <f>IF($G307="","",$A$7)</f>
        <v/>
      </c>
      <c r="J307">
        <f>IF($G307="","",IF(COUNTIFS(DOC_TYPE,$I307,DOC_SYS,$H307,DOC_SCOPE,"System",DOC_ACTIVE,1)+COUNTIFS(DOC_TYPE,$I307,DOC_SCOPE,"All",DOC_ACTIVE,1)&gt;0,"",IFERROR(IF($E$7&lt;&gt;"",$E$7-$C$7,SETUP!$E$113-$C$7),60000)+ROW()/1000000))</f>
        <v/>
      </c>
      <c r="L307">
        <f>IF(TRACKER!$A309="","","Document")</f>
        <v/>
      </c>
      <c r="M307">
        <f>IF($L307="","",TRACKER!$E309&amp;"  -  "&amp;TRACKER!$A309)</f>
        <v/>
      </c>
      <c r="N307">
        <f>IF($L307="","",IF(TRACKER!$B309="Equipment",TRACKER!$D309,IF(TRACKER!$B309="System",TRACKER!$C309,"Whole contract")))</f>
        <v/>
      </c>
      <c r="O307">
        <f>IF($L307="","",TRACKER!$F309)</f>
        <v/>
      </c>
      <c r="P307">
        <f>IF($L307="","",TRACKER!$K309)</f>
        <v/>
      </c>
      <c r="Q307">
        <f>IF($L307="","",TRACKER!$N309)</f>
        <v/>
      </c>
      <c r="R307">
        <f>TRACKER!$Y309</f>
        <v/>
      </c>
      <c r="S307">
        <f>TRACKER!$Z309</f>
        <v/>
      </c>
      <c r="T307">
        <f>TRACKER!$X309</f>
        <v/>
      </c>
    </row>
    <row r="308">
      <c r="G308">
        <f>IF(OR(SETUP!$B$113="",$A$8="",$B$8&lt;&gt;"System"),"","System")</f>
        <v/>
      </c>
      <c r="H308">
        <f>IF($G308="","",SETUP!$B$113)</f>
        <v/>
      </c>
      <c r="I308">
        <f>IF($G308="","",$A$8)</f>
        <v/>
      </c>
      <c r="J308">
        <f>IF($G308="","",IF(COUNTIFS(DOC_TYPE,$I308,DOC_SYS,$H308,DOC_SCOPE,"System",DOC_ACTIVE,1)+COUNTIFS(DOC_TYPE,$I308,DOC_SCOPE,"All",DOC_ACTIVE,1)&gt;0,"",IFERROR(IF($E$8&lt;&gt;"",$E$8-$C$8,SETUP!$E$113-$C$8),60000)+ROW()/1000000))</f>
        <v/>
      </c>
      <c r="L308">
        <f>IF(TRACKER!$A310="","","Document")</f>
        <v/>
      </c>
      <c r="M308">
        <f>IF($L308="","",TRACKER!$E310&amp;"  -  "&amp;TRACKER!$A310)</f>
        <v/>
      </c>
      <c r="N308">
        <f>IF($L308="","",IF(TRACKER!$B310="Equipment",TRACKER!$D310,IF(TRACKER!$B310="System",TRACKER!$C310,"Whole contract")))</f>
        <v/>
      </c>
      <c r="O308">
        <f>IF($L308="","",TRACKER!$F310)</f>
        <v/>
      </c>
      <c r="P308">
        <f>IF($L308="","",TRACKER!$K310)</f>
        <v/>
      </c>
      <c r="Q308">
        <f>IF($L308="","",TRACKER!$N310)</f>
        <v/>
      </c>
      <c r="R308">
        <f>TRACKER!$Y310</f>
        <v/>
      </c>
      <c r="S308">
        <f>TRACKER!$Z310</f>
        <v/>
      </c>
      <c r="T308">
        <f>TRACKER!$X310</f>
        <v/>
      </c>
    </row>
    <row r="309">
      <c r="G309">
        <f>IF(OR(SETUP!$B$113="",$A$9="",$B$9&lt;&gt;"System"),"","System")</f>
        <v/>
      </c>
      <c r="H309">
        <f>IF($G309="","",SETUP!$B$113)</f>
        <v/>
      </c>
      <c r="I309">
        <f>IF($G309="","",$A$9)</f>
        <v/>
      </c>
      <c r="J309">
        <f>IF($G309="","",IF(COUNTIFS(DOC_TYPE,$I309,DOC_SYS,$H309,DOC_SCOPE,"System",DOC_ACTIVE,1)+COUNTIFS(DOC_TYPE,$I309,DOC_SCOPE,"All",DOC_ACTIVE,1)&gt;0,"",IFERROR(IF($E$9&lt;&gt;"",$E$9-$C$9,SETUP!$E$113-$C$9),60000)+ROW()/1000000))</f>
        <v/>
      </c>
      <c r="L309">
        <f>IF(TRACKER!$A311="","","Document")</f>
        <v/>
      </c>
      <c r="M309">
        <f>IF($L309="","",TRACKER!$E311&amp;"  -  "&amp;TRACKER!$A311)</f>
        <v/>
      </c>
      <c r="N309">
        <f>IF($L309="","",IF(TRACKER!$B311="Equipment",TRACKER!$D311,IF(TRACKER!$B311="System",TRACKER!$C311,"Whole contract")))</f>
        <v/>
      </c>
      <c r="O309">
        <f>IF($L309="","",TRACKER!$F311)</f>
        <v/>
      </c>
      <c r="P309">
        <f>IF($L309="","",TRACKER!$K311)</f>
        <v/>
      </c>
      <c r="Q309">
        <f>IF($L309="","",TRACKER!$N311)</f>
        <v/>
      </c>
      <c r="R309">
        <f>TRACKER!$Y311</f>
        <v/>
      </c>
      <c r="S309">
        <f>TRACKER!$Z311</f>
        <v/>
      </c>
      <c r="T309">
        <f>TRACKER!$X311</f>
        <v/>
      </c>
    </row>
    <row r="310">
      <c r="G310">
        <f>IF(OR(SETUP!$B$113="",$A$10="",$B$10&lt;&gt;"System"),"","System")</f>
        <v/>
      </c>
      <c r="H310">
        <f>IF($G310="","",SETUP!$B$113)</f>
        <v/>
      </c>
      <c r="I310">
        <f>IF($G310="","",$A$10)</f>
        <v/>
      </c>
      <c r="J310">
        <f>IF($G310="","",IF(COUNTIFS(DOC_TYPE,$I310,DOC_SYS,$H310,DOC_SCOPE,"System",DOC_ACTIVE,1)+COUNTIFS(DOC_TYPE,$I310,DOC_SCOPE,"All",DOC_ACTIVE,1)&gt;0,"",IFERROR(IF($E$10&lt;&gt;"",$E$10-$C$10,SETUP!$E$113-$C$10),60000)+ROW()/1000000))</f>
        <v/>
      </c>
      <c r="L310">
        <f>IF(TRACKER!$A312="","","Document")</f>
        <v/>
      </c>
      <c r="M310">
        <f>IF($L310="","",TRACKER!$E312&amp;"  -  "&amp;TRACKER!$A312)</f>
        <v/>
      </c>
      <c r="N310">
        <f>IF($L310="","",IF(TRACKER!$B312="Equipment",TRACKER!$D312,IF(TRACKER!$B312="System",TRACKER!$C312,"Whole contract")))</f>
        <v/>
      </c>
      <c r="O310">
        <f>IF($L310="","",TRACKER!$F312)</f>
        <v/>
      </c>
      <c r="P310">
        <f>IF($L310="","",TRACKER!$K312)</f>
        <v/>
      </c>
      <c r="Q310">
        <f>IF($L310="","",TRACKER!$N312)</f>
        <v/>
      </c>
      <c r="R310">
        <f>TRACKER!$Y312</f>
        <v/>
      </c>
      <c r="S310">
        <f>TRACKER!$Z312</f>
        <v/>
      </c>
      <c r="T310">
        <f>TRACKER!$X312</f>
        <v/>
      </c>
    </row>
    <row r="311">
      <c r="G311">
        <f>IF(OR(SETUP!$B$113="",$A$11="",$B$11&lt;&gt;"System"),"","System")</f>
        <v/>
      </c>
      <c r="H311">
        <f>IF($G311="","",SETUP!$B$113)</f>
        <v/>
      </c>
      <c r="I311">
        <f>IF($G311="","",$A$11)</f>
        <v/>
      </c>
      <c r="J311">
        <f>IF($G311="","",IF(COUNTIFS(DOC_TYPE,$I311,DOC_SYS,$H311,DOC_SCOPE,"System",DOC_ACTIVE,1)+COUNTIFS(DOC_TYPE,$I311,DOC_SCOPE,"All",DOC_ACTIVE,1)&gt;0,"",IFERROR(IF($E$11&lt;&gt;"",$E$11-$C$11,SETUP!$E$113-$C$11),60000)+ROW()/1000000))</f>
        <v/>
      </c>
      <c r="L311">
        <f>IF(TRACKER!$A313="","","Document")</f>
        <v/>
      </c>
      <c r="M311">
        <f>IF($L311="","",TRACKER!$E313&amp;"  -  "&amp;TRACKER!$A313)</f>
        <v/>
      </c>
      <c r="N311">
        <f>IF($L311="","",IF(TRACKER!$B313="Equipment",TRACKER!$D313,IF(TRACKER!$B313="System",TRACKER!$C313,"Whole contract")))</f>
        <v/>
      </c>
      <c r="O311">
        <f>IF($L311="","",TRACKER!$F313)</f>
        <v/>
      </c>
      <c r="P311">
        <f>IF($L311="","",TRACKER!$K313)</f>
        <v/>
      </c>
      <c r="Q311">
        <f>IF($L311="","",TRACKER!$N313)</f>
        <v/>
      </c>
      <c r="R311">
        <f>TRACKER!$Y313</f>
        <v/>
      </c>
      <c r="S311">
        <f>TRACKER!$Z313</f>
        <v/>
      </c>
      <c r="T311">
        <f>TRACKER!$X313</f>
        <v/>
      </c>
    </row>
    <row r="312">
      <c r="G312">
        <f>IF(OR(SETUP!$B$113="",$A$12="",$B$12&lt;&gt;"System"),"","System")</f>
        <v/>
      </c>
      <c r="H312">
        <f>IF($G312="","",SETUP!$B$113)</f>
        <v/>
      </c>
      <c r="I312">
        <f>IF($G312="","",$A$12)</f>
        <v/>
      </c>
      <c r="J312">
        <f>IF($G312="","",IF(COUNTIFS(DOC_TYPE,$I312,DOC_SYS,$H312,DOC_SCOPE,"System",DOC_ACTIVE,1)+COUNTIFS(DOC_TYPE,$I312,DOC_SCOPE,"All",DOC_ACTIVE,1)&gt;0,"",IFERROR(IF($E$12&lt;&gt;"",$E$12-$C$12,SETUP!$E$113-$C$12),60000)+ROW()/1000000))</f>
        <v/>
      </c>
      <c r="L312">
        <f>IF(TRACKER!$A314="","","Document")</f>
        <v/>
      </c>
      <c r="M312">
        <f>IF($L312="","",TRACKER!$E314&amp;"  -  "&amp;TRACKER!$A314)</f>
        <v/>
      </c>
      <c r="N312">
        <f>IF($L312="","",IF(TRACKER!$B314="Equipment",TRACKER!$D314,IF(TRACKER!$B314="System",TRACKER!$C314,"Whole contract")))</f>
        <v/>
      </c>
      <c r="O312">
        <f>IF($L312="","",TRACKER!$F314)</f>
        <v/>
      </c>
      <c r="P312">
        <f>IF($L312="","",TRACKER!$K314)</f>
        <v/>
      </c>
      <c r="Q312">
        <f>IF($L312="","",TRACKER!$N314)</f>
        <v/>
      </c>
      <c r="R312">
        <f>TRACKER!$Y314</f>
        <v/>
      </c>
      <c r="S312">
        <f>TRACKER!$Z314</f>
        <v/>
      </c>
      <c r="T312">
        <f>TRACKER!$X314</f>
        <v/>
      </c>
    </row>
    <row r="313">
      <c r="G313">
        <f>IF(OR(SETUP!$B$113="",$A$13="",$B$13&lt;&gt;"System"),"","System")</f>
        <v/>
      </c>
      <c r="H313">
        <f>IF($G313="","",SETUP!$B$113)</f>
        <v/>
      </c>
      <c r="I313">
        <f>IF($G313="","",$A$13)</f>
        <v/>
      </c>
      <c r="J313">
        <f>IF($G313="","",IF(COUNTIFS(DOC_TYPE,$I313,DOC_SYS,$H313,DOC_SCOPE,"System",DOC_ACTIVE,1)+COUNTIFS(DOC_TYPE,$I313,DOC_SCOPE,"All",DOC_ACTIVE,1)&gt;0,"",IFERROR(IF($E$13&lt;&gt;"",$E$13-$C$13,SETUP!$E$113-$C$13),60000)+ROW()/1000000))</f>
        <v/>
      </c>
      <c r="L313">
        <f>IF(TRACKER!$A315="","","Document")</f>
        <v/>
      </c>
      <c r="M313">
        <f>IF($L313="","",TRACKER!$E315&amp;"  -  "&amp;TRACKER!$A315)</f>
        <v/>
      </c>
      <c r="N313">
        <f>IF($L313="","",IF(TRACKER!$B315="Equipment",TRACKER!$D315,IF(TRACKER!$B315="System",TRACKER!$C315,"Whole contract")))</f>
        <v/>
      </c>
      <c r="O313">
        <f>IF($L313="","",TRACKER!$F315)</f>
        <v/>
      </c>
      <c r="P313">
        <f>IF($L313="","",TRACKER!$K315)</f>
        <v/>
      </c>
      <c r="Q313">
        <f>IF($L313="","",TRACKER!$N315)</f>
        <v/>
      </c>
      <c r="R313">
        <f>TRACKER!$Y315</f>
        <v/>
      </c>
      <c r="S313">
        <f>TRACKER!$Z315</f>
        <v/>
      </c>
      <c r="T313">
        <f>TRACKER!$X315</f>
        <v/>
      </c>
    </row>
    <row r="314">
      <c r="G314">
        <f>IF(OR(SETUP!$C$117="",$A$2="",$B$2&lt;&gt;"Equipment"),"","Equipment")</f>
        <v/>
      </c>
      <c r="H314">
        <f>IF($G314="","",SETUP!$C$117)</f>
        <v/>
      </c>
      <c r="I314">
        <f>IF($G314="","",$A$2)</f>
        <v/>
      </c>
      <c r="J314">
        <f>IF($G314="","",IF(COUNTIFS(DOC_TYPE,$I314,DOC_EQP,$H314,DOC_SCOPE,"Equipment",DOC_ACTIVE,1)+COUNTIFS(DOC_TYPE,$I314,DOC_SYS,SETUP!$B$117,DOC_SCOPE,"System",DOC_ACTIVE,1)+COUNTIFS(DOC_TYPE,$I314,DOC_SCOPE,"All",DOC_ACTIVE,1)&gt;0,"",IFERROR(IF($E$2&lt;&gt;"",$E$2-$C$2,SETUP!$D$117-$C$2),60000)+ROW()/1000000))</f>
        <v/>
      </c>
      <c r="L314">
        <f>IF(TRACKER!$A316="","","Document")</f>
        <v/>
      </c>
      <c r="M314">
        <f>IF($L314="","",TRACKER!$E316&amp;"  -  "&amp;TRACKER!$A316)</f>
        <v/>
      </c>
      <c r="N314">
        <f>IF($L314="","",IF(TRACKER!$B316="Equipment",TRACKER!$D316,IF(TRACKER!$B316="System",TRACKER!$C316,"Whole contract")))</f>
        <v/>
      </c>
      <c r="O314">
        <f>IF($L314="","",TRACKER!$F316)</f>
        <v/>
      </c>
      <c r="P314">
        <f>IF($L314="","",TRACKER!$K316)</f>
        <v/>
      </c>
      <c r="Q314">
        <f>IF($L314="","",TRACKER!$N316)</f>
        <v/>
      </c>
      <c r="R314">
        <f>TRACKER!$Y316</f>
        <v/>
      </c>
      <c r="S314">
        <f>TRACKER!$Z316</f>
        <v/>
      </c>
      <c r="T314">
        <f>TRACKER!$X316</f>
        <v/>
      </c>
    </row>
    <row r="315">
      <c r="G315">
        <f>IF(OR(SETUP!$C$117="",$A$3="",$B$3&lt;&gt;"Equipment"),"","Equipment")</f>
        <v/>
      </c>
      <c r="H315">
        <f>IF($G315="","",SETUP!$C$117)</f>
        <v/>
      </c>
      <c r="I315">
        <f>IF($G315="","",$A$3)</f>
        <v/>
      </c>
      <c r="J315">
        <f>IF($G315="","",IF(COUNTIFS(DOC_TYPE,$I315,DOC_EQP,$H315,DOC_SCOPE,"Equipment",DOC_ACTIVE,1)+COUNTIFS(DOC_TYPE,$I315,DOC_SYS,SETUP!$B$117,DOC_SCOPE,"System",DOC_ACTIVE,1)+COUNTIFS(DOC_TYPE,$I315,DOC_SCOPE,"All",DOC_ACTIVE,1)&gt;0,"",IFERROR(IF($E$3&lt;&gt;"",$E$3-$C$3,SETUP!$D$117-$C$3),60000)+ROW()/1000000))</f>
        <v/>
      </c>
      <c r="L315">
        <f>IF(TRACKER!$A317="","","Document")</f>
        <v/>
      </c>
      <c r="M315">
        <f>IF($L315="","",TRACKER!$E317&amp;"  -  "&amp;TRACKER!$A317)</f>
        <v/>
      </c>
      <c r="N315">
        <f>IF($L315="","",IF(TRACKER!$B317="Equipment",TRACKER!$D317,IF(TRACKER!$B317="System",TRACKER!$C317,"Whole contract")))</f>
        <v/>
      </c>
      <c r="O315">
        <f>IF($L315="","",TRACKER!$F317)</f>
        <v/>
      </c>
      <c r="P315">
        <f>IF($L315="","",TRACKER!$K317)</f>
        <v/>
      </c>
      <c r="Q315">
        <f>IF($L315="","",TRACKER!$N317)</f>
        <v/>
      </c>
      <c r="R315">
        <f>TRACKER!$Y317</f>
        <v/>
      </c>
      <c r="S315">
        <f>TRACKER!$Z317</f>
        <v/>
      </c>
      <c r="T315">
        <f>TRACKER!$X317</f>
        <v/>
      </c>
    </row>
    <row r="316">
      <c r="G316">
        <f>IF(OR(SETUP!$C$117="",$A$4="",$B$4&lt;&gt;"Equipment"),"","Equipment")</f>
        <v/>
      </c>
      <c r="H316">
        <f>IF($G316="","",SETUP!$C$117)</f>
        <v/>
      </c>
      <c r="I316">
        <f>IF($G316="","",$A$4)</f>
        <v/>
      </c>
      <c r="J316">
        <f>IF($G316="","",IF(COUNTIFS(DOC_TYPE,$I316,DOC_EQP,$H316,DOC_SCOPE,"Equipment",DOC_ACTIVE,1)+COUNTIFS(DOC_TYPE,$I316,DOC_SYS,SETUP!$B$117,DOC_SCOPE,"System",DOC_ACTIVE,1)+COUNTIFS(DOC_TYPE,$I316,DOC_SCOPE,"All",DOC_ACTIVE,1)&gt;0,"",IFERROR(IF($E$4&lt;&gt;"",$E$4-$C$4,SETUP!$D$117-$C$4),60000)+ROW()/1000000))</f>
        <v/>
      </c>
      <c r="L316">
        <f>IF(TRACKER!$A318="","","Document")</f>
        <v/>
      </c>
      <c r="M316">
        <f>IF($L316="","",TRACKER!$E318&amp;"  -  "&amp;TRACKER!$A318)</f>
        <v/>
      </c>
      <c r="N316">
        <f>IF($L316="","",IF(TRACKER!$B318="Equipment",TRACKER!$D318,IF(TRACKER!$B318="System",TRACKER!$C318,"Whole contract")))</f>
        <v/>
      </c>
      <c r="O316">
        <f>IF($L316="","",TRACKER!$F318)</f>
        <v/>
      </c>
      <c r="P316">
        <f>IF($L316="","",TRACKER!$K318)</f>
        <v/>
      </c>
      <c r="Q316">
        <f>IF($L316="","",TRACKER!$N318)</f>
        <v/>
      </c>
      <c r="R316">
        <f>TRACKER!$Y318</f>
        <v/>
      </c>
      <c r="S316">
        <f>TRACKER!$Z318</f>
        <v/>
      </c>
      <c r="T316">
        <f>TRACKER!$X318</f>
        <v/>
      </c>
    </row>
    <row r="317">
      <c r="G317">
        <f>IF(OR(SETUP!$C$117="",$A$5="",$B$5&lt;&gt;"Equipment"),"","Equipment")</f>
        <v/>
      </c>
      <c r="H317">
        <f>IF($G317="","",SETUP!$C$117)</f>
        <v/>
      </c>
      <c r="I317">
        <f>IF($G317="","",$A$5)</f>
        <v/>
      </c>
      <c r="J317">
        <f>IF($G317="","",IF(COUNTIFS(DOC_TYPE,$I317,DOC_EQP,$H317,DOC_SCOPE,"Equipment",DOC_ACTIVE,1)+COUNTIFS(DOC_TYPE,$I317,DOC_SYS,SETUP!$B$117,DOC_SCOPE,"System",DOC_ACTIVE,1)+COUNTIFS(DOC_TYPE,$I317,DOC_SCOPE,"All",DOC_ACTIVE,1)&gt;0,"",IFERROR(IF($E$5&lt;&gt;"",$E$5-$C$5,SETUP!$D$117-$C$5),60000)+ROW()/1000000))</f>
        <v/>
      </c>
      <c r="L317">
        <f>IF(TRACKER!$A319="","","Document")</f>
        <v/>
      </c>
      <c r="M317">
        <f>IF($L317="","",TRACKER!$E319&amp;"  -  "&amp;TRACKER!$A319)</f>
        <v/>
      </c>
      <c r="N317">
        <f>IF($L317="","",IF(TRACKER!$B319="Equipment",TRACKER!$D319,IF(TRACKER!$B319="System",TRACKER!$C319,"Whole contract")))</f>
        <v/>
      </c>
      <c r="O317">
        <f>IF($L317="","",TRACKER!$F319)</f>
        <v/>
      </c>
      <c r="P317">
        <f>IF($L317="","",TRACKER!$K319)</f>
        <v/>
      </c>
      <c r="Q317">
        <f>IF($L317="","",TRACKER!$N319)</f>
        <v/>
      </c>
      <c r="R317">
        <f>TRACKER!$Y319</f>
        <v/>
      </c>
      <c r="S317">
        <f>TRACKER!$Z319</f>
        <v/>
      </c>
      <c r="T317">
        <f>TRACKER!$X319</f>
        <v/>
      </c>
    </row>
    <row r="318">
      <c r="G318">
        <f>IF(OR(SETUP!$C$117="",$A$6="",$B$6&lt;&gt;"Equipment"),"","Equipment")</f>
        <v/>
      </c>
      <c r="H318">
        <f>IF($G318="","",SETUP!$C$117)</f>
        <v/>
      </c>
      <c r="I318">
        <f>IF($G318="","",$A$6)</f>
        <v/>
      </c>
      <c r="J318">
        <f>IF($G318="","",IF(COUNTIFS(DOC_TYPE,$I318,DOC_EQP,$H318,DOC_SCOPE,"Equipment",DOC_ACTIVE,1)+COUNTIFS(DOC_TYPE,$I318,DOC_SYS,SETUP!$B$117,DOC_SCOPE,"System",DOC_ACTIVE,1)+COUNTIFS(DOC_TYPE,$I318,DOC_SCOPE,"All",DOC_ACTIVE,1)&gt;0,"",IFERROR(IF($E$6&lt;&gt;"",$E$6-$C$6,SETUP!$D$117-$C$6),60000)+ROW()/1000000))</f>
        <v/>
      </c>
      <c r="L318">
        <f>IF(TRACKER!$A320="","","Document")</f>
        <v/>
      </c>
      <c r="M318">
        <f>IF($L318="","",TRACKER!$E320&amp;"  -  "&amp;TRACKER!$A320)</f>
        <v/>
      </c>
      <c r="N318">
        <f>IF($L318="","",IF(TRACKER!$B320="Equipment",TRACKER!$D320,IF(TRACKER!$B320="System",TRACKER!$C320,"Whole contract")))</f>
        <v/>
      </c>
      <c r="O318">
        <f>IF($L318="","",TRACKER!$F320)</f>
        <v/>
      </c>
      <c r="P318">
        <f>IF($L318="","",TRACKER!$K320)</f>
        <v/>
      </c>
      <c r="Q318">
        <f>IF($L318="","",TRACKER!$N320)</f>
        <v/>
      </c>
      <c r="R318">
        <f>TRACKER!$Y320</f>
        <v/>
      </c>
      <c r="S318">
        <f>TRACKER!$Z320</f>
        <v/>
      </c>
      <c r="T318">
        <f>TRACKER!$X320</f>
        <v/>
      </c>
    </row>
    <row r="319">
      <c r="G319">
        <f>IF(OR(SETUP!$C$117="",$A$7="",$B$7&lt;&gt;"Equipment"),"","Equipment")</f>
        <v/>
      </c>
      <c r="H319">
        <f>IF($G319="","",SETUP!$C$117)</f>
        <v/>
      </c>
      <c r="I319">
        <f>IF($G319="","",$A$7)</f>
        <v/>
      </c>
      <c r="J319">
        <f>IF($G319="","",IF(COUNTIFS(DOC_TYPE,$I319,DOC_EQP,$H319,DOC_SCOPE,"Equipment",DOC_ACTIVE,1)+COUNTIFS(DOC_TYPE,$I319,DOC_SYS,SETUP!$B$117,DOC_SCOPE,"System",DOC_ACTIVE,1)+COUNTIFS(DOC_TYPE,$I319,DOC_SCOPE,"All",DOC_ACTIVE,1)&gt;0,"",IFERROR(IF($E$7&lt;&gt;"",$E$7-$C$7,SETUP!$D$117-$C$7),60000)+ROW()/1000000))</f>
        <v/>
      </c>
      <c r="L319">
        <f>IF(TRACKER!$A321="","","Document")</f>
        <v/>
      </c>
      <c r="M319">
        <f>IF($L319="","",TRACKER!$E321&amp;"  -  "&amp;TRACKER!$A321)</f>
        <v/>
      </c>
      <c r="N319">
        <f>IF($L319="","",IF(TRACKER!$B321="Equipment",TRACKER!$D321,IF(TRACKER!$B321="System",TRACKER!$C321,"Whole contract")))</f>
        <v/>
      </c>
      <c r="O319">
        <f>IF($L319="","",TRACKER!$F321)</f>
        <v/>
      </c>
      <c r="P319">
        <f>IF($L319="","",TRACKER!$K321)</f>
        <v/>
      </c>
      <c r="Q319">
        <f>IF($L319="","",TRACKER!$N321)</f>
        <v/>
      </c>
      <c r="R319">
        <f>TRACKER!$Y321</f>
        <v/>
      </c>
      <c r="S319">
        <f>TRACKER!$Z321</f>
        <v/>
      </c>
      <c r="T319">
        <f>TRACKER!$X321</f>
        <v/>
      </c>
    </row>
    <row r="320">
      <c r="G320">
        <f>IF(OR(SETUP!$C$117="",$A$8="",$B$8&lt;&gt;"Equipment"),"","Equipment")</f>
        <v/>
      </c>
      <c r="H320">
        <f>IF($G320="","",SETUP!$C$117)</f>
        <v/>
      </c>
      <c r="I320">
        <f>IF($G320="","",$A$8)</f>
        <v/>
      </c>
      <c r="J320">
        <f>IF($G320="","",IF(COUNTIFS(DOC_TYPE,$I320,DOC_EQP,$H320,DOC_SCOPE,"Equipment",DOC_ACTIVE,1)+COUNTIFS(DOC_TYPE,$I320,DOC_SYS,SETUP!$B$117,DOC_SCOPE,"System",DOC_ACTIVE,1)+COUNTIFS(DOC_TYPE,$I320,DOC_SCOPE,"All",DOC_ACTIVE,1)&gt;0,"",IFERROR(IF($E$8&lt;&gt;"",$E$8-$C$8,SETUP!$D$117-$C$8),60000)+ROW()/1000000))</f>
        <v/>
      </c>
      <c r="L320">
        <f>IF(TRACKER!$A322="","","Document")</f>
        <v/>
      </c>
      <c r="M320">
        <f>IF($L320="","",TRACKER!$E322&amp;"  -  "&amp;TRACKER!$A322)</f>
        <v/>
      </c>
      <c r="N320">
        <f>IF($L320="","",IF(TRACKER!$B322="Equipment",TRACKER!$D322,IF(TRACKER!$B322="System",TRACKER!$C322,"Whole contract")))</f>
        <v/>
      </c>
      <c r="O320">
        <f>IF($L320="","",TRACKER!$F322)</f>
        <v/>
      </c>
      <c r="P320">
        <f>IF($L320="","",TRACKER!$K322)</f>
        <v/>
      </c>
      <c r="Q320">
        <f>IF($L320="","",TRACKER!$N322)</f>
        <v/>
      </c>
      <c r="R320">
        <f>TRACKER!$Y322</f>
        <v/>
      </c>
      <c r="S320">
        <f>TRACKER!$Z322</f>
        <v/>
      </c>
      <c r="T320">
        <f>TRACKER!$X322</f>
        <v/>
      </c>
    </row>
    <row r="321">
      <c r="G321">
        <f>IF(OR(SETUP!$C$117="",$A$9="",$B$9&lt;&gt;"Equipment"),"","Equipment")</f>
        <v/>
      </c>
      <c r="H321">
        <f>IF($G321="","",SETUP!$C$117)</f>
        <v/>
      </c>
      <c r="I321">
        <f>IF($G321="","",$A$9)</f>
        <v/>
      </c>
      <c r="J321">
        <f>IF($G321="","",IF(COUNTIFS(DOC_TYPE,$I321,DOC_EQP,$H321,DOC_SCOPE,"Equipment",DOC_ACTIVE,1)+COUNTIFS(DOC_TYPE,$I321,DOC_SYS,SETUP!$B$117,DOC_SCOPE,"System",DOC_ACTIVE,1)+COUNTIFS(DOC_TYPE,$I321,DOC_SCOPE,"All",DOC_ACTIVE,1)&gt;0,"",IFERROR(IF($E$9&lt;&gt;"",$E$9-$C$9,SETUP!$D$117-$C$9),60000)+ROW()/1000000))</f>
        <v/>
      </c>
      <c r="L321">
        <f>IF(TRACKER!$A323="","","Document")</f>
        <v/>
      </c>
      <c r="M321">
        <f>IF($L321="","",TRACKER!$E323&amp;"  -  "&amp;TRACKER!$A323)</f>
        <v/>
      </c>
      <c r="N321">
        <f>IF($L321="","",IF(TRACKER!$B323="Equipment",TRACKER!$D323,IF(TRACKER!$B323="System",TRACKER!$C323,"Whole contract")))</f>
        <v/>
      </c>
      <c r="O321">
        <f>IF($L321="","",TRACKER!$F323)</f>
        <v/>
      </c>
      <c r="P321">
        <f>IF($L321="","",TRACKER!$K323)</f>
        <v/>
      </c>
      <c r="Q321">
        <f>IF($L321="","",TRACKER!$N323)</f>
        <v/>
      </c>
      <c r="R321">
        <f>TRACKER!$Y323</f>
        <v/>
      </c>
      <c r="S321">
        <f>TRACKER!$Z323</f>
        <v/>
      </c>
      <c r="T321">
        <f>TRACKER!$X323</f>
        <v/>
      </c>
    </row>
    <row r="322">
      <c r="G322">
        <f>IF(OR(SETUP!$C$117="",$A$10="",$B$10&lt;&gt;"Equipment"),"","Equipment")</f>
        <v/>
      </c>
      <c r="H322">
        <f>IF($G322="","",SETUP!$C$117)</f>
        <v/>
      </c>
      <c r="I322">
        <f>IF($G322="","",$A$10)</f>
        <v/>
      </c>
      <c r="J322">
        <f>IF($G322="","",IF(COUNTIFS(DOC_TYPE,$I322,DOC_EQP,$H322,DOC_SCOPE,"Equipment",DOC_ACTIVE,1)+COUNTIFS(DOC_TYPE,$I322,DOC_SYS,SETUP!$B$117,DOC_SCOPE,"System",DOC_ACTIVE,1)+COUNTIFS(DOC_TYPE,$I322,DOC_SCOPE,"All",DOC_ACTIVE,1)&gt;0,"",IFERROR(IF($E$10&lt;&gt;"",$E$10-$C$10,SETUP!$D$117-$C$10),60000)+ROW()/1000000))</f>
        <v/>
      </c>
      <c r="L322">
        <f>IF(TRACKER!$A324="","","Document")</f>
        <v/>
      </c>
      <c r="M322">
        <f>IF($L322="","",TRACKER!$E324&amp;"  -  "&amp;TRACKER!$A324)</f>
        <v/>
      </c>
      <c r="N322">
        <f>IF($L322="","",IF(TRACKER!$B324="Equipment",TRACKER!$D324,IF(TRACKER!$B324="System",TRACKER!$C324,"Whole contract")))</f>
        <v/>
      </c>
      <c r="O322">
        <f>IF($L322="","",TRACKER!$F324)</f>
        <v/>
      </c>
      <c r="P322">
        <f>IF($L322="","",TRACKER!$K324)</f>
        <v/>
      </c>
      <c r="Q322">
        <f>IF($L322="","",TRACKER!$N324)</f>
        <v/>
      </c>
      <c r="R322">
        <f>TRACKER!$Y324</f>
        <v/>
      </c>
      <c r="S322">
        <f>TRACKER!$Z324</f>
        <v/>
      </c>
      <c r="T322">
        <f>TRACKER!$X324</f>
        <v/>
      </c>
    </row>
    <row r="323">
      <c r="G323">
        <f>IF(OR(SETUP!$C$117="",$A$11="",$B$11&lt;&gt;"Equipment"),"","Equipment")</f>
        <v/>
      </c>
      <c r="H323">
        <f>IF($G323="","",SETUP!$C$117)</f>
        <v/>
      </c>
      <c r="I323">
        <f>IF($G323="","",$A$11)</f>
        <v/>
      </c>
      <c r="J323">
        <f>IF($G323="","",IF(COUNTIFS(DOC_TYPE,$I323,DOC_EQP,$H323,DOC_SCOPE,"Equipment",DOC_ACTIVE,1)+COUNTIFS(DOC_TYPE,$I323,DOC_SYS,SETUP!$B$117,DOC_SCOPE,"System",DOC_ACTIVE,1)+COUNTIFS(DOC_TYPE,$I323,DOC_SCOPE,"All",DOC_ACTIVE,1)&gt;0,"",IFERROR(IF($E$11&lt;&gt;"",$E$11-$C$11,SETUP!$D$117-$C$11),60000)+ROW()/1000000))</f>
        <v/>
      </c>
      <c r="L323">
        <f>IF(TRACKER!$A325="","","Document")</f>
        <v/>
      </c>
      <c r="M323">
        <f>IF($L323="","",TRACKER!$E325&amp;"  -  "&amp;TRACKER!$A325)</f>
        <v/>
      </c>
      <c r="N323">
        <f>IF($L323="","",IF(TRACKER!$B325="Equipment",TRACKER!$D325,IF(TRACKER!$B325="System",TRACKER!$C325,"Whole contract")))</f>
        <v/>
      </c>
      <c r="O323">
        <f>IF($L323="","",TRACKER!$F325)</f>
        <v/>
      </c>
      <c r="P323">
        <f>IF($L323="","",TRACKER!$K325)</f>
        <v/>
      </c>
      <c r="Q323">
        <f>IF($L323="","",TRACKER!$N325)</f>
        <v/>
      </c>
      <c r="R323">
        <f>TRACKER!$Y325</f>
        <v/>
      </c>
      <c r="S323">
        <f>TRACKER!$Z325</f>
        <v/>
      </c>
      <c r="T323">
        <f>TRACKER!$X325</f>
        <v/>
      </c>
    </row>
    <row r="324">
      <c r="G324">
        <f>IF(OR(SETUP!$C$117="",$A$12="",$B$12&lt;&gt;"Equipment"),"","Equipment")</f>
        <v/>
      </c>
      <c r="H324">
        <f>IF($G324="","",SETUP!$C$117)</f>
        <v/>
      </c>
      <c r="I324">
        <f>IF($G324="","",$A$12)</f>
        <v/>
      </c>
      <c r="J324">
        <f>IF($G324="","",IF(COUNTIFS(DOC_TYPE,$I324,DOC_EQP,$H324,DOC_SCOPE,"Equipment",DOC_ACTIVE,1)+COUNTIFS(DOC_TYPE,$I324,DOC_SYS,SETUP!$B$117,DOC_SCOPE,"System",DOC_ACTIVE,1)+COUNTIFS(DOC_TYPE,$I324,DOC_SCOPE,"All",DOC_ACTIVE,1)&gt;0,"",IFERROR(IF($E$12&lt;&gt;"",$E$12-$C$12,SETUP!$D$117-$C$12),60000)+ROW()/1000000))</f>
        <v/>
      </c>
      <c r="L324">
        <f>IF(TRACKER!$A326="","","Document")</f>
        <v/>
      </c>
      <c r="M324">
        <f>IF($L324="","",TRACKER!$E326&amp;"  -  "&amp;TRACKER!$A326)</f>
        <v/>
      </c>
      <c r="N324">
        <f>IF($L324="","",IF(TRACKER!$B326="Equipment",TRACKER!$D326,IF(TRACKER!$B326="System",TRACKER!$C326,"Whole contract")))</f>
        <v/>
      </c>
      <c r="O324">
        <f>IF($L324="","",TRACKER!$F326)</f>
        <v/>
      </c>
      <c r="P324">
        <f>IF($L324="","",TRACKER!$K326)</f>
        <v/>
      </c>
      <c r="Q324">
        <f>IF($L324="","",TRACKER!$N326)</f>
        <v/>
      </c>
      <c r="R324">
        <f>TRACKER!$Y326</f>
        <v/>
      </c>
      <c r="S324">
        <f>TRACKER!$Z326</f>
        <v/>
      </c>
      <c r="T324">
        <f>TRACKER!$X326</f>
        <v/>
      </c>
    </row>
    <row r="325">
      <c r="G325">
        <f>IF(OR(SETUP!$C$117="",$A$13="",$B$13&lt;&gt;"Equipment"),"","Equipment")</f>
        <v/>
      </c>
      <c r="H325">
        <f>IF($G325="","",SETUP!$C$117)</f>
        <v/>
      </c>
      <c r="I325">
        <f>IF($G325="","",$A$13)</f>
        <v/>
      </c>
      <c r="J325">
        <f>IF($G325="","",IF(COUNTIFS(DOC_TYPE,$I325,DOC_EQP,$H325,DOC_SCOPE,"Equipment",DOC_ACTIVE,1)+COUNTIFS(DOC_TYPE,$I325,DOC_SYS,SETUP!$B$117,DOC_SCOPE,"System",DOC_ACTIVE,1)+COUNTIFS(DOC_TYPE,$I325,DOC_SCOPE,"All",DOC_ACTIVE,1)&gt;0,"",IFERROR(IF($E$13&lt;&gt;"",$E$13-$C$13,SETUP!$D$117-$C$13),60000)+ROW()/1000000))</f>
        <v/>
      </c>
      <c r="L325">
        <f>IF(TRACKER!$A327="","","Document")</f>
        <v/>
      </c>
      <c r="M325">
        <f>IF($L325="","",TRACKER!$E327&amp;"  -  "&amp;TRACKER!$A327)</f>
        <v/>
      </c>
      <c r="N325">
        <f>IF($L325="","",IF(TRACKER!$B327="Equipment",TRACKER!$D327,IF(TRACKER!$B327="System",TRACKER!$C327,"Whole contract")))</f>
        <v/>
      </c>
      <c r="O325">
        <f>IF($L325="","",TRACKER!$F327)</f>
        <v/>
      </c>
      <c r="P325">
        <f>IF($L325="","",TRACKER!$K327)</f>
        <v/>
      </c>
      <c r="Q325">
        <f>IF($L325="","",TRACKER!$N327)</f>
        <v/>
      </c>
      <c r="R325">
        <f>TRACKER!$Y327</f>
        <v/>
      </c>
      <c r="S325">
        <f>TRACKER!$Z327</f>
        <v/>
      </c>
      <c r="T325">
        <f>TRACKER!$X327</f>
        <v/>
      </c>
    </row>
    <row r="326">
      <c r="G326">
        <f>IF(OR(SETUP!$C$118="",$A$2="",$B$2&lt;&gt;"Equipment"),"","Equipment")</f>
        <v/>
      </c>
      <c r="H326">
        <f>IF($G326="","",SETUP!$C$118)</f>
        <v/>
      </c>
      <c r="I326">
        <f>IF($G326="","",$A$2)</f>
        <v/>
      </c>
      <c r="J326">
        <f>IF($G326="","",IF(COUNTIFS(DOC_TYPE,$I326,DOC_EQP,$H326,DOC_SCOPE,"Equipment",DOC_ACTIVE,1)+COUNTIFS(DOC_TYPE,$I326,DOC_SYS,SETUP!$B$118,DOC_SCOPE,"System",DOC_ACTIVE,1)+COUNTIFS(DOC_TYPE,$I326,DOC_SCOPE,"All",DOC_ACTIVE,1)&gt;0,"",IFERROR(IF($E$2&lt;&gt;"",$E$2-$C$2,SETUP!$D$118-$C$2),60000)+ROW()/1000000))</f>
        <v/>
      </c>
      <c r="L326">
        <f>IF(TRACKER!$A328="","","Document")</f>
        <v/>
      </c>
      <c r="M326">
        <f>IF($L326="","",TRACKER!$E328&amp;"  -  "&amp;TRACKER!$A328)</f>
        <v/>
      </c>
      <c r="N326">
        <f>IF($L326="","",IF(TRACKER!$B328="Equipment",TRACKER!$D328,IF(TRACKER!$B328="System",TRACKER!$C328,"Whole contract")))</f>
        <v/>
      </c>
      <c r="O326">
        <f>IF($L326="","",TRACKER!$F328)</f>
        <v/>
      </c>
      <c r="P326">
        <f>IF($L326="","",TRACKER!$K328)</f>
        <v/>
      </c>
      <c r="Q326">
        <f>IF($L326="","",TRACKER!$N328)</f>
        <v/>
      </c>
      <c r="R326">
        <f>TRACKER!$Y328</f>
        <v/>
      </c>
      <c r="S326">
        <f>TRACKER!$Z328</f>
        <v/>
      </c>
      <c r="T326">
        <f>TRACKER!$X328</f>
        <v/>
      </c>
    </row>
    <row r="327">
      <c r="G327">
        <f>IF(OR(SETUP!$C$118="",$A$3="",$B$3&lt;&gt;"Equipment"),"","Equipment")</f>
        <v/>
      </c>
      <c r="H327">
        <f>IF($G327="","",SETUP!$C$118)</f>
        <v/>
      </c>
      <c r="I327">
        <f>IF($G327="","",$A$3)</f>
        <v/>
      </c>
      <c r="J327">
        <f>IF($G327="","",IF(COUNTIFS(DOC_TYPE,$I327,DOC_EQP,$H327,DOC_SCOPE,"Equipment",DOC_ACTIVE,1)+COUNTIFS(DOC_TYPE,$I327,DOC_SYS,SETUP!$B$118,DOC_SCOPE,"System",DOC_ACTIVE,1)+COUNTIFS(DOC_TYPE,$I327,DOC_SCOPE,"All",DOC_ACTIVE,1)&gt;0,"",IFERROR(IF($E$3&lt;&gt;"",$E$3-$C$3,SETUP!$D$118-$C$3),60000)+ROW()/1000000))</f>
        <v/>
      </c>
      <c r="L327">
        <f>IF(TRACKER!$A329="","","Document")</f>
        <v/>
      </c>
      <c r="M327">
        <f>IF($L327="","",TRACKER!$E329&amp;"  -  "&amp;TRACKER!$A329)</f>
        <v/>
      </c>
      <c r="N327">
        <f>IF($L327="","",IF(TRACKER!$B329="Equipment",TRACKER!$D329,IF(TRACKER!$B329="System",TRACKER!$C329,"Whole contract")))</f>
        <v/>
      </c>
      <c r="O327">
        <f>IF($L327="","",TRACKER!$F329)</f>
        <v/>
      </c>
      <c r="P327">
        <f>IF($L327="","",TRACKER!$K329)</f>
        <v/>
      </c>
      <c r="Q327">
        <f>IF($L327="","",TRACKER!$N329)</f>
        <v/>
      </c>
      <c r="R327">
        <f>TRACKER!$Y329</f>
        <v/>
      </c>
      <c r="S327">
        <f>TRACKER!$Z329</f>
        <v/>
      </c>
      <c r="T327">
        <f>TRACKER!$X329</f>
        <v/>
      </c>
    </row>
    <row r="328">
      <c r="G328">
        <f>IF(OR(SETUP!$C$118="",$A$4="",$B$4&lt;&gt;"Equipment"),"","Equipment")</f>
        <v/>
      </c>
      <c r="H328">
        <f>IF($G328="","",SETUP!$C$118)</f>
        <v/>
      </c>
      <c r="I328">
        <f>IF($G328="","",$A$4)</f>
        <v/>
      </c>
      <c r="J328">
        <f>IF($G328="","",IF(COUNTIFS(DOC_TYPE,$I328,DOC_EQP,$H328,DOC_SCOPE,"Equipment",DOC_ACTIVE,1)+COUNTIFS(DOC_TYPE,$I328,DOC_SYS,SETUP!$B$118,DOC_SCOPE,"System",DOC_ACTIVE,1)+COUNTIFS(DOC_TYPE,$I328,DOC_SCOPE,"All",DOC_ACTIVE,1)&gt;0,"",IFERROR(IF($E$4&lt;&gt;"",$E$4-$C$4,SETUP!$D$118-$C$4),60000)+ROW()/1000000))</f>
        <v/>
      </c>
      <c r="L328">
        <f>IF(TRACKER!$A330="","","Document")</f>
        <v/>
      </c>
      <c r="M328">
        <f>IF($L328="","",TRACKER!$E330&amp;"  -  "&amp;TRACKER!$A330)</f>
        <v/>
      </c>
      <c r="N328">
        <f>IF($L328="","",IF(TRACKER!$B330="Equipment",TRACKER!$D330,IF(TRACKER!$B330="System",TRACKER!$C330,"Whole contract")))</f>
        <v/>
      </c>
      <c r="O328">
        <f>IF($L328="","",TRACKER!$F330)</f>
        <v/>
      </c>
      <c r="P328">
        <f>IF($L328="","",TRACKER!$K330)</f>
        <v/>
      </c>
      <c r="Q328">
        <f>IF($L328="","",TRACKER!$N330)</f>
        <v/>
      </c>
      <c r="R328">
        <f>TRACKER!$Y330</f>
        <v/>
      </c>
      <c r="S328">
        <f>TRACKER!$Z330</f>
        <v/>
      </c>
      <c r="T328">
        <f>TRACKER!$X330</f>
        <v/>
      </c>
    </row>
    <row r="329">
      <c r="G329">
        <f>IF(OR(SETUP!$C$118="",$A$5="",$B$5&lt;&gt;"Equipment"),"","Equipment")</f>
        <v/>
      </c>
      <c r="H329">
        <f>IF($G329="","",SETUP!$C$118)</f>
        <v/>
      </c>
      <c r="I329">
        <f>IF($G329="","",$A$5)</f>
        <v/>
      </c>
      <c r="J329">
        <f>IF($G329="","",IF(COUNTIFS(DOC_TYPE,$I329,DOC_EQP,$H329,DOC_SCOPE,"Equipment",DOC_ACTIVE,1)+COUNTIFS(DOC_TYPE,$I329,DOC_SYS,SETUP!$B$118,DOC_SCOPE,"System",DOC_ACTIVE,1)+COUNTIFS(DOC_TYPE,$I329,DOC_SCOPE,"All",DOC_ACTIVE,1)&gt;0,"",IFERROR(IF($E$5&lt;&gt;"",$E$5-$C$5,SETUP!$D$118-$C$5),60000)+ROW()/1000000))</f>
        <v/>
      </c>
      <c r="L329">
        <f>IF(TRACKER!$A331="","","Document")</f>
        <v/>
      </c>
      <c r="M329">
        <f>IF($L329="","",TRACKER!$E331&amp;"  -  "&amp;TRACKER!$A331)</f>
        <v/>
      </c>
      <c r="N329">
        <f>IF($L329="","",IF(TRACKER!$B331="Equipment",TRACKER!$D331,IF(TRACKER!$B331="System",TRACKER!$C331,"Whole contract")))</f>
        <v/>
      </c>
      <c r="O329">
        <f>IF($L329="","",TRACKER!$F331)</f>
        <v/>
      </c>
      <c r="P329">
        <f>IF($L329="","",TRACKER!$K331)</f>
        <v/>
      </c>
      <c r="Q329">
        <f>IF($L329="","",TRACKER!$N331)</f>
        <v/>
      </c>
      <c r="R329">
        <f>TRACKER!$Y331</f>
        <v/>
      </c>
      <c r="S329">
        <f>TRACKER!$Z331</f>
        <v/>
      </c>
      <c r="T329">
        <f>TRACKER!$X331</f>
        <v/>
      </c>
    </row>
    <row r="330">
      <c r="G330">
        <f>IF(OR(SETUP!$C$118="",$A$6="",$B$6&lt;&gt;"Equipment"),"","Equipment")</f>
        <v/>
      </c>
      <c r="H330">
        <f>IF($G330="","",SETUP!$C$118)</f>
        <v/>
      </c>
      <c r="I330">
        <f>IF($G330="","",$A$6)</f>
        <v/>
      </c>
      <c r="J330">
        <f>IF($G330="","",IF(COUNTIFS(DOC_TYPE,$I330,DOC_EQP,$H330,DOC_SCOPE,"Equipment",DOC_ACTIVE,1)+COUNTIFS(DOC_TYPE,$I330,DOC_SYS,SETUP!$B$118,DOC_SCOPE,"System",DOC_ACTIVE,1)+COUNTIFS(DOC_TYPE,$I330,DOC_SCOPE,"All",DOC_ACTIVE,1)&gt;0,"",IFERROR(IF($E$6&lt;&gt;"",$E$6-$C$6,SETUP!$D$118-$C$6),60000)+ROW()/1000000))</f>
        <v/>
      </c>
      <c r="L330">
        <f>IF(TRACKER!$A332="","","Document")</f>
        <v/>
      </c>
      <c r="M330">
        <f>IF($L330="","",TRACKER!$E332&amp;"  -  "&amp;TRACKER!$A332)</f>
        <v/>
      </c>
      <c r="N330">
        <f>IF($L330="","",IF(TRACKER!$B332="Equipment",TRACKER!$D332,IF(TRACKER!$B332="System",TRACKER!$C332,"Whole contract")))</f>
        <v/>
      </c>
      <c r="O330">
        <f>IF($L330="","",TRACKER!$F332)</f>
        <v/>
      </c>
      <c r="P330">
        <f>IF($L330="","",TRACKER!$K332)</f>
        <v/>
      </c>
      <c r="Q330">
        <f>IF($L330="","",TRACKER!$N332)</f>
        <v/>
      </c>
      <c r="R330">
        <f>TRACKER!$Y332</f>
        <v/>
      </c>
      <c r="S330">
        <f>TRACKER!$Z332</f>
        <v/>
      </c>
      <c r="T330">
        <f>TRACKER!$X332</f>
        <v/>
      </c>
    </row>
    <row r="331">
      <c r="G331">
        <f>IF(OR(SETUP!$C$118="",$A$7="",$B$7&lt;&gt;"Equipment"),"","Equipment")</f>
        <v/>
      </c>
      <c r="H331">
        <f>IF($G331="","",SETUP!$C$118)</f>
        <v/>
      </c>
      <c r="I331">
        <f>IF($G331="","",$A$7)</f>
        <v/>
      </c>
      <c r="J331">
        <f>IF($G331="","",IF(COUNTIFS(DOC_TYPE,$I331,DOC_EQP,$H331,DOC_SCOPE,"Equipment",DOC_ACTIVE,1)+COUNTIFS(DOC_TYPE,$I331,DOC_SYS,SETUP!$B$118,DOC_SCOPE,"System",DOC_ACTIVE,1)+COUNTIFS(DOC_TYPE,$I331,DOC_SCOPE,"All",DOC_ACTIVE,1)&gt;0,"",IFERROR(IF($E$7&lt;&gt;"",$E$7-$C$7,SETUP!$D$118-$C$7),60000)+ROW()/1000000))</f>
        <v/>
      </c>
      <c r="L331">
        <f>IF(TRACKER!$A333="","","Document")</f>
        <v/>
      </c>
      <c r="M331">
        <f>IF($L331="","",TRACKER!$E333&amp;"  -  "&amp;TRACKER!$A333)</f>
        <v/>
      </c>
      <c r="N331">
        <f>IF($L331="","",IF(TRACKER!$B333="Equipment",TRACKER!$D333,IF(TRACKER!$B333="System",TRACKER!$C333,"Whole contract")))</f>
        <v/>
      </c>
      <c r="O331">
        <f>IF($L331="","",TRACKER!$F333)</f>
        <v/>
      </c>
      <c r="P331">
        <f>IF($L331="","",TRACKER!$K333)</f>
        <v/>
      </c>
      <c r="Q331">
        <f>IF($L331="","",TRACKER!$N333)</f>
        <v/>
      </c>
      <c r="R331">
        <f>TRACKER!$Y333</f>
        <v/>
      </c>
      <c r="S331">
        <f>TRACKER!$Z333</f>
        <v/>
      </c>
      <c r="T331">
        <f>TRACKER!$X333</f>
        <v/>
      </c>
    </row>
    <row r="332">
      <c r="G332">
        <f>IF(OR(SETUP!$C$118="",$A$8="",$B$8&lt;&gt;"Equipment"),"","Equipment")</f>
        <v/>
      </c>
      <c r="H332">
        <f>IF($G332="","",SETUP!$C$118)</f>
        <v/>
      </c>
      <c r="I332">
        <f>IF($G332="","",$A$8)</f>
        <v/>
      </c>
      <c r="J332">
        <f>IF($G332="","",IF(COUNTIFS(DOC_TYPE,$I332,DOC_EQP,$H332,DOC_SCOPE,"Equipment",DOC_ACTIVE,1)+COUNTIFS(DOC_TYPE,$I332,DOC_SYS,SETUP!$B$118,DOC_SCOPE,"System",DOC_ACTIVE,1)+COUNTIFS(DOC_TYPE,$I332,DOC_SCOPE,"All",DOC_ACTIVE,1)&gt;0,"",IFERROR(IF($E$8&lt;&gt;"",$E$8-$C$8,SETUP!$D$118-$C$8),60000)+ROW()/1000000))</f>
        <v/>
      </c>
      <c r="L332">
        <f>IF(TRACKER!$A334="","","Document")</f>
        <v/>
      </c>
      <c r="M332">
        <f>IF($L332="","",TRACKER!$E334&amp;"  -  "&amp;TRACKER!$A334)</f>
        <v/>
      </c>
      <c r="N332">
        <f>IF($L332="","",IF(TRACKER!$B334="Equipment",TRACKER!$D334,IF(TRACKER!$B334="System",TRACKER!$C334,"Whole contract")))</f>
        <v/>
      </c>
      <c r="O332">
        <f>IF($L332="","",TRACKER!$F334)</f>
        <v/>
      </c>
      <c r="P332">
        <f>IF($L332="","",TRACKER!$K334)</f>
        <v/>
      </c>
      <c r="Q332">
        <f>IF($L332="","",TRACKER!$N334)</f>
        <v/>
      </c>
      <c r="R332">
        <f>TRACKER!$Y334</f>
        <v/>
      </c>
      <c r="S332">
        <f>TRACKER!$Z334</f>
        <v/>
      </c>
      <c r="T332">
        <f>TRACKER!$X334</f>
        <v/>
      </c>
    </row>
    <row r="333">
      <c r="G333">
        <f>IF(OR(SETUP!$C$118="",$A$9="",$B$9&lt;&gt;"Equipment"),"","Equipment")</f>
        <v/>
      </c>
      <c r="H333">
        <f>IF($G333="","",SETUP!$C$118)</f>
        <v/>
      </c>
      <c r="I333">
        <f>IF($G333="","",$A$9)</f>
        <v/>
      </c>
      <c r="J333">
        <f>IF($G333="","",IF(COUNTIFS(DOC_TYPE,$I333,DOC_EQP,$H333,DOC_SCOPE,"Equipment",DOC_ACTIVE,1)+COUNTIFS(DOC_TYPE,$I333,DOC_SYS,SETUP!$B$118,DOC_SCOPE,"System",DOC_ACTIVE,1)+COUNTIFS(DOC_TYPE,$I333,DOC_SCOPE,"All",DOC_ACTIVE,1)&gt;0,"",IFERROR(IF($E$9&lt;&gt;"",$E$9-$C$9,SETUP!$D$118-$C$9),60000)+ROW()/1000000))</f>
        <v/>
      </c>
      <c r="L333">
        <f>IF(TRACKER!$A335="","","Document")</f>
        <v/>
      </c>
      <c r="M333">
        <f>IF($L333="","",TRACKER!$E335&amp;"  -  "&amp;TRACKER!$A335)</f>
        <v/>
      </c>
      <c r="N333">
        <f>IF($L333="","",IF(TRACKER!$B335="Equipment",TRACKER!$D335,IF(TRACKER!$B335="System",TRACKER!$C335,"Whole contract")))</f>
        <v/>
      </c>
      <c r="O333">
        <f>IF($L333="","",TRACKER!$F335)</f>
        <v/>
      </c>
      <c r="P333">
        <f>IF($L333="","",TRACKER!$K335)</f>
        <v/>
      </c>
      <c r="Q333">
        <f>IF($L333="","",TRACKER!$N335)</f>
        <v/>
      </c>
      <c r="R333">
        <f>TRACKER!$Y335</f>
        <v/>
      </c>
      <c r="S333">
        <f>TRACKER!$Z335</f>
        <v/>
      </c>
      <c r="T333">
        <f>TRACKER!$X335</f>
        <v/>
      </c>
    </row>
    <row r="334">
      <c r="G334">
        <f>IF(OR(SETUP!$C$118="",$A$10="",$B$10&lt;&gt;"Equipment"),"","Equipment")</f>
        <v/>
      </c>
      <c r="H334">
        <f>IF($G334="","",SETUP!$C$118)</f>
        <v/>
      </c>
      <c r="I334">
        <f>IF($G334="","",$A$10)</f>
        <v/>
      </c>
      <c r="J334">
        <f>IF($G334="","",IF(COUNTIFS(DOC_TYPE,$I334,DOC_EQP,$H334,DOC_SCOPE,"Equipment",DOC_ACTIVE,1)+COUNTIFS(DOC_TYPE,$I334,DOC_SYS,SETUP!$B$118,DOC_SCOPE,"System",DOC_ACTIVE,1)+COUNTIFS(DOC_TYPE,$I334,DOC_SCOPE,"All",DOC_ACTIVE,1)&gt;0,"",IFERROR(IF($E$10&lt;&gt;"",$E$10-$C$10,SETUP!$D$118-$C$10),60000)+ROW()/1000000))</f>
        <v/>
      </c>
      <c r="L334">
        <f>IF(TRACKER!$A336="","","Document")</f>
        <v/>
      </c>
      <c r="M334">
        <f>IF($L334="","",TRACKER!$E336&amp;"  -  "&amp;TRACKER!$A336)</f>
        <v/>
      </c>
      <c r="N334">
        <f>IF($L334="","",IF(TRACKER!$B336="Equipment",TRACKER!$D336,IF(TRACKER!$B336="System",TRACKER!$C336,"Whole contract")))</f>
        <v/>
      </c>
      <c r="O334">
        <f>IF($L334="","",TRACKER!$F336)</f>
        <v/>
      </c>
      <c r="P334">
        <f>IF($L334="","",TRACKER!$K336)</f>
        <v/>
      </c>
      <c r="Q334">
        <f>IF($L334="","",TRACKER!$N336)</f>
        <v/>
      </c>
      <c r="R334">
        <f>TRACKER!$Y336</f>
        <v/>
      </c>
      <c r="S334">
        <f>TRACKER!$Z336</f>
        <v/>
      </c>
      <c r="T334">
        <f>TRACKER!$X336</f>
        <v/>
      </c>
    </row>
    <row r="335">
      <c r="G335">
        <f>IF(OR(SETUP!$C$118="",$A$11="",$B$11&lt;&gt;"Equipment"),"","Equipment")</f>
        <v/>
      </c>
      <c r="H335">
        <f>IF($G335="","",SETUP!$C$118)</f>
        <v/>
      </c>
      <c r="I335">
        <f>IF($G335="","",$A$11)</f>
        <v/>
      </c>
      <c r="J335">
        <f>IF($G335="","",IF(COUNTIFS(DOC_TYPE,$I335,DOC_EQP,$H335,DOC_SCOPE,"Equipment",DOC_ACTIVE,1)+COUNTIFS(DOC_TYPE,$I335,DOC_SYS,SETUP!$B$118,DOC_SCOPE,"System",DOC_ACTIVE,1)+COUNTIFS(DOC_TYPE,$I335,DOC_SCOPE,"All",DOC_ACTIVE,1)&gt;0,"",IFERROR(IF($E$11&lt;&gt;"",$E$11-$C$11,SETUP!$D$118-$C$11),60000)+ROW()/1000000))</f>
        <v/>
      </c>
      <c r="L335">
        <f>IF(TRACKER!$A337="","","Document")</f>
        <v/>
      </c>
      <c r="M335">
        <f>IF($L335="","",TRACKER!$E337&amp;"  -  "&amp;TRACKER!$A337)</f>
        <v/>
      </c>
      <c r="N335">
        <f>IF($L335="","",IF(TRACKER!$B337="Equipment",TRACKER!$D337,IF(TRACKER!$B337="System",TRACKER!$C337,"Whole contract")))</f>
        <v/>
      </c>
      <c r="O335">
        <f>IF($L335="","",TRACKER!$F337)</f>
        <v/>
      </c>
      <c r="P335">
        <f>IF($L335="","",TRACKER!$K337)</f>
        <v/>
      </c>
      <c r="Q335">
        <f>IF($L335="","",TRACKER!$N337)</f>
        <v/>
      </c>
      <c r="R335">
        <f>TRACKER!$Y337</f>
        <v/>
      </c>
      <c r="S335">
        <f>TRACKER!$Z337</f>
        <v/>
      </c>
      <c r="T335">
        <f>TRACKER!$X337</f>
        <v/>
      </c>
    </row>
    <row r="336">
      <c r="G336">
        <f>IF(OR(SETUP!$C$118="",$A$12="",$B$12&lt;&gt;"Equipment"),"","Equipment")</f>
        <v/>
      </c>
      <c r="H336">
        <f>IF($G336="","",SETUP!$C$118)</f>
        <v/>
      </c>
      <c r="I336">
        <f>IF($G336="","",$A$12)</f>
        <v/>
      </c>
      <c r="J336">
        <f>IF($G336="","",IF(COUNTIFS(DOC_TYPE,$I336,DOC_EQP,$H336,DOC_SCOPE,"Equipment",DOC_ACTIVE,1)+COUNTIFS(DOC_TYPE,$I336,DOC_SYS,SETUP!$B$118,DOC_SCOPE,"System",DOC_ACTIVE,1)+COUNTIFS(DOC_TYPE,$I336,DOC_SCOPE,"All",DOC_ACTIVE,1)&gt;0,"",IFERROR(IF($E$12&lt;&gt;"",$E$12-$C$12,SETUP!$D$118-$C$12),60000)+ROW()/1000000))</f>
        <v/>
      </c>
      <c r="L336">
        <f>IF(TRACKER!$A338="","","Document")</f>
        <v/>
      </c>
      <c r="M336">
        <f>IF($L336="","",TRACKER!$E338&amp;"  -  "&amp;TRACKER!$A338)</f>
        <v/>
      </c>
      <c r="N336">
        <f>IF($L336="","",IF(TRACKER!$B338="Equipment",TRACKER!$D338,IF(TRACKER!$B338="System",TRACKER!$C338,"Whole contract")))</f>
        <v/>
      </c>
      <c r="O336">
        <f>IF($L336="","",TRACKER!$F338)</f>
        <v/>
      </c>
      <c r="P336">
        <f>IF($L336="","",TRACKER!$K338)</f>
        <v/>
      </c>
      <c r="Q336">
        <f>IF($L336="","",TRACKER!$N338)</f>
        <v/>
      </c>
      <c r="R336">
        <f>TRACKER!$Y338</f>
        <v/>
      </c>
      <c r="S336">
        <f>TRACKER!$Z338</f>
        <v/>
      </c>
      <c r="T336">
        <f>TRACKER!$X338</f>
        <v/>
      </c>
    </row>
    <row r="337">
      <c r="G337">
        <f>IF(OR(SETUP!$C$118="",$A$13="",$B$13&lt;&gt;"Equipment"),"","Equipment")</f>
        <v/>
      </c>
      <c r="H337">
        <f>IF($G337="","",SETUP!$C$118)</f>
        <v/>
      </c>
      <c r="I337">
        <f>IF($G337="","",$A$13)</f>
        <v/>
      </c>
      <c r="J337">
        <f>IF($G337="","",IF(COUNTIFS(DOC_TYPE,$I337,DOC_EQP,$H337,DOC_SCOPE,"Equipment",DOC_ACTIVE,1)+COUNTIFS(DOC_TYPE,$I337,DOC_SYS,SETUP!$B$118,DOC_SCOPE,"System",DOC_ACTIVE,1)+COUNTIFS(DOC_TYPE,$I337,DOC_SCOPE,"All",DOC_ACTIVE,1)&gt;0,"",IFERROR(IF($E$13&lt;&gt;"",$E$13-$C$13,SETUP!$D$118-$C$13),60000)+ROW()/1000000))</f>
        <v/>
      </c>
      <c r="L337">
        <f>IF(TRACKER!$A339="","","Document")</f>
        <v/>
      </c>
      <c r="M337">
        <f>IF($L337="","",TRACKER!$E339&amp;"  -  "&amp;TRACKER!$A339)</f>
        <v/>
      </c>
      <c r="N337">
        <f>IF($L337="","",IF(TRACKER!$B339="Equipment",TRACKER!$D339,IF(TRACKER!$B339="System",TRACKER!$C339,"Whole contract")))</f>
        <v/>
      </c>
      <c r="O337">
        <f>IF($L337="","",TRACKER!$F339)</f>
        <v/>
      </c>
      <c r="P337">
        <f>IF($L337="","",TRACKER!$K339)</f>
        <v/>
      </c>
      <c r="Q337">
        <f>IF($L337="","",TRACKER!$N339)</f>
        <v/>
      </c>
      <c r="R337">
        <f>TRACKER!$Y339</f>
        <v/>
      </c>
      <c r="S337">
        <f>TRACKER!$Z339</f>
        <v/>
      </c>
      <c r="T337">
        <f>TRACKER!$X339</f>
        <v/>
      </c>
    </row>
    <row r="338">
      <c r="G338">
        <f>IF(OR(SETUP!$C$119="",$A$2="",$B$2&lt;&gt;"Equipment"),"","Equipment")</f>
        <v/>
      </c>
      <c r="H338">
        <f>IF($G338="","",SETUP!$C$119)</f>
        <v/>
      </c>
      <c r="I338">
        <f>IF($G338="","",$A$2)</f>
        <v/>
      </c>
      <c r="J338">
        <f>IF($G338="","",IF(COUNTIFS(DOC_TYPE,$I338,DOC_EQP,$H338,DOC_SCOPE,"Equipment",DOC_ACTIVE,1)+COUNTIFS(DOC_TYPE,$I338,DOC_SYS,SETUP!$B$119,DOC_SCOPE,"System",DOC_ACTIVE,1)+COUNTIFS(DOC_TYPE,$I338,DOC_SCOPE,"All",DOC_ACTIVE,1)&gt;0,"",IFERROR(IF($E$2&lt;&gt;"",$E$2-$C$2,SETUP!$D$119-$C$2),60000)+ROW()/1000000))</f>
        <v/>
      </c>
      <c r="L338">
        <f>IF(TRACKER!$A340="","","Document")</f>
        <v/>
      </c>
      <c r="M338">
        <f>IF($L338="","",TRACKER!$E340&amp;"  -  "&amp;TRACKER!$A340)</f>
        <v/>
      </c>
      <c r="N338">
        <f>IF($L338="","",IF(TRACKER!$B340="Equipment",TRACKER!$D340,IF(TRACKER!$B340="System",TRACKER!$C340,"Whole contract")))</f>
        <v/>
      </c>
      <c r="O338">
        <f>IF($L338="","",TRACKER!$F340)</f>
        <v/>
      </c>
      <c r="P338">
        <f>IF($L338="","",TRACKER!$K340)</f>
        <v/>
      </c>
      <c r="Q338">
        <f>IF($L338="","",TRACKER!$N340)</f>
        <v/>
      </c>
      <c r="R338">
        <f>TRACKER!$Y340</f>
        <v/>
      </c>
      <c r="S338">
        <f>TRACKER!$Z340</f>
        <v/>
      </c>
      <c r="T338">
        <f>TRACKER!$X340</f>
        <v/>
      </c>
    </row>
    <row r="339">
      <c r="G339">
        <f>IF(OR(SETUP!$C$119="",$A$3="",$B$3&lt;&gt;"Equipment"),"","Equipment")</f>
        <v/>
      </c>
      <c r="H339">
        <f>IF($G339="","",SETUP!$C$119)</f>
        <v/>
      </c>
      <c r="I339">
        <f>IF($G339="","",$A$3)</f>
        <v/>
      </c>
      <c r="J339">
        <f>IF($G339="","",IF(COUNTIFS(DOC_TYPE,$I339,DOC_EQP,$H339,DOC_SCOPE,"Equipment",DOC_ACTIVE,1)+COUNTIFS(DOC_TYPE,$I339,DOC_SYS,SETUP!$B$119,DOC_SCOPE,"System",DOC_ACTIVE,1)+COUNTIFS(DOC_TYPE,$I339,DOC_SCOPE,"All",DOC_ACTIVE,1)&gt;0,"",IFERROR(IF($E$3&lt;&gt;"",$E$3-$C$3,SETUP!$D$119-$C$3),60000)+ROW()/1000000))</f>
        <v/>
      </c>
      <c r="L339">
        <f>IF(TRACKER!$A341="","","Document")</f>
        <v/>
      </c>
      <c r="M339">
        <f>IF($L339="","",TRACKER!$E341&amp;"  -  "&amp;TRACKER!$A341)</f>
        <v/>
      </c>
      <c r="N339">
        <f>IF($L339="","",IF(TRACKER!$B341="Equipment",TRACKER!$D341,IF(TRACKER!$B341="System",TRACKER!$C341,"Whole contract")))</f>
        <v/>
      </c>
      <c r="O339">
        <f>IF($L339="","",TRACKER!$F341)</f>
        <v/>
      </c>
      <c r="P339">
        <f>IF($L339="","",TRACKER!$K341)</f>
        <v/>
      </c>
      <c r="Q339">
        <f>IF($L339="","",TRACKER!$N341)</f>
        <v/>
      </c>
      <c r="R339">
        <f>TRACKER!$Y341</f>
        <v/>
      </c>
      <c r="S339">
        <f>TRACKER!$Z341</f>
        <v/>
      </c>
      <c r="T339">
        <f>TRACKER!$X341</f>
        <v/>
      </c>
    </row>
    <row r="340">
      <c r="G340">
        <f>IF(OR(SETUP!$C$119="",$A$4="",$B$4&lt;&gt;"Equipment"),"","Equipment")</f>
        <v/>
      </c>
      <c r="H340">
        <f>IF($G340="","",SETUP!$C$119)</f>
        <v/>
      </c>
      <c r="I340">
        <f>IF($G340="","",$A$4)</f>
        <v/>
      </c>
      <c r="J340">
        <f>IF($G340="","",IF(COUNTIFS(DOC_TYPE,$I340,DOC_EQP,$H340,DOC_SCOPE,"Equipment",DOC_ACTIVE,1)+COUNTIFS(DOC_TYPE,$I340,DOC_SYS,SETUP!$B$119,DOC_SCOPE,"System",DOC_ACTIVE,1)+COUNTIFS(DOC_TYPE,$I340,DOC_SCOPE,"All",DOC_ACTIVE,1)&gt;0,"",IFERROR(IF($E$4&lt;&gt;"",$E$4-$C$4,SETUP!$D$119-$C$4),60000)+ROW()/1000000))</f>
        <v/>
      </c>
      <c r="L340">
        <f>IF(TRACKER!$A342="","","Document")</f>
        <v/>
      </c>
      <c r="M340">
        <f>IF($L340="","",TRACKER!$E342&amp;"  -  "&amp;TRACKER!$A342)</f>
        <v/>
      </c>
      <c r="N340">
        <f>IF($L340="","",IF(TRACKER!$B342="Equipment",TRACKER!$D342,IF(TRACKER!$B342="System",TRACKER!$C342,"Whole contract")))</f>
        <v/>
      </c>
      <c r="O340">
        <f>IF($L340="","",TRACKER!$F342)</f>
        <v/>
      </c>
      <c r="P340">
        <f>IF($L340="","",TRACKER!$K342)</f>
        <v/>
      </c>
      <c r="Q340">
        <f>IF($L340="","",TRACKER!$N342)</f>
        <v/>
      </c>
      <c r="R340">
        <f>TRACKER!$Y342</f>
        <v/>
      </c>
      <c r="S340">
        <f>TRACKER!$Z342</f>
        <v/>
      </c>
      <c r="T340">
        <f>TRACKER!$X342</f>
        <v/>
      </c>
    </row>
    <row r="341">
      <c r="G341">
        <f>IF(OR(SETUP!$C$119="",$A$5="",$B$5&lt;&gt;"Equipment"),"","Equipment")</f>
        <v/>
      </c>
      <c r="H341">
        <f>IF($G341="","",SETUP!$C$119)</f>
        <v/>
      </c>
      <c r="I341">
        <f>IF($G341="","",$A$5)</f>
        <v/>
      </c>
      <c r="J341">
        <f>IF($G341="","",IF(COUNTIFS(DOC_TYPE,$I341,DOC_EQP,$H341,DOC_SCOPE,"Equipment",DOC_ACTIVE,1)+COUNTIFS(DOC_TYPE,$I341,DOC_SYS,SETUP!$B$119,DOC_SCOPE,"System",DOC_ACTIVE,1)+COUNTIFS(DOC_TYPE,$I341,DOC_SCOPE,"All",DOC_ACTIVE,1)&gt;0,"",IFERROR(IF($E$5&lt;&gt;"",$E$5-$C$5,SETUP!$D$119-$C$5),60000)+ROW()/1000000))</f>
        <v/>
      </c>
      <c r="L341">
        <f>IF(TRACKER!$A343="","","Document")</f>
        <v/>
      </c>
      <c r="M341">
        <f>IF($L341="","",TRACKER!$E343&amp;"  -  "&amp;TRACKER!$A343)</f>
        <v/>
      </c>
      <c r="N341">
        <f>IF($L341="","",IF(TRACKER!$B343="Equipment",TRACKER!$D343,IF(TRACKER!$B343="System",TRACKER!$C343,"Whole contract")))</f>
        <v/>
      </c>
      <c r="O341">
        <f>IF($L341="","",TRACKER!$F343)</f>
        <v/>
      </c>
      <c r="P341">
        <f>IF($L341="","",TRACKER!$K343)</f>
        <v/>
      </c>
      <c r="Q341">
        <f>IF($L341="","",TRACKER!$N343)</f>
        <v/>
      </c>
      <c r="R341">
        <f>TRACKER!$Y343</f>
        <v/>
      </c>
      <c r="S341">
        <f>TRACKER!$Z343</f>
        <v/>
      </c>
      <c r="T341">
        <f>TRACKER!$X343</f>
        <v/>
      </c>
    </row>
    <row r="342">
      <c r="G342">
        <f>IF(OR(SETUP!$C$119="",$A$6="",$B$6&lt;&gt;"Equipment"),"","Equipment")</f>
        <v/>
      </c>
      <c r="H342">
        <f>IF($G342="","",SETUP!$C$119)</f>
        <v/>
      </c>
      <c r="I342">
        <f>IF($G342="","",$A$6)</f>
        <v/>
      </c>
      <c r="J342">
        <f>IF($G342="","",IF(COUNTIFS(DOC_TYPE,$I342,DOC_EQP,$H342,DOC_SCOPE,"Equipment",DOC_ACTIVE,1)+COUNTIFS(DOC_TYPE,$I342,DOC_SYS,SETUP!$B$119,DOC_SCOPE,"System",DOC_ACTIVE,1)+COUNTIFS(DOC_TYPE,$I342,DOC_SCOPE,"All",DOC_ACTIVE,1)&gt;0,"",IFERROR(IF($E$6&lt;&gt;"",$E$6-$C$6,SETUP!$D$119-$C$6),60000)+ROW()/1000000))</f>
        <v/>
      </c>
      <c r="L342">
        <f>IF(TRACKER!$A344="","","Document")</f>
        <v/>
      </c>
      <c r="M342">
        <f>IF($L342="","",TRACKER!$E344&amp;"  -  "&amp;TRACKER!$A344)</f>
        <v/>
      </c>
      <c r="N342">
        <f>IF($L342="","",IF(TRACKER!$B344="Equipment",TRACKER!$D344,IF(TRACKER!$B344="System",TRACKER!$C344,"Whole contract")))</f>
        <v/>
      </c>
      <c r="O342">
        <f>IF($L342="","",TRACKER!$F344)</f>
        <v/>
      </c>
      <c r="P342">
        <f>IF($L342="","",TRACKER!$K344)</f>
        <v/>
      </c>
      <c r="Q342">
        <f>IF($L342="","",TRACKER!$N344)</f>
        <v/>
      </c>
      <c r="R342">
        <f>TRACKER!$Y344</f>
        <v/>
      </c>
      <c r="S342">
        <f>TRACKER!$Z344</f>
        <v/>
      </c>
      <c r="T342">
        <f>TRACKER!$X344</f>
        <v/>
      </c>
    </row>
    <row r="343">
      <c r="G343">
        <f>IF(OR(SETUP!$C$119="",$A$7="",$B$7&lt;&gt;"Equipment"),"","Equipment")</f>
        <v/>
      </c>
      <c r="H343">
        <f>IF($G343="","",SETUP!$C$119)</f>
        <v/>
      </c>
      <c r="I343">
        <f>IF($G343="","",$A$7)</f>
        <v/>
      </c>
      <c r="J343">
        <f>IF($G343="","",IF(COUNTIFS(DOC_TYPE,$I343,DOC_EQP,$H343,DOC_SCOPE,"Equipment",DOC_ACTIVE,1)+COUNTIFS(DOC_TYPE,$I343,DOC_SYS,SETUP!$B$119,DOC_SCOPE,"System",DOC_ACTIVE,1)+COUNTIFS(DOC_TYPE,$I343,DOC_SCOPE,"All",DOC_ACTIVE,1)&gt;0,"",IFERROR(IF($E$7&lt;&gt;"",$E$7-$C$7,SETUP!$D$119-$C$7),60000)+ROW()/1000000))</f>
        <v/>
      </c>
      <c r="L343">
        <f>IF(TRACKER!$A345="","","Document")</f>
        <v/>
      </c>
      <c r="M343">
        <f>IF($L343="","",TRACKER!$E345&amp;"  -  "&amp;TRACKER!$A345)</f>
        <v/>
      </c>
      <c r="N343">
        <f>IF($L343="","",IF(TRACKER!$B345="Equipment",TRACKER!$D345,IF(TRACKER!$B345="System",TRACKER!$C345,"Whole contract")))</f>
        <v/>
      </c>
      <c r="O343">
        <f>IF($L343="","",TRACKER!$F345)</f>
        <v/>
      </c>
      <c r="P343">
        <f>IF($L343="","",TRACKER!$K345)</f>
        <v/>
      </c>
      <c r="Q343">
        <f>IF($L343="","",TRACKER!$N345)</f>
        <v/>
      </c>
      <c r="R343">
        <f>TRACKER!$Y345</f>
        <v/>
      </c>
      <c r="S343">
        <f>TRACKER!$Z345</f>
        <v/>
      </c>
      <c r="T343">
        <f>TRACKER!$X345</f>
        <v/>
      </c>
    </row>
    <row r="344">
      <c r="G344">
        <f>IF(OR(SETUP!$C$119="",$A$8="",$B$8&lt;&gt;"Equipment"),"","Equipment")</f>
        <v/>
      </c>
      <c r="H344">
        <f>IF($G344="","",SETUP!$C$119)</f>
        <v/>
      </c>
      <c r="I344">
        <f>IF($G344="","",$A$8)</f>
        <v/>
      </c>
      <c r="J344">
        <f>IF($G344="","",IF(COUNTIFS(DOC_TYPE,$I344,DOC_EQP,$H344,DOC_SCOPE,"Equipment",DOC_ACTIVE,1)+COUNTIFS(DOC_TYPE,$I344,DOC_SYS,SETUP!$B$119,DOC_SCOPE,"System",DOC_ACTIVE,1)+COUNTIFS(DOC_TYPE,$I344,DOC_SCOPE,"All",DOC_ACTIVE,1)&gt;0,"",IFERROR(IF($E$8&lt;&gt;"",$E$8-$C$8,SETUP!$D$119-$C$8),60000)+ROW()/1000000))</f>
        <v/>
      </c>
      <c r="L344">
        <f>IF(TRACKER!$A346="","","Document")</f>
        <v/>
      </c>
      <c r="M344">
        <f>IF($L344="","",TRACKER!$E346&amp;"  -  "&amp;TRACKER!$A346)</f>
        <v/>
      </c>
      <c r="N344">
        <f>IF($L344="","",IF(TRACKER!$B346="Equipment",TRACKER!$D346,IF(TRACKER!$B346="System",TRACKER!$C346,"Whole contract")))</f>
        <v/>
      </c>
      <c r="O344">
        <f>IF($L344="","",TRACKER!$F346)</f>
        <v/>
      </c>
      <c r="P344">
        <f>IF($L344="","",TRACKER!$K346)</f>
        <v/>
      </c>
      <c r="Q344">
        <f>IF($L344="","",TRACKER!$N346)</f>
        <v/>
      </c>
      <c r="R344">
        <f>TRACKER!$Y346</f>
        <v/>
      </c>
      <c r="S344">
        <f>TRACKER!$Z346</f>
        <v/>
      </c>
      <c r="T344">
        <f>TRACKER!$X346</f>
        <v/>
      </c>
    </row>
    <row r="345">
      <c r="G345">
        <f>IF(OR(SETUP!$C$119="",$A$9="",$B$9&lt;&gt;"Equipment"),"","Equipment")</f>
        <v/>
      </c>
      <c r="H345">
        <f>IF($G345="","",SETUP!$C$119)</f>
        <v/>
      </c>
      <c r="I345">
        <f>IF($G345="","",$A$9)</f>
        <v/>
      </c>
      <c r="J345">
        <f>IF($G345="","",IF(COUNTIFS(DOC_TYPE,$I345,DOC_EQP,$H345,DOC_SCOPE,"Equipment",DOC_ACTIVE,1)+COUNTIFS(DOC_TYPE,$I345,DOC_SYS,SETUP!$B$119,DOC_SCOPE,"System",DOC_ACTIVE,1)+COUNTIFS(DOC_TYPE,$I345,DOC_SCOPE,"All",DOC_ACTIVE,1)&gt;0,"",IFERROR(IF($E$9&lt;&gt;"",$E$9-$C$9,SETUP!$D$119-$C$9),60000)+ROW()/1000000))</f>
        <v/>
      </c>
      <c r="L345">
        <f>IF(TRACKER!$A347="","","Document")</f>
        <v/>
      </c>
      <c r="M345">
        <f>IF($L345="","",TRACKER!$E347&amp;"  -  "&amp;TRACKER!$A347)</f>
        <v/>
      </c>
      <c r="N345">
        <f>IF($L345="","",IF(TRACKER!$B347="Equipment",TRACKER!$D347,IF(TRACKER!$B347="System",TRACKER!$C347,"Whole contract")))</f>
        <v/>
      </c>
      <c r="O345">
        <f>IF($L345="","",TRACKER!$F347)</f>
        <v/>
      </c>
      <c r="P345">
        <f>IF($L345="","",TRACKER!$K347)</f>
        <v/>
      </c>
      <c r="Q345">
        <f>IF($L345="","",TRACKER!$N347)</f>
        <v/>
      </c>
      <c r="R345">
        <f>TRACKER!$Y347</f>
        <v/>
      </c>
      <c r="S345">
        <f>TRACKER!$Z347</f>
        <v/>
      </c>
      <c r="T345">
        <f>TRACKER!$X347</f>
        <v/>
      </c>
    </row>
    <row r="346">
      <c r="G346">
        <f>IF(OR(SETUP!$C$119="",$A$10="",$B$10&lt;&gt;"Equipment"),"","Equipment")</f>
        <v/>
      </c>
      <c r="H346">
        <f>IF($G346="","",SETUP!$C$119)</f>
        <v/>
      </c>
      <c r="I346">
        <f>IF($G346="","",$A$10)</f>
        <v/>
      </c>
      <c r="J346">
        <f>IF($G346="","",IF(COUNTIFS(DOC_TYPE,$I346,DOC_EQP,$H346,DOC_SCOPE,"Equipment",DOC_ACTIVE,1)+COUNTIFS(DOC_TYPE,$I346,DOC_SYS,SETUP!$B$119,DOC_SCOPE,"System",DOC_ACTIVE,1)+COUNTIFS(DOC_TYPE,$I346,DOC_SCOPE,"All",DOC_ACTIVE,1)&gt;0,"",IFERROR(IF($E$10&lt;&gt;"",$E$10-$C$10,SETUP!$D$119-$C$10),60000)+ROW()/1000000))</f>
        <v/>
      </c>
      <c r="L346">
        <f>IF(TRACKER!$A348="","","Document")</f>
        <v/>
      </c>
      <c r="M346">
        <f>IF($L346="","",TRACKER!$E348&amp;"  -  "&amp;TRACKER!$A348)</f>
        <v/>
      </c>
      <c r="N346">
        <f>IF($L346="","",IF(TRACKER!$B348="Equipment",TRACKER!$D348,IF(TRACKER!$B348="System",TRACKER!$C348,"Whole contract")))</f>
        <v/>
      </c>
      <c r="O346">
        <f>IF($L346="","",TRACKER!$F348)</f>
        <v/>
      </c>
      <c r="P346">
        <f>IF($L346="","",TRACKER!$K348)</f>
        <v/>
      </c>
      <c r="Q346">
        <f>IF($L346="","",TRACKER!$N348)</f>
        <v/>
      </c>
      <c r="R346">
        <f>TRACKER!$Y348</f>
        <v/>
      </c>
      <c r="S346">
        <f>TRACKER!$Z348</f>
        <v/>
      </c>
      <c r="T346">
        <f>TRACKER!$X348</f>
        <v/>
      </c>
    </row>
    <row r="347">
      <c r="G347">
        <f>IF(OR(SETUP!$C$119="",$A$11="",$B$11&lt;&gt;"Equipment"),"","Equipment")</f>
        <v/>
      </c>
      <c r="H347">
        <f>IF($G347="","",SETUP!$C$119)</f>
        <v/>
      </c>
      <c r="I347">
        <f>IF($G347="","",$A$11)</f>
        <v/>
      </c>
      <c r="J347">
        <f>IF($G347="","",IF(COUNTIFS(DOC_TYPE,$I347,DOC_EQP,$H347,DOC_SCOPE,"Equipment",DOC_ACTIVE,1)+COUNTIFS(DOC_TYPE,$I347,DOC_SYS,SETUP!$B$119,DOC_SCOPE,"System",DOC_ACTIVE,1)+COUNTIFS(DOC_TYPE,$I347,DOC_SCOPE,"All",DOC_ACTIVE,1)&gt;0,"",IFERROR(IF($E$11&lt;&gt;"",$E$11-$C$11,SETUP!$D$119-$C$11),60000)+ROW()/1000000))</f>
        <v/>
      </c>
      <c r="L347">
        <f>IF(TRACKER!$A349="","","Document")</f>
        <v/>
      </c>
      <c r="M347">
        <f>IF($L347="","",TRACKER!$E349&amp;"  -  "&amp;TRACKER!$A349)</f>
        <v/>
      </c>
      <c r="N347">
        <f>IF($L347="","",IF(TRACKER!$B349="Equipment",TRACKER!$D349,IF(TRACKER!$B349="System",TRACKER!$C349,"Whole contract")))</f>
        <v/>
      </c>
      <c r="O347">
        <f>IF($L347="","",TRACKER!$F349)</f>
        <v/>
      </c>
      <c r="P347">
        <f>IF($L347="","",TRACKER!$K349)</f>
        <v/>
      </c>
      <c r="Q347">
        <f>IF($L347="","",TRACKER!$N349)</f>
        <v/>
      </c>
      <c r="R347">
        <f>TRACKER!$Y349</f>
        <v/>
      </c>
      <c r="S347">
        <f>TRACKER!$Z349</f>
        <v/>
      </c>
      <c r="T347">
        <f>TRACKER!$X349</f>
        <v/>
      </c>
    </row>
    <row r="348">
      <c r="G348">
        <f>IF(OR(SETUP!$C$119="",$A$12="",$B$12&lt;&gt;"Equipment"),"","Equipment")</f>
        <v/>
      </c>
      <c r="H348">
        <f>IF($G348="","",SETUP!$C$119)</f>
        <v/>
      </c>
      <c r="I348">
        <f>IF($G348="","",$A$12)</f>
        <v/>
      </c>
      <c r="J348">
        <f>IF($G348="","",IF(COUNTIFS(DOC_TYPE,$I348,DOC_EQP,$H348,DOC_SCOPE,"Equipment",DOC_ACTIVE,1)+COUNTIFS(DOC_TYPE,$I348,DOC_SYS,SETUP!$B$119,DOC_SCOPE,"System",DOC_ACTIVE,1)+COUNTIFS(DOC_TYPE,$I348,DOC_SCOPE,"All",DOC_ACTIVE,1)&gt;0,"",IFERROR(IF($E$12&lt;&gt;"",$E$12-$C$12,SETUP!$D$119-$C$12),60000)+ROW()/1000000))</f>
        <v/>
      </c>
      <c r="L348">
        <f>IF(TRACKER!$A350="","","Document")</f>
        <v/>
      </c>
      <c r="M348">
        <f>IF($L348="","",TRACKER!$E350&amp;"  -  "&amp;TRACKER!$A350)</f>
        <v/>
      </c>
      <c r="N348">
        <f>IF($L348="","",IF(TRACKER!$B350="Equipment",TRACKER!$D350,IF(TRACKER!$B350="System",TRACKER!$C350,"Whole contract")))</f>
        <v/>
      </c>
      <c r="O348">
        <f>IF($L348="","",TRACKER!$F350)</f>
        <v/>
      </c>
      <c r="P348">
        <f>IF($L348="","",TRACKER!$K350)</f>
        <v/>
      </c>
      <c r="Q348">
        <f>IF($L348="","",TRACKER!$N350)</f>
        <v/>
      </c>
      <c r="R348">
        <f>TRACKER!$Y350</f>
        <v/>
      </c>
      <c r="S348">
        <f>TRACKER!$Z350</f>
        <v/>
      </c>
      <c r="T348">
        <f>TRACKER!$X350</f>
        <v/>
      </c>
    </row>
    <row r="349">
      <c r="G349">
        <f>IF(OR(SETUP!$C$119="",$A$13="",$B$13&lt;&gt;"Equipment"),"","Equipment")</f>
        <v/>
      </c>
      <c r="H349">
        <f>IF($G349="","",SETUP!$C$119)</f>
        <v/>
      </c>
      <c r="I349">
        <f>IF($G349="","",$A$13)</f>
        <v/>
      </c>
      <c r="J349">
        <f>IF($G349="","",IF(COUNTIFS(DOC_TYPE,$I349,DOC_EQP,$H349,DOC_SCOPE,"Equipment",DOC_ACTIVE,1)+COUNTIFS(DOC_TYPE,$I349,DOC_SYS,SETUP!$B$119,DOC_SCOPE,"System",DOC_ACTIVE,1)+COUNTIFS(DOC_TYPE,$I349,DOC_SCOPE,"All",DOC_ACTIVE,1)&gt;0,"",IFERROR(IF($E$13&lt;&gt;"",$E$13-$C$13,SETUP!$D$119-$C$13),60000)+ROW()/1000000))</f>
        <v/>
      </c>
      <c r="L349">
        <f>IF(TRACKER!$A351="","","Document")</f>
        <v/>
      </c>
      <c r="M349">
        <f>IF($L349="","",TRACKER!$E351&amp;"  -  "&amp;TRACKER!$A351)</f>
        <v/>
      </c>
      <c r="N349">
        <f>IF($L349="","",IF(TRACKER!$B351="Equipment",TRACKER!$D351,IF(TRACKER!$B351="System",TRACKER!$C351,"Whole contract")))</f>
        <v/>
      </c>
      <c r="O349">
        <f>IF($L349="","",TRACKER!$F351)</f>
        <v/>
      </c>
      <c r="P349">
        <f>IF($L349="","",TRACKER!$K351)</f>
        <v/>
      </c>
      <c r="Q349">
        <f>IF($L349="","",TRACKER!$N351)</f>
        <v/>
      </c>
      <c r="R349">
        <f>TRACKER!$Y351</f>
        <v/>
      </c>
      <c r="S349">
        <f>TRACKER!$Z351</f>
        <v/>
      </c>
      <c r="T349">
        <f>TRACKER!$X351</f>
        <v/>
      </c>
    </row>
    <row r="350">
      <c r="G350">
        <f>IF(OR(SETUP!$C$120="",$A$2="",$B$2&lt;&gt;"Equipment"),"","Equipment")</f>
        <v/>
      </c>
      <c r="H350">
        <f>IF($G350="","",SETUP!$C$120)</f>
        <v/>
      </c>
      <c r="I350">
        <f>IF($G350="","",$A$2)</f>
        <v/>
      </c>
      <c r="J350">
        <f>IF($G350="","",IF(COUNTIFS(DOC_TYPE,$I350,DOC_EQP,$H350,DOC_SCOPE,"Equipment",DOC_ACTIVE,1)+COUNTIFS(DOC_TYPE,$I350,DOC_SYS,SETUP!$B$120,DOC_SCOPE,"System",DOC_ACTIVE,1)+COUNTIFS(DOC_TYPE,$I350,DOC_SCOPE,"All",DOC_ACTIVE,1)&gt;0,"",IFERROR(IF($E$2&lt;&gt;"",$E$2-$C$2,SETUP!$D$120-$C$2),60000)+ROW()/1000000))</f>
        <v/>
      </c>
      <c r="L350">
        <f>IF(TRACKER!$A352="","","Document")</f>
        <v/>
      </c>
      <c r="M350">
        <f>IF($L350="","",TRACKER!$E352&amp;"  -  "&amp;TRACKER!$A352)</f>
        <v/>
      </c>
      <c r="N350">
        <f>IF($L350="","",IF(TRACKER!$B352="Equipment",TRACKER!$D352,IF(TRACKER!$B352="System",TRACKER!$C352,"Whole contract")))</f>
        <v/>
      </c>
      <c r="O350">
        <f>IF($L350="","",TRACKER!$F352)</f>
        <v/>
      </c>
      <c r="P350">
        <f>IF($L350="","",TRACKER!$K352)</f>
        <v/>
      </c>
      <c r="Q350">
        <f>IF($L350="","",TRACKER!$N352)</f>
        <v/>
      </c>
      <c r="R350">
        <f>TRACKER!$Y352</f>
        <v/>
      </c>
      <c r="S350">
        <f>TRACKER!$Z352</f>
        <v/>
      </c>
      <c r="T350">
        <f>TRACKER!$X352</f>
        <v/>
      </c>
    </row>
    <row r="351">
      <c r="G351">
        <f>IF(OR(SETUP!$C$120="",$A$3="",$B$3&lt;&gt;"Equipment"),"","Equipment")</f>
        <v/>
      </c>
      <c r="H351">
        <f>IF($G351="","",SETUP!$C$120)</f>
        <v/>
      </c>
      <c r="I351">
        <f>IF($G351="","",$A$3)</f>
        <v/>
      </c>
      <c r="J351">
        <f>IF($G351="","",IF(COUNTIFS(DOC_TYPE,$I351,DOC_EQP,$H351,DOC_SCOPE,"Equipment",DOC_ACTIVE,1)+COUNTIFS(DOC_TYPE,$I351,DOC_SYS,SETUP!$B$120,DOC_SCOPE,"System",DOC_ACTIVE,1)+COUNTIFS(DOC_TYPE,$I351,DOC_SCOPE,"All",DOC_ACTIVE,1)&gt;0,"",IFERROR(IF($E$3&lt;&gt;"",$E$3-$C$3,SETUP!$D$120-$C$3),60000)+ROW()/1000000))</f>
        <v/>
      </c>
      <c r="L351">
        <f>IF(TRACKER!$A353="","","Document")</f>
        <v/>
      </c>
      <c r="M351">
        <f>IF($L351="","",TRACKER!$E353&amp;"  -  "&amp;TRACKER!$A353)</f>
        <v/>
      </c>
      <c r="N351">
        <f>IF($L351="","",IF(TRACKER!$B353="Equipment",TRACKER!$D353,IF(TRACKER!$B353="System",TRACKER!$C353,"Whole contract")))</f>
        <v/>
      </c>
      <c r="O351">
        <f>IF($L351="","",TRACKER!$F353)</f>
        <v/>
      </c>
      <c r="P351">
        <f>IF($L351="","",TRACKER!$K353)</f>
        <v/>
      </c>
      <c r="Q351">
        <f>IF($L351="","",TRACKER!$N353)</f>
        <v/>
      </c>
      <c r="R351">
        <f>TRACKER!$Y353</f>
        <v/>
      </c>
      <c r="S351">
        <f>TRACKER!$Z353</f>
        <v/>
      </c>
      <c r="T351">
        <f>TRACKER!$X353</f>
        <v/>
      </c>
    </row>
    <row r="352">
      <c r="G352">
        <f>IF(OR(SETUP!$C$120="",$A$4="",$B$4&lt;&gt;"Equipment"),"","Equipment")</f>
        <v/>
      </c>
      <c r="H352">
        <f>IF($G352="","",SETUP!$C$120)</f>
        <v/>
      </c>
      <c r="I352">
        <f>IF($G352="","",$A$4)</f>
        <v/>
      </c>
      <c r="J352">
        <f>IF($G352="","",IF(COUNTIFS(DOC_TYPE,$I352,DOC_EQP,$H352,DOC_SCOPE,"Equipment",DOC_ACTIVE,1)+COUNTIFS(DOC_TYPE,$I352,DOC_SYS,SETUP!$B$120,DOC_SCOPE,"System",DOC_ACTIVE,1)+COUNTIFS(DOC_TYPE,$I352,DOC_SCOPE,"All",DOC_ACTIVE,1)&gt;0,"",IFERROR(IF($E$4&lt;&gt;"",$E$4-$C$4,SETUP!$D$120-$C$4),60000)+ROW()/1000000))</f>
        <v/>
      </c>
      <c r="L352">
        <f>IF(TRACKER!$A354="","","Document")</f>
        <v/>
      </c>
      <c r="M352">
        <f>IF($L352="","",TRACKER!$E354&amp;"  -  "&amp;TRACKER!$A354)</f>
        <v/>
      </c>
      <c r="N352">
        <f>IF($L352="","",IF(TRACKER!$B354="Equipment",TRACKER!$D354,IF(TRACKER!$B354="System",TRACKER!$C354,"Whole contract")))</f>
        <v/>
      </c>
      <c r="O352">
        <f>IF($L352="","",TRACKER!$F354)</f>
        <v/>
      </c>
      <c r="P352">
        <f>IF($L352="","",TRACKER!$K354)</f>
        <v/>
      </c>
      <c r="Q352">
        <f>IF($L352="","",TRACKER!$N354)</f>
        <v/>
      </c>
      <c r="R352">
        <f>TRACKER!$Y354</f>
        <v/>
      </c>
      <c r="S352">
        <f>TRACKER!$Z354</f>
        <v/>
      </c>
      <c r="T352">
        <f>TRACKER!$X354</f>
        <v/>
      </c>
    </row>
    <row r="353">
      <c r="G353">
        <f>IF(OR(SETUP!$C$120="",$A$5="",$B$5&lt;&gt;"Equipment"),"","Equipment")</f>
        <v/>
      </c>
      <c r="H353">
        <f>IF($G353="","",SETUP!$C$120)</f>
        <v/>
      </c>
      <c r="I353">
        <f>IF($G353="","",$A$5)</f>
        <v/>
      </c>
      <c r="J353">
        <f>IF($G353="","",IF(COUNTIFS(DOC_TYPE,$I353,DOC_EQP,$H353,DOC_SCOPE,"Equipment",DOC_ACTIVE,1)+COUNTIFS(DOC_TYPE,$I353,DOC_SYS,SETUP!$B$120,DOC_SCOPE,"System",DOC_ACTIVE,1)+COUNTIFS(DOC_TYPE,$I353,DOC_SCOPE,"All",DOC_ACTIVE,1)&gt;0,"",IFERROR(IF($E$5&lt;&gt;"",$E$5-$C$5,SETUP!$D$120-$C$5),60000)+ROW()/1000000))</f>
        <v/>
      </c>
      <c r="L353">
        <f>IF(TRACKER!$A355="","","Document")</f>
        <v/>
      </c>
      <c r="M353">
        <f>IF($L353="","",TRACKER!$E355&amp;"  -  "&amp;TRACKER!$A355)</f>
        <v/>
      </c>
      <c r="N353">
        <f>IF($L353="","",IF(TRACKER!$B355="Equipment",TRACKER!$D355,IF(TRACKER!$B355="System",TRACKER!$C355,"Whole contract")))</f>
        <v/>
      </c>
      <c r="O353">
        <f>IF($L353="","",TRACKER!$F355)</f>
        <v/>
      </c>
      <c r="P353">
        <f>IF($L353="","",TRACKER!$K355)</f>
        <v/>
      </c>
      <c r="Q353">
        <f>IF($L353="","",TRACKER!$N355)</f>
        <v/>
      </c>
      <c r="R353">
        <f>TRACKER!$Y355</f>
        <v/>
      </c>
      <c r="S353">
        <f>TRACKER!$Z355</f>
        <v/>
      </c>
      <c r="T353">
        <f>TRACKER!$X355</f>
        <v/>
      </c>
    </row>
    <row r="354">
      <c r="G354">
        <f>IF(OR(SETUP!$C$120="",$A$6="",$B$6&lt;&gt;"Equipment"),"","Equipment")</f>
        <v/>
      </c>
      <c r="H354">
        <f>IF($G354="","",SETUP!$C$120)</f>
        <v/>
      </c>
      <c r="I354">
        <f>IF($G354="","",$A$6)</f>
        <v/>
      </c>
      <c r="J354">
        <f>IF($G354="","",IF(COUNTIFS(DOC_TYPE,$I354,DOC_EQP,$H354,DOC_SCOPE,"Equipment",DOC_ACTIVE,1)+COUNTIFS(DOC_TYPE,$I354,DOC_SYS,SETUP!$B$120,DOC_SCOPE,"System",DOC_ACTIVE,1)+COUNTIFS(DOC_TYPE,$I354,DOC_SCOPE,"All",DOC_ACTIVE,1)&gt;0,"",IFERROR(IF($E$6&lt;&gt;"",$E$6-$C$6,SETUP!$D$120-$C$6),60000)+ROW()/1000000))</f>
        <v/>
      </c>
      <c r="L354">
        <f>IF(TRACKER!$A356="","","Document")</f>
        <v/>
      </c>
      <c r="M354">
        <f>IF($L354="","",TRACKER!$E356&amp;"  -  "&amp;TRACKER!$A356)</f>
        <v/>
      </c>
      <c r="N354">
        <f>IF($L354="","",IF(TRACKER!$B356="Equipment",TRACKER!$D356,IF(TRACKER!$B356="System",TRACKER!$C356,"Whole contract")))</f>
        <v/>
      </c>
      <c r="O354">
        <f>IF($L354="","",TRACKER!$F356)</f>
        <v/>
      </c>
      <c r="P354">
        <f>IF($L354="","",TRACKER!$K356)</f>
        <v/>
      </c>
      <c r="Q354">
        <f>IF($L354="","",TRACKER!$N356)</f>
        <v/>
      </c>
      <c r="R354">
        <f>TRACKER!$Y356</f>
        <v/>
      </c>
      <c r="S354">
        <f>TRACKER!$Z356</f>
        <v/>
      </c>
      <c r="T354">
        <f>TRACKER!$X356</f>
        <v/>
      </c>
    </row>
    <row r="355">
      <c r="G355">
        <f>IF(OR(SETUP!$C$120="",$A$7="",$B$7&lt;&gt;"Equipment"),"","Equipment")</f>
        <v/>
      </c>
      <c r="H355">
        <f>IF($G355="","",SETUP!$C$120)</f>
        <v/>
      </c>
      <c r="I355">
        <f>IF($G355="","",$A$7)</f>
        <v/>
      </c>
      <c r="J355">
        <f>IF($G355="","",IF(COUNTIFS(DOC_TYPE,$I355,DOC_EQP,$H355,DOC_SCOPE,"Equipment",DOC_ACTIVE,1)+COUNTIFS(DOC_TYPE,$I355,DOC_SYS,SETUP!$B$120,DOC_SCOPE,"System",DOC_ACTIVE,1)+COUNTIFS(DOC_TYPE,$I355,DOC_SCOPE,"All",DOC_ACTIVE,1)&gt;0,"",IFERROR(IF($E$7&lt;&gt;"",$E$7-$C$7,SETUP!$D$120-$C$7),60000)+ROW()/1000000))</f>
        <v/>
      </c>
      <c r="L355">
        <f>IF(TRACKER!$A357="","","Document")</f>
        <v/>
      </c>
      <c r="M355">
        <f>IF($L355="","",TRACKER!$E357&amp;"  -  "&amp;TRACKER!$A357)</f>
        <v/>
      </c>
      <c r="N355">
        <f>IF($L355="","",IF(TRACKER!$B357="Equipment",TRACKER!$D357,IF(TRACKER!$B357="System",TRACKER!$C357,"Whole contract")))</f>
        <v/>
      </c>
      <c r="O355">
        <f>IF($L355="","",TRACKER!$F357)</f>
        <v/>
      </c>
      <c r="P355">
        <f>IF($L355="","",TRACKER!$K357)</f>
        <v/>
      </c>
      <c r="Q355">
        <f>IF($L355="","",TRACKER!$N357)</f>
        <v/>
      </c>
      <c r="R355">
        <f>TRACKER!$Y357</f>
        <v/>
      </c>
      <c r="S355">
        <f>TRACKER!$Z357</f>
        <v/>
      </c>
      <c r="T355">
        <f>TRACKER!$X357</f>
        <v/>
      </c>
    </row>
    <row r="356">
      <c r="G356">
        <f>IF(OR(SETUP!$C$120="",$A$8="",$B$8&lt;&gt;"Equipment"),"","Equipment")</f>
        <v/>
      </c>
      <c r="H356">
        <f>IF($G356="","",SETUP!$C$120)</f>
        <v/>
      </c>
      <c r="I356">
        <f>IF($G356="","",$A$8)</f>
        <v/>
      </c>
      <c r="J356">
        <f>IF($G356="","",IF(COUNTIFS(DOC_TYPE,$I356,DOC_EQP,$H356,DOC_SCOPE,"Equipment",DOC_ACTIVE,1)+COUNTIFS(DOC_TYPE,$I356,DOC_SYS,SETUP!$B$120,DOC_SCOPE,"System",DOC_ACTIVE,1)+COUNTIFS(DOC_TYPE,$I356,DOC_SCOPE,"All",DOC_ACTIVE,1)&gt;0,"",IFERROR(IF($E$8&lt;&gt;"",$E$8-$C$8,SETUP!$D$120-$C$8),60000)+ROW()/1000000))</f>
        <v/>
      </c>
      <c r="L356">
        <f>IF(TRACKER!$A358="","","Document")</f>
        <v/>
      </c>
      <c r="M356">
        <f>IF($L356="","",TRACKER!$E358&amp;"  -  "&amp;TRACKER!$A358)</f>
        <v/>
      </c>
      <c r="N356">
        <f>IF($L356="","",IF(TRACKER!$B358="Equipment",TRACKER!$D358,IF(TRACKER!$B358="System",TRACKER!$C358,"Whole contract")))</f>
        <v/>
      </c>
      <c r="O356">
        <f>IF($L356="","",TRACKER!$F358)</f>
        <v/>
      </c>
      <c r="P356">
        <f>IF($L356="","",TRACKER!$K358)</f>
        <v/>
      </c>
      <c r="Q356">
        <f>IF($L356="","",TRACKER!$N358)</f>
        <v/>
      </c>
      <c r="R356">
        <f>TRACKER!$Y358</f>
        <v/>
      </c>
      <c r="S356">
        <f>TRACKER!$Z358</f>
        <v/>
      </c>
      <c r="T356">
        <f>TRACKER!$X358</f>
        <v/>
      </c>
    </row>
    <row r="357">
      <c r="G357">
        <f>IF(OR(SETUP!$C$120="",$A$9="",$B$9&lt;&gt;"Equipment"),"","Equipment")</f>
        <v/>
      </c>
      <c r="H357">
        <f>IF($G357="","",SETUP!$C$120)</f>
        <v/>
      </c>
      <c r="I357">
        <f>IF($G357="","",$A$9)</f>
        <v/>
      </c>
      <c r="J357">
        <f>IF($G357="","",IF(COUNTIFS(DOC_TYPE,$I357,DOC_EQP,$H357,DOC_SCOPE,"Equipment",DOC_ACTIVE,1)+COUNTIFS(DOC_TYPE,$I357,DOC_SYS,SETUP!$B$120,DOC_SCOPE,"System",DOC_ACTIVE,1)+COUNTIFS(DOC_TYPE,$I357,DOC_SCOPE,"All",DOC_ACTIVE,1)&gt;0,"",IFERROR(IF($E$9&lt;&gt;"",$E$9-$C$9,SETUP!$D$120-$C$9),60000)+ROW()/1000000))</f>
        <v/>
      </c>
      <c r="L357">
        <f>IF(TRACKER!$A359="","","Document")</f>
        <v/>
      </c>
      <c r="M357">
        <f>IF($L357="","",TRACKER!$E359&amp;"  -  "&amp;TRACKER!$A359)</f>
        <v/>
      </c>
      <c r="N357">
        <f>IF($L357="","",IF(TRACKER!$B359="Equipment",TRACKER!$D359,IF(TRACKER!$B359="System",TRACKER!$C359,"Whole contract")))</f>
        <v/>
      </c>
      <c r="O357">
        <f>IF($L357="","",TRACKER!$F359)</f>
        <v/>
      </c>
      <c r="P357">
        <f>IF($L357="","",TRACKER!$K359)</f>
        <v/>
      </c>
      <c r="Q357">
        <f>IF($L357="","",TRACKER!$N359)</f>
        <v/>
      </c>
      <c r="R357">
        <f>TRACKER!$Y359</f>
        <v/>
      </c>
      <c r="S357">
        <f>TRACKER!$Z359</f>
        <v/>
      </c>
      <c r="T357">
        <f>TRACKER!$X359</f>
        <v/>
      </c>
    </row>
    <row r="358">
      <c r="G358">
        <f>IF(OR(SETUP!$C$120="",$A$10="",$B$10&lt;&gt;"Equipment"),"","Equipment")</f>
        <v/>
      </c>
      <c r="H358">
        <f>IF($G358="","",SETUP!$C$120)</f>
        <v/>
      </c>
      <c r="I358">
        <f>IF($G358="","",$A$10)</f>
        <v/>
      </c>
      <c r="J358">
        <f>IF($G358="","",IF(COUNTIFS(DOC_TYPE,$I358,DOC_EQP,$H358,DOC_SCOPE,"Equipment",DOC_ACTIVE,1)+COUNTIFS(DOC_TYPE,$I358,DOC_SYS,SETUP!$B$120,DOC_SCOPE,"System",DOC_ACTIVE,1)+COUNTIFS(DOC_TYPE,$I358,DOC_SCOPE,"All",DOC_ACTIVE,1)&gt;0,"",IFERROR(IF($E$10&lt;&gt;"",$E$10-$C$10,SETUP!$D$120-$C$10),60000)+ROW()/1000000))</f>
        <v/>
      </c>
      <c r="L358">
        <f>IF(TRACKER!$A360="","","Document")</f>
        <v/>
      </c>
      <c r="M358">
        <f>IF($L358="","",TRACKER!$E360&amp;"  -  "&amp;TRACKER!$A360)</f>
        <v/>
      </c>
      <c r="N358">
        <f>IF($L358="","",IF(TRACKER!$B360="Equipment",TRACKER!$D360,IF(TRACKER!$B360="System",TRACKER!$C360,"Whole contract")))</f>
        <v/>
      </c>
      <c r="O358">
        <f>IF($L358="","",TRACKER!$F360)</f>
        <v/>
      </c>
      <c r="P358">
        <f>IF($L358="","",TRACKER!$K360)</f>
        <v/>
      </c>
      <c r="Q358">
        <f>IF($L358="","",TRACKER!$N360)</f>
        <v/>
      </c>
      <c r="R358">
        <f>TRACKER!$Y360</f>
        <v/>
      </c>
      <c r="S358">
        <f>TRACKER!$Z360</f>
        <v/>
      </c>
      <c r="T358">
        <f>TRACKER!$X360</f>
        <v/>
      </c>
    </row>
    <row r="359">
      <c r="G359">
        <f>IF(OR(SETUP!$C$120="",$A$11="",$B$11&lt;&gt;"Equipment"),"","Equipment")</f>
        <v/>
      </c>
      <c r="H359">
        <f>IF($G359="","",SETUP!$C$120)</f>
        <v/>
      </c>
      <c r="I359">
        <f>IF($G359="","",$A$11)</f>
        <v/>
      </c>
      <c r="J359">
        <f>IF($G359="","",IF(COUNTIFS(DOC_TYPE,$I359,DOC_EQP,$H359,DOC_SCOPE,"Equipment",DOC_ACTIVE,1)+COUNTIFS(DOC_TYPE,$I359,DOC_SYS,SETUP!$B$120,DOC_SCOPE,"System",DOC_ACTIVE,1)+COUNTIFS(DOC_TYPE,$I359,DOC_SCOPE,"All",DOC_ACTIVE,1)&gt;0,"",IFERROR(IF($E$11&lt;&gt;"",$E$11-$C$11,SETUP!$D$120-$C$11),60000)+ROW()/1000000))</f>
        <v/>
      </c>
      <c r="L359">
        <f>IF(TRACKER!$A361="","","Document")</f>
        <v/>
      </c>
      <c r="M359">
        <f>IF($L359="","",TRACKER!$E361&amp;"  -  "&amp;TRACKER!$A361)</f>
        <v/>
      </c>
      <c r="N359">
        <f>IF($L359="","",IF(TRACKER!$B361="Equipment",TRACKER!$D361,IF(TRACKER!$B361="System",TRACKER!$C361,"Whole contract")))</f>
        <v/>
      </c>
      <c r="O359">
        <f>IF($L359="","",TRACKER!$F361)</f>
        <v/>
      </c>
      <c r="P359">
        <f>IF($L359="","",TRACKER!$K361)</f>
        <v/>
      </c>
      <c r="Q359">
        <f>IF($L359="","",TRACKER!$N361)</f>
        <v/>
      </c>
      <c r="R359">
        <f>TRACKER!$Y361</f>
        <v/>
      </c>
      <c r="S359">
        <f>TRACKER!$Z361</f>
        <v/>
      </c>
      <c r="T359">
        <f>TRACKER!$X361</f>
        <v/>
      </c>
    </row>
    <row r="360">
      <c r="G360">
        <f>IF(OR(SETUP!$C$120="",$A$12="",$B$12&lt;&gt;"Equipment"),"","Equipment")</f>
        <v/>
      </c>
      <c r="H360">
        <f>IF($G360="","",SETUP!$C$120)</f>
        <v/>
      </c>
      <c r="I360">
        <f>IF($G360="","",$A$12)</f>
        <v/>
      </c>
      <c r="J360">
        <f>IF($G360="","",IF(COUNTIFS(DOC_TYPE,$I360,DOC_EQP,$H360,DOC_SCOPE,"Equipment",DOC_ACTIVE,1)+COUNTIFS(DOC_TYPE,$I360,DOC_SYS,SETUP!$B$120,DOC_SCOPE,"System",DOC_ACTIVE,1)+COUNTIFS(DOC_TYPE,$I360,DOC_SCOPE,"All",DOC_ACTIVE,1)&gt;0,"",IFERROR(IF($E$12&lt;&gt;"",$E$12-$C$12,SETUP!$D$120-$C$12),60000)+ROW()/1000000))</f>
        <v/>
      </c>
      <c r="L360">
        <f>IF(TRACKER!$A362="","","Document")</f>
        <v/>
      </c>
      <c r="M360">
        <f>IF($L360="","",TRACKER!$E362&amp;"  -  "&amp;TRACKER!$A362)</f>
        <v/>
      </c>
      <c r="N360">
        <f>IF($L360="","",IF(TRACKER!$B362="Equipment",TRACKER!$D362,IF(TRACKER!$B362="System",TRACKER!$C362,"Whole contract")))</f>
        <v/>
      </c>
      <c r="O360">
        <f>IF($L360="","",TRACKER!$F362)</f>
        <v/>
      </c>
      <c r="P360">
        <f>IF($L360="","",TRACKER!$K362)</f>
        <v/>
      </c>
      <c r="Q360">
        <f>IF($L360="","",TRACKER!$N362)</f>
        <v/>
      </c>
      <c r="R360">
        <f>TRACKER!$Y362</f>
        <v/>
      </c>
      <c r="S360">
        <f>TRACKER!$Z362</f>
        <v/>
      </c>
      <c r="T360">
        <f>TRACKER!$X362</f>
        <v/>
      </c>
    </row>
    <row r="361">
      <c r="G361">
        <f>IF(OR(SETUP!$C$120="",$A$13="",$B$13&lt;&gt;"Equipment"),"","Equipment")</f>
        <v/>
      </c>
      <c r="H361">
        <f>IF($G361="","",SETUP!$C$120)</f>
        <v/>
      </c>
      <c r="I361">
        <f>IF($G361="","",$A$13)</f>
        <v/>
      </c>
      <c r="J361">
        <f>IF($G361="","",IF(COUNTIFS(DOC_TYPE,$I361,DOC_EQP,$H361,DOC_SCOPE,"Equipment",DOC_ACTIVE,1)+COUNTIFS(DOC_TYPE,$I361,DOC_SYS,SETUP!$B$120,DOC_SCOPE,"System",DOC_ACTIVE,1)+COUNTIFS(DOC_TYPE,$I361,DOC_SCOPE,"All",DOC_ACTIVE,1)&gt;0,"",IFERROR(IF($E$13&lt;&gt;"",$E$13-$C$13,SETUP!$D$120-$C$13),60000)+ROW()/1000000))</f>
        <v/>
      </c>
      <c r="L361">
        <f>IF(TRACKER!$A363="","","Document")</f>
        <v/>
      </c>
      <c r="M361">
        <f>IF($L361="","",TRACKER!$E363&amp;"  -  "&amp;TRACKER!$A363)</f>
        <v/>
      </c>
      <c r="N361">
        <f>IF($L361="","",IF(TRACKER!$B363="Equipment",TRACKER!$D363,IF(TRACKER!$B363="System",TRACKER!$C363,"Whole contract")))</f>
        <v/>
      </c>
      <c r="O361">
        <f>IF($L361="","",TRACKER!$F363)</f>
        <v/>
      </c>
      <c r="P361">
        <f>IF($L361="","",TRACKER!$K363)</f>
        <v/>
      </c>
      <c r="Q361">
        <f>IF($L361="","",TRACKER!$N363)</f>
        <v/>
      </c>
      <c r="R361">
        <f>TRACKER!$Y363</f>
        <v/>
      </c>
      <c r="S361">
        <f>TRACKER!$Z363</f>
        <v/>
      </c>
      <c r="T361">
        <f>TRACKER!$X363</f>
        <v/>
      </c>
    </row>
    <row r="362">
      <c r="G362">
        <f>IF(OR(SETUP!$C$121="",$A$2="",$B$2&lt;&gt;"Equipment"),"","Equipment")</f>
        <v/>
      </c>
      <c r="H362">
        <f>IF($G362="","",SETUP!$C$121)</f>
        <v/>
      </c>
      <c r="I362">
        <f>IF($G362="","",$A$2)</f>
        <v/>
      </c>
      <c r="J362">
        <f>IF($G362="","",IF(COUNTIFS(DOC_TYPE,$I362,DOC_EQP,$H362,DOC_SCOPE,"Equipment",DOC_ACTIVE,1)+COUNTIFS(DOC_TYPE,$I362,DOC_SYS,SETUP!$B$121,DOC_SCOPE,"System",DOC_ACTIVE,1)+COUNTIFS(DOC_TYPE,$I362,DOC_SCOPE,"All",DOC_ACTIVE,1)&gt;0,"",IFERROR(IF($E$2&lt;&gt;"",$E$2-$C$2,SETUP!$D$121-$C$2),60000)+ROW()/1000000))</f>
        <v/>
      </c>
      <c r="L362">
        <f>IF(TRACKER!$A364="","","Document")</f>
        <v/>
      </c>
      <c r="M362">
        <f>IF($L362="","",TRACKER!$E364&amp;"  -  "&amp;TRACKER!$A364)</f>
        <v/>
      </c>
      <c r="N362">
        <f>IF($L362="","",IF(TRACKER!$B364="Equipment",TRACKER!$D364,IF(TRACKER!$B364="System",TRACKER!$C364,"Whole contract")))</f>
        <v/>
      </c>
      <c r="O362">
        <f>IF($L362="","",TRACKER!$F364)</f>
        <v/>
      </c>
      <c r="P362">
        <f>IF($L362="","",TRACKER!$K364)</f>
        <v/>
      </c>
      <c r="Q362">
        <f>IF($L362="","",TRACKER!$N364)</f>
        <v/>
      </c>
      <c r="R362">
        <f>TRACKER!$Y364</f>
        <v/>
      </c>
      <c r="S362">
        <f>TRACKER!$Z364</f>
        <v/>
      </c>
      <c r="T362">
        <f>TRACKER!$X364</f>
        <v/>
      </c>
    </row>
    <row r="363">
      <c r="G363">
        <f>IF(OR(SETUP!$C$121="",$A$3="",$B$3&lt;&gt;"Equipment"),"","Equipment")</f>
        <v/>
      </c>
      <c r="H363">
        <f>IF($G363="","",SETUP!$C$121)</f>
        <v/>
      </c>
      <c r="I363">
        <f>IF($G363="","",$A$3)</f>
        <v/>
      </c>
      <c r="J363">
        <f>IF($G363="","",IF(COUNTIFS(DOC_TYPE,$I363,DOC_EQP,$H363,DOC_SCOPE,"Equipment",DOC_ACTIVE,1)+COUNTIFS(DOC_TYPE,$I363,DOC_SYS,SETUP!$B$121,DOC_SCOPE,"System",DOC_ACTIVE,1)+COUNTIFS(DOC_TYPE,$I363,DOC_SCOPE,"All",DOC_ACTIVE,1)&gt;0,"",IFERROR(IF($E$3&lt;&gt;"",$E$3-$C$3,SETUP!$D$121-$C$3),60000)+ROW()/1000000))</f>
        <v/>
      </c>
      <c r="L363">
        <f>IF(TRACKER!$A365="","","Document")</f>
        <v/>
      </c>
      <c r="M363">
        <f>IF($L363="","",TRACKER!$E365&amp;"  -  "&amp;TRACKER!$A365)</f>
        <v/>
      </c>
      <c r="N363">
        <f>IF($L363="","",IF(TRACKER!$B365="Equipment",TRACKER!$D365,IF(TRACKER!$B365="System",TRACKER!$C365,"Whole contract")))</f>
        <v/>
      </c>
      <c r="O363">
        <f>IF($L363="","",TRACKER!$F365)</f>
        <v/>
      </c>
      <c r="P363">
        <f>IF($L363="","",TRACKER!$K365)</f>
        <v/>
      </c>
      <c r="Q363">
        <f>IF($L363="","",TRACKER!$N365)</f>
        <v/>
      </c>
      <c r="R363">
        <f>TRACKER!$Y365</f>
        <v/>
      </c>
      <c r="S363">
        <f>TRACKER!$Z365</f>
        <v/>
      </c>
      <c r="T363">
        <f>TRACKER!$X365</f>
        <v/>
      </c>
    </row>
    <row r="364">
      <c r="G364">
        <f>IF(OR(SETUP!$C$121="",$A$4="",$B$4&lt;&gt;"Equipment"),"","Equipment")</f>
        <v/>
      </c>
      <c r="H364">
        <f>IF($G364="","",SETUP!$C$121)</f>
        <v/>
      </c>
      <c r="I364">
        <f>IF($G364="","",$A$4)</f>
        <v/>
      </c>
      <c r="J364">
        <f>IF($G364="","",IF(COUNTIFS(DOC_TYPE,$I364,DOC_EQP,$H364,DOC_SCOPE,"Equipment",DOC_ACTIVE,1)+COUNTIFS(DOC_TYPE,$I364,DOC_SYS,SETUP!$B$121,DOC_SCOPE,"System",DOC_ACTIVE,1)+COUNTIFS(DOC_TYPE,$I364,DOC_SCOPE,"All",DOC_ACTIVE,1)&gt;0,"",IFERROR(IF($E$4&lt;&gt;"",$E$4-$C$4,SETUP!$D$121-$C$4),60000)+ROW()/1000000))</f>
        <v/>
      </c>
      <c r="L364">
        <f>IF(TRACKER!$A366="","","Document")</f>
        <v/>
      </c>
      <c r="M364">
        <f>IF($L364="","",TRACKER!$E366&amp;"  -  "&amp;TRACKER!$A366)</f>
        <v/>
      </c>
      <c r="N364">
        <f>IF($L364="","",IF(TRACKER!$B366="Equipment",TRACKER!$D366,IF(TRACKER!$B366="System",TRACKER!$C366,"Whole contract")))</f>
        <v/>
      </c>
      <c r="O364">
        <f>IF($L364="","",TRACKER!$F366)</f>
        <v/>
      </c>
      <c r="P364">
        <f>IF($L364="","",TRACKER!$K366)</f>
        <v/>
      </c>
      <c r="Q364">
        <f>IF($L364="","",TRACKER!$N366)</f>
        <v/>
      </c>
      <c r="R364">
        <f>TRACKER!$Y366</f>
        <v/>
      </c>
      <c r="S364">
        <f>TRACKER!$Z366</f>
        <v/>
      </c>
      <c r="T364">
        <f>TRACKER!$X366</f>
        <v/>
      </c>
    </row>
    <row r="365">
      <c r="G365">
        <f>IF(OR(SETUP!$C$121="",$A$5="",$B$5&lt;&gt;"Equipment"),"","Equipment")</f>
        <v/>
      </c>
      <c r="H365">
        <f>IF($G365="","",SETUP!$C$121)</f>
        <v/>
      </c>
      <c r="I365">
        <f>IF($G365="","",$A$5)</f>
        <v/>
      </c>
      <c r="J365">
        <f>IF($G365="","",IF(COUNTIFS(DOC_TYPE,$I365,DOC_EQP,$H365,DOC_SCOPE,"Equipment",DOC_ACTIVE,1)+COUNTIFS(DOC_TYPE,$I365,DOC_SYS,SETUP!$B$121,DOC_SCOPE,"System",DOC_ACTIVE,1)+COUNTIFS(DOC_TYPE,$I365,DOC_SCOPE,"All",DOC_ACTIVE,1)&gt;0,"",IFERROR(IF($E$5&lt;&gt;"",$E$5-$C$5,SETUP!$D$121-$C$5),60000)+ROW()/1000000))</f>
        <v/>
      </c>
      <c r="L365">
        <f>IF(TRACKER!$A367="","","Document")</f>
        <v/>
      </c>
      <c r="M365">
        <f>IF($L365="","",TRACKER!$E367&amp;"  -  "&amp;TRACKER!$A367)</f>
        <v/>
      </c>
      <c r="N365">
        <f>IF($L365="","",IF(TRACKER!$B367="Equipment",TRACKER!$D367,IF(TRACKER!$B367="System",TRACKER!$C367,"Whole contract")))</f>
        <v/>
      </c>
      <c r="O365">
        <f>IF($L365="","",TRACKER!$F367)</f>
        <v/>
      </c>
      <c r="P365">
        <f>IF($L365="","",TRACKER!$K367)</f>
        <v/>
      </c>
      <c r="Q365">
        <f>IF($L365="","",TRACKER!$N367)</f>
        <v/>
      </c>
      <c r="R365">
        <f>TRACKER!$Y367</f>
        <v/>
      </c>
      <c r="S365">
        <f>TRACKER!$Z367</f>
        <v/>
      </c>
      <c r="T365">
        <f>TRACKER!$X367</f>
        <v/>
      </c>
    </row>
    <row r="366">
      <c r="G366">
        <f>IF(OR(SETUP!$C$121="",$A$6="",$B$6&lt;&gt;"Equipment"),"","Equipment")</f>
        <v/>
      </c>
      <c r="H366">
        <f>IF($G366="","",SETUP!$C$121)</f>
        <v/>
      </c>
      <c r="I366">
        <f>IF($G366="","",$A$6)</f>
        <v/>
      </c>
      <c r="J366">
        <f>IF($G366="","",IF(COUNTIFS(DOC_TYPE,$I366,DOC_EQP,$H366,DOC_SCOPE,"Equipment",DOC_ACTIVE,1)+COUNTIFS(DOC_TYPE,$I366,DOC_SYS,SETUP!$B$121,DOC_SCOPE,"System",DOC_ACTIVE,1)+COUNTIFS(DOC_TYPE,$I366,DOC_SCOPE,"All",DOC_ACTIVE,1)&gt;0,"",IFERROR(IF($E$6&lt;&gt;"",$E$6-$C$6,SETUP!$D$121-$C$6),60000)+ROW()/1000000))</f>
        <v/>
      </c>
      <c r="L366">
        <f>IF(TRACKER!$A368="","","Document")</f>
        <v/>
      </c>
      <c r="M366">
        <f>IF($L366="","",TRACKER!$E368&amp;"  -  "&amp;TRACKER!$A368)</f>
        <v/>
      </c>
      <c r="N366">
        <f>IF($L366="","",IF(TRACKER!$B368="Equipment",TRACKER!$D368,IF(TRACKER!$B368="System",TRACKER!$C368,"Whole contract")))</f>
        <v/>
      </c>
      <c r="O366">
        <f>IF($L366="","",TRACKER!$F368)</f>
        <v/>
      </c>
      <c r="P366">
        <f>IF($L366="","",TRACKER!$K368)</f>
        <v/>
      </c>
      <c r="Q366">
        <f>IF($L366="","",TRACKER!$N368)</f>
        <v/>
      </c>
      <c r="R366">
        <f>TRACKER!$Y368</f>
        <v/>
      </c>
      <c r="S366">
        <f>TRACKER!$Z368</f>
        <v/>
      </c>
      <c r="T366">
        <f>TRACKER!$X368</f>
        <v/>
      </c>
    </row>
    <row r="367">
      <c r="G367">
        <f>IF(OR(SETUP!$C$121="",$A$7="",$B$7&lt;&gt;"Equipment"),"","Equipment")</f>
        <v/>
      </c>
      <c r="H367">
        <f>IF($G367="","",SETUP!$C$121)</f>
        <v/>
      </c>
      <c r="I367">
        <f>IF($G367="","",$A$7)</f>
        <v/>
      </c>
      <c r="J367">
        <f>IF($G367="","",IF(COUNTIFS(DOC_TYPE,$I367,DOC_EQP,$H367,DOC_SCOPE,"Equipment",DOC_ACTIVE,1)+COUNTIFS(DOC_TYPE,$I367,DOC_SYS,SETUP!$B$121,DOC_SCOPE,"System",DOC_ACTIVE,1)+COUNTIFS(DOC_TYPE,$I367,DOC_SCOPE,"All",DOC_ACTIVE,1)&gt;0,"",IFERROR(IF($E$7&lt;&gt;"",$E$7-$C$7,SETUP!$D$121-$C$7),60000)+ROW()/1000000))</f>
        <v/>
      </c>
      <c r="L367">
        <f>IF(TRACKER!$A369="","","Document")</f>
        <v/>
      </c>
      <c r="M367">
        <f>IF($L367="","",TRACKER!$E369&amp;"  -  "&amp;TRACKER!$A369)</f>
        <v/>
      </c>
      <c r="N367">
        <f>IF($L367="","",IF(TRACKER!$B369="Equipment",TRACKER!$D369,IF(TRACKER!$B369="System",TRACKER!$C369,"Whole contract")))</f>
        <v/>
      </c>
      <c r="O367">
        <f>IF($L367="","",TRACKER!$F369)</f>
        <v/>
      </c>
      <c r="P367">
        <f>IF($L367="","",TRACKER!$K369)</f>
        <v/>
      </c>
      <c r="Q367">
        <f>IF($L367="","",TRACKER!$N369)</f>
        <v/>
      </c>
      <c r="R367">
        <f>TRACKER!$Y369</f>
        <v/>
      </c>
      <c r="S367">
        <f>TRACKER!$Z369</f>
        <v/>
      </c>
      <c r="T367">
        <f>TRACKER!$X369</f>
        <v/>
      </c>
    </row>
    <row r="368">
      <c r="G368">
        <f>IF(OR(SETUP!$C$121="",$A$8="",$B$8&lt;&gt;"Equipment"),"","Equipment")</f>
        <v/>
      </c>
      <c r="H368">
        <f>IF($G368="","",SETUP!$C$121)</f>
        <v/>
      </c>
      <c r="I368">
        <f>IF($G368="","",$A$8)</f>
        <v/>
      </c>
      <c r="J368">
        <f>IF($G368="","",IF(COUNTIFS(DOC_TYPE,$I368,DOC_EQP,$H368,DOC_SCOPE,"Equipment",DOC_ACTIVE,1)+COUNTIFS(DOC_TYPE,$I368,DOC_SYS,SETUP!$B$121,DOC_SCOPE,"System",DOC_ACTIVE,1)+COUNTIFS(DOC_TYPE,$I368,DOC_SCOPE,"All",DOC_ACTIVE,1)&gt;0,"",IFERROR(IF($E$8&lt;&gt;"",$E$8-$C$8,SETUP!$D$121-$C$8),60000)+ROW()/1000000))</f>
        <v/>
      </c>
      <c r="L368">
        <f>IF(TRACKER!$A370="","","Document")</f>
        <v/>
      </c>
      <c r="M368">
        <f>IF($L368="","",TRACKER!$E370&amp;"  -  "&amp;TRACKER!$A370)</f>
        <v/>
      </c>
      <c r="N368">
        <f>IF($L368="","",IF(TRACKER!$B370="Equipment",TRACKER!$D370,IF(TRACKER!$B370="System",TRACKER!$C370,"Whole contract")))</f>
        <v/>
      </c>
      <c r="O368">
        <f>IF($L368="","",TRACKER!$F370)</f>
        <v/>
      </c>
      <c r="P368">
        <f>IF($L368="","",TRACKER!$K370)</f>
        <v/>
      </c>
      <c r="Q368">
        <f>IF($L368="","",TRACKER!$N370)</f>
        <v/>
      </c>
      <c r="R368">
        <f>TRACKER!$Y370</f>
        <v/>
      </c>
      <c r="S368">
        <f>TRACKER!$Z370</f>
        <v/>
      </c>
      <c r="T368">
        <f>TRACKER!$X370</f>
        <v/>
      </c>
    </row>
    <row r="369">
      <c r="G369">
        <f>IF(OR(SETUP!$C$121="",$A$9="",$B$9&lt;&gt;"Equipment"),"","Equipment")</f>
        <v/>
      </c>
      <c r="H369">
        <f>IF($G369="","",SETUP!$C$121)</f>
        <v/>
      </c>
      <c r="I369">
        <f>IF($G369="","",$A$9)</f>
        <v/>
      </c>
      <c r="J369">
        <f>IF($G369="","",IF(COUNTIFS(DOC_TYPE,$I369,DOC_EQP,$H369,DOC_SCOPE,"Equipment",DOC_ACTIVE,1)+COUNTIFS(DOC_TYPE,$I369,DOC_SYS,SETUP!$B$121,DOC_SCOPE,"System",DOC_ACTIVE,1)+COUNTIFS(DOC_TYPE,$I369,DOC_SCOPE,"All",DOC_ACTIVE,1)&gt;0,"",IFERROR(IF($E$9&lt;&gt;"",$E$9-$C$9,SETUP!$D$121-$C$9),60000)+ROW()/1000000))</f>
        <v/>
      </c>
      <c r="L369">
        <f>IF(TRACKER!$A371="","","Document")</f>
        <v/>
      </c>
      <c r="M369">
        <f>IF($L369="","",TRACKER!$E371&amp;"  -  "&amp;TRACKER!$A371)</f>
        <v/>
      </c>
      <c r="N369">
        <f>IF($L369="","",IF(TRACKER!$B371="Equipment",TRACKER!$D371,IF(TRACKER!$B371="System",TRACKER!$C371,"Whole contract")))</f>
        <v/>
      </c>
      <c r="O369">
        <f>IF($L369="","",TRACKER!$F371)</f>
        <v/>
      </c>
      <c r="P369">
        <f>IF($L369="","",TRACKER!$K371)</f>
        <v/>
      </c>
      <c r="Q369">
        <f>IF($L369="","",TRACKER!$N371)</f>
        <v/>
      </c>
      <c r="R369">
        <f>TRACKER!$Y371</f>
        <v/>
      </c>
      <c r="S369">
        <f>TRACKER!$Z371</f>
        <v/>
      </c>
      <c r="T369">
        <f>TRACKER!$X371</f>
        <v/>
      </c>
    </row>
    <row r="370">
      <c r="G370">
        <f>IF(OR(SETUP!$C$121="",$A$10="",$B$10&lt;&gt;"Equipment"),"","Equipment")</f>
        <v/>
      </c>
      <c r="H370">
        <f>IF($G370="","",SETUP!$C$121)</f>
        <v/>
      </c>
      <c r="I370">
        <f>IF($G370="","",$A$10)</f>
        <v/>
      </c>
      <c r="J370">
        <f>IF($G370="","",IF(COUNTIFS(DOC_TYPE,$I370,DOC_EQP,$H370,DOC_SCOPE,"Equipment",DOC_ACTIVE,1)+COUNTIFS(DOC_TYPE,$I370,DOC_SYS,SETUP!$B$121,DOC_SCOPE,"System",DOC_ACTIVE,1)+COUNTIFS(DOC_TYPE,$I370,DOC_SCOPE,"All",DOC_ACTIVE,1)&gt;0,"",IFERROR(IF($E$10&lt;&gt;"",$E$10-$C$10,SETUP!$D$121-$C$10),60000)+ROW()/1000000))</f>
        <v/>
      </c>
      <c r="L370">
        <f>IF(TRACKER!$A372="","","Document")</f>
        <v/>
      </c>
      <c r="M370">
        <f>IF($L370="","",TRACKER!$E372&amp;"  -  "&amp;TRACKER!$A372)</f>
        <v/>
      </c>
      <c r="N370">
        <f>IF($L370="","",IF(TRACKER!$B372="Equipment",TRACKER!$D372,IF(TRACKER!$B372="System",TRACKER!$C372,"Whole contract")))</f>
        <v/>
      </c>
      <c r="O370">
        <f>IF($L370="","",TRACKER!$F372)</f>
        <v/>
      </c>
      <c r="P370">
        <f>IF($L370="","",TRACKER!$K372)</f>
        <v/>
      </c>
      <c r="Q370">
        <f>IF($L370="","",TRACKER!$N372)</f>
        <v/>
      </c>
      <c r="R370">
        <f>TRACKER!$Y372</f>
        <v/>
      </c>
      <c r="S370">
        <f>TRACKER!$Z372</f>
        <v/>
      </c>
      <c r="T370">
        <f>TRACKER!$X372</f>
        <v/>
      </c>
    </row>
    <row r="371">
      <c r="G371">
        <f>IF(OR(SETUP!$C$121="",$A$11="",$B$11&lt;&gt;"Equipment"),"","Equipment")</f>
        <v/>
      </c>
      <c r="H371">
        <f>IF($G371="","",SETUP!$C$121)</f>
        <v/>
      </c>
      <c r="I371">
        <f>IF($G371="","",$A$11)</f>
        <v/>
      </c>
      <c r="J371">
        <f>IF($G371="","",IF(COUNTIFS(DOC_TYPE,$I371,DOC_EQP,$H371,DOC_SCOPE,"Equipment",DOC_ACTIVE,1)+COUNTIFS(DOC_TYPE,$I371,DOC_SYS,SETUP!$B$121,DOC_SCOPE,"System",DOC_ACTIVE,1)+COUNTIFS(DOC_TYPE,$I371,DOC_SCOPE,"All",DOC_ACTIVE,1)&gt;0,"",IFERROR(IF($E$11&lt;&gt;"",$E$11-$C$11,SETUP!$D$121-$C$11),60000)+ROW()/1000000))</f>
        <v/>
      </c>
      <c r="L371">
        <f>IF(TRACKER!$A373="","","Document")</f>
        <v/>
      </c>
      <c r="M371">
        <f>IF($L371="","",TRACKER!$E373&amp;"  -  "&amp;TRACKER!$A373)</f>
        <v/>
      </c>
      <c r="N371">
        <f>IF($L371="","",IF(TRACKER!$B373="Equipment",TRACKER!$D373,IF(TRACKER!$B373="System",TRACKER!$C373,"Whole contract")))</f>
        <v/>
      </c>
      <c r="O371">
        <f>IF($L371="","",TRACKER!$F373)</f>
        <v/>
      </c>
      <c r="P371">
        <f>IF($L371="","",TRACKER!$K373)</f>
        <v/>
      </c>
      <c r="Q371">
        <f>IF($L371="","",TRACKER!$N373)</f>
        <v/>
      </c>
      <c r="R371">
        <f>TRACKER!$Y373</f>
        <v/>
      </c>
      <c r="S371">
        <f>TRACKER!$Z373</f>
        <v/>
      </c>
      <c r="T371">
        <f>TRACKER!$X373</f>
        <v/>
      </c>
    </row>
    <row r="372">
      <c r="G372">
        <f>IF(OR(SETUP!$C$121="",$A$12="",$B$12&lt;&gt;"Equipment"),"","Equipment")</f>
        <v/>
      </c>
      <c r="H372">
        <f>IF($G372="","",SETUP!$C$121)</f>
        <v/>
      </c>
      <c r="I372">
        <f>IF($G372="","",$A$12)</f>
        <v/>
      </c>
      <c r="J372">
        <f>IF($G372="","",IF(COUNTIFS(DOC_TYPE,$I372,DOC_EQP,$H372,DOC_SCOPE,"Equipment",DOC_ACTIVE,1)+COUNTIFS(DOC_TYPE,$I372,DOC_SYS,SETUP!$B$121,DOC_SCOPE,"System",DOC_ACTIVE,1)+COUNTIFS(DOC_TYPE,$I372,DOC_SCOPE,"All",DOC_ACTIVE,1)&gt;0,"",IFERROR(IF($E$12&lt;&gt;"",$E$12-$C$12,SETUP!$D$121-$C$12),60000)+ROW()/1000000))</f>
        <v/>
      </c>
      <c r="L372">
        <f>IF(TRACKER!$A374="","","Document")</f>
        <v/>
      </c>
      <c r="M372">
        <f>IF($L372="","",TRACKER!$E374&amp;"  -  "&amp;TRACKER!$A374)</f>
        <v/>
      </c>
      <c r="N372">
        <f>IF($L372="","",IF(TRACKER!$B374="Equipment",TRACKER!$D374,IF(TRACKER!$B374="System",TRACKER!$C374,"Whole contract")))</f>
        <v/>
      </c>
      <c r="O372">
        <f>IF($L372="","",TRACKER!$F374)</f>
        <v/>
      </c>
      <c r="P372">
        <f>IF($L372="","",TRACKER!$K374)</f>
        <v/>
      </c>
      <c r="Q372">
        <f>IF($L372="","",TRACKER!$N374)</f>
        <v/>
      </c>
      <c r="R372">
        <f>TRACKER!$Y374</f>
        <v/>
      </c>
      <c r="S372">
        <f>TRACKER!$Z374</f>
        <v/>
      </c>
      <c r="T372">
        <f>TRACKER!$X374</f>
        <v/>
      </c>
    </row>
    <row r="373">
      <c r="G373">
        <f>IF(OR(SETUP!$C$121="",$A$13="",$B$13&lt;&gt;"Equipment"),"","Equipment")</f>
        <v/>
      </c>
      <c r="H373">
        <f>IF($G373="","",SETUP!$C$121)</f>
        <v/>
      </c>
      <c r="I373">
        <f>IF($G373="","",$A$13)</f>
        <v/>
      </c>
      <c r="J373">
        <f>IF($G373="","",IF(COUNTIFS(DOC_TYPE,$I373,DOC_EQP,$H373,DOC_SCOPE,"Equipment",DOC_ACTIVE,1)+COUNTIFS(DOC_TYPE,$I373,DOC_SYS,SETUP!$B$121,DOC_SCOPE,"System",DOC_ACTIVE,1)+COUNTIFS(DOC_TYPE,$I373,DOC_SCOPE,"All",DOC_ACTIVE,1)&gt;0,"",IFERROR(IF($E$13&lt;&gt;"",$E$13-$C$13,SETUP!$D$121-$C$13),60000)+ROW()/1000000))</f>
        <v/>
      </c>
      <c r="L373">
        <f>IF(TRACKER!$A375="","","Document")</f>
        <v/>
      </c>
      <c r="M373">
        <f>IF($L373="","",TRACKER!$E375&amp;"  -  "&amp;TRACKER!$A375)</f>
        <v/>
      </c>
      <c r="N373">
        <f>IF($L373="","",IF(TRACKER!$B375="Equipment",TRACKER!$D375,IF(TRACKER!$B375="System",TRACKER!$C375,"Whole contract")))</f>
        <v/>
      </c>
      <c r="O373">
        <f>IF($L373="","",TRACKER!$F375)</f>
        <v/>
      </c>
      <c r="P373">
        <f>IF($L373="","",TRACKER!$K375)</f>
        <v/>
      </c>
      <c r="Q373">
        <f>IF($L373="","",TRACKER!$N375)</f>
        <v/>
      </c>
      <c r="R373">
        <f>TRACKER!$Y375</f>
        <v/>
      </c>
      <c r="S373">
        <f>TRACKER!$Z375</f>
        <v/>
      </c>
      <c r="T373">
        <f>TRACKER!$X375</f>
        <v/>
      </c>
    </row>
    <row r="374">
      <c r="G374">
        <f>IF(OR(SETUP!$C$122="",$A$2="",$B$2&lt;&gt;"Equipment"),"","Equipment")</f>
        <v/>
      </c>
      <c r="H374">
        <f>IF($G374="","",SETUP!$C$122)</f>
        <v/>
      </c>
      <c r="I374">
        <f>IF($G374="","",$A$2)</f>
        <v/>
      </c>
      <c r="J374">
        <f>IF($G374="","",IF(COUNTIFS(DOC_TYPE,$I374,DOC_EQP,$H374,DOC_SCOPE,"Equipment",DOC_ACTIVE,1)+COUNTIFS(DOC_TYPE,$I374,DOC_SYS,SETUP!$B$122,DOC_SCOPE,"System",DOC_ACTIVE,1)+COUNTIFS(DOC_TYPE,$I374,DOC_SCOPE,"All",DOC_ACTIVE,1)&gt;0,"",IFERROR(IF($E$2&lt;&gt;"",$E$2-$C$2,SETUP!$D$122-$C$2),60000)+ROW()/1000000))</f>
        <v/>
      </c>
      <c r="L374">
        <f>IF(TRACKER!$A376="","","Document")</f>
        <v/>
      </c>
      <c r="M374">
        <f>IF($L374="","",TRACKER!$E376&amp;"  -  "&amp;TRACKER!$A376)</f>
        <v/>
      </c>
      <c r="N374">
        <f>IF($L374="","",IF(TRACKER!$B376="Equipment",TRACKER!$D376,IF(TRACKER!$B376="System",TRACKER!$C376,"Whole contract")))</f>
        <v/>
      </c>
      <c r="O374">
        <f>IF($L374="","",TRACKER!$F376)</f>
        <v/>
      </c>
      <c r="P374">
        <f>IF($L374="","",TRACKER!$K376)</f>
        <v/>
      </c>
      <c r="Q374">
        <f>IF($L374="","",TRACKER!$N376)</f>
        <v/>
      </c>
      <c r="R374">
        <f>TRACKER!$Y376</f>
        <v/>
      </c>
      <c r="S374">
        <f>TRACKER!$Z376</f>
        <v/>
      </c>
      <c r="T374">
        <f>TRACKER!$X376</f>
        <v/>
      </c>
    </row>
    <row r="375">
      <c r="G375">
        <f>IF(OR(SETUP!$C$122="",$A$3="",$B$3&lt;&gt;"Equipment"),"","Equipment")</f>
        <v/>
      </c>
      <c r="H375">
        <f>IF($G375="","",SETUP!$C$122)</f>
        <v/>
      </c>
      <c r="I375">
        <f>IF($G375="","",$A$3)</f>
        <v/>
      </c>
      <c r="J375">
        <f>IF($G375="","",IF(COUNTIFS(DOC_TYPE,$I375,DOC_EQP,$H375,DOC_SCOPE,"Equipment",DOC_ACTIVE,1)+COUNTIFS(DOC_TYPE,$I375,DOC_SYS,SETUP!$B$122,DOC_SCOPE,"System",DOC_ACTIVE,1)+COUNTIFS(DOC_TYPE,$I375,DOC_SCOPE,"All",DOC_ACTIVE,1)&gt;0,"",IFERROR(IF($E$3&lt;&gt;"",$E$3-$C$3,SETUP!$D$122-$C$3),60000)+ROW()/1000000))</f>
        <v/>
      </c>
      <c r="L375">
        <f>IF(TRACKER!$A377="","","Document")</f>
        <v/>
      </c>
      <c r="M375">
        <f>IF($L375="","",TRACKER!$E377&amp;"  -  "&amp;TRACKER!$A377)</f>
        <v/>
      </c>
      <c r="N375">
        <f>IF($L375="","",IF(TRACKER!$B377="Equipment",TRACKER!$D377,IF(TRACKER!$B377="System",TRACKER!$C377,"Whole contract")))</f>
        <v/>
      </c>
      <c r="O375">
        <f>IF($L375="","",TRACKER!$F377)</f>
        <v/>
      </c>
      <c r="P375">
        <f>IF($L375="","",TRACKER!$K377)</f>
        <v/>
      </c>
      <c r="Q375">
        <f>IF($L375="","",TRACKER!$N377)</f>
        <v/>
      </c>
      <c r="R375">
        <f>TRACKER!$Y377</f>
        <v/>
      </c>
      <c r="S375">
        <f>TRACKER!$Z377</f>
        <v/>
      </c>
      <c r="T375">
        <f>TRACKER!$X377</f>
        <v/>
      </c>
    </row>
    <row r="376">
      <c r="G376">
        <f>IF(OR(SETUP!$C$122="",$A$4="",$B$4&lt;&gt;"Equipment"),"","Equipment")</f>
        <v/>
      </c>
      <c r="H376">
        <f>IF($G376="","",SETUP!$C$122)</f>
        <v/>
      </c>
      <c r="I376">
        <f>IF($G376="","",$A$4)</f>
        <v/>
      </c>
      <c r="J376">
        <f>IF($G376="","",IF(COUNTIFS(DOC_TYPE,$I376,DOC_EQP,$H376,DOC_SCOPE,"Equipment",DOC_ACTIVE,1)+COUNTIFS(DOC_TYPE,$I376,DOC_SYS,SETUP!$B$122,DOC_SCOPE,"System",DOC_ACTIVE,1)+COUNTIFS(DOC_TYPE,$I376,DOC_SCOPE,"All",DOC_ACTIVE,1)&gt;0,"",IFERROR(IF($E$4&lt;&gt;"",$E$4-$C$4,SETUP!$D$122-$C$4),60000)+ROW()/1000000))</f>
        <v/>
      </c>
      <c r="L376">
        <f>IF(TRACKER!$A378="","","Document")</f>
        <v/>
      </c>
      <c r="M376">
        <f>IF($L376="","",TRACKER!$E378&amp;"  -  "&amp;TRACKER!$A378)</f>
        <v/>
      </c>
      <c r="N376">
        <f>IF($L376="","",IF(TRACKER!$B378="Equipment",TRACKER!$D378,IF(TRACKER!$B378="System",TRACKER!$C378,"Whole contract")))</f>
        <v/>
      </c>
      <c r="O376">
        <f>IF($L376="","",TRACKER!$F378)</f>
        <v/>
      </c>
      <c r="P376">
        <f>IF($L376="","",TRACKER!$K378)</f>
        <v/>
      </c>
      <c r="Q376">
        <f>IF($L376="","",TRACKER!$N378)</f>
        <v/>
      </c>
      <c r="R376">
        <f>TRACKER!$Y378</f>
        <v/>
      </c>
      <c r="S376">
        <f>TRACKER!$Z378</f>
        <v/>
      </c>
      <c r="T376">
        <f>TRACKER!$X378</f>
        <v/>
      </c>
    </row>
    <row r="377">
      <c r="G377">
        <f>IF(OR(SETUP!$C$122="",$A$5="",$B$5&lt;&gt;"Equipment"),"","Equipment")</f>
        <v/>
      </c>
      <c r="H377">
        <f>IF($G377="","",SETUP!$C$122)</f>
        <v/>
      </c>
      <c r="I377">
        <f>IF($G377="","",$A$5)</f>
        <v/>
      </c>
      <c r="J377">
        <f>IF($G377="","",IF(COUNTIFS(DOC_TYPE,$I377,DOC_EQP,$H377,DOC_SCOPE,"Equipment",DOC_ACTIVE,1)+COUNTIFS(DOC_TYPE,$I377,DOC_SYS,SETUP!$B$122,DOC_SCOPE,"System",DOC_ACTIVE,1)+COUNTIFS(DOC_TYPE,$I377,DOC_SCOPE,"All",DOC_ACTIVE,1)&gt;0,"",IFERROR(IF($E$5&lt;&gt;"",$E$5-$C$5,SETUP!$D$122-$C$5),60000)+ROW()/1000000))</f>
        <v/>
      </c>
      <c r="L377">
        <f>IF(TRACKER!$A379="","","Document")</f>
        <v/>
      </c>
      <c r="M377">
        <f>IF($L377="","",TRACKER!$E379&amp;"  -  "&amp;TRACKER!$A379)</f>
        <v/>
      </c>
      <c r="N377">
        <f>IF($L377="","",IF(TRACKER!$B379="Equipment",TRACKER!$D379,IF(TRACKER!$B379="System",TRACKER!$C379,"Whole contract")))</f>
        <v/>
      </c>
      <c r="O377">
        <f>IF($L377="","",TRACKER!$F379)</f>
        <v/>
      </c>
      <c r="P377">
        <f>IF($L377="","",TRACKER!$K379)</f>
        <v/>
      </c>
      <c r="Q377">
        <f>IF($L377="","",TRACKER!$N379)</f>
        <v/>
      </c>
      <c r="R377">
        <f>TRACKER!$Y379</f>
        <v/>
      </c>
      <c r="S377">
        <f>TRACKER!$Z379</f>
        <v/>
      </c>
      <c r="T377">
        <f>TRACKER!$X379</f>
        <v/>
      </c>
    </row>
    <row r="378">
      <c r="G378">
        <f>IF(OR(SETUP!$C$122="",$A$6="",$B$6&lt;&gt;"Equipment"),"","Equipment")</f>
        <v/>
      </c>
      <c r="H378">
        <f>IF($G378="","",SETUP!$C$122)</f>
        <v/>
      </c>
      <c r="I378">
        <f>IF($G378="","",$A$6)</f>
        <v/>
      </c>
      <c r="J378">
        <f>IF($G378="","",IF(COUNTIFS(DOC_TYPE,$I378,DOC_EQP,$H378,DOC_SCOPE,"Equipment",DOC_ACTIVE,1)+COUNTIFS(DOC_TYPE,$I378,DOC_SYS,SETUP!$B$122,DOC_SCOPE,"System",DOC_ACTIVE,1)+COUNTIFS(DOC_TYPE,$I378,DOC_SCOPE,"All",DOC_ACTIVE,1)&gt;0,"",IFERROR(IF($E$6&lt;&gt;"",$E$6-$C$6,SETUP!$D$122-$C$6),60000)+ROW()/1000000))</f>
        <v/>
      </c>
      <c r="L378">
        <f>IF(TRACKER!$A380="","","Document")</f>
        <v/>
      </c>
      <c r="M378">
        <f>IF($L378="","",TRACKER!$E380&amp;"  -  "&amp;TRACKER!$A380)</f>
        <v/>
      </c>
      <c r="N378">
        <f>IF($L378="","",IF(TRACKER!$B380="Equipment",TRACKER!$D380,IF(TRACKER!$B380="System",TRACKER!$C380,"Whole contract")))</f>
        <v/>
      </c>
      <c r="O378">
        <f>IF($L378="","",TRACKER!$F380)</f>
        <v/>
      </c>
      <c r="P378">
        <f>IF($L378="","",TRACKER!$K380)</f>
        <v/>
      </c>
      <c r="Q378">
        <f>IF($L378="","",TRACKER!$N380)</f>
        <v/>
      </c>
      <c r="R378">
        <f>TRACKER!$Y380</f>
        <v/>
      </c>
      <c r="S378">
        <f>TRACKER!$Z380</f>
        <v/>
      </c>
      <c r="T378">
        <f>TRACKER!$X380</f>
        <v/>
      </c>
    </row>
    <row r="379">
      <c r="G379">
        <f>IF(OR(SETUP!$C$122="",$A$7="",$B$7&lt;&gt;"Equipment"),"","Equipment")</f>
        <v/>
      </c>
      <c r="H379">
        <f>IF($G379="","",SETUP!$C$122)</f>
        <v/>
      </c>
      <c r="I379">
        <f>IF($G379="","",$A$7)</f>
        <v/>
      </c>
      <c r="J379">
        <f>IF($G379="","",IF(COUNTIFS(DOC_TYPE,$I379,DOC_EQP,$H379,DOC_SCOPE,"Equipment",DOC_ACTIVE,1)+COUNTIFS(DOC_TYPE,$I379,DOC_SYS,SETUP!$B$122,DOC_SCOPE,"System",DOC_ACTIVE,1)+COUNTIFS(DOC_TYPE,$I379,DOC_SCOPE,"All",DOC_ACTIVE,1)&gt;0,"",IFERROR(IF($E$7&lt;&gt;"",$E$7-$C$7,SETUP!$D$122-$C$7),60000)+ROW()/1000000))</f>
        <v/>
      </c>
      <c r="L379">
        <f>IF(TRACKER!$A381="","","Document")</f>
        <v/>
      </c>
      <c r="M379">
        <f>IF($L379="","",TRACKER!$E381&amp;"  -  "&amp;TRACKER!$A381)</f>
        <v/>
      </c>
      <c r="N379">
        <f>IF($L379="","",IF(TRACKER!$B381="Equipment",TRACKER!$D381,IF(TRACKER!$B381="System",TRACKER!$C381,"Whole contract")))</f>
        <v/>
      </c>
      <c r="O379">
        <f>IF($L379="","",TRACKER!$F381)</f>
        <v/>
      </c>
      <c r="P379">
        <f>IF($L379="","",TRACKER!$K381)</f>
        <v/>
      </c>
      <c r="Q379">
        <f>IF($L379="","",TRACKER!$N381)</f>
        <v/>
      </c>
      <c r="R379">
        <f>TRACKER!$Y381</f>
        <v/>
      </c>
      <c r="S379">
        <f>TRACKER!$Z381</f>
        <v/>
      </c>
      <c r="T379">
        <f>TRACKER!$X381</f>
        <v/>
      </c>
    </row>
    <row r="380">
      <c r="G380">
        <f>IF(OR(SETUP!$C$122="",$A$8="",$B$8&lt;&gt;"Equipment"),"","Equipment")</f>
        <v/>
      </c>
      <c r="H380">
        <f>IF($G380="","",SETUP!$C$122)</f>
        <v/>
      </c>
      <c r="I380">
        <f>IF($G380="","",$A$8)</f>
        <v/>
      </c>
      <c r="J380">
        <f>IF($G380="","",IF(COUNTIFS(DOC_TYPE,$I380,DOC_EQP,$H380,DOC_SCOPE,"Equipment",DOC_ACTIVE,1)+COUNTIFS(DOC_TYPE,$I380,DOC_SYS,SETUP!$B$122,DOC_SCOPE,"System",DOC_ACTIVE,1)+COUNTIFS(DOC_TYPE,$I380,DOC_SCOPE,"All",DOC_ACTIVE,1)&gt;0,"",IFERROR(IF($E$8&lt;&gt;"",$E$8-$C$8,SETUP!$D$122-$C$8),60000)+ROW()/1000000))</f>
        <v/>
      </c>
      <c r="L380">
        <f>IF(TRACKER!$A382="","","Document")</f>
        <v/>
      </c>
      <c r="M380">
        <f>IF($L380="","",TRACKER!$E382&amp;"  -  "&amp;TRACKER!$A382)</f>
        <v/>
      </c>
      <c r="N380">
        <f>IF($L380="","",IF(TRACKER!$B382="Equipment",TRACKER!$D382,IF(TRACKER!$B382="System",TRACKER!$C382,"Whole contract")))</f>
        <v/>
      </c>
      <c r="O380">
        <f>IF($L380="","",TRACKER!$F382)</f>
        <v/>
      </c>
      <c r="P380">
        <f>IF($L380="","",TRACKER!$K382)</f>
        <v/>
      </c>
      <c r="Q380">
        <f>IF($L380="","",TRACKER!$N382)</f>
        <v/>
      </c>
      <c r="R380">
        <f>TRACKER!$Y382</f>
        <v/>
      </c>
      <c r="S380">
        <f>TRACKER!$Z382</f>
        <v/>
      </c>
      <c r="T380">
        <f>TRACKER!$X382</f>
        <v/>
      </c>
    </row>
    <row r="381">
      <c r="G381">
        <f>IF(OR(SETUP!$C$122="",$A$9="",$B$9&lt;&gt;"Equipment"),"","Equipment")</f>
        <v/>
      </c>
      <c r="H381">
        <f>IF($G381="","",SETUP!$C$122)</f>
        <v/>
      </c>
      <c r="I381">
        <f>IF($G381="","",$A$9)</f>
        <v/>
      </c>
      <c r="J381">
        <f>IF($G381="","",IF(COUNTIFS(DOC_TYPE,$I381,DOC_EQP,$H381,DOC_SCOPE,"Equipment",DOC_ACTIVE,1)+COUNTIFS(DOC_TYPE,$I381,DOC_SYS,SETUP!$B$122,DOC_SCOPE,"System",DOC_ACTIVE,1)+COUNTIFS(DOC_TYPE,$I381,DOC_SCOPE,"All",DOC_ACTIVE,1)&gt;0,"",IFERROR(IF($E$9&lt;&gt;"",$E$9-$C$9,SETUP!$D$122-$C$9),60000)+ROW()/1000000))</f>
        <v/>
      </c>
      <c r="L381">
        <f>IF(TRACKER!$A383="","","Document")</f>
        <v/>
      </c>
      <c r="M381">
        <f>IF($L381="","",TRACKER!$E383&amp;"  -  "&amp;TRACKER!$A383)</f>
        <v/>
      </c>
      <c r="N381">
        <f>IF($L381="","",IF(TRACKER!$B383="Equipment",TRACKER!$D383,IF(TRACKER!$B383="System",TRACKER!$C383,"Whole contract")))</f>
        <v/>
      </c>
      <c r="O381">
        <f>IF($L381="","",TRACKER!$F383)</f>
        <v/>
      </c>
      <c r="P381">
        <f>IF($L381="","",TRACKER!$K383)</f>
        <v/>
      </c>
      <c r="Q381">
        <f>IF($L381="","",TRACKER!$N383)</f>
        <v/>
      </c>
      <c r="R381">
        <f>TRACKER!$Y383</f>
        <v/>
      </c>
      <c r="S381">
        <f>TRACKER!$Z383</f>
        <v/>
      </c>
      <c r="T381">
        <f>TRACKER!$X383</f>
        <v/>
      </c>
    </row>
    <row r="382">
      <c r="G382">
        <f>IF(OR(SETUP!$C$122="",$A$10="",$B$10&lt;&gt;"Equipment"),"","Equipment")</f>
        <v/>
      </c>
      <c r="H382">
        <f>IF($G382="","",SETUP!$C$122)</f>
        <v/>
      </c>
      <c r="I382">
        <f>IF($G382="","",$A$10)</f>
        <v/>
      </c>
      <c r="J382">
        <f>IF($G382="","",IF(COUNTIFS(DOC_TYPE,$I382,DOC_EQP,$H382,DOC_SCOPE,"Equipment",DOC_ACTIVE,1)+COUNTIFS(DOC_TYPE,$I382,DOC_SYS,SETUP!$B$122,DOC_SCOPE,"System",DOC_ACTIVE,1)+COUNTIFS(DOC_TYPE,$I382,DOC_SCOPE,"All",DOC_ACTIVE,1)&gt;0,"",IFERROR(IF($E$10&lt;&gt;"",$E$10-$C$10,SETUP!$D$122-$C$10),60000)+ROW()/1000000))</f>
        <v/>
      </c>
      <c r="L382">
        <f>IF(TRACKER!$A384="","","Document")</f>
        <v/>
      </c>
      <c r="M382">
        <f>IF($L382="","",TRACKER!$E384&amp;"  -  "&amp;TRACKER!$A384)</f>
        <v/>
      </c>
      <c r="N382">
        <f>IF($L382="","",IF(TRACKER!$B384="Equipment",TRACKER!$D384,IF(TRACKER!$B384="System",TRACKER!$C384,"Whole contract")))</f>
        <v/>
      </c>
      <c r="O382">
        <f>IF($L382="","",TRACKER!$F384)</f>
        <v/>
      </c>
      <c r="P382">
        <f>IF($L382="","",TRACKER!$K384)</f>
        <v/>
      </c>
      <c r="Q382">
        <f>IF($L382="","",TRACKER!$N384)</f>
        <v/>
      </c>
      <c r="R382">
        <f>TRACKER!$Y384</f>
        <v/>
      </c>
      <c r="S382">
        <f>TRACKER!$Z384</f>
        <v/>
      </c>
      <c r="T382">
        <f>TRACKER!$X384</f>
        <v/>
      </c>
    </row>
    <row r="383">
      <c r="G383">
        <f>IF(OR(SETUP!$C$122="",$A$11="",$B$11&lt;&gt;"Equipment"),"","Equipment")</f>
        <v/>
      </c>
      <c r="H383">
        <f>IF($G383="","",SETUP!$C$122)</f>
        <v/>
      </c>
      <c r="I383">
        <f>IF($G383="","",$A$11)</f>
        <v/>
      </c>
      <c r="J383">
        <f>IF($G383="","",IF(COUNTIFS(DOC_TYPE,$I383,DOC_EQP,$H383,DOC_SCOPE,"Equipment",DOC_ACTIVE,1)+COUNTIFS(DOC_TYPE,$I383,DOC_SYS,SETUP!$B$122,DOC_SCOPE,"System",DOC_ACTIVE,1)+COUNTIFS(DOC_TYPE,$I383,DOC_SCOPE,"All",DOC_ACTIVE,1)&gt;0,"",IFERROR(IF($E$11&lt;&gt;"",$E$11-$C$11,SETUP!$D$122-$C$11),60000)+ROW()/1000000))</f>
        <v/>
      </c>
      <c r="L383">
        <f>IF(TRACKER!$A385="","","Document")</f>
        <v/>
      </c>
      <c r="M383">
        <f>IF($L383="","",TRACKER!$E385&amp;"  -  "&amp;TRACKER!$A385)</f>
        <v/>
      </c>
      <c r="N383">
        <f>IF($L383="","",IF(TRACKER!$B385="Equipment",TRACKER!$D385,IF(TRACKER!$B385="System",TRACKER!$C385,"Whole contract")))</f>
        <v/>
      </c>
      <c r="O383">
        <f>IF($L383="","",TRACKER!$F385)</f>
        <v/>
      </c>
      <c r="P383">
        <f>IF($L383="","",TRACKER!$K385)</f>
        <v/>
      </c>
      <c r="Q383">
        <f>IF($L383="","",TRACKER!$N385)</f>
        <v/>
      </c>
      <c r="R383">
        <f>TRACKER!$Y385</f>
        <v/>
      </c>
      <c r="S383">
        <f>TRACKER!$Z385</f>
        <v/>
      </c>
      <c r="T383">
        <f>TRACKER!$X385</f>
        <v/>
      </c>
    </row>
    <row r="384">
      <c r="G384">
        <f>IF(OR(SETUP!$C$122="",$A$12="",$B$12&lt;&gt;"Equipment"),"","Equipment")</f>
        <v/>
      </c>
      <c r="H384">
        <f>IF($G384="","",SETUP!$C$122)</f>
        <v/>
      </c>
      <c r="I384">
        <f>IF($G384="","",$A$12)</f>
        <v/>
      </c>
      <c r="J384">
        <f>IF($G384="","",IF(COUNTIFS(DOC_TYPE,$I384,DOC_EQP,$H384,DOC_SCOPE,"Equipment",DOC_ACTIVE,1)+COUNTIFS(DOC_TYPE,$I384,DOC_SYS,SETUP!$B$122,DOC_SCOPE,"System",DOC_ACTIVE,1)+COUNTIFS(DOC_TYPE,$I384,DOC_SCOPE,"All",DOC_ACTIVE,1)&gt;0,"",IFERROR(IF($E$12&lt;&gt;"",$E$12-$C$12,SETUP!$D$122-$C$12),60000)+ROW()/1000000))</f>
        <v/>
      </c>
      <c r="L384">
        <f>IF(TRACKER!$A386="","","Document")</f>
        <v/>
      </c>
      <c r="M384">
        <f>IF($L384="","",TRACKER!$E386&amp;"  -  "&amp;TRACKER!$A386)</f>
        <v/>
      </c>
      <c r="N384">
        <f>IF($L384="","",IF(TRACKER!$B386="Equipment",TRACKER!$D386,IF(TRACKER!$B386="System",TRACKER!$C386,"Whole contract")))</f>
        <v/>
      </c>
      <c r="O384">
        <f>IF($L384="","",TRACKER!$F386)</f>
        <v/>
      </c>
      <c r="P384">
        <f>IF($L384="","",TRACKER!$K386)</f>
        <v/>
      </c>
      <c r="Q384">
        <f>IF($L384="","",TRACKER!$N386)</f>
        <v/>
      </c>
      <c r="R384">
        <f>TRACKER!$Y386</f>
        <v/>
      </c>
      <c r="S384">
        <f>TRACKER!$Z386</f>
        <v/>
      </c>
      <c r="T384">
        <f>TRACKER!$X386</f>
        <v/>
      </c>
    </row>
    <row r="385">
      <c r="G385">
        <f>IF(OR(SETUP!$C$122="",$A$13="",$B$13&lt;&gt;"Equipment"),"","Equipment")</f>
        <v/>
      </c>
      <c r="H385">
        <f>IF($G385="","",SETUP!$C$122)</f>
        <v/>
      </c>
      <c r="I385">
        <f>IF($G385="","",$A$13)</f>
        <v/>
      </c>
      <c r="J385">
        <f>IF($G385="","",IF(COUNTIFS(DOC_TYPE,$I385,DOC_EQP,$H385,DOC_SCOPE,"Equipment",DOC_ACTIVE,1)+COUNTIFS(DOC_TYPE,$I385,DOC_SYS,SETUP!$B$122,DOC_SCOPE,"System",DOC_ACTIVE,1)+COUNTIFS(DOC_TYPE,$I385,DOC_SCOPE,"All",DOC_ACTIVE,1)&gt;0,"",IFERROR(IF($E$13&lt;&gt;"",$E$13-$C$13,SETUP!$D$122-$C$13),60000)+ROW()/1000000))</f>
        <v/>
      </c>
      <c r="L385">
        <f>IF(TRACKER!$A387="","","Document")</f>
        <v/>
      </c>
      <c r="M385">
        <f>IF($L385="","",TRACKER!$E387&amp;"  -  "&amp;TRACKER!$A387)</f>
        <v/>
      </c>
      <c r="N385">
        <f>IF($L385="","",IF(TRACKER!$B387="Equipment",TRACKER!$D387,IF(TRACKER!$B387="System",TRACKER!$C387,"Whole contract")))</f>
        <v/>
      </c>
      <c r="O385">
        <f>IF($L385="","",TRACKER!$F387)</f>
        <v/>
      </c>
      <c r="P385">
        <f>IF($L385="","",TRACKER!$K387)</f>
        <v/>
      </c>
      <c r="Q385">
        <f>IF($L385="","",TRACKER!$N387)</f>
        <v/>
      </c>
      <c r="R385">
        <f>TRACKER!$Y387</f>
        <v/>
      </c>
      <c r="S385">
        <f>TRACKER!$Z387</f>
        <v/>
      </c>
      <c r="T385">
        <f>TRACKER!$X387</f>
        <v/>
      </c>
    </row>
    <row r="386">
      <c r="G386">
        <f>IF(OR(SETUP!$C$123="",$A$2="",$B$2&lt;&gt;"Equipment"),"","Equipment")</f>
        <v/>
      </c>
      <c r="H386">
        <f>IF($G386="","",SETUP!$C$123)</f>
        <v/>
      </c>
      <c r="I386">
        <f>IF($G386="","",$A$2)</f>
        <v/>
      </c>
      <c r="J386">
        <f>IF($G386="","",IF(COUNTIFS(DOC_TYPE,$I386,DOC_EQP,$H386,DOC_SCOPE,"Equipment",DOC_ACTIVE,1)+COUNTIFS(DOC_TYPE,$I386,DOC_SYS,SETUP!$B$123,DOC_SCOPE,"System",DOC_ACTIVE,1)+COUNTIFS(DOC_TYPE,$I386,DOC_SCOPE,"All",DOC_ACTIVE,1)&gt;0,"",IFERROR(IF($E$2&lt;&gt;"",$E$2-$C$2,SETUP!$D$123-$C$2),60000)+ROW()/1000000))</f>
        <v/>
      </c>
      <c r="L386">
        <f>IF(TRACKER!$A388="","","Document")</f>
        <v/>
      </c>
      <c r="M386">
        <f>IF($L386="","",TRACKER!$E388&amp;"  -  "&amp;TRACKER!$A388)</f>
        <v/>
      </c>
      <c r="N386">
        <f>IF($L386="","",IF(TRACKER!$B388="Equipment",TRACKER!$D388,IF(TRACKER!$B388="System",TRACKER!$C388,"Whole contract")))</f>
        <v/>
      </c>
      <c r="O386">
        <f>IF($L386="","",TRACKER!$F388)</f>
        <v/>
      </c>
      <c r="P386">
        <f>IF($L386="","",TRACKER!$K388)</f>
        <v/>
      </c>
      <c r="Q386">
        <f>IF($L386="","",TRACKER!$N388)</f>
        <v/>
      </c>
      <c r="R386">
        <f>TRACKER!$Y388</f>
        <v/>
      </c>
      <c r="S386">
        <f>TRACKER!$Z388</f>
        <v/>
      </c>
      <c r="T386">
        <f>TRACKER!$X388</f>
        <v/>
      </c>
    </row>
    <row r="387">
      <c r="G387">
        <f>IF(OR(SETUP!$C$123="",$A$3="",$B$3&lt;&gt;"Equipment"),"","Equipment")</f>
        <v/>
      </c>
      <c r="H387">
        <f>IF($G387="","",SETUP!$C$123)</f>
        <v/>
      </c>
      <c r="I387">
        <f>IF($G387="","",$A$3)</f>
        <v/>
      </c>
      <c r="J387">
        <f>IF($G387="","",IF(COUNTIFS(DOC_TYPE,$I387,DOC_EQP,$H387,DOC_SCOPE,"Equipment",DOC_ACTIVE,1)+COUNTIFS(DOC_TYPE,$I387,DOC_SYS,SETUP!$B$123,DOC_SCOPE,"System",DOC_ACTIVE,1)+COUNTIFS(DOC_TYPE,$I387,DOC_SCOPE,"All",DOC_ACTIVE,1)&gt;0,"",IFERROR(IF($E$3&lt;&gt;"",$E$3-$C$3,SETUP!$D$123-$C$3),60000)+ROW()/1000000))</f>
        <v/>
      </c>
      <c r="L387">
        <f>IF(TRACKER!$A389="","","Document")</f>
        <v/>
      </c>
      <c r="M387">
        <f>IF($L387="","",TRACKER!$E389&amp;"  -  "&amp;TRACKER!$A389)</f>
        <v/>
      </c>
      <c r="N387">
        <f>IF($L387="","",IF(TRACKER!$B389="Equipment",TRACKER!$D389,IF(TRACKER!$B389="System",TRACKER!$C389,"Whole contract")))</f>
        <v/>
      </c>
      <c r="O387">
        <f>IF($L387="","",TRACKER!$F389)</f>
        <v/>
      </c>
      <c r="P387">
        <f>IF($L387="","",TRACKER!$K389)</f>
        <v/>
      </c>
      <c r="Q387">
        <f>IF($L387="","",TRACKER!$N389)</f>
        <v/>
      </c>
      <c r="R387">
        <f>TRACKER!$Y389</f>
        <v/>
      </c>
      <c r="S387">
        <f>TRACKER!$Z389</f>
        <v/>
      </c>
      <c r="T387">
        <f>TRACKER!$X389</f>
        <v/>
      </c>
    </row>
    <row r="388">
      <c r="G388">
        <f>IF(OR(SETUP!$C$123="",$A$4="",$B$4&lt;&gt;"Equipment"),"","Equipment")</f>
        <v/>
      </c>
      <c r="H388">
        <f>IF($G388="","",SETUP!$C$123)</f>
        <v/>
      </c>
      <c r="I388">
        <f>IF($G388="","",$A$4)</f>
        <v/>
      </c>
      <c r="J388">
        <f>IF($G388="","",IF(COUNTIFS(DOC_TYPE,$I388,DOC_EQP,$H388,DOC_SCOPE,"Equipment",DOC_ACTIVE,1)+COUNTIFS(DOC_TYPE,$I388,DOC_SYS,SETUP!$B$123,DOC_SCOPE,"System",DOC_ACTIVE,1)+COUNTIFS(DOC_TYPE,$I388,DOC_SCOPE,"All",DOC_ACTIVE,1)&gt;0,"",IFERROR(IF($E$4&lt;&gt;"",$E$4-$C$4,SETUP!$D$123-$C$4),60000)+ROW()/1000000))</f>
        <v/>
      </c>
      <c r="L388">
        <f>IF(TRACKER!$A390="","","Document")</f>
        <v/>
      </c>
      <c r="M388">
        <f>IF($L388="","",TRACKER!$E390&amp;"  -  "&amp;TRACKER!$A390)</f>
        <v/>
      </c>
      <c r="N388">
        <f>IF($L388="","",IF(TRACKER!$B390="Equipment",TRACKER!$D390,IF(TRACKER!$B390="System",TRACKER!$C390,"Whole contract")))</f>
        <v/>
      </c>
      <c r="O388">
        <f>IF($L388="","",TRACKER!$F390)</f>
        <v/>
      </c>
      <c r="P388">
        <f>IF($L388="","",TRACKER!$K390)</f>
        <v/>
      </c>
      <c r="Q388">
        <f>IF($L388="","",TRACKER!$N390)</f>
        <v/>
      </c>
      <c r="R388">
        <f>TRACKER!$Y390</f>
        <v/>
      </c>
      <c r="S388">
        <f>TRACKER!$Z390</f>
        <v/>
      </c>
      <c r="T388">
        <f>TRACKER!$X390</f>
        <v/>
      </c>
    </row>
    <row r="389">
      <c r="G389">
        <f>IF(OR(SETUP!$C$123="",$A$5="",$B$5&lt;&gt;"Equipment"),"","Equipment")</f>
        <v/>
      </c>
      <c r="H389">
        <f>IF($G389="","",SETUP!$C$123)</f>
        <v/>
      </c>
      <c r="I389">
        <f>IF($G389="","",$A$5)</f>
        <v/>
      </c>
      <c r="J389">
        <f>IF($G389="","",IF(COUNTIFS(DOC_TYPE,$I389,DOC_EQP,$H389,DOC_SCOPE,"Equipment",DOC_ACTIVE,1)+COUNTIFS(DOC_TYPE,$I389,DOC_SYS,SETUP!$B$123,DOC_SCOPE,"System",DOC_ACTIVE,1)+COUNTIFS(DOC_TYPE,$I389,DOC_SCOPE,"All",DOC_ACTIVE,1)&gt;0,"",IFERROR(IF($E$5&lt;&gt;"",$E$5-$C$5,SETUP!$D$123-$C$5),60000)+ROW()/1000000))</f>
        <v/>
      </c>
      <c r="L389">
        <f>IF(TRACKER!$A391="","","Document")</f>
        <v/>
      </c>
      <c r="M389">
        <f>IF($L389="","",TRACKER!$E391&amp;"  -  "&amp;TRACKER!$A391)</f>
        <v/>
      </c>
      <c r="N389">
        <f>IF($L389="","",IF(TRACKER!$B391="Equipment",TRACKER!$D391,IF(TRACKER!$B391="System",TRACKER!$C391,"Whole contract")))</f>
        <v/>
      </c>
      <c r="O389">
        <f>IF($L389="","",TRACKER!$F391)</f>
        <v/>
      </c>
      <c r="P389">
        <f>IF($L389="","",TRACKER!$K391)</f>
        <v/>
      </c>
      <c r="Q389">
        <f>IF($L389="","",TRACKER!$N391)</f>
        <v/>
      </c>
      <c r="R389">
        <f>TRACKER!$Y391</f>
        <v/>
      </c>
      <c r="S389">
        <f>TRACKER!$Z391</f>
        <v/>
      </c>
      <c r="T389">
        <f>TRACKER!$X391</f>
        <v/>
      </c>
    </row>
    <row r="390">
      <c r="G390">
        <f>IF(OR(SETUP!$C$123="",$A$6="",$B$6&lt;&gt;"Equipment"),"","Equipment")</f>
        <v/>
      </c>
      <c r="H390">
        <f>IF($G390="","",SETUP!$C$123)</f>
        <v/>
      </c>
      <c r="I390">
        <f>IF($G390="","",$A$6)</f>
        <v/>
      </c>
      <c r="J390">
        <f>IF($G390="","",IF(COUNTIFS(DOC_TYPE,$I390,DOC_EQP,$H390,DOC_SCOPE,"Equipment",DOC_ACTIVE,1)+COUNTIFS(DOC_TYPE,$I390,DOC_SYS,SETUP!$B$123,DOC_SCOPE,"System",DOC_ACTIVE,1)+COUNTIFS(DOC_TYPE,$I390,DOC_SCOPE,"All",DOC_ACTIVE,1)&gt;0,"",IFERROR(IF($E$6&lt;&gt;"",$E$6-$C$6,SETUP!$D$123-$C$6),60000)+ROW()/1000000))</f>
        <v/>
      </c>
      <c r="L390">
        <f>IF(TRACKER!$A392="","","Document")</f>
        <v/>
      </c>
      <c r="M390">
        <f>IF($L390="","",TRACKER!$E392&amp;"  -  "&amp;TRACKER!$A392)</f>
        <v/>
      </c>
      <c r="N390">
        <f>IF($L390="","",IF(TRACKER!$B392="Equipment",TRACKER!$D392,IF(TRACKER!$B392="System",TRACKER!$C392,"Whole contract")))</f>
        <v/>
      </c>
      <c r="O390">
        <f>IF($L390="","",TRACKER!$F392)</f>
        <v/>
      </c>
      <c r="P390">
        <f>IF($L390="","",TRACKER!$K392)</f>
        <v/>
      </c>
      <c r="Q390">
        <f>IF($L390="","",TRACKER!$N392)</f>
        <v/>
      </c>
      <c r="R390">
        <f>TRACKER!$Y392</f>
        <v/>
      </c>
      <c r="S390">
        <f>TRACKER!$Z392</f>
        <v/>
      </c>
      <c r="T390">
        <f>TRACKER!$X392</f>
        <v/>
      </c>
    </row>
    <row r="391">
      <c r="G391">
        <f>IF(OR(SETUP!$C$123="",$A$7="",$B$7&lt;&gt;"Equipment"),"","Equipment")</f>
        <v/>
      </c>
      <c r="H391">
        <f>IF($G391="","",SETUP!$C$123)</f>
        <v/>
      </c>
      <c r="I391">
        <f>IF($G391="","",$A$7)</f>
        <v/>
      </c>
      <c r="J391">
        <f>IF($G391="","",IF(COUNTIFS(DOC_TYPE,$I391,DOC_EQP,$H391,DOC_SCOPE,"Equipment",DOC_ACTIVE,1)+COUNTIFS(DOC_TYPE,$I391,DOC_SYS,SETUP!$B$123,DOC_SCOPE,"System",DOC_ACTIVE,1)+COUNTIFS(DOC_TYPE,$I391,DOC_SCOPE,"All",DOC_ACTIVE,1)&gt;0,"",IFERROR(IF($E$7&lt;&gt;"",$E$7-$C$7,SETUP!$D$123-$C$7),60000)+ROW()/1000000))</f>
        <v/>
      </c>
      <c r="L391">
        <f>IF(TRACKER!$A393="","","Document")</f>
        <v/>
      </c>
      <c r="M391">
        <f>IF($L391="","",TRACKER!$E393&amp;"  -  "&amp;TRACKER!$A393)</f>
        <v/>
      </c>
      <c r="N391">
        <f>IF($L391="","",IF(TRACKER!$B393="Equipment",TRACKER!$D393,IF(TRACKER!$B393="System",TRACKER!$C393,"Whole contract")))</f>
        <v/>
      </c>
      <c r="O391">
        <f>IF($L391="","",TRACKER!$F393)</f>
        <v/>
      </c>
      <c r="P391">
        <f>IF($L391="","",TRACKER!$K393)</f>
        <v/>
      </c>
      <c r="Q391">
        <f>IF($L391="","",TRACKER!$N393)</f>
        <v/>
      </c>
      <c r="R391">
        <f>TRACKER!$Y393</f>
        <v/>
      </c>
      <c r="S391">
        <f>TRACKER!$Z393</f>
        <v/>
      </c>
      <c r="T391">
        <f>TRACKER!$X393</f>
        <v/>
      </c>
    </row>
    <row r="392">
      <c r="G392">
        <f>IF(OR(SETUP!$C$123="",$A$8="",$B$8&lt;&gt;"Equipment"),"","Equipment")</f>
        <v/>
      </c>
      <c r="H392">
        <f>IF($G392="","",SETUP!$C$123)</f>
        <v/>
      </c>
      <c r="I392">
        <f>IF($G392="","",$A$8)</f>
        <v/>
      </c>
      <c r="J392">
        <f>IF($G392="","",IF(COUNTIFS(DOC_TYPE,$I392,DOC_EQP,$H392,DOC_SCOPE,"Equipment",DOC_ACTIVE,1)+COUNTIFS(DOC_TYPE,$I392,DOC_SYS,SETUP!$B$123,DOC_SCOPE,"System",DOC_ACTIVE,1)+COUNTIFS(DOC_TYPE,$I392,DOC_SCOPE,"All",DOC_ACTIVE,1)&gt;0,"",IFERROR(IF($E$8&lt;&gt;"",$E$8-$C$8,SETUP!$D$123-$C$8),60000)+ROW()/1000000))</f>
        <v/>
      </c>
      <c r="L392">
        <f>IF(TRACKER!$A394="","","Document")</f>
        <v/>
      </c>
      <c r="M392">
        <f>IF($L392="","",TRACKER!$E394&amp;"  -  "&amp;TRACKER!$A394)</f>
        <v/>
      </c>
      <c r="N392">
        <f>IF($L392="","",IF(TRACKER!$B394="Equipment",TRACKER!$D394,IF(TRACKER!$B394="System",TRACKER!$C394,"Whole contract")))</f>
        <v/>
      </c>
      <c r="O392">
        <f>IF($L392="","",TRACKER!$F394)</f>
        <v/>
      </c>
      <c r="P392">
        <f>IF($L392="","",TRACKER!$K394)</f>
        <v/>
      </c>
      <c r="Q392">
        <f>IF($L392="","",TRACKER!$N394)</f>
        <v/>
      </c>
      <c r="R392">
        <f>TRACKER!$Y394</f>
        <v/>
      </c>
      <c r="S392">
        <f>TRACKER!$Z394</f>
        <v/>
      </c>
      <c r="T392">
        <f>TRACKER!$X394</f>
        <v/>
      </c>
    </row>
    <row r="393">
      <c r="G393">
        <f>IF(OR(SETUP!$C$123="",$A$9="",$B$9&lt;&gt;"Equipment"),"","Equipment")</f>
        <v/>
      </c>
      <c r="H393">
        <f>IF($G393="","",SETUP!$C$123)</f>
        <v/>
      </c>
      <c r="I393">
        <f>IF($G393="","",$A$9)</f>
        <v/>
      </c>
      <c r="J393">
        <f>IF($G393="","",IF(COUNTIFS(DOC_TYPE,$I393,DOC_EQP,$H393,DOC_SCOPE,"Equipment",DOC_ACTIVE,1)+COUNTIFS(DOC_TYPE,$I393,DOC_SYS,SETUP!$B$123,DOC_SCOPE,"System",DOC_ACTIVE,1)+COUNTIFS(DOC_TYPE,$I393,DOC_SCOPE,"All",DOC_ACTIVE,1)&gt;0,"",IFERROR(IF($E$9&lt;&gt;"",$E$9-$C$9,SETUP!$D$123-$C$9),60000)+ROW()/1000000))</f>
        <v/>
      </c>
      <c r="L393">
        <f>IF(TRACKER!$A395="","","Document")</f>
        <v/>
      </c>
      <c r="M393">
        <f>IF($L393="","",TRACKER!$E395&amp;"  -  "&amp;TRACKER!$A395)</f>
        <v/>
      </c>
      <c r="N393">
        <f>IF($L393="","",IF(TRACKER!$B395="Equipment",TRACKER!$D395,IF(TRACKER!$B395="System",TRACKER!$C395,"Whole contract")))</f>
        <v/>
      </c>
      <c r="O393">
        <f>IF($L393="","",TRACKER!$F395)</f>
        <v/>
      </c>
      <c r="P393">
        <f>IF($L393="","",TRACKER!$K395)</f>
        <v/>
      </c>
      <c r="Q393">
        <f>IF($L393="","",TRACKER!$N395)</f>
        <v/>
      </c>
      <c r="R393">
        <f>TRACKER!$Y395</f>
        <v/>
      </c>
      <c r="S393">
        <f>TRACKER!$Z395</f>
        <v/>
      </c>
      <c r="T393">
        <f>TRACKER!$X395</f>
        <v/>
      </c>
    </row>
    <row r="394">
      <c r="G394">
        <f>IF(OR(SETUP!$C$123="",$A$10="",$B$10&lt;&gt;"Equipment"),"","Equipment")</f>
        <v/>
      </c>
      <c r="H394">
        <f>IF($G394="","",SETUP!$C$123)</f>
        <v/>
      </c>
      <c r="I394">
        <f>IF($G394="","",$A$10)</f>
        <v/>
      </c>
      <c r="J394">
        <f>IF($G394="","",IF(COUNTIFS(DOC_TYPE,$I394,DOC_EQP,$H394,DOC_SCOPE,"Equipment",DOC_ACTIVE,1)+COUNTIFS(DOC_TYPE,$I394,DOC_SYS,SETUP!$B$123,DOC_SCOPE,"System",DOC_ACTIVE,1)+COUNTIFS(DOC_TYPE,$I394,DOC_SCOPE,"All",DOC_ACTIVE,1)&gt;0,"",IFERROR(IF($E$10&lt;&gt;"",$E$10-$C$10,SETUP!$D$123-$C$10),60000)+ROW()/1000000))</f>
        <v/>
      </c>
      <c r="L394">
        <f>IF(TRACKER!$A396="","","Document")</f>
        <v/>
      </c>
      <c r="M394">
        <f>IF($L394="","",TRACKER!$E396&amp;"  -  "&amp;TRACKER!$A396)</f>
        <v/>
      </c>
      <c r="N394">
        <f>IF($L394="","",IF(TRACKER!$B396="Equipment",TRACKER!$D396,IF(TRACKER!$B396="System",TRACKER!$C396,"Whole contract")))</f>
        <v/>
      </c>
      <c r="O394">
        <f>IF($L394="","",TRACKER!$F396)</f>
        <v/>
      </c>
      <c r="P394">
        <f>IF($L394="","",TRACKER!$K396)</f>
        <v/>
      </c>
      <c r="Q394">
        <f>IF($L394="","",TRACKER!$N396)</f>
        <v/>
      </c>
      <c r="R394">
        <f>TRACKER!$Y396</f>
        <v/>
      </c>
      <c r="S394">
        <f>TRACKER!$Z396</f>
        <v/>
      </c>
      <c r="T394">
        <f>TRACKER!$X396</f>
        <v/>
      </c>
    </row>
    <row r="395">
      <c r="G395">
        <f>IF(OR(SETUP!$C$123="",$A$11="",$B$11&lt;&gt;"Equipment"),"","Equipment")</f>
        <v/>
      </c>
      <c r="H395">
        <f>IF($G395="","",SETUP!$C$123)</f>
        <v/>
      </c>
      <c r="I395">
        <f>IF($G395="","",$A$11)</f>
        <v/>
      </c>
      <c r="J395">
        <f>IF($G395="","",IF(COUNTIFS(DOC_TYPE,$I395,DOC_EQP,$H395,DOC_SCOPE,"Equipment",DOC_ACTIVE,1)+COUNTIFS(DOC_TYPE,$I395,DOC_SYS,SETUP!$B$123,DOC_SCOPE,"System",DOC_ACTIVE,1)+COUNTIFS(DOC_TYPE,$I395,DOC_SCOPE,"All",DOC_ACTIVE,1)&gt;0,"",IFERROR(IF($E$11&lt;&gt;"",$E$11-$C$11,SETUP!$D$123-$C$11),60000)+ROW()/1000000))</f>
        <v/>
      </c>
      <c r="L395">
        <f>IF(TRACKER!$A397="","","Document")</f>
        <v/>
      </c>
      <c r="M395">
        <f>IF($L395="","",TRACKER!$E397&amp;"  -  "&amp;TRACKER!$A397)</f>
        <v/>
      </c>
      <c r="N395">
        <f>IF($L395="","",IF(TRACKER!$B397="Equipment",TRACKER!$D397,IF(TRACKER!$B397="System",TRACKER!$C397,"Whole contract")))</f>
        <v/>
      </c>
      <c r="O395">
        <f>IF($L395="","",TRACKER!$F397)</f>
        <v/>
      </c>
      <c r="P395">
        <f>IF($L395="","",TRACKER!$K397)</f>
        <v/>
      </c>
      <c r="Q395">
        <f>IF($L395="","",TRACKER!$N397)</f>
        <v/>
      </c>
      <c r="R395">
        <f>TRACKER!$Y397</f>
        <v/>
      </c>
      <c r="S395">
        <f>TRACKER!$Z397</f>
        <v/>
      </c>
      <c r="T395">
        <f>TRACKER!$X397</f>
        <v/>
      </c>
    </row>
    <row r="396">
      <c r="G396">
        <f>IF(OR(SETUP!$C$123="",$A$12="",$B$12&lt;&gt;"Equipment"),"","Equipment")</f>
        <v/>
      </c>
      <c r="H396">
        <f>IF($G396="","",SETUP!$C$123)</f>
        <v/>
      </c>
      <c r="I396">
        <f>IF($G396="","",$A$12)</f>
        <v/>
      </c>
      <c r="J396">
        <f>IF($G396="","",IF(COUNTIFS(DOC_TYPE,$I396,DOC_EQP,$H396,DOC_SCOPE,"Equipment",DOC_ACTIVE,1)+COUNTIFS(DOC_TYPE,$I396,DOC_SYS,SETUP!$B$123,DOC_SCOPE,"System",DOC_ACTIVE,1)+COUNTIFS(DOC_TYPE,$I396,DOC_SCOPE,"All",DOC_ACTIVE,1)&gt;0,"",IFERROR(IF($E$12&lt;&gt;"",$E$12-$C$12,SETUP!$D$123-$C$12),60000)+ROW()/1000000))</f>
        <v/>
      </c>
      <c r="L396">
        <f>IF(TRACKER!$A398="","","Document")</f>
        <v/>
      </c>
      <c r="M396">
        <f>IF($L396="","",TRACKER!$E398&amp;"  -  "&amp;TRACKER!$A398)</f>
        <v/>
      </c>
      <c r="N396">
        <f>IF($L396="","",IF(TRACKER!$B398="Equipment",TRACKER!$D398,IF(TRACKER!$B398="System",TRACKER!$C398,"Whole contract")))</f>
        <v/>
      </c>
      <c r="O396">
        <f>IF($L396="","",TRACKER!$F398)</f>
        <v/>
      </c>
      <c r="P396">
        <f>IF($L396="","",TRACKER!$K398)</f>
        <v/>
      </c>
      <c r="Q396">
        <f>IF($L396="","",TRACKER!$N398)</f>
        <v/>
      </c>
      <c r="R396">
        <f>TRACKER!$Y398</f>
        <v/>
      </c>
      <c r="S396">
        <f>TRACKER!$Z398</f>
        <v/>
      </c>
      <c r="T396">
        <f>TRACKER!$X398</f>
        <v/>
      </c>
    </row>
    <row r="397">
      <c r="G397">
        <f>IF(OR(SETUP!$C$123="",$A$13="",$B$13&lt;&gt;"Equipment"),"","Equipment")</f>
        <v/>
      </c>
      <c r="H397">
        <f>IF($G397="","",SETUP!$C$123)</f>
        <v/>
      </c>
      <c r="I397">
        <f>IF($G397="","",$A$13)</f>
        <v/>
      </c>
      <c r="J397">
        <f>IF($G397="","",IF(COUNTIFS(DOC_TYPE,$I397,DOC_EQP,$H397,DOC_SCOPE,"Equipment",DOC_ACTIVE,1)+COUNTIFS(DOC_TYPE,$I397,DOC_SYS,SETUP!$B$123,DOC_SCOPE,"System",DOC_ACTIVE,1)+COUNTIFS(DOC_TYPE,$I397,DOC_SCOPE,"All",DOC_ACTIVE,1)&gt;0,"",IFERROR(IF($E$13&lt;&gt;"",$E$13-$C$13,SETUP!$D$123-$C$13),60000)+ROW()/1000000))</f>
        <v/>
      </c>
      <c r="L397">
        <f>IF(TRACKER!$A399="","","Document")</f>
        <v/>
      </c>
      <c r="M397">
        <f>IF($L397="","",TRACKER!$E399&amp;"  -  "&amp;TRACKER!$A399)</f>
        <v/>
      </c>
      <c r="N397">
        <f>IF($L397="","",IF(TRACKER!$B399="Equipment",TRACKER!$D399,IF(TRACKER!$B399="System",TRACKER!$C399,"Whole contract")))</f>
        <v/>
      </c>
      <c r="O397">
        <f>IF($L397="","",TRACKER!$F399)</f>
        <v/>
      </c>
      <c r="P397">
        <f>IF($L397="","",TRACKER!$K399)</f>
        <v/>
      </c>
      <c r="Q397">
        <f>IF($L397="","",TRACKER!$N399)</f>
        <v/>
      </c>
      <c r="R397">
        <f>TRACKER!$Y399</f>
        <v/>
      </c>
      <c r="S397">
        <f>TRACKER!$Z399</f>
        <v/>
      </c>
      <c r="T397">
        <f>TRACKER!$X399</f>
        <v/>
      </c>
    </row>
    <row r="398">
      <c r="G398">
        <f>IF(OR(SETUP!$C$124="",$A$2="",$B$2&lt;&gt;"Equipment"),"","Equipment")</f>
        <v/>
      </c>
      <c r="H398">
        <f>IF($G398="","",SETUP!$C$124)</f>
        <v/>
      </c>
      <c r="I398">
        <f>IF($G398="","",$A$2)</f>
        <v/>
      </c>
      <c r="J398">
        <f>IF($G398="","",IF(COUNTIFS(DOC_TYPE,$I398,DOC_EQP,$H398,DOC_SCOPE,"Equipment",DOC_ACTIVE,1)+COUNTIFS(DOC_TYPE,$I398,DOC_SYS,SETUP!$B$124,DOC_SCOPE,"System",DOC_ACTIVE,1)+COUNTIFS(DOC_TYPE,$I398,DOC_SCOPE,"All",DOC_ACTIVE,1)&gt;0,"",IFERROR(IF($E$2&lt;&gt;"",$E$2-$C$2,SETUP!$D$124-$C$2),60000)+ROW()/1000000))</f>
        <v/>
      </c>
      <c r="L398">
        <f>IF(TRACKER!$A400="","","Document")</f>
        <v/>
      </c>
      <c r="M398">
        <f>IF($L398="","",TRACKER!$E400&amp;"  -  "&amp;TRACKER!$A400)</f>
        <v/>
      </c>
      <c r="N398">
        <f>IF($L398="","",IF(TRACKER!$B400="Equipment",TRACKER!$D400,IF(TRACKER!$B400="System",TRACKER!$C400,"Whole contract")))</f>
        <v/>
      </c>
      <c r="O398">
        <f>IF($L398="","",TRACKER!$F400)</f>
        <v/>
      </c>
      <c r="P398">
        <f>IF($L398="","",TRACKER!$K400)</f>
        <v/>
      </c>
      <c r="Q398">
        <f>IF($L398="","",TRACKER!$N400)</f>
        <v/>
      </c>
      <c r="R398">
        <f>TRACKER!$Y400</f>
        <v/>
      </c>
      <c r="S398">
        <f>TRACKER!$Z400</f>
        <v/>
      </c>
      <c r="T398">
        <f>TRACKER!$X400</f>
        <v/>
      </c>
    </row>
    <row r="399">
      <c r="G399">
        <f>IF(OR(SETUP!$C$124="",$A$3="",$B$3&lt;&gt;"Equipment"),"","Equipment")</f>
        <v/>
      </c>
      <c r="H399">
        <f>IF($G399="","",SETUP!$C$124)</f>
        <v/>
      </c>
      <c r="I399">
        <f>IF($G399="","",$A$3)</f>
        <v/>
      </c>
      <c r="J399">
        <f>IF($G399="","",IF(COUNTIFS(DOC_TYPE,$I399,DOC_EQP,$H399,DOC_SCOPE,"Equipment",DOC_ACTIVE,1)+COUNTIFS(DOC_TYPE,$I399,DOC_SYS,SETUP!$B$124,DOC_SCOPE,"System",DOC_ACTIVE,1)+COUNTIFS(DOC_TYPE,$I399,DOC_SCOPE,"All",DOC_ACTIVE,1)&gt;0,"",IFERROR(IF($E$3&lt;&gt;"",$E$3-$C$3,SETUP!$D$124-$C$3),60000)+ROW()/1000000))</f>
        <v/>
      </c>
      <c r="L399">
        <f>IF(TRACKER!$A401="","","Document")</f>
        <v/>
      </c>
      <c r="M399">
        <f>IF($L399="","",TRACKER!$E401&amp;"  -  "&amp;TRACKER!$A401)</f>
        <v/>
      </c>
      <c r="N399">
        <f>IF($L399="","",IF(TRACKER!$B401="Equipment",TRACKER!$D401,IF(TRACKER!$B401="System",TRACKER!$C401,"Whole contract")))</f>
        <v/>
      </c>
      <c r="O399">
        <f>IF($L399="","",TRACKER!$F401)</f>
        <v/>
      </c>
      <c r="P399">
        <f>IF($L399="","",TRACKER!$K401)</f>
        <v/>
      </c>
      <c r="Q399">
        <f>IF($L399="","",TRACKER!$N401)</f>
        <v/>
      </c>
      <c r="R399">
        <f>TRACKER!$Y401</f>
        <v/>
      </c>
      <c r="S399">
        <f>TRACKER!$Z401</f>
        <v/>
      </c>
      <c r="T399">
        <f>TRACKER!$X401</f>
        <v/>
      </c>
    </row>
    <row r="400">
      <c r="G400">
        <f>IF(OR(SETUP!$C$124="",$A$4="",$B$4&lt;&gt;"Equipment"),"","Equipment")</f>
        <v/>
      </c>
      <c r="H400">
        <f>IF($G400="","",SETUP!$C$124)</f>
        <v/>
      </c>
      <c r="I400">
        <f>IF($G400="","",$A$4)</f>
        <v/>
      </c>
      <c r="J400">
        <f>IF($G400="","",IF(COUNTIFS(DOC_TYPE,$I400,DOC_EQP,$H400,DOC_SCOPE,"Equipment",DOC_ACTIVE,1)+COUNTIFS(DOC_TYPE,$I400,DOC_SYS,SETUP!$B$124,DOC_SCOPE,"System",DOC_ACTIVE,1)+COUNTIFS(DOC_TYPE,$I400,DOC_SCOPE,"All",DOC_ACTIVE,1)&gt;0,"",IFERROR(IF($E$4&lt;&gt;"",$E$4-$C$4,SETUP!$D$124-$C$4),60000)+ROW()/1000000))</f>
        <v/>
      </c>
      <c r="L400">
        <f>IF(TRACKER!$A402="","","Document")</f>
        <v/>
      </c>
      <c r="M400">
        <f>IF($L400="","",TRACKER!$E402&amp;"  -  "&amp;TRACKER!$A402)</f>
        <v/>
      </c>
      <c r="N400">
        <f>IF($L400="","",IF(TRACKER!$B402="Equipment",TRACKER!$D402,IF(TRACKER!$B402="System",TRACKER!$C402,"Whole contract")))</f>
        <v/>
      </c>
      <c r="O400">
        <f>IF($L400="","",TRACKER!$F402)</f>
        <v/>
      </c>
      <c r="P400">
        <f>IF($L400="","",TRACKER!$K402)</f>
        <v/>
      </c>
      <c r="Q400">
        <f>IF($L400="","",TRACKER!$N402)</f>
        <v/>
      </c>
      <c r="R400">
        <f>TRACKER!$Y402</f>
        <v/>
      </c>
      <c r="S400">
        <f>TRACKER!$Z402</f>
        <v/>
      </c>
      <c r="T400">
        <f>TRACKER!$X402</f>
        <v/>
      </c>
    </row>
    <row r="401">
      <c r="G401">
        <f>IF(OR(SETUP!$C$124="",$A$5="",$B$5&lt;&gt;"Equipment"),"","Equipment")</f>
        <v/>
      </c>
      <c r="H401">
        <f>IF($G401="","",SETUP!$C$124)</f>
        <v/>
      </c>
      <c r="I401">
        <f>IF($G401="","",$A$5)</f>
        <v/>
      </c>
      <c r="J401">
        <f>IF($G401="","",IF(COUNTIFS(DOC_TYPE,$I401,DOC_EQP,$H401,DOC_SCOPE,"Equipment",DOC_ACTIVE,1)+COUNTIFS(DOC_TYPE,$I401,DOC_SYS,SETUP!$B$124,DOC_SCOPE,"System",DOC_ACTIVE,1)+COUNTIFS(DOC_TYPE,$I401,DOC_SCOPE,"All",DOC_ACTIVE,1)&gt;0,"",IFERROR(IF($E$5&lt;&gt;"",$E$5-$C$5,SETUP!$D$124-$C$5),60000)+ROW()/1000000))</f>
        <v/>
      </c>
      <c r="L401">
        <f>IF(TRACKER!$A403="","","Document")</f>
        <v/>
      </c>
      <c r="M401">
        <f>IF($L401="","",TRACKER!$E403&amp;"  -  "&amp;TRACKER!$A403)</f>
        <v/>
      </c>
      <c r="N401">
        <f>IF($L401="","",IF(TRACKER!$B403="Equipment",TRACKER!$D403,IF(TRACKER!$B403="System",TRACKER!$C403,"Whole contract")))</f>
        <v/>
      </c>
      <c r="O401">
        <f>IF($L401="","",TRACKER!$F403)</f>
        <v/>
      </c>
      <c r="P401">
        <f>IF($L401="","",TRACKER!$K403)</f>
        <v/>
      </c>
      <c r="Q401">
        <f>IF($L401="","",TRACKER!$N403)</f>
        <v/>
      </c>
      <c r="R401">
        <f>TRACKER!$Y403</f>
        <v/>
      </c>
      <c r="S401">
        <f>TRACKER!$Z403</f>
        <v/>
      </c>
      <c r="T401">
        <f>TRACKER!$X403</f>
        <v/>
      </c>
    </row>
    <row r="402">
      <c r="G402">
        <f>IF(OR(SETUP!$C$124="",$A$6="",$B$6&lt;&gt;"Equipment"),"","Equipment")</f>
        <v/>
      </c>
      <c r="H402">
        <f>IF($G402="","",SETUP!$C$124)</f>
        <v/>
      </c>
      <c r="I402">
        <f>IF($G402="","",$A$6)</f>
        <v/>
      </c>
      <c r="J402">
        <f>IF($G402="","",IF(COUNTIFS(DOC_TYPE,$I402,DOC_EQP,$H402,DOC_SCOPE,"Equipment",DOC_ACTIVE,1)+COUNTIFS(DOC_TYPE,$I402,DOC_SYS,SETUP!$B$124,DOC_SCOPE,"System",DOC_ACTIVE,1)+COUNTIFS(DOC_TYPE,$I402,DOC_SCOPE,"All",DOC_ACTIVE,1)&gt;0,"",IFERROR(IF($E$6&lt;&gt;"",$E$6-$C$6,SETUP!$D$124-$C$6),60000)+ROW()/1000000))</f>
        <v/>
      </c>
      <c r="L402">
        <f>IF(TRACKER!$A404="","","Document")</f>
        <v/>
      </c>
      <c r="M402">
        <f>IF($L402="","",TRACKER!$E404&amp;"  -  "&amp;TRACKER!$A404)</f>
        <v/>
      </c>
      <c r="N402">
        <f>IF($L402="","",IF(TRACKER!$B404="Equipment",TRACKER!$D404,IF(TRACKER!$B404="System",TRACKER!$C404,"Whole contract")))</f>
        <v/>
      </c>
      <c r="O402">
        <f>IF($L402="","",TRACKER!$F404)</f>
        <v/>
      </c>
      <c r="P402">
        <f>IF($L402="","",TRACKER!$K404)</f>
        <v/>
      </c>
      <c r="Q402">
        <f>IF($L402="","",TRACKER!$N404)</f>
        <v/>
      </c>
      <c r="R402">
        <f>TRACKER!$Y404</f>
        <v/>
      </c>
      <c r="S402">
        <f>TRACKER!$Z404</f>
        <v/>
      </c>
      <c r="T402">
        <f>TRACKER!$X404</f>
        <v/>
      </c>
    </row>
    <row r="403">
      <c r="G403">
        <f>IF(OR(SETUP!$C$124="",$A$7="",$B$7&lt;&gt;"Equipment"),"","Equipment")</f>
        <v/>
      </c>
      <c r="H403">
        <f>IF($G403="","",SETUP!$C$124)</f>
        <v/>
      </c>
      <c r="I403">
        <f>IF($G403="","",$A$7)</f>
        <v/>
      </c>
      <c r="J403">
        <f>IF($G403="","",IF(COUNTIFS(DOC_TYPE,$I403,DOC_EQP,$H403,DOC_SCOPE,"Equipment",DOC_ACTIVE,1)+COUNTIFS(DOC_TYPE,$I403,DOC_SYS,SETUP!$B$124,DOC_SCOPE,"System",DOC_ACTIVE,1)+COUNTIFS(DOC_TYPE,$I403,DOC_SCOPE,"All",DOC_ACTIVE,1)&gt;0,"",IFERROR(IF($E$7&lt;&gt;"",$E$7-$C$7,SETUP!$D$124-$C$7),60000)+ROW()/1000000))</f>
        <v/>
      </c>
      <c r="L403">
        <f>IF(TRACKER!$A405="","","Document")</f>
        <v/>
      </c>
      <c r="M403">
        <f>IF($L403="","",TRACKER!$E405&amp;"  -  "&amp;TRACKER!$A405)</f>
        <v/>
      </c>
      <c r="N403">
        <f>IF($L403="","",IF(TRACKER!$B405="Equipment",TRACKER!$D405,IF(TRACKER!$B405="System",TRACKER!$C405,"Whole contract")))</f>
        <v/>
      </c>
      <c r="O403">
        <f>IF($L403="","",TRACKER!$F405)</f>
        <v/>
      </c>
      <c r="P403">
        <f>IF($L403="","",TRACKER!$K405)</f>
        <v/>
      </c>
      <c r="Q403">
        <f>IF($L403="","",TRACKER!$N405)</f>
        <v/>
      </c>
      <c r="R403">
        <f>TRACKER!$Y405</f>
        <v/>
      </c>
      <c r="S403">
        <f>TRACKER!$Z405</f>
        <v/>
      </c>
      <c r="T403">
        <f>TRACKER!$X405</f>
        <v/>
      </c>
    </row>
    <row r="404">
      <c r="G404">
        <f>IF(OR(SETUP!$C$124="",$A$8="",$B$8&lt;&gt;"Equipment"),"","Equipment")</f>
        <v/>
      </c>
      <c r="H404">
        <f>IF($G404="","",SETUP!$C$124)</f>
        <v/>
      </c>
      <c r="I404">
        <f>IF($G404="","",$A$8)</f>
        <v/>
      </c>
      <c r="J404">
        <f>IF($G404="","",IF(COUNTIFS(DOC_TYPE,$I404,DOC_EQP,$H404,DOC_SCOPE,"Equipment",DOC_ACTIVE,1)+COUNTIFS(DOC_TYPE,$I404,DOC_SYS,SETUP!$B$124,DOC_SCOPE,"System",DOC_ACTIVE,1)+COUNTIFS(DOC_TYPE,$I404,DOC_SCOPE,"All",DOC_ACTIVE,1)&gt;0,"",IFERROR(IF($E$8&lt;&gt;"",$E$8-$C$8,SETUP!$D$124-$C$8),60000)+ROW()/1000000))</f>
        <v/>
      </c>
      <c r="L404">
        <f>IF(TRACKER!$A406="","","Document")</f>
        <v/>
      </c>
      <c r="M404">
        <f>IF($L404="","",TRACKER!$E406&amp;"  -  "&amp;TRACKER!$A406)</f>
        <v/>
      </c>
      <c r="N404">
        <f>IF($L404="","",IF(TRACKER!$B406="Equipment",TRACKER!$D406,IF(TRACKER!$B406="System",TRACKER!$C406,"Whole contract")))</f>
        <v/>
      </c>
      <c r="O404">
        <f>IF($L404="","",TRACKER!$F406)</f>
        <v/>
      </c>
      <c r="P404">
        <f>IF($L404="","",TRACKER!$K406)</f>
        <v/>
      </c>
      <c r="Q404">
        <f>IF($L404="","",TRACKER!$N406)</f>
        <v/>
      </c>
      <c r="R404">
        <f>TRACKER!$Y406</f>
        <v/>
      </c>
      <c r="S404">
        <f>TRACKER!$Z406</f>
        <v/>
      </c>
      <c r="T404">
        <f>TRACKER!$X406</f>
        <v/>
      </c>
    </row>
    <row r="405">
      <c r="G405">
        <f>IF(OR(SETUP!$C$124="",$A$9="",$B$9&lt;&gt;"Equipment"),"","Equipment")</f>
        <v/>
      </c>
      <c r="H405">
        <f>IF($G405="","",SETUP!$C$124)</f>
        <v/>
      </c>
      <c r="I405">
        <f>IF($G405="","",$A$9)</f>
        <v/>
      </c>
      <c r="J405">
        <f>IF($G405="","",IF(COUNTIFS(DOC_TYPE,$I405,DOC_EQP,$H405,DOC_SCOPE,"Equipment",DOC_ACTIVE,1)+COUNTIFS(DOC_TYPE,$I405,DOC_SYS,SETUP!$B$124,DOC_SCOPE,"System",DOC_ACTIVE,1)+COUNTIFS(DOC_TYPE,$I405,DOC_SCOPE,"All",DOC_ACTIVE,1)&gt;0,"",IFERROR(IF($E$9&lt;&gt;"",$E$9-$C$9,SETUP!$D$124-$C$9),60000)+ROW()/1000000))</f>
        <v/>
      </c>
      <c r="L405">
        <f>IF(TRACKER!$A407="","","Document")</f>
        <v/>
      </c>
      <c r="M405">
        <f>IF($L405="","",TRACKER!$E407&amp;"  -  "&amp;TRACKER!$A407)</f>
        <v/>
      </c>
      <c r="N405">
        <f>IF($L405="","",IF(TRACKER!$B407="Equipment",TRACKER!$D407,IF(TRACKER!$B407="System",TRACKER!$C407,"Whole contract")))</f>
        <v/>
      </c>
      <c r="O405">
        <f>IF($L405="","",TRACKER!$F407)</f>
        <v/>
      </c>
      <c r="P405">
        <f>IF($L405="","",TRACKER!$K407)</f>
        <v/>
      </c>
      <c r="Q405">
        <f>IF($L405="","",TRACKER!$N407)</f>
        <v/>
      </c>
      <c r="R405">
        <f>TRACKER!$Y407</f>
        <v/>
      </c>
      <c r="S405">
        <f>TRACKER!$Z407</f>
        <v/>
      </c>
      <c r="T405">
        <f>TRACKER!$X407</f>
        <v/>
      </c>
    </row>
    <row r="406">
      <c r="G406">
        <f>IF(OR(SETUP!$C$124="",$A$10="",$B$10&lt;&gt;"Equipment"),"","Equipment")</f>
        <v/>
      </c>
      <c r="H406">
        <f>IF($G406="","",SETUP!$C$124)</f>
        <v/>
      </c>
      <c r="I406">
        <f>IF($G406="","",$A$10)</f>
        <v/>
      </c>
      <c r="J406">
        <f>IF($G406="","",IF(COUNTIFS(DOC_TYPE,$I406,DOC_EQP,$H406,DOC_SCOPE,"Equipment",DOC_ACTIVE,1)+COUNTIFS(DOC_TYPE,$I406,DOC_SYS,SETUP!$B$124,DOC_SCOPE,"System",DOC_ACTIVE,1)+COUNTIFS(DOC_TYPE,$I406,DOC_SCOPE,"All",DOC_ACTIVE,1)&gt;0,"",IFERROR(IF($E$10&lt;&gt;"",$E$10-$C$10,SETUP!$D$124-$C$10),60000)+ROW()/1000000))</f>
        <v/>
      </c>
      <c r="L406">
        <f>IF(TRACKER!$A408="","","Document")</f>
        <v/>
      </c>
      <c r="M406">
        <f>IF($L406="","",TRACKER!$E408&amp;"  -  "&amp;TRACKER!$A408)</f>
        <v/>
      </c>
      <c r="N406">
        <f>IF($L406="","",IF(TRACKER!$B408="Equipment",TRACKER!$D408,IF(TRACKER!$B408="System",TRACKER!$C408,"Whole contract")))</f>
        <v/>
      </c>
      <c r="O406">
        <f>IF($L406="","",TRACKER!$F408)</f>
        <v/>
      </c>
      <c r="P406">
        <f>IF($L406="","",TRACKER!$K408)</f>
        <v/>
      </c>
      <c r="Q406">
        <f>IF($L406="","",TRACKER!$N408)</f>
        <v/>
      </c>
      <c r="R406">
        <f>TRACKER!$Y408</f>
        <v/>
      </c>
      <c r="S406">
        <f>TRACKER!$Z408</f>
        <v/>
      </c>
      <c r="T406">
        <f>TRACKER!$X408</f>
        <v/>
      </c>
    </row>
    <row r="407">
      <c r="G407">
        <f>IF(OR(SETUP!$C$124="",$A$11="",$B$11&lt;&gt;"Equipment"),"","Equipment")</f>
        <v/>
      </c>
      <c r="H407">
        <f>IF($G407="","",SETUP!$C$124)</f>
        <v/>
      </c>
      <c r="I407">
        <f>IF($G407="","",$A$11)</f>
        <v/>
      </c>
      <c r="J407">
        <f>IF($G407="","",IF(COUNTIFS(DOC_TYPE,$I407,DOC_EQP,$H407,DOC_SCOPE,"Equipment",DOC_ACTIVE,1)+COUNTIFS(DOC_TYPE,$I407,DOC_SYS,SETUP!$B$124,DOC_SCOPE,"System",DOC_ACTIVE,1)+COUNTIFS(DOC_TYPE,$I407,DOC_SCOPE,"All",DOC_ACTIVE,1)&gt;0,"",IFERROR(IF($E$11&lt;&gt;"",$E$11-$C$11,SETUP!$D$124-$C$11),60000)+ROW()/1000000))</f>
        <v/>
      </c>
      <c r="L407">
        <f>IF(TRACKER!$A409="","","Document")</f>
        <v/>
      </c>
      <c r="M407">
        <f>IF($L407="","",TRACKER!$E409&amp;"  -  "&amp;TRACKER!$A409)</f>
        <v/>
      </c>
      <c r="N407">
        <f>IF($L407="","",IF(TRACKER!$B409="Equipment",TRACKER!$D409,IF(TRACKER!$B409="System",TRACKER!$C409,"Whole contract")))</f>
        <v/>
      </c>
      <c r="O407">
        <f>IF($L407="","",TRACKER!$F409)</f>
        <v/>
      </c>
      <c r="P407">
        <f>IF($L407="","",TRACKER!$K409)</f>
        <v/>
      </c>
      <c r="Q407">
        <f>IF($L407="","",TRACKER!$N409)</f>
        <v/>
      </c>
      <c r="R407">
        <f>TRACKER!$Y409</f>
        <v/>
      </c>
      <c r="S407">
        <f>TRACKER!$Z409</f>
        <v/>
      </c>
      <c r="T407">
        <f>TRACKER!$X409</f>
        <v/>
      </c>
    </row>
    <row r="408">
      <c r="G408">
        <f>IF(OR(SETUP!$C$124="",$A$12="",$B$12&lt;&gt;"Equipment"),"","Equipment")</f>
        <v/>
      </c>
      <c r="H408">
        <f>IF($G408="","",SETUP!$C$124)</f>
        <v/>
      </c>
      <c r="I408">
        <f>IF($G408="","",$A$12)</f>
        <v/>
      </c>
      <c r="J408">
        <f>IF($G408="","",IF(COUNTIFS(DOC_TYPE,$I408,DOC_EQP,$H408,DOC_SCOPE,"Equipment",DOC_ACTIVE,1)+COUNTIFS(DOC_TYPE,$I408,DOC_SYS,SETUP!$B$124,DOC_SCOPE,"System",DOC_ACTIVE,1)+COUNTIFS(DOC_TYPE,$I408,DOC_SCOPE,"All",DOC_ACTIVE,1)&gt;0,"",IFERROR(IF($E$12&lt;&gt;"",$E$12-$C$12,SETUP!$D$124-$C$12),60000)+ROW()/1000000))</f>
        <v/>
      </c>
      <c r="L408">
        <f>IF(TRACKER!$A410="","","Document")</f>
        <v/>
      </c>
      <c r="M408">
        <f>IF($L408="","",TRACKER!$E410&amp;"  -  "&amp;TRACKER!$A410)</f>
        <v/>
      </c>
      <c r="N408">
        <f>IF($L408="","",IF(TRACKER!$B410="Equipment",TRACKER!$D410,IF(TRACKER!$B410="System",TRACKER!$C410,"Whole contract")))</f>
        <v/>
      </c>
      <c r="O408">
        <f>IF($L408="","",TRACKER!$F410)</f>
        <v/>
      </c>
      <c r="P408">
        <f>IF($L408="","",TRACKER!$K410)</f>
        <v/>
      </c>
      <c r="Q408">
        <f>IF($L408="","",TRACKER!$N410)</f>
        <v/>
      </c>
      <c r="R408">
        <f>TRACKER!$Y410</f>
        <v/>
      </c>
      <c r="S408">
        <f>TRACKER!$Z410</f>
        <v/>
      </c>
      <c r="T408">
        <f>TRACKER!$X410</f>
        <v/>
      </c>
    </row>
    <row r="409">
      <c r="G409">
        <f>IF(OR(SETUP!$C$124="",$A$13="",$B$13&lt;&gt;"Equipment"),"","Equipment")</f>
        <v/>
      </c>
      <c r="H409">
        <f>IF($G409="","",SETUP!$C$124)</f>
        <v/>
      </c>
      <c r="I409">
        <f>IF($G409="","",$A$13)</f>
        <v/>
      </c>
      <c r="J409">
        <f>IF($G409="","",IF(COUNTIFS(DOC_TYPE,$I409,DOC_EQP,$H409,DOC_SCOPE,"Equipment",DOC_ACTIVE,1)+COUNTIFS(DOC_TYPE,$I409,DOC_SYS,SETUP!$B$124,DOC_SCOPE,"System",DOC_ACTIVE,1)+COUNTIFS(DOC_TYPE,$I409,DOC_SCOPE,"All",DOC_ACTIVE,1)&gt;0,"",IFERROR(IF($E$13&lt;&gt;"",$E$13-$C$13,SETUP!$D$124-$C$13),60000)+ROW()/1000000))</f>
        <v/>
      </c>
      <c r="L409">
        <f>IF(TRACKER!$A411="","","Document")</f>
        <v/>
      </c>
      <c r="M409">
        <f>IF($L409="","",TRACKER!$E411&amp;"  -  "&amp;TRACKER!$A411)</f>
        <v/>
      </c>
      <c r="N409">
        <f>IF($L409="","",IF(TRACKER!$B411="Equipment",TRACKER!$D411,IF(TRACKER!$B411="System",TRACKER!$C411,"Whole contract")))</f>
        <v/>
      </c>
      <c r="O409">
        <f>IF($L409="","",TRACKER!$F411)</f>
        <v/>
      </c>
      <c r="P409">
        <f>IF($L409="","",TRACKER!$K411)</f>
        <v/>
      </c>
      <c r="Q409">
        <f>IF($L409="","",TRACKER!$N411)</f>
        <v/>
      </c>
      <c r="R409">
        <f>TRACKER!$Y411</f>
        <v/>
      </c>
      <c r="S409">
        <f>TRACKER!$Z411</f>
        <v/>
      </c>
      <c r="T409">
        <f>TRACKER!$X411</f>
        <v/>
      </c>
    </row>
    <row r="410">
      <c r="G410">
        <f>IF(OR(SETUP!$C$125="",$A$2="",$B$2&lt;&gt;"Equipment"),"","Equipment")</f>
        <v/>
      </c>
      <c r="H410">
        <f>IF($G410="","",SETUP!$C$125)</f>
        <v/>
      </c>
      <c r="I410">
        <f>IF($G410="","",$A$2)</f>
        <v/>
      </c>
      <c r="J410">
        <f>IF($G410="","",IF(COUNTIFS(DOC_TYPE,$I410,DOC_EQP,$H410,DOC_SCOPE,"Equipment",DOC_ACTIVE,1)+COUNTIFS(DOC_TYPE,$I410,DOC_SYS,SETUP!$B$125,DOC_SCOPE,"System",DOC_ACTIVE,1)+COUNTIFS(DOC_TYPE,$I410,DOC_SCOPE,"All",DOC_ACTIVE,1)&gt;0,"",IFERROR(IF($E$2&lt;&gt;"",$E$2-$C$2,SETUP!$D$125-$C$2),60000)+ROW()/1000000))</f>
        <v/>
      </c>
      <c r="L410">
        <f>IF(TRACKER!$A412="","","Document")</f>
        <v/>
      </c>
      <c r="M410">
        <f>IF($L410="","",TRACKER!$E412&amp;"  -  "&amp;TRACKER!$A412)</f>
        <v/>
      </c>
      <c r="N410">
        <f>IF($L410="","",IF(TRACKER!$B412="Equipment",TRACKER!$D412,IF(TRACKER!$B412="System",TRACKER!$C412,"Whole contract")))</f>
        <v/>
      </c>
      <c r="O410">
        <f>IF($L410="","",TRACKER!$F412)</f>
        <v/>
      </c>
      <c r="P410">
        <f>IF($L410="","",TRACKER!$K412)</f>
        <v/>
      </c>
      <c r="Q410">
        <f>IF($L410="","",TRACKER!$N412)</f>
        <v/>
      </c>
      <c r="R410">
        <f>TRACKER!$Y412</f>
        <v/>
      </c>
      <c r="S410">
        <f>TRACKER!$Z412</f>
        <v/>
      </c>
      <c r="T410">
        <f>TRACKER!$X412</f>
        <v/>
      </c>
    </row>
    <row r="411">
      <c r="G411">
        <f>IF(OR(SETUP!$C$125="",$A$3="",$B$3&lt;&gt;"Equipment"),"","Equipment")</f>
        <v/>
      </c>
      <c r="H411">
        <f>IF($G411="","",SETUP!$C$125)</f>
        <v/>
      </c>
      <c r="I411">
        <f>IF($G411="","",$A$3)</f>
        <v/>
      </c>
      <c r="J411">
        <f>IF($G411="","",IF(COUNTIFS(DOC_TYPE,$I411,DOC_EQP,$H411,DOC_SCOPE,"Equipment",DOC_ACTIVE,1)+COUNTIFS(DOC_TYPE,$I411,DOC_SYS,SETUP!$B$125,DOC_SCOPE,"System",DOC_ACTIVE,1)+COUNTIFS(DOC_TYPE,$I411,DOC_SCOPE,"All",DOC_ACTIVE,1)&gt;0,"",IFERROR(IF($E$3&lt;&gt;"",$E$3-$C$3,SETUP!$D$125-$C$3),60000)+ROW()/1000000))</f>
        <v/>
      </c>
      <c r="L411">
        <f>IF(TRACKER!$A413="","","Document")</f>
        <v/>
      </c>
      <c r="M411">
        <f>IF($L411="","",TRACKER!$E413&amp;"  -  "&amp;TRACKER!$A413)</f>
        <v/>
      </c>
      <c r="N411">
        <f>IF($L411="","",IF(TRACKER!$B413="Equipment",TRACKER!$D413,IF(TRACKER!$B413="System",TRACKER!$C413,"Whole contract")))</f>
        <v/>
      </c>
      <c r="O411">
        <f>IF($L411="","",TRACKER!$F413)</f>
        <v/>
      </c>
      <c r="P411">
        <f>IF($L411="","",TRACKER!$K413)</f>
        <v/>
      </c>
      <c r="Q411">
        <f>IF($L411="","",TRACKER!$N413)</f>
        <v/>
      </c>
      <c r="R411">
        <f>TRACKER!$Y413</f>
        <v/>
      </c>
      <c r="S411">
        <f>TRACKER!$Z413</f>
        <v/>
      </c>
      <c r="T411">
        <f>TRACKER!$X413</f>
        <v/>
      </c>
    </row>
    <row r="412">
      <c r="G412">
        <f>IF(OR(SETUP!$C$125="",$A$4="",$B$4&lt;&gt;"Equipment"),"","Equipment")</f>
        <v/>
      </c>
      <c r="H412">
        <f>IF($G412="","",SETUP!$C$125)</f>
        <v/>
      </c>
      <c r="I412">
        <f>IF($G412="","",$A$4)</f>
        <v/>
      </c>
      <c r="J412">
        <f>IF($G412="","",IF(COUNTIFS(DOC_TYPE,$I412,DOC_EQP,$H412,DOC_SCOPE,"Equipment",DOC_ACTIVE,1)+COUNTIFS(DOC_TYPE,$I412,DOC_SYS,SETUP!$B$125,DOC_SCOPE,"System",DOC_ACTIVE,1)+COUNTIFS(DOC_TYPE,$I412,DOC_SCOPE,"All",DOC_ACTIVE,1)&gt;0,"",IFERROR(IF($E$4&lt;&gt;"",$E$4-$C$4,SETUP!$D$125-$C$4),60000)+ROW()/1000000))</f>
        <v/>
      </c>
      <c r="L412">
        <f>IF(TRACKER!$A414="","","Document")</f>
        <v/>
      </c>
      <c r="M412">
        <f>IF($L412="","",TRACKER!$E414&amp;"  -  "&amp;TRACKER!$A414)</f>
        <v/>
      </c>
      <c r="N412">
        <f>IF($L412="","",IF(TRACKER!$B414="Equipment",TRACKER!$D414,IF(TRACKER!$B414="System",TRACKER!$C414,"Whole contract")))</f>
        <v/>
      </c>
      <c r="O412">
        <f>IF($L412="","",TRACKER!$F414)</f>
        <v/>
      </c>
      <c r="P412">
        <f>IF($L412="","",TRACKER!$K414)</f>
        <v/>
      </c>
      <c r="Q412">
        <f>IF($L412="","",TRACKER!$N414)</f>
        <v/>
      </c>
      <c r="R412">
        <f>TRACKER!$Y414</f>
        <v/>
      </c>
      <c r="S412">
        <f>TRACKER!$Z414</f>
        <v/>
      </c>
      <c r="T412">
        <f>TRACKER!$X414</f>
        <v/>
      </c>
    </row>
    <row r="413">
      <c r="G413">
        <f>IF(OR(SETUP!$C$125="",$A$5="",$B$5&lt;&gt;"Equipment"),"","Equipment")</f>
        <v/>
      </c>
      <c r="H413">
        <f>IF($G413="","",SETUP!$C$125)</f>
        <v/>
      </c>
      <c r="I413">
        <f>IF($G413="","",$A$5)</f>
        <v/>
      </c>
      <c r="J413">
        <f>IF($G413="","",IF(COUNTIFS(DOC_TYPE,$I413,DOC_EQP,$H413,DOC_SCOPE,"Equipment",DOC_ACTIVE,1)+COUNTIFS(DOC_TYPE,$I413,DOC_SYS,SETUP!$B$125,DOC_SCOPE,"System",DOC_ACTIVE,1)+COUNTIFS(DOC_TYPE,$I413,DOC_SCOPE,"All",DOC_ACTIVE,1)&gt;0,"",IFERROR(IF($E$5&lt;&gt;"",$E$5-$C$5,SETUP!$D$125-$C$5),60000)+ROW()/1000000))</f>
        <v/>
      </c>
      <c r="L413">
        <f>IF(TRACKER!$A415="","","Document")</f>
        <v/>
      </c>
      <c r="M413">
        <f>IF($L413="","",TRACKER!$E415&amp;"  -  "&amp;TRACKER!$A415)</f>
        <v/>
      </c>
      <c r="N413">
        <f>IF($L413="","",IF(TRACKER!$B415="Equipment",TRACKER!$D415,IF(TRACKER!$B415="System",TRACKER!$C415,"Whole contract")))</f>
        <v/>
      </c>
      <c r="O413">
        <f>IF($L413="","",TRACKER!$F415)</f>
        <v/>
      </c>
      <c r="P413">
        <f>IF($L413="","",TRACKER!$K415)</f>
        <v/>
      </c>
      <c r="Q413">
        <f>IF($L413="","",TRACKER!$N415)</f>
        <v/>
      </c>
      <c r="R413">
        <f>TRACKER!$Y415</f>
        <v/>
      </c>
      <c r="S413">
        <f>TRACKER!$Z415</f>
        <v/>
      </c>
      <c r="T413">
        <f>TRACKER!$X415</f>
        <v/>
      </c>
    </row>
    <row r="414">
      <c r="G414">
        <f>IF(OR(SETUP!$C$125="",$A$6="",$B$6&lt;&gt;"Equipment"),"","Equipment")</f>
        <v/>
      </c>
      <c r="H414">
        <f>IF($G414="","",SETUP!$C$125)</f>
        <v/>
      </c>
      <c r="I414">
        <f>IF($G414="","",$A$6)</f>
        <v/>
      </c>
      <c r="J414">
        <f>IF($G414="","",IF(COUNTIFS(DOC_TYPE,$I414,DOC_EQP,$H414,DOC_SCOPE,"Equipment",DOC_ACTIVE,1)+COUNTIFS(DOC_TYPE,$I414,DOC_SYS,SETUP!$B$125,DOC_SCOPE,"System",DOC_ACTIVE,1)+COUNTIFS(DOC_TYPE,$I414,DOC_SCOPE,"All",DOC_ACTIVE,1)&gt;0,"",IFERROR(IF($E$6&lt;&gt;"",$E$6-$C$6,SETUP!$D$125-$C$6),60000)+ROW()/1000000))</f>
        <v/>
      </c>
      <c r="L414">
        <f>IF(TRACKER!$A416="","","Document")</f>
        <v/>
      </c>
      <c r="M414">
        <f>IF($L414="","",TRACKER!$E416&amp;"  -  "&amp;TRACKER!$A416)</f>
        <v/>
      </c>
      <c r="N414">
        <f>IF($L414="","",IF(TRACKER!$B416="Equipment",TRACKER!$D416,IF(TRACKER!$B416="System",TRACKER!$C416,"Whole contract")))</f>
        <v/>
      </c>
      <c r="O414">
        <f>IF($L414="","",TRACKER!$F416)</f>
        <v/>
      </c>
      <c r="P414">
        <f>IF($L414="","",TRACKER!$K416)</f>
        <v/>
      </c>
      <c r="Q414">
        <f>IF($L414="","",TRACKER!$N416)</f>
        <v/>
      </c>
      <c r="R414">
        <f>TRACKER!$Y416</f>
        <v/>
      </c>
      <c r="S414">
        <f>TRACKER!$Z416</f>
        <v/>
      </c>
      <c r="T414">
        <f>TRACKER!$X416</f>
        <v/>
      </c>
    </row>
    <row r="415">
      <c r="G415">
        <f>IF(OR(SETUP!$C$125="",$A$7="",$B$7&lt;&gt;"Equipment"),"","Equipment")</f>
        <v/>
      </c>
      <c r="H415">
        <f>IF($G415="","",SETUP!$C$125)</f>
        <v/>
      </c>
      <c r="I415">
        <f>IF($G415="","",$A$7)</f>
        <v/>
      </c>
      <c r="J415">
        <f>IF($G415="","",IF(COUNTIFS(DOC_TYPE,$I415,DOC_EQP,$H415,DOC_SCOPE,"Equipment",DOC_ACTIVE,1)+COUNTIFS(DOC_TYPE,$I415,DOC_SYS,SETUP!$B$125,DOC_SCOPE,"System",DOC_ACTIVE,1)+COUNTIFS(DOC_TYPE,$I415,DOC_SCOPE,"All",DOC_ACTIVE,1)&gt;0,"",IFERROR(IF($E$7&lt;&gt;"",$E$7-$C$7,SETUP!$D$125-$C$7),60000)+ROW()/1000000))</f>
        <v/>
      </c>
      <c r="L415">
        <f>IF(TRACKER!$A417="","","Document")</f>
        <v/>
      </c>
      <c r="M415">
        <f>IF($L415="","",TRACKER!$E417&amp;"  -  "&amp;TRACKER!$A417)</f>
        <v/>
      </c>
      <c r="N415">
        <f>IF($L415="","",IF(TRACKER!$B417="Equipment",TRACKER!$D417,IF(TRACKER!$B417="System",TRACKER!$C417,"Whole contract")))</f>
        <v/>
      </c>
      <c r="O415">
        <f>IF($L415="","",TRACKER!$F417)</f>
        <v/>
      </c>
      <c r="P415">
        <f>IF($L415="","",TRACKER!$K417)</f>
        <v/>
      </c>
      <c r="Q415">
        <f>IF($L415="","",TRACKER!$N417)</f>
        <v/>
      </c>
      <c r="R415">
        <f>TRACKER!$Y417</f>
        <v/>
      </c>
      <c r="S415">
        <f>TRACKER!$Z417</f>
        <v/>
      </c>
      <c r="T415">
        <f>TRACKER!$X417</f>
        <v/>
      </c>
    </row>
    <row r="416">
      <c r="G416">
        <f>IF(OR(SETUP!$C$125="",$A$8="",$B$8&lt;&gt;"Equipment"),"","Equipment")</f>
        <v/>
      </c>
      <c r="H416">
        <f>IF($G416="","",SETUP!$C$125)</f>
        <v/>
      </c>
      <c r="I416">
        <f>IF($G416="","",$A$8)</f>
        <v/>
      </c>
      <c r="J416">
        <f>IF($G416="","",IF(COUNTIFS(DOC_TYPE,$I416,DOC_EQP,$H416,DOC_SCOPE,"Equipment",DOC_ACTIVE,1)+COUNTIFS(DOC_TYPE,$I416,DOC_SYS,SETUP!$B$125,DOC_SCOPE,"System",DOC_ACTIVE,1)+COUNTIFS(DOC_TYPE,$I416,DOC_SCOPE,"All",DOC_ACTIVE,1)&gt;0,"",IFERROR(IF($E$8&lt;&gt;"",$E$8-$C$8,SETUP!$D$125-$C$8),60000)+ROW()/1000000))</f>
        <v/>
      </c>
      <c r="L416">
        <f>IF(TRACKER!$A418="","","Document")</f>
        <v/>
      </c>
      <c r="M416">
        <f>IF($L416="","",TRACKER!$E418&amp;"  -  "&amp;TRACKER!$A418)</f>
        <v/>
      </c>
      <c r="N416">
        <f>IF($L416="","",IF(TRACKER!$B418="Equipment",TRACKER!$D418,IF(TRACKER!$B418="System",TRACKER!$C418,"Whole contract")))</f>
        <v/>
      </c>
      <c r="O416">
        <f>IF($L416="","",TRACKER!$F418)</f>
        <v/>
      </c>
      <c r="P416">
        <f>IF($L416="","",TRACKER!$K418)</f>
        <v/>
      </c>
      <c r="Q416">
        <f>IF($L416="","",TRACKER!$N418)</f>
        <v/>
      </c>
      <c r="R416">
        <f>TRACKER!$Y418</f>
        <v/>
      </c>
      <c r="S416">
        <f>TRACKER!$Z418</f>
        <v/>
      </c>
      <c r="T416">
        <f>TRACKER!$X418</f>
        <v/>
      </c>
    </row>
    <row r="417">
      <c r="G417">
        <f>IF(OR(SETUP!$C$125="",$A$9="",$B$9&lt;&gt;"Equipment"),"","Equipment")</f>
        <v/>
      </c>
      <c r="H417">
        <f>IF($G417="","",SETUP!$C$125)</f>
        <v/>
      </c>
      <c r="I417">
        <f>IF($G417="","",$A$9)</f>
        <v/>
      </c>
      <c r="J417">
        <f>IF($G417="","",IF(COUNTIFS(DOC_TYPE,$I417,DOC_EQP,$H417,DOC_SCOPE,"Equipment",DOC_ACTIVE,1)+COUNTIFS(DOC_TYPE,$I417,DOC_SYS,SETUP!$B$125,DOC_SCOPE,"System",DOC_ACTIVE,1)+COUNTIFS(DOC_TYPE,$I417,DOC_SCOPE,"All",DOC_ACTIVE,1)&gt;0,"",IFERROR(IF($E$9&lt;&gt;"",$E$9-$C$9,SETUP!$D$125-$C$9),60000)+ROW()/1000000))</f>
        <v/>
      </c>
      <c r="L417">
        <f>IF(TRACKER!$A419="","","Document")</f>
        <v/>
      </c>
      <c r="M417">
        <f>IF($L417="","",TRACKER!$E419&amp;"  -  "&amp;TRACKER!$A419)</f>
        <v/>
      </c>
      <c r="N417">
        <f>IF($L417="","",IF(TRACKER!$B419="Equipment",TRACKER!$D419,IF(TRACKER!$B419="System",TRACKER!$C419,"Whole contract")))</f>
        <v/>
      </c>
      <c r="O417">
        <f>IF($L417="","",TRACKER!$F419)</f>
        <v/>
      </c>
      <c r="P417">
        <f>IF($L417="","",TRACKER!$K419)</f>
        <v/>
      </c>
      <c r="Q417">
        <f>IF($L417="","",TRACKER!$N419)</f>
        <v/>
      </c>
      <c r="R417">
        <f>TRACKER!$Y419</f>
        <v/>
      </c>
      <c r="S417">
        <f>TRACKER!$Z419</f>
        <v/>
      </c>
      <c r="T417">
        <f>TRACKER!$X419</f>
        <v/>
      </c>
    </row>
    <row r="418">
      <c r="G418">
        <f>IF(OR(SETUP!$C$125="",$A$10="",$B$10&lt;&gt;"Equipment"),"","Equipment")</f>
        <v/>
      </c>
      <c r="H418">
        <f>IF($G418="","",SETUP!$C$125)</f>
        <v/>
      </c>
      <c r="I418">
        <f>IF($G418="","",$A$10)</f>
        <v/>
      </c>
      <c r="J418">
        <f>IF($G418="","",IF(COUNTIFS(DOC_TYPE,$I418,DOC_EQP,$H418,DOC_SCOPE,"Equipment",DOC_ACTIVE,1)+COUNTIFS(DOC_TYPE,$I418,DOC_SYS,SETUP!$B$125,DOC_SCOPE,"System",DOC_ACTIVE,1)+COUNTIFS(DOC_TYPE,$I418,DOC_SCOPE,"All",DOC_ACTIVE,1)&gt;0,"",IFERROR(IF($E$10&lt;&gt;"",$E$10-$C$10,SETUP!$D$125-$C$10),60000)+ROW()/1000000))</f>
        <v/>
      </c>
      <c r="L418">
        <f>IF(TRACKER!$A420="","","Document")</f>
        <v/>
      </c>
      <c r="M418">
        <f>IF($L418="","",TRACKER!$E420&amp;"  -  "&amp;TRACKER!$A420)</f>
        <v/>
      </c>
      <c r="N418">
        <f>IF($L418="","",IF(TRACKER!$B420="Equipment",TRACKER!$D420,IF(TRACKER!$B420="System",TRACKER!$C420,"Whole contract")))</f>
        <v/>
      </c>
      <c r="O418">
        <f>IF($L418="","",TRACKER!$F420)</f>
        <v/>
      </c>
      <c r="P418">
        <f>IF($L418="","",TRACKER!$K420)</f>
        <v/>
      </c>
      <c r="Q418">
        <f>IF($L418="","",TRACKER!$N420)</f>
        <v/>
      </c>
      <c r="R418">
        <f>TRACKER!$Y420</f>
        <v/>
      </c>
      <c r="S418">
        <f>TRACKER!$Z420</f>
        <v/>
      </c>
      <c r="T418">
        <f>TRACKER!$X420</f>
        <v/>
      </c>
    </row>
    <row r="419">
      <c r="G419">
        <f>IF(OR(SETUP!$C$125="",$A$11="",$B$11&lt;&gt;"Equipment"),"","Equipment")</f>
        <v/>
      </c>
      <c r="H419">
        <f>IF($G419="","",SETUP!$C$125)</f>
        <v/>
      </c>
      <c r="I419">
        <f>IF($G419="","",$A$11)</f>
        <v/>
      </c>
      <c r="J419">
        <f>IF($G419="","",IF(COUNTIFS(DOC_TYPE,$I419,DOC_EQP,$H419,DOC_SCOPE,"Equipment",DOC_ACTIVE,1)+COUNTIFS(DOC_TYPE,$I419,DOC_SYS,SETUP!$B$125,DOC_SCOPE,"System",DOC_ACTIVE,1)+COUNTIFS(DOC_TYPE,$I419,DOC_SCOPE,"All",DOC_ACTIVE,1)&gt;0,"",IFERROR(IF($E$11&lt;&gt;"",$E$11-$C$11,SETUP!$D$125-$C$11),60000)+ROW()/1000000))</f>
        <v/>
      </c>
      <c r="L419">
        <f>IF(TRACKER!$A421="","","Document")</f>
        <v/>
      </c>
      <c r="M419">
        <f>IF($L419="","",TRACKER!$E421&amp;"  -  "&amp;TRACKER!$A421)</f>
        <v/>
      </c>
      <c r="N419">
        <f>IF($L419="","",IF(TRACKER!$B421="Equipment",TRACKER!$D421,IF(TRACKER!$B421="System",TRACKER!$C421,"Whole contract")))</f>
        <v/>
      </c>
      <c r="O419">
        <f>IF($L419="","",TRACKER!$F421)</f>
        <v/>
      </c>
      <c r="P419">
        <f>IF($L419="","",TRACKER!$K421)</f>
        <v/>
      </c>
      <c r="Q419">
        <f>IF($L419="","",TRACKER!$N421)</f>
        <v/>
      </c>
      <c r="R419">
        <f>TRACKER!$Y421</f>
        <v/>
      </c>
      <c r="S419">
        <f>TRACKER!$Z421</f>
        <v/>
      </c>
      <c r="T419">
        <f>TRACKER!$X421</f>
        <v/>
      </c>
    </row>
    <row r="420">
      <c r="G420">
        <f>IF(OR(SETUP!$C$125="",$A$12="",$B$12&lt;&gt;"Equipment"),"","Equipment")</f>
        <v/>
      </c>
      <c r="H420">
        <f>IF($G420="","",SETUP!$C$125)</f>
        <v/>
      </c>
      <c r="I420">
        <f>IF($G420="","",$A$12)</f>
        <v/>
      </c>
      <c r="J420">
        <f>IF($G420="","",IF(COUNTIFS(DOC_TYPE,$I420,DOC_EQP,$H420,DOC_SCOPE,"Equipment",DOC_ACTIVE,1)+COUNTIFS(DOC_TYPE,$I420,DOC_SYS,SETUP!$B$125,DOC_SCOPE,"System",DOC_ACTIVE,1)+COUNTIFS(DOC_TYPE,$I420,DOC_SCOPE,"All",DOC_ACTIVE,1)&gt;0,"",IFERROR(IF($E$12&lt;&gt;"",$E$12-$C$12,SETUP!$D$125-$C$12),60000)+ROW()/1000000))</f>
        <v/>
      </c>
      <c r="L420">
        <f>IF(TRACKER!$A422="","","Document")</f>
        <v/>
      </c>
      <c r="M420">
        <f>IF($L420="","",TRACKER!$E422&amp;"  -  "&amp;TRACKER!$A422)</f>
        <v/>
      </c>
      <c r="N420">
        <f>IF($L420="","",IF(TRACKER!$B422="Equipment",TRACKER!$D422,IF(TRACKER!$B422="System",TRACKER!$C422,"Whole contract")))</f>
        <v/>
      </c>
      <c r="O420">
        <f>IF($L420="","",TRACKER!$F422)</f>
        <v/>
      </c>
      <c r="P420">
        <f>IF($L420="","",TRACKER!$K422)</f>
        <v/>
      </c>
      <c r="Q420">
        <f>IF($L420="","",TRACKER!$N422)</f>
        <v/>
      </c>
      <c r="R420">
        <f>TRACKER!$Y422</f>
        <v/>
      </c>
      <c r="S420">
        <f>TRACKER!$Z422</f>
        <v/>
      </c>
      <c r="T420">
        <f>TRACKER!$X422</f>
        <v/>
      </c>
    </row>
    <row r="421">
      <c r="G421">
        <f>IF(OR(SETUP!$C$125="",$A$13="",$B$13&lt;&gt;"Equipment"),"","Equipment")</f>
        <v/>
      </c>
      <c r="H421">
        <f>IF($G421="","",SETUP!$C$125)</f>
        <v/>
      </c>
      <c r="I421">
        <f>IF($G421="","",$A$13)</f>
        <v/>
      </c>
      <c r="J421">
        <f>IF($G421="","",IF(COUNTIFS(DOC_TYPE,$I421,DOC_EQP,$H421,DOC_SCOPE,"Equipment",DOC_ACTIVE,1)+COUNTIFS(DOC_TYPE,$I421,DOC_SYS,SETUP!$B$125,DOC_SCOPE,"System",DOC_ACTIVE,1)+COUNTIFS(DOC_TYPE,$I421,DOC_SCOPE,"All",DOC_ACTIVE,1)&gt;0,"",IFERROR(IF($E$13&lt;&gt;"",$E$13-$C$13,SETUP!$D$125-$C$13),60000)+ROW()/1000000))</f>
        <v/>
      </c>
      <c r="L421">
        <f>IF(TRACKER!$A423="","","Document")</f>
        <v/>
      </c>
      <c r="M421">
        <f>IF($L421="","",TRACKER!$E423&amp;"  -  "&amp;TRACKER!$A423)</f>
        <v/>
      </c>
      <c r="N421">
        <f>IF($L421="","",IF(TRACKER!$B423="Equipment",TRACKER!$D423,IF(TRACKER!$B423="System",TRACKER!$C423,"Whole contract")))</f>
        <v/>
      </c>
      <c r="O421">
        <f>IF($L421="","",TRACKER!$F423)</f>
        <v/>
      </c>
      <c r="P421">
        <f>IF($L421="","",TRACKER!$K423)</f>
        <v/>
      </c>
      <c r="Q421">
        <f>IF($L421="","",TRACKER!$N423)</f>
        <v/>
      </c>
      <c r="R421">
        <f>TRACKER!$Y423</f>
        <v/>
      </c>
      <c r="S421">
        <f>TRACKER!$Z423</f>
        <v/>
      </c>
      <c r="T421">
        <f>TRACKER!$X423</f>
        <v/>
      </c>
    </row>
    <row r="422">
      <c r="G422">
        <f>IF(OR(SETUP!$C$126="",$A$2="",$B$2&lt;&gt;"Equipment"),"","Equipment")</f>
        <v/>
      </c>
      <c r="H422">
        <f>IF($G422="","",SETUP!$C$126)</f>
        <v/>
      </c>
      <c r="I422">
        <f>IF($G422="","",$A$2)</f>
        <v/>
      </c>
      <c r="J422">
        <f>IF($G422="","",IF(COUNTIFS(DOC_TYPE,$I422,DOC_EQP,$H422,DOC_SCOPE,"Equipment",DOC_ACTIVE,1)+COUNTIFS(DOC_TYPE,$I422,DOC_SYS,SETUP!$B$126,DOC_SCOPE,"System",DOC_ACTIVE,1)+COUNTIFS(DOC_TYPE,$I422,DOC_SCOPE,"All",DOC_ACTIVE,1)&gt;0,"",IFERROR(IF($E$2&lt;&gt;"",$E$2-$C$2,SETUP!$D$126-$C$2),60000)+ROW()/1000000))</f>
        <v/>
      </c>
      <c r="L422">
        <f>IF(TRACKER!$A424="","","Document")</f>
        <v/>
      </c>
      <c r="M422">
        <f>IF($L422="","",TRACKER!$E424&amp;"  -  "&amp;TRACKER!$A424)</f>
        <v/>
      </c>
      <c r="N422">
        <f>IF($L422="","",IF(TRACKER!$B424="Equipment",TRACKER!$D424,IF(TRACKER!$B424="System",TRACKER!$C424,"Whole contract")))</f>
        <v/>
      </c>
      <c r="O422">
        <f>IF($L422="","",TRACKER!$F424)</f>
        <v/>
      </c>
      <c r="P422">
        <f>IF($L422="","",TRACKER!$K424)</f>
        <v/>
      </c>
      <c r="Q422">
        <f>IF($L422="","",TRACKER!$N424)</f>
        <v/>
      </c>
      <c r="R422">
        <f>TRACKER!$Y424</f>
        <v/>
      </c>
      <c r="S422">
        <f>TRACKER!$Z424</f>
        <v/>
      </c>
      <c r="T422">
        <f>TRACKER!$X424</f>
        <v/>
      </c>
    </row>
    <row r="423">
      <c r="G423">
        <f>IF(OR(SETUP!$C$126="",$A$3="",$B$3&lt;&gt;"Equipment"),"","Equipment")</f>
        <v/>
      </c>
      <c r="H423">
        <f>IF($G423="","",SETUP!$C$126)</f>
        <v/>
      </c>
      <c r="I423">
        <f>IF($G423="","",$A$3)</f>
        <v/>
      </c>
      <c r="J423">
        <f>IF($G423="","",IF(COUNTIFS(DOC_TYPE,$I423,DOC_EQP,$H423,DOC_SCOPE,"Equipment",DOC_ACTIVE,1)+COUNTIFS(DOC_TYPE,$I423,DOC_SYS,SETUP!$B$126,DOC_SCOPE,"System",DOC_ACTIVE,1)+COUNTIFS(DOC_TYPE,$I423,DOC_SCOPE,"All",DOC_ACTIVE,1)&gt;0,"",IFERROR(IF($E$3&lt;&gt;"",$E$3-$C$3,SETUP!$D$126-$C$3),60000)+ROW()/1000000))</f>
        <v/>
      </c>
      <c r="L423">
        <f>IF(TRACKER!$A425="","","Document")</f>
        <v/>
      </c>
      <c r="M423">
        <f>IF($L423="","",TRACKER!$E425&amp;"  -  "&amp;TRACKER!$A425)</f>
        <v/>
      </c>
      <c r="N423">
        <f>IF($L423="","",IF(TRACKER!$B425="Equipment",TRACKER!$D425,IF(TRACKER!$B425="System",TRACKER!$C425,"Whole contract")))</f>
        <v/>
      </c>
      <c r="O423">
        <f>IF($L423="","",TRACKER!$F425)</f>
        <v/>
      </c>
      <c r="P423">
        <f>IF($L423="","",TRACKER!$K425)</f>
        <v/>
      </c>
      <c r="Q423">
        <f>IF($L423="","",TRACKER!$N425)</f>
        <v/>
      </c>
      <c r="R423">
        <f>TRACKER!$Y425</f>
        <v/>
      </c>
      <c r="S423">
        <f>TRACKER!$Z425</f>
        <v/>
      </c>
      <c r="T423">
        <f>TRACKER!$X425</f>
        <v/>
      </c>
    </row>
    <row r="424">
      <c r="G424">
        <f>IF(OR(SETUP!$C$126="",$A$4="",$B$4&lt;&gt;"Equipment"),"","Equipment")</f>
        <v/>
      </c>
      <c r="H424">
        <f>IF($G424="","",SETUP!$C$126)</f>
        <v/>
      </c>
      <c r="I424">
        <f>IF($G424="","",$A$4)</f>
        <v/>
      </c>
      <c r="J424">
        <f>IF($G424="","",IF(COUNTIFS(DOC_TYPE,$I424,DOC_EQP,$H424,DOC_SCOPE,"Equipment",DOC_ACTIVE,1)+COUNTIFS(DOC_TYPE,$I424,DOC_SYS,SETUP!$B$126,DOC_SCOPE,"System",DOC_ACTIVE,1)+COUNTIFS(DOC_TYPE,$I424,DOC_SCOPE,"All",DOC_ACTIVE,1)&gt;0,"",IFERROR(IF($E$4&lt;&gt;"",$E$4-$C$4,SETUP!$D$126-$C$4),60000)+ROW()/1000000))</f>
        <v/>
      </c>
      <c r="L424">
        <f>IF(TRACKER!$A426="","","Document")</f>
        <v/>
      </c>
      <c r="M424">
        <f>IF($L424="","",TRACKER!$E426&amp;"  -  "&amp;TRACKER!$A426)</f>
        <v/>
      </c>
      <c r="N424">
        <f>IF($L424="","",IF(TRACKER!$B426="Equipment",TRACKER!$D426,IF(TRACKER!$B426="System",TRACKER!$C426,"Whole contract")))</f>
        <v/>
      </c>
      <c r="O424">
        <f>IF($L424="","",TRACKER!$F426)</f>
        <v/>
      </c>
      <c r="P424">
        <f>IF($L424="","",TRACKER!$K426)</f>
        <v/>
      </c>
      <c r="Q424">
        <f>IF($L424="","",TRACKER!$N426)</f>
        <v/>
      </c>
      <c r="R424">
        <f>TRACKER!$Y426</f>
        <v/>
      </c>
      <c r="S424">
        <f>TRACKER!$Z426</f>
        <v/>
      </c>
      <c r="T424">
        <f>TRACKER!$X426</f>
        <v/>
      </c>
    </row>
    <row r="425">
      <c r="G425">
        <f>IF(OR(SETUP!$C$126="",$A$5="",$B$5&lt;&gt;"Equipment"),"","Equipment")</f>
        <v/>
      </c>
      <c r="H425">
        <f>IF($G425="","",SETUP!$C$126)</f>
        <v/>
      </c>
      <c r="I425">
        <f>IF($G425="","",$A$5)</f>
        <v/>
      </c>
      <c r="J425">
        <f>IF($G425="","",IF(COUNTIFS(DOC_TYPE,$I425,DOC_EQP,$H425,DOC_SCOPE,"Equipment",DOC_ACTIVE,1)+COUNTIFS(DOC_TYPE,$I425,DOC_SYS,SETUP!$B$126,DOC_SCOPE,"System",DOC_ACTIVE,1)+COUNTIFS(DOC_TYPE,$I425,DOC_SCOPE,"All",DOC_ACTIVE,1)&gt;0,"",IFERROR(IF($E$5&lt;&gt;"",$E$5-$C$5,SETUP!$D$126-$C$5),60000)+ROW()/1000000))</f>
        <v/>
      </c>
      <c r="L425">
        <f>IF(TRACKER!$A427="","","Document")</f>
        <v/>
      </c>
      <c r="M425">
        <f>IF($L425="","",TRACKER!$E427&amp;"  -  "&amp;TRACKER!$A427)</f>
        <v/>
      </c>
      <c r="N425">
        <f>IF($L425="","",IF(TRACKER!$B427="Equipment",TRACKER!$D427,IF(TRACKER!$B427="System",TRACKER!$C427,"Whole contract")))</f>
        <v/>
      </c>
      <c r="O425">
        <f>IF($L425="","",TRACKER!$F427)</f>
        <v/>
      </c>
      <c r="P425">
        <f>IF($L425="","",TRACKER!$K427)</f>
        <v/>
      </c>
      <c r="Q425">
        <f>IF($L425="","",TRACKER!$N427)</f>
        <v/>
      </c>
      <c r="R425">
        <f>TRACKER!$Y427</f>
        <v/>
      </c>
      <c r="S425">
        <f>TRACKER!$Z427</f>
        <v/>
      </c>
      <c r="T425">
        <f>TRACKER!$X427</f>
        <v/>
      </c>
    </row>
    <row r="426">
      <c r="G426">
        <f>IF(OR(SETUP!$C$126="",$A$6="",$B$6&lt;&gt;"Equipment"),"","Equipment")</f>
        <v/>
      </c>
      <c r="H426">
        <f>IF($G426="","",SETUP!$C$126)</f>
        <v/>
      </c>
      <c r="I426">
        <f>IF($G426="","",$A$6)</f>
        <v/>
      </c>
      <c r="J426">
        <f>IF($G426="","",IF(COUNTIFS(DOC_TYPE,$I426,DOC_EQP,$H426,DOC_SCOPE,"Equipment",DOC_ACTIVE,1)+COUNTIFS(DOC_TYPE,$I426,DOC_SYS,SETUP!$B$126,DOC_SCOPE,"System",DOC_ACTIVE,1)+COUNTIFS(DOC_TYPE,$I426,DOC_SCOPE,"All",DOC_ACTIVE,1)&gt;0,"",IFERROR(IF($E$6&lt;&gt;"",$E$6-$C$6,SETUP!$D$126-$C$6),60000)+ROW()/1000000))</f>
        <v/>
      </c>
      <c r="L426">
        <f>IF(TRACKER!$A428="","","Document")</f>
        <v/>
      </c>
      <c r="M426">
        <f>IF($L426="","",TRACKER!$E428&amp;"  -  "&amp;TRACKER!$A428)</f>
        <v/>
      </c>
      <c r="N426">
        <f>IF($L426="","",IF(TRACKER!$B428="Equipment",TRACKER!$D428,IF(TRACKER!$B428="System",TRACKER!$C428,"Whole contract")))</f>
        <v/>
      </c>
      <c r="O426">
        <f>IF($L426="","",TRACKER!$F428)</f>
        <v/>
      </c>
      <c r="P426">
        <f>IF($L426="","",TRACKER!$K428)</f>
        <v/>
      </c>
      <c r="Q426">
        <f>IF($L426="","",TRACKER!$N428)</f>
        <v/>
      </c>
      <c r="R426">
        <f>TRACKER!$Y428</f>
        <v/>
      </c>
      <c r="S426">
        <f>TRACKER!$Z428</f>
        <v/>
      </c>
      <c r="T426">
        <f>TRACKER!$X428</f>
        <v/>
      </c>
    </row>
    <row r="427">
      <c r="G427">
        <f>IF(OR(SETUP!$C$126="",$A$7="",$B$7&lt;&gt;"Equipment"),"","Equipment")</f>
        <v/>
      </c>
      <c r="H427">
        <f>IF($G427="","",SETUP!$C$126)</f>
        <v/>
      </c>
      <c r="I427">
        <f>IF($G427="","",$A$7)</f>
        <v/>
      </c>
      <c r="J427">
        <f>IF($G427="","",IF(COUNTIFS(DOC_TYPE,$I427,DOC_EQP,$H427,DOC_SCOPE,"Equipment",DOC_ACTIVE,1)+COUNTIFS(DOC_TYPE,$I427,DOC_SYS,SETUP!$B$126,DOC_SCOPE,"System",DOC_ACTIVE,1)+COUNTIFS(DOC_TYPE,$I427,DOC_SCOPE,"All",DOC_ACTIVE,1)&gt;0,"",IFERROR(IF($E$7&lt;&gt;"",$E$7-$C$7,SETUP!$D$126-$C$7),60000)+ROW()/1000000))</f>
        <v/>
      </c>
      <c r="L427">
        <f>IF(TRACKER!$A429="","","Document")</f>
        <v/>
      </c>
      <c r="M427">
        <f>IF($L427="","",TRACKER!$E429&amp;"  -  "&amp;TRACKER!$A429)</f>
        <v/>
      </c>
      <c r="N427">
        <f>IF($L427="","",IF(TRACKER!$B429="Equipment",TRACKER!$D429,IF(TRACKER!$B429="System",TRACKER!$C429,"Whole contract")))</f>
        <v/>
      </c>
      <c r="O427">
        <f>IF($L427="","",TRACKER!$F429)</f>
        <v/>
      </c>
      <c r="P427">
        <f>IF($L427="","",TRACKER!$K429)</f>
        <v/>
      </c>
      <c r="Q427">
        <f>IF($L427="","",TRACKER!$N429)</f>
        <v/>
      </c>
      <c r="R427">
        <f>TRACKER!$Y429</f>
        <v/>
      </c>
      <c r="S427">
        <f>TRACKER!$Z429</f>
        <v/>
      </c>
      <c r="T427">
        <f>TRACKER!$X429</f>
        <v/>
      </c>
    </row>
    <row r="428">
      <c r="G428">
        <f>IF(OR(SETUP!$C$126="",$A$8="",$B$8&lt;&gt;"Equipment"),"","Equipment")</f>
        <v/>
      </c>
      <c r="H428">
        <f>IF($G428="","",SETUP!$C$126)</f>
        <v/>
      </c>
      <c r="I428">
        <f>IF($G428="","",$A$8)</f>
        <v/>
      </c>
      <c r="J428">
        <f>IF($G428="","",IF(COUNTIFS(DOC_TYPE,$I428,DOC_EQP,$H428,DOC_SCOPE,"Equipment",DOC_ACTIVE,1)+COUNTIFS(DOC_TYPE,$I428,DOC_SYS,SETUP!$B$126,DOC_SCOPE,"System",DOC_ACTIVE,1)+COUNTIFS(DOC_TYPE,$I428,DOC_SCOPE,"All",DOC_ACTIVE,1)&gt;0,"",IFERROR(IF($E$8&lt;&gt;"",$E$8-$C$8,SETUP!$D$126-$C$8),60000)+ROW()/1000000))</f>
        <v/>
      </c>
      <c r="L428">
        <f>IF(TRACKER!$A430="","","Document")</f>
        <v/>
      </c>
      <c r="M428">
        <f>IF($L428="","",TRACKER!$E430&amp;"  -  "&amp;TRACKER!$A430)</f>
        <v/>
      </c>
      <c r="N428">
        <f>IF($L428="","",IF(TRACKER!$B430="Equipment",TRACKER!$D430,IF(TRACKER!$B430="System",TRACKER!$C430,"Whole contract")))</f>
        <v/>
      </c>
      <c r="O428">
        <f>IF($L428="","",TRACKER!$F430)</f>
        <v/>
      </c>
      <c r="P428">
        <f>IF($L428="","",TRACKER!$K430)</f>
        <v/>
      </c>
      <c r="Q428">
        <f>IF($L428="","",TRACKER!$N430)</f>
        <v/>
      </c>
      <c r="R428">
        <f>TRACKER!$Y430</f>
        <v/>
      </c>
      <c r="S428">
        <f>TRACKER!$Z430</f>
        <v/>
      </c>
      <c r="T428">
        <f>TRACKER!$X430</f>
        <v/>
      </c>
    </row>
    <row r="429">
      <c r="G429">
        <f>IF(OR(SETUP!$C$126="",$A$9="",$B$9&lt;&gt;"Equipment"),"","Equipment")</f>
        <v/>
      </c>
      <c r="H429">
        <f>IF($G429="","",SETUP!$C$126)</f>
        <v/>
      </c>
      <c r="I429">
        <f>IF($G429="","",$A$9)</f>
        <v/>
      </c>
      <c r="J429">
        <f>IF($G429="","",IF(COUNTIFS(DOC_TYPE,$I429,DOC_EQP,$H429,DOC_SCOPE,"Equipment",DOC_ACTIVE,1)+COUNTIFS(DOC_TYPE,$I429,DOC_SYS,SETUP!$B$126,DOC_SCOPE,"System",DOC_ACTIVE,1)+COUNTIFS(DOC_TYPE,$I429,DOC_SCOPE,"All",DOC_ACTIVE,1)&gt;0,"",IFERROR(IF($E$9&lt;&gt;"",$E$9-$C$9,SETUP!$D$126-$C$9),60000)+ROW()/1000000))</f>
        <v/>
      </c>
      <c r="L429">
        <f>IF(TRACKER!$A431="","","Document")</f>
        <v/>
      </c>
      <c r="M429">
        <f>IF($L429="","",TRACKER!$E431&amp;"  -  "&amp;TRACKER!$A431)</f>
        <v/>
      </c>
      <c r="N429">
        <f>IF($L429="","",IF(TRACKER!$B431="Equipment",TRACKER!$D431,IF(TRACKER!$B431="System",TRACKER!$C431,"Whole contract")))</f>
        <v/>
      </c>
      <c r="O429">
        <f>IF($L429="","",TRACKER!$F431)</f>
        <v/>
      </c>
      <c r="P429">
        <f>IF($L429="","",TRACKER!$K431)</f>
        <v/>
      </c>
      <c r="Q429">
        <f>IF($L429="","",TRACKER!$N431)</f>
        <v/>
      </c>
      <c r="R429">
        <f>TRACKER!$Y431</f>
        <v/>
      </c>
      <c r="S429">
        <f>TRACKER!$Z431</f>
        <v/>
      </c>
      <c r="T429">
        <f>TRACKER!$X431</f>
        <v/>
      </c>
    </row>
    <row r="430">
      <c r="G430">
        <f>IF(OR(SETUP!$C$126="",$A$10="",$B$10&lt;&gt;"Equipment"),"","Equipment")</f>
        <v/>
      </c>
      <c r="H430">
        <f>IF($G430="","",SETUP!$C$126)</f>
        <v/>
      </c>
      <c r="I430">
        <f>IF($G430="","",$A$10)</f>
        <v/>
      </c>
      <c r="J430">
        <f>IF($G430="","",IF(COUNTIFS(DOC_TYPE,$I430,DOC_EQP,$H430,DOC_SCOPE,"Equipment",DOC_ACTIVE,1)+COUNTIFS(DOC_TYPE,$I430,DOC_SYS,SETUP!$B$126,DOC_SCOPE,"System",DOC_ACTIVE,1)+COUNTIFS(DOC_TYPE,$I430,DOC_SCOPE,"All",DOC_ACTIVE,1)&gt;0,"",IFERROR(IF($E$10&lt;&gt;"",$E$10-$C$10,SETUP!$D$126-$C$10),60000)+ROW()/1000000))</f>
        <v/>
      </c>
      <c r="L430">
        <f>IF(TRACKER!$A432="","","Document")</f>
        <v/>
      </c>
      <c r="M430">
        <f>IF($L430="","",TRACKER!$E432&amp;"  -  "&amp;TRACKER!$A432)</f>
        <v/>
      </c>
      <c r="N430">
        <f>IF($L430="","",IF(TRACKER!$B432="Equipment",TRACKER!$D432,IF(TRACKER!$B432="System",TRACKER!$C432,"Whole contract")))</f>
        <v/>
      </c>
      <c r="O430">
        <f>IF($L430="","",TRACKER!$F432)</f>
        <v/>
      </c>
      <c r="P430">
        <f>IF($L430="","",TRACKER!$K432)</f>
        <v/>
      </c>
      <c r="Q430">
        <f>IF($L430="","",TRACKER!$N432)</f>
        <v/>
      </c>
      <c r="R430">
        <f>TRACKER!$Y432</f>
        <v/>
      </c>
      <c r="S430">
        <f>TRACKER!$Z432</f>
        <v/>
      </c>
      <c r="T430">
        <f>TRACKER!$X432</f>
        <v/>
      </c>
    </row>
    <row r="431">
      <c r="G431">
        <f>IF(OR(SETUP!$C$126="",$A$11="",$B$11&lt;&gt;"Equipment"),"","Equipment")</f>
        <v/>
      </c>
      <c r="H431">
        <f>IF($G431="","",SETUP!$C$126)</f>
        <v/>
      </c>
      <c r="I431">
        <f>IF($G431="","",$A$11)</f>
        <v/>
      </c>
      <c r="J431">
        <f>IF($G431="","",IF(COUNTIFS(DOC_TYPE,$I431,DOC_EQP,$H431,DOC_SCOPE,"Equipment",DOC_ACTIVE,1)+COUNTIFS(DOC_TYPE,$I431,DOC_SYS,SETUP!$B$126,DOC_SCOPE,"System",DOC_ACTIVE,1)+COUNTIFS(DOC_TYPE,$I431,DOC_SCOPE,"All",DOC_ACTIVE,1)&gt;0,"",IFERROR(IF($E$11&lt;&gt;"",$E$11-$C$11,SETUP!$D$126-$C$11),60000)+ROW()/1000000))</f>
        <v/>
      </c>
      <c r="L431">
        <f>IF(TRACKER!$A433="","","Document")</f>
        <v/>
      </c>
      <c r="M431">
        <f>IF($L431="","",TRACKER!$E433&amp;"  -  "&amp;TRACKER!$A433)</f>
        <v/>
      </c>
      <c r="N431">
        <f>IF($L431="","",IF(TRACKER!$B433="Equipment",TRACKER!$D433,IF(TRACKER!$B433="System",TRACKER!$C433,"Whole contract")))</f>
        <v/>
      </c>
      <c r="O431">
        <f>IF($L431="","",TRACKER!$F433)</f>
        <v/>
      </c>
      <c r="P431">
        <f>IF($L431="","",TRACKER!$K433)</f>
        <v/>
      </c>
      <c r="Q431">
        <f>IF($L431="","",TRACKER!$N433)</f>
        <v/>
      </c>
      <c r="R431">
        <f>TRACKER!$Y433</f>
        <v/>
      </c>
      <c r="S431">
        <f>TRACKER!$Z433</f>
        <v/>
      </c>
      <c r="T431">
        <f>TRACKER!$X433</f>
        <v/>
      </c>
    </row>
    <row r="432">
      <c r="G432">
        <f>IF(OR(SETUP!$C$126="",$A$12="",$B$12&lt;&gt;"Equipment"),"","Equipment")</f>
        <v/>
      </c>
      <c r="H432">
        <f>IF($G432="","",SETUP!$C$126)</f>
        <v/>
      </c>
      <c r="I432">
        <f>IF($G432="","",$A$12)</f>
        <v/>
      </c>
      <c r="J432">
        <f>IF($G432="","",IF(COUNTIFS(DOC_TYPE,$I432,DOC_EQP,$H432,DOC_SCOPE,"Equipment",DOC_ACTIVE,1)+COUNTIFS(DOC_TYPE,$I432,DOC_SYS,SETUP!$B$126,DOC_SCOPE,"System",DOC_ACTIVE,1)+COUNTIFS(DOC_TYPE,$I432,DOC_SCOPE,"All",DOC_ACTIVE,1)&gt;0,"",IFERROR(IF($E$12&lt;&gt;"",$E$12-$C$12,SETUP!$D$126-$C$12),60000)+ROW()/1000000))</f>
        <v/>
      </c>
      <c r="L432">
        <f>IF(TRACKER!$A434="","","Document")</f>
        <v/>
      </c>
      <c r="M432">
        <f>IF($L432="","",TRACKER!$E434&amp;"  -  "&amp;TRACKER!$A434)</f>
        <v/>
      </c>
      <c r="N432">
        <f>IF($L432="","",IF(TRACKER!$B434="Equipment",TRACKER!$D434,IF(TRACKER!$B434="System",TRACKER!$C434,"Whole contract")))</f>
        <v/>
      </c>
      <c r="O432">
        <f>IF($L432="","",TRACKER!$F434)</f>
        <v/>
      </c>
      <c r="P432">
        <f>IF($L432="","",TRACKER!$K434)</f>
        <v/>
      </c>
      <c r="Q432">
        <f>IF($L432="","",TRACKER!$N434)</f>
        <v/>
      </c>
      <c r="R432">
        <f>TRACKER!$Y434</f>
        <v/>
      </c>
      <c r="S432">
        <f>TRACKER!$Z434</f>
        <v/>
      </c>
      <c r="T432">
        <f>TRACKER!$X434</f>
        <v/>
      </c>
    </row>
    <row r="433">
      <c r="G433">
        <f>IF(OR(SETUP!$C$126="",$A$13="",$B$13&lt;&gt;"Equipment"),"","Equipment")</f>
        <v/>
      </c>
      <c r="H433">
        <f>IF($G433="","",SETUP!$C$126)</f>
        <v/>
      </c>
      <c r="I433">
        <f>IF($G433="","",$A$13)</f>
        <v/>
      </c>
      <c r="J433">
        <f>IF($G433="","",IF(COUNTIFS(DOC_TYPE,$I433,DOC_EQP,$H433,DOC_SCOPE,"Equipment",DOC_ACTIVE,1)+COUNTIFS(DOC_TYPE,$I433,DOC_SYS,SETUP!$B$126,DOC_SCOPE,"System",DOC_ACTIVE,1)+COUNTIFS(DOC_TYPE,$I433,DOC_SCOPE,"All",DOC_ACTIVE,1)&gt;0,"",IFERROR(IF($E$13&lt;&gt;"",$E$13-$C$13,SETUP!$D$126-$C$13),60000)+ROW()/1000000))</f>
        <v/>
      </c>
      <c r="L433">
        <f>IF(TRACKER!$A435="","","Document")</f>
        <v/>
      </c>
      <c r="M433">
        <f>IF($L433="","",TRACKER!$E435&amp;"  -  "&amp;TRACKER!$A435)</f>
        <v/>
      </c>
      <c r="N433">
        <f>IF($L433="","",IF(TRACKER!$B435="Equipment",TRACKER!$D435,IF(TRACKER!$B435="System",TRACKER!$C435,"Whole contract")))</f>
        <v/>
      </c>
      <c r="O433">
        <f>IF($L433="","",TRACKER!$F435)</f>
        <v/>
      </c>
      <c r="P433">
        <f>IF($L433="","",TRACKER!$K435)</f>
        <v/>
      </c>
      <c r="Q433">
        <f>IF($L433="","",TRACKER!$N435)</f>
        <v/>
      </c>
      <c r="R433">
        <f>TRACKER!$Y435</f>
        <v/>
      </c>
      <c r="S433">
        <f>TRACKER!$Z435</f>
        <v/>
      </c>
      <c r="T433">
        <f>TRACKER!$X435</f>
        <v/>
      </c>
    </row>
    <row r="434">
      <c r="G434">
        <f>IF(OR(SETUP!$C$127="",$A$2="",$B$2&lt;&gt;"Equipment"),"","Equipment")</f>
        <v/>
      </c>
      <c r="H434">
        <f>IF($G434="","",SETUP!$C$127)</f>
        <v/>
      </c>
      <c r="I434">
        <f>IF($G434="","",$A$2)</f>
        <v/>
      </c>
      <c r="J434">
        <f>IF($G434="","",IF(COUNTIFS(DOC_TYPE,$I434,DOC_EQP,$H434,DOC_SCOPE,"Equipment",DOC_ACTIVE,1)+COUNTIFS(DOC_TYPE,$I434,DOC_SYS,SETUP!$B$127,DOC_SCOPE,"System",DOC_ACTIVE,1)+COUNTIFS(DOC_TYPE,$I434,DOC_SCOPE,"All",DOC_ACTIVE,1)&gt;0,"",IFERROR(IF($E$2&lt;&gt;"",$E$2-$C$2,SETUP!$D$127-$C$2),60000)+ROW()/1000000))</f>
        <v/>
      </c>
      <c r="L434">
        <f>IF(TRACKER!$A436="","","Document")</f>
        <v/>
      </c>
      <c r="M434">
        <f>IF($L434="","",TRACKER!$E436&amp;"  -  "&amp;TRACKER!$A436)</f>
        <v/>
      </c>
      <c r="N434">
        <f>IF($L434="","",IF(TRACKER!$B436="Equipment",TRACKER!$D436,IF(TRACKER!$B436="System",TRACKER!$C436,"Whole contract")))</f>
        <v/>
      </c>
      <c r="O434">
        <f>IF($L434="","",TRACKER!$F436)</f>
        <v/>
      </c>
      <c r="P434">
        <f>IF($L434="","",TRACKER!$K436)</f>
        <v/>
      </c>
      <c r="Q434">
        <f>IF($L434="","",TRACKER!$N436)</f>
        <v/>
      </c>
      <c r="R434">
        <f>TRACKER!$Y436</f>
        <v/>
      </c>
      <c r="S434">
        <f>TRACKER!$Z436</f>
        <v/>
      </c>
      <c r="T434">
        <f>TRACKER!$X436</f>
        <v/>
      </c>
    </row>
    <row r="435">
      <c r="G435">
        <f>IF(OR(SETUP!$C$127="",$A$3="",$B$3&lt;&gt;"Equipment"),"","Equipment")</f>
        <v/>
      </c>
      <c r="H435">
        <f>IF($G435="","",SETUP!$C$127)</f>
        <v/>
      </c>
      <c r="I435">
        <f>IF($G435="","",$A$3)</f>
        <v/>
      </c>
      <c r="J435">
        <f>IF($G435="","",IF(COUNTIFS(DOC_TYPE,$I435,DOC_EQP,$H435,DOC_SCOPE,"Equipment",DOC_ACTIVE,1)+COUNTIFS(DOC_TYPE,$I435,DOC_SYS,SETUP!$B$127,DOC_SCOPE,"System",DOC_ACTIVE,1)+COUNTIFS(DOC_TYPE,$I435,DOC_SCOPE,"All",DOC_ACTIVE,1)&gt;0,"",IFERROR(IF($E$3&lt;&gt;"",$E$3-$C$3,SETUP!$D$127-$C$3),60000)+ROW()/1000000))</f>
        <v/>
      </c>
      <c r="L435">
        <f>IF(TRACKER!$A437="","","Document")</f>
        <v/>
      </c>
      <c r="M435">
        <f>IF($L435="","",TRACKER!$E437&amp;"  -  "&amp;TRACKER!$A437)</f>
        <v/>
      </c>
      <c r="N435">
        <f>IF($L435="","",IF(TRACKER!$B437="Equipment",TRACKER!$D437,IF(TRACKER!$B437="System",TRACKER!$C437,"Whole contract")))</f>
        <v/>
      </c>
      <c r="O435">
        <f>IF($L435="","",TRACKER!$F437)</f>
        <v/>
      </c>
      <c r="P435">
        <f>IF($L435="","",TRACKER!$K437)</f>
        <v/>
      </c>
      <c r="Q435">
        <f>IF($L435="","",TRACKER!$N437)</f>
        <v/>
      </c>
      <c r="R435">
        <f>TRACKER!$Y437</f>
        <v/>
      </c>
      <c r="S435">
        <f>TRACKER!$Z437</f>
        <v/>
      </c>
      <c r="T435">
        <f>TRACKER!$X437</f>
        <v/>
      </c>
    </row>
    <row r="436">
      <c r="G436">
        <f>IF(OR(SETUP!$C$127="",$A$4="",$B$4&lt;&gt;"Equipment"),"","Equipment")</f>
        <v/>
      </c>
      <c r="H436">
        <f>IF($G436="","",SETUP!$C$127)</f>
        <v/>
      </c>
      <c r="I436">
        <f>IF($G436="","",$A$4)</f>
        <v/>
      </c>
      <c r="J436">
        <f>IF($G436="","",IF(COUNTIFS(DOC_TYPE,$I436,DOC_EQP,$H436,DOC_SCOPE,"Equipment",DOC_ACTIVE,1)+COUNTIFS(DOC_TYPE,$I436,DOC_SYS,SETUP!$B$127,DOC_SCOPE,"System",DOC_ACTIVE,1)+COUNTIFS(DOC_TYPE,$I436,DOC_SCOPE,"All",DOC_ACTIVE,1)&gt;0,"",IFERROR(IF($E$4&lt;&gt;"",$E$4-$C$4,SETUP!$D$127-$C$4),60000)+ROW()/1000000))</f>
        <v/>
      </c>
      <c r="L436">
        <f>IF(TRACKER!$A438="","","Document")</f>
        <v/>
      </c>
      <c r="M436">
        <f>IF($L436="","",TRACKER!$E438&amp;"  -  "&amp;TRACKER!$A438)</f>
        <v/>
      </c>
      <c r="N436">
        <f>IF($L436="","",IF(TRACKER!$B438="Equipment",TRACKER!$D438,IF(TRACKER!$B438="System",TRACKER!$C438,"Whole contract")))</f>
        <v/>
      </c>
      <c r="O436">
        <f>IF($L436="","",TRACKER!$F438)</f>
        <v/>
      </c>
      <c r="P436">
        <f>IF($L436="","",TRACKER!$K438)</f>
        <v/>
      </c>
      <c r="Q436">
        <f>IF($L436="","",TRACKER!$N438)</f>
        <v/>
      </c>
      <c r="R436">
        <f>TRACKER!$Y438</f>
        <v/>
      </c>
      <c r="S436">
        <f>TRACKER!$Z438</f>
        <v/>
      </c>
      <c r="T436">
        <f>TRACKER!$X438</f>
        <v/>
      </c>
    </row>
    <row r="437">
      <c r="G437">
        <f>IF(OR(SETUP!$C$127="",$A$5="",$B$5&lt;&gt;"Equipment"),"","Equipment")</f>
        <v/>
      </c>
      <c r="H437">
        <f>IF($G437="","",SETUP!$C$127)</f>
        <v/>
      </c>
      <c r="I437">
        <f>IF($G437="","",$A$5)</f>
        <v/>
      </c>
      <c r="J437">
        <f>IF($G437="","",IF(COUNTIFS(DOC_TYPE,$I437,DOC_EQP,$H437,DOC_SCOPE,"Equipment",DOC_ACTIVE,1)+COUNTIFS(DOC_TYPE,$I437,DOC_SYS,SETUP!$B$127,DOC_SCOPE,"System",DOC_ACTIVE,1)+COUNTIFS(DOC_TYPE,$I437,DOC_SCOPE,"All",DOC_ACTIVE,1)&gt;0,"",IFERROR(IF($E$5&lt;&gt;"",$E$5-$C$5,SETUP!$D$127-$C$5),60000)+ROW()/1000000))</f>
        <v/>
      </c>
      <c r="L437">
        <f>IF(TRACKER!$A439="","","Document")</f>
        <v/>
      </c>
      <c r="M437">
        <f>IF($L437="","",TRACKER!$E439&amp;"  -  "&amp;TRACKER!$A439)</f>
        <v/>
      </c>
      <c r="N437">
        <f>IF($L437="","",IF(TRACKER!$B439="Equipment",TRACKER!$D439,IF(TRACKER!$B439="System",TRACKER!$C439,"Whole contract")))</f>
        <v/>
      </c>
      <c r="O437">
        <f>IF($L437="","",TRACKER!$F439)</f>
        <v/>
      </c>
      <c r="P437">
        <f>IF($L437="","",TRACKER!$K439)</f>
        <v/>
      </c>
      <c r="Q437">
        <f>IF($L437="","",TRACKER!$N439)</f>
        <v/>
      </c>
      <c r="R437">
        <f>TRACKER!$Y439</f>
        <v/>
      </c>
      <c r="S437">
        <f>TRACKER!$Z439</f>
        <v/>
      </c>
      <c r="T437">
        <f>TRACKER!$X439</f>
        <v/>
      </c>
    </row>
    <row r="438">
      <c r="G438">
        <f>IF(OR(SETUP!$C$127="",$A$6="",$B$6&lt;&gt;"Equipment"),"","Equipment")</f>
        <v/>
      </c>
      <c r="H438">
        <f>IF($G438="","",SETUP!$C$127)</f>
        <v/>
      </c>
      <c r="I438">
        <f>IF($G438="","",$A$6)</f>
        <v/>
      </c>
      <c r="J438">
        <f>IF($G438="","",IF(COUNTIFS(DOC_TYPE,$I438,DOC_EQP,$H438,DOC_SCOPE,"Equipment",DOC_ACTIVE,1)+COUNTIFS(DOC_TYPE,$I438,DOC_SYS,SETUP!$B$127,DOC_SCOPE,"System",DOC_ACTIVE,1)+COUNTIFS(DOC_TYPE,$I438,DOC_SCOPE,"All",DOC_ACTIVE,1)&gt;0,"",IFERROR(IF($E$6&lt;&gt;"",$E$6-$C$6,SETUP!$D$127-$C$6),60000)+ROW()/1000000))</f>
        <v/>
      </c>
      <c r="L438">
        <f>IF(TRACKER!$A440="","","Document")</f>
        <v/>
      </c>
      <c r="M438">
        <f>IF($L438="","",TRACKER!$E440&amp;"  -  "&amp;TRACKER!$A440)</f>
        <v/>
      </c>
      <c r="N438">
        <f>IF($L438="","",IF(TRACKER!$B440="Equipment",TRACKER!$D440,IF(TRACKER!$B440="System",TRACKER!$C440,"Whole contract")))</f>
        <v/>
      </c>
      <c r="O438">
        <f>IF($L438="","",TRACKER!$F440)</f>
        <v/>
      </c>
      <c r="P438">
        <f>IF($L438="","",TRACKER!$K440)</f>
        <v/>
      </c>
      <c r="Q438">
        <f>IF($L438="","",TRACKER!$N440)</f>
        <v/>
      </c>
      <c r="R438">
        <f>TRACKER!$Y440</f>
        <v/>
      </c>
      <c r="S438">
        <f>TRACKER!$Z440</f>
        <v/>
      </c>
      <c r="T438">
        <f>TRACKER!$X440</f>
        <v/>
      </c>
    </row>
    <row r="439">
      <c r="G439">
        <f>IF(OR(SETUP!$C$127="",$A$7="",$B$7&lt;&gt;"Equipment"),"","Equipment")</f>
        <v/>
      </c>
      <c r="H439">
        <f>IF($G439="","",SETUP!$C$127)</f>
        <v/>
      </c>
      <c r="I439">
        <f>IF($G439="","",$A$7)</f>
        <v/>
      </c>
      <c r="J439">
        <f>IF($G439="","",IF(COUNTIFS(DOC_TYPE,$I439,DOC_EQP,$H439,DOC_SCOPE,"Equipment",DOC_ACTIVE,1)+COUNTIFS(DOC_TYPE,$I439,DOC_SYS,SETUP!$B$127,DOC_SCOPE,"System",DOC_ACTIVE,1)+COUNTIFS(DOC_TYPE,$I439,DOC_SCOPE,"All",DOC_ACTIVE,1)&gt;0,"",IFERROR(IF($E$7&lt;&gt;"",$E$7-$C$7,SETUP!$D$127-$C$7),60000)+ROW()/1000000))</f>
        <v/>
      </c>
      <c r="L439">
        <f>IF(TRACKER!$A441="","","Document")</f>
        <v/>
      </c>
      <c r="M439">
        <f>IF($L439="","",TRACKER!$E441&amp;"  -  "&amp;TRACKER!$A441)</f>
        <v/>
      </c>
      <c r="N439">
        <f>IF($L439="","",IF(TRACKER!$B441="Equipment",TRACKER!$D441,IF(TRACKER!$B441="System",TRACKER!$C441,"Whole contract")))</f>
        <v/>
      </c>
      <c r="O439">
        <f>IF($L439="","",TRACKER!$F441)</f>
        <v/>
      </c>
      <c r="P439">
        <f>IF($L439="","",TRACKER!$K441)</f>
        <v/>
      </c>
      <c r="Q439">
        <f>IF($L439="","",TRACKER!$N441)</f>
        <v/>
      </c>
      <c r="R439">
        <f>TRACKER!$Y441</f>
        <v/>
      </c>
      <c r="S439">
        <f>TRACKER!$Z441</f>
        <v/>
      </c>
      <c r="T439">
        <f>TRACKER!$X441</f>
        <v/>
      </c>
    </row>
    <row r="440">
      <c r="G440">
        <f>IF(OR(SETUP!$C$127="",$A$8="",$B$8&lt;&gt;"Equipment"),"","Equipment")</f>
        <v/>
      </c>
      <c r="H440">
        <f>IF($G440="","",SETUP!$C$127)</f>
        <v/>
      </c>
      <c r="I440">
        <f>IF($G440="","",$A$8)</f>
        <v/>
      </c>
      <c r="J440">
        <f>IF($G440="","",IF(COUNTIFS(DOC_TYPE,$I440,DOC_EQP,$H440,DOC_SCOPE,"Equipment",DOC_ACTIVE,1)+COUNTIFS(DOC_TYPE,$I440,DOC_SYS,SETUP!$B$127,DOC_SCOPE,"System",DOC_ACTIVE,1)+COUNTIFS(DOC_TYPE,$I440,DOC_SCOPE,"All",DOC_ACTIVE,1)&gt;0,"",IFERROR(IF($E$8&lt;&gt;"",$E$8-$C$8,SETUP!$D$127-$C$8),60000)+ROW()/1000000))</f>
        <v/>
      </c>
      <c r="L440">
        <f>IF(TRACKER!$A442="","","Document")</f>
        <v/>
      </c>
      <c r="M440">
        <f>IF($L440="","",TRACKER!$E442&amp;"  -  "&amp;TRACKER!$A442)</f>
        <v/>
      </c>
      <c r="N440">
        <f>IF($L440="","",IF(TRACKER!$B442="Equipment",TRACKER!$D442,IF(TRACKER!$B442="System",TRACKER!$C442,"Whole contract")))</f>
        <v/>
      </c>
      <c r="O440">
        <f>IF($L440="","",TRACKER!$F442)</f>
        <v/>
      </c>
      <c r="P440">
        <f>IF($L440="","",TRACKER!$K442)</f>
        <v/>
      </c>
      <c r="Q440">
        <f>IF($L440="","",TRACKER!$N442)</f>
        <v/>
      </c>
      <c r="R440">
        <f>TRACKER!$Y442</f>
        <v/>
      </c>
      <c r="S440">
        <f>TRACKER!$Z442</f>
        <v/>
      </c>
      <c r="T440">
        <f>TRACKER!$X442</f>
        <v/>
      </c>
    </row>
    <row r="441">
      <c r="G441">
        <f>IF(OR(SETUP!$C$127="",$A$9="",$B$9&lt;&gt;"Equipment"),"","Equipment")</f>
        <v/>
      </c>
      <c r="H441">
        <f>IF($G441="","",SETUP!$C$127)</f>
        <v/>
      </c>
      <c r="I441">
        <f>IF($G441="","",$A$9)</f>
        <v/>
      </c>
      <c r="J441">
        <f>IF($G441="","",IF(COUNTIFS(DOC_TYPE,$I441,DOC_EQP,$H441,DOC_SCOPE,"Equipment",DOC_ACTIVE,1)+COUNTIFS(DOC_TYPE,$I441,DOC_SYS,SETUP!$B$127,DOC_SCOPE,"System",DOC_ACTIVE,1)+COUNTIFS(DOC_TYPE,$I441,DOC_SCOPE,"All",DOC_ACTIVE,1)&gt;0,"",IFERROR(IF($E$9&lt;&gt;"",$E$9-$C$9,SETUP!$D$127-$C$9),60000)+ROW()/1000000))</f>
        <v/>
      </c>
      <c r="L441">
        <f>IF(TRACKER!$A443="","","Document")</f>
        <v/>
      </c>
      <c r="M441">
        <f>IF($L441="","",TRACKER!$E443&amp;"  -  "&amp;TRACKER!$A443)</f>
        <v/>
      </c>
      <c r="N441">
        <f>IF($L441="","",IF(TRACKER!$B443="Equipment",TRACKER!$D443,IF(TRACKER!$B443="System",TRACKER!$C443,"Whole contract")))</f>
        <v/>
      </c>
      <c r="O441">
        <f>IF($L441="","",TRACKER!$F443)</f>
        <v/>
      </c>
      <c r="P441">
        <f>IF($L441="","",TRACKER!$K443)</f>
        <v/>
      </c>
      <c r="Q441">
        <f>IF($L441="","",TRACKER!$N443)</f>
        <v/>
      </c>
      <c r="R441">
        <f>TRACKER!$Y443</f>
        <v/>
      </c>
      <c r="S441">
        <f>TRACKER!$Z443</f>
        <v/>
      </c>
      <c r="T441">
        <f>TRACKER!$X443</f>
        <v/>
      </c>
    </row>
    <row r="442">
      <c r="G442">
        <f>IF(OR(SETUP!$C$127="",$A$10="",$B$10&lt;&gt;"Equipment"),"","Equipment")</f>
        <v/>
      </c>
      <c r="H442">
        <f>IF($G442="","",SETUP!$C$127)</f>
        <v/>
      </c>
      <c r="I442">
        <f>IF($G442="","",$A$10)</f>
        <v/>
      </c>
      <c r="J442">
        <f>IF($G442="","",IF(COUNTIFS(DOC_TYPE,$I442,DOC_EQP,$H442,DOC_SCOPE,"Equipment",DOC_ACTIVE,1)+COUNTIFS(DOC_TYPE,$I442,DOC_SYS,SETUP!$B$127,DOC_SCOPE,"System",DOC_ACTIVE,1)+COUNTIFS(DOC_TYPE,$I442,DOC_SCOPE,"All",DOC_ACTIVE,1)&gt;0,"",IFERROR(IF($E$10&lt;&gt;"",$E$10-$C$10,SETUP!$D$127-$C$10),60000)+ROW()/1000000))</f>
        <v/>
      </c>
      <c r="L442">
        <f>IF(TRACKER!$A444="","","Document")</f>
        <v/>
      </c>
      <c r="M442">
        <f>IF($L442="","",TRACKER!$E444&amp;"  -  "&amp;TRACKER!$A444)</f>
        <v/>
      </c>
      <c r="N442">
        <f>IF($L442="","",IF(TRACKER!$B444="Equipment",TRACKER!$D444,IF(TRACKER!$B444="System",TRACKER!$C444,"Whole contract")))</f>
        <v/>
      </c>
      <c r="O442">
        <f>IF($L442="","",TRACKER!$F444)</f>
        <v/>
      </c>
      <c r="P442">
        <f>IF($L442="","",TRACKER!$K444)</f>
        <v/>
      </c>
      <c r="Q442">
        <f>IF($L442="","",TRACKER!$N444)</f>
        <v/>
      </c>
      <c r="R442">
        <f>TRACKER!$Y444</f>
        <v/>
      </c>
      <c r="S442">
        <f>TRACKER!$Z444</f>
        <v/>
      </c>
      <c r="T442">
        <f>TRACKER!$X444</f>
        <v/>
      </c>
    </row>
    <row r="443">
      <c r="G443">
        <f>IF(OR(SETUP!$C$127="",$A$11="",$B$11&lt;&gt;"Equipment"),"","Equipment")</f>
        <v/>
      </c>
      <c r="H443">
        <f>IF($G443="","",SETUP!$C$127)</f>
        <v/>
      </c>
      <c r="I443">
        <f>IF($G443="","",$A$11)</f>
        <v/>
      </c>
      <c r="J443">
        <f>IF($G443="","",IF(COUNTIFS(DOC_TYPE,$I443,DOC_EQP,$H443,DOC_SCOPE,"Equipment",DOC_ACTIVE,1)+COUNTIFS(DOC_TYPE,$I443,DOC_SYS,SETUP!$B$127,DOC_SCOPE,"System",DOC_ACTIVE,1)+COUNTIFS(DOC_TYPE,$I443,DOC_SCOPE,"All",DOC_ACTIVE,1)&gt;0,"",IFERROR(IF($E$11&lt;&gt;"",$E$11-$C$11,SETUP!$D$127-$C$11),60000)+ROW()/1000000))</f>
        <v/>
      </c>
      <c r="L443">
        <f>IF(TRACKER!$A445="","","Document")</f>
        <v/>
      </c>
      <c r="M443">
        <f>IF($L443="","",TRACKER!$E445&amp;"  -  "&amp;TRACKER!$A445)</f>
        <v/>
      </c>
      <c r="N443">
        <f>IF($L443="","",IF(TRACKER!$B445="Equipment",TRACKER!$D445,IF(TRACKER!$B445="System",TRACKER!$C445,"Whole contract")))</f>
        <v/>
      </c>
      <c r="O443">
        <f>IF($L443="","",TRACKER!$F445)</f>
        <v/>
      </c>
      <c r="P443">
        <f>IF($L443="","",TRACKER!$K445)</f>
        <v/>
      </c>
      <c r="Q443">
        <f>IF($L443="","",TRACKER!$N445)</f>
        <v/>
      </c>
      <c r="R443">
        <f>TRACKER!$Y445</f>
        <v/>
      </c>
      <c r="S443">
        <f>TRACKER!$Z445</f>
        <v/>
      </c>
      <c r="T443">
        <f>TRACKER!$X445</f>
        <v/>
      </c>
    </row>
    <row r="444">
      <c r="G444">
        <f>IF(OR(SETUP!$C$127="",$A$12="",$B$12&lt;&gt;"Equipment"),"","Equipment")</f>
        <v/>
      </c>
      <c r="H444">
        <f>IF($G444="","",SETUP!$C$127)</f>
        <v/>
      </c>
      <c r="I444">
        <f>IF($G444="","",$A$12)</f>
        <v/>
      </c>
      <c r="J444">
        <f>IF($G444="","",IF(COUNTIFS(DOC_TYPE,$I444,DOC_EQP,$H444,DOC_SCOPE,"Equipment",DOC_ACTIVE,1)+COUNTIFS(DOC_TYPE,$I444,DOC_SYS,SETUP!$B$127,DOC_SCOPE,"System",DOC_ACTIVE,1)+COUNTIFS(DOC_TYPE,$I444,DOC_SCOPE,"All",DOC_ACTIVE,1)&gt;0,"",IFERROR(IF($E$12&lt;&gt;"",$E$12-$C$12,SETUP!$D$127-$C$12),60000)+ROW()/1000000))</f>
        <v/>
      </c>
      <c r="L444">
        <f>IF(TRACKER!$A446="","","Document")</f>
        <v/>
      </c>
      <c r="M444">
        <f>IF($L444="","",TRACKER!$E446&amp;"  -  "&amp;TRACKER!$A446)</f>
        <v/>
      </c>
      <c r="N444">
        <f>IF($L444="","",IF(TRACKER!$B446="Equipment",TRACKER!$D446,IF(TRACKER!$B446="System",TRACKER!$C446,"Whole contract")))</f>
        <v/>
      </c>
      <c r="O444">
        <f>IF($L444="","",TRACKER!$F446)</f>
        <v/>
      </c>
      <c r="P444">
        <f>IF($L444="","",TRACKER!$K446)</f>
        <v/>
      </c>
      <c r="Q444">
        <f>IF($L444="","",TRACKER!$N446)</f>
        <v/>
      </c>
      <c r="R444">
        <f>TRACKER!$Y446</f>
        <v/>
      </c>
      <c r="S444">
        <f>TRACKER!$Z446</f>
        <v/>
      </c>
      <c r="T444">
        <f>TRACKER!$X446</f>
        <v/>
      </c>
    </row>
    <row r="445">
      <c r="G445">
        <f>IF(OR(SETUP!$C$127="",$A$13="",$B$13&lt;&gt;"Equipment"),"","Equipment")</f>
        <v/>
      </c>
      <c r="H445">
        <f>IF($G445="","",SETUP!$C$127)</f>
        <v/>
      </c>
      <c r="I445">
        <f>IF($G445="","",$A$13)</f>
        <v/>
      </c>
      <c r="J445">
        <f>IF($G445="","",IF(COUNTIFS(DOC_TYPE,$I445,DOC_EQP,$H445,DOC_SCOPE,"Equipment",DOC_ACTIVE,1)+COUNTIFS(DOC_TYPE,$I445,DOC_SYS,SETUP!$B$127,DOC_SCOPE,"System",DOC_ACTIVE,1)+COUNTIFS(DOC_TYPE,$I445,DOC_SCOPE,"All",DOC_ACTIVE,1)&gt;0,"",IFERROR(IF($E$13&lt;&gt;"",$E$13-$C$13,SETUP!$D$127-$C$13),60000)+ROW()/1000000))</f>
        <v/>
      </c>
      <c r="L445">
        <f>IF(TRACKER!$A447="","","Document")</f>
        <v/>
      </c>
      <c r="M445">
        <f>IF($L445="","",TRACKER!$E447&amp;"  -  "&amp;TRACKER!$A447)</f>
        <v/>
      </c>
      <c r="N445">
        <f>IF($L445="","",IF(TRACKER!$B447="Equipment",TRACKER!$D447,IF(TRACKER!$B447="System",TRACKER!$C447,"Whole contract")))</f>
        <v/>
      </c>
      <c r="O445">
        <f>IF($L445="","",TRACKER!$F447)</f>
        <v/>
      </c>
      <c r="P445">
        <f>IF($L445="","",TRACKER!$K447)</f>
        <v/>
      </c>
      <c r="Q445">
        <f>IF($L445="","",TRACKER!$N447)</f>
        <v/>
      </c>
      <c r="R445">
        <f>TRACKER!$Y447</f>
        <v/>
      </c>
      <c r="S445">
        <f>TRACKER!$Z447</f>
        <v/>
      </c>
      <c r="T445">
        <f>TRACKER!$X447</f>
        <v/>
      </c>
    </row>
    <row r="446">
      <c r="G446">
        <f>IF(OR(SETUP!$C$128="",$A$2="",$B$2&lt;&gt;"Equipment"),"","Equipment")</f>
        <v/>
      </c>
      <c r="H446">
        <f>IF($G446="","",SETUP!$C$128)</f>
        <v/>
      </c>
      <c r="I446">
        <f>IF($G446="","",$A$2)</f>
        <v/>
      </c>
      <c r="J446">
        <f>IF($G446="","",IF(COUNTIFS(DOC_TYPE,$I446,DOC_EQP,$H446,DOC_SCOPE,"Equipment",DOC_ACTIVE,1)+COUNTIFS(DOC_TYPE,$I446,DOC_SYS,SETUP!$B$128,DOC_SCOPE,"System",DOC_ACTIVE,1)+COUNTIFS(DOC_TYPE,$I446,DOC_SCOPE,"All",DOC_ACTIVE,1)&gt;0,"",IFERROR(IF($E$2&lt;&gt;"",$E$2-$C$2,SETUP!$D$128-$C$2),60000)+ROW()/1000000))</f>
        <v/>
      </c>
      <c r="L446">
        <f>IF(TRACKER!$A448="","","Document")</f>
        <v/>
      </c>
      <c r="M446">
        <f>IF($L446="","",TRACKER!$E448&amp;"  -  "&amp;TRACKER!$A448)</f>
        <v/>
      </c>
      <c r="N446">
        <f>IF($L446="","",IF(TRACKER!$B448="Equipment",TRACKER!$D448,IF(TRACKER!$B448="System",TRACKER!$C448,"Whole contract")))</f>
        <v/>
      </c>
      <c r="O446">
        <f>IF($L446="","",TRACKER!$F448)</f>
        <v/>
      </c>
      <c r="P446">
        <f>IF($L446="","",TRACKER!$K448)</f>
        <v/>
      </c>
      <c r="Q446">
        <f>IF($L446="","",TRACKER!$N448)</f>
        <v/>
      </c>
      <c r="R446">
        <f>TRACKER!$Y448</f>
        <v/>
      </c>
      <c r="S446">
        <f>TRACKER!$Z448</f>
        <v/>
      </c>
      <c r="T446">
        <f>TRACKER!$X448</f>
        <v/>
      </c>
    </row>
    <row r="447">
      <c r="G447">
        <f>IF(OR(SETUP!$C$128="",$A$3="",$B$3&lt;&gt;"Equipment"),"","Equipment")</f>
        <v/>
      </c>
      <c r="H447">
        <f>IF($G447="","",SETUP!$C$128)</f>
        <v/>
      </c>
      <c r="I447">
        <f>IF($G447="","",$A$3)</f>
        <v/>
      </c>
      <c r="J447">
        <f>IF($G447="","",IF(COUNTIFS(DOC_TYPE,$I447,DOC_EQP,$H447,DOC_SCOPE,"Equipment",DOC_ACTIVE,1)+COUNTIFS(DOC_TYPE,$I447,DOC_SYS,SETUP!$B$128,DOC_SCOPE,"System",DOC_ACTIVE,1)+COUNTIFS(DOC_TYPE,$I447,DOC_SCOPE,"All",DOC_ACTIVE,1)&gt;0,"",IFERROR(IF($E$3&lt;&gt;"",$E$3-$C$3,SETUP!$D$128-$C$3),60000)+ROW()/1000000))</f>
        <v/>
      </c>
      <c r="L447">
        <f>IF(TRACKER!$A449="","","Document")</f>
        <v/>
      </c>
      <c r="M447">
        <f>IF($L447="","",TRACKER!$E449&amp;"  -  "&amp;TRACKER!$A449)</f>
        <v/>
      </c>
      <c r="N447">
        <f>IF($L447="","",IF(TRACKER!$B449="Equipment",TRACKER!$D449,IF(TRACKER!$B449="System",TRACKER!$C449,"Whole contract")))</f>
        <v/>
      </c>
      <c r="O447">
        <f>IF($L447="","",TRACKER!$F449)</f>
        <v/>
      </c>
      <c r="P447">
        <f>IF($L447="","",TRACKER!$K449)</f>
        <v/>
      </c>
      <c r="Q447">
        <f>IF($L447="","",TRACKER!$N449)</f>
        <v/>
      </c>
      <c r="R447">
        <f>TRACKER!$Y449</f>
        <v/>
      </c>
      <c r="S447">
        <f>TRACKER!$Z449</f>
        <v/>
      </c>
      <c r="T447">
        <f>TRACKER!$X449</f>
        <v/>
      </c>
    </row>
    <row r="448">
      <c r="G448">
        <f>IF(OR(SETUP!$C$128="",$A$4="",$B$4&lt;&gt;"Equipment"),"","Equipment")</f>
        <v/>
      </c>
      <c r="H448">
        <f>IF($G448="","",SETUP!$C$128)</f>
        <v/>
      </c>
      <c r="I448">
        <f>IF($G448="","",$A$4)</f>
        <v/>
      </c>
      <c r="J448">
        <f>IF($G448="","",IF(COUNTIFS(DOC_TYPE,$I448,DOC_EQP,$H448,DOC_SCOPE,"Equipment",DOC_ACTIVE,1)+COUNTIFS(DOC_TYPE,$I448,DOC_SYS,SETUP!$B$128,DOC_SCOPE,"System",DOC_ACTIVE,1)+COUNTIFS(DOC_TYPE,$I448,DOC_SCOPE,"All",DOC_ACTIVE,1)&gt;0,"",IFERROR(IF($E$4&lt;&gt;"",$E$4-$C$4,SETUP!$D$128-$C$4),60000)+ROW()/1000000))</f>
        <v/>
      </c>
      <c r="L448">
        <f>IF(TRACKER!$A450="","","Document")</f>
        <v/>
      </c>
      <c r="M448">
        <f>IF($L448="","",TRACKER!$E450&amp;"  -  "&amp;TRACKER!$A450)</f>
        <v/>
      </c>
      <c r="N448">
        <f>IF($L448="","",IF(TRACKER!$B450="Equipment",TRACKER!$D450,IF(TRACKER!$B450="System",TRACKER!$C450,"Whole contract")))</f>
        <v/>
      </c>
      <c r="O448">
        <f>IF($L448="","",TRACKER!$F450)</f>
        <v/>
      </c>
      <c r="P448">
        <f>IF($L448="","",TRACKER!$K450)</f>
        <v/>
      </c>
      <c r="Q448">
        <f>IF($L448="","",TRACKER!$N450)</f>
        <v/>
      </c>
      <c r="R448">
        <f>TRACKER!$Y450</f>
        <v/>
      </c>
      <c r="S448">
        <f>TRACKER!$Z450</f>
        <v/>
      </c>
      <c r="T448">
        <f>TRACKER!$X450</f>
        <v/>
      </c>
    </row>
    <row r="449">
      <c r="G449">
        <f>IF(OR(SETUP!$C$128="",$A$5="",$B$5&lt;&gt;"Equipment"),"","Equipment")</f>
        <v/>
      </c>
      <c r="H449">
        <f>IF($G449="","",SETUP!$C$128)</f>
        <v/>
      </c>
      <c r="I449">
        <f>IF($G449="","",$A$5)</f>
        <v/>
      </c>
      <c r="J449">
        <f>IF($G449="","",IF(COUNTIFS(DOC_TYPE,$I449,DOC_EQP,$H449,DOC_SCOPE,"Equipment",DOC_ACTIVE,1)+COUNTIFS(DOC_TYPE,$I449,DOC_SYS,SETUP!$B$128,DOC_SCOPE,"System",DOC_ACTIVE,1)+COUNTIFS(DOC_TYPE,$I449,DOC_SCOPE,"All",DOC_ACTIVE,1)&gt;0,"",IFERROR(IF($E$5&lt;&gt;"",$E$5-$C$5,SETUP!$D$128-$C$5),60000)+ROW()/1000000))</f>
        <v/>
      </c>
      <c r="L449">
        <f>IF(TRACKER!$A451="","","Document")</f>
        <v/>
      </c>
      <c r="M449">
        <f>IF($L449="","",TRACKER!$E451&amp;"  -  "&amp;TRACKER!$A451)</f>
        <v/>
      </c>
      <c r="N449">
        <f>IF($L449="","",IF(TRACKER!$B451="Equipment",TRACKER!$D451,IF(TRACKER!$B451="System",TRACKER!$C451,"Whole contract")))</f>
        <v/>
      </c>
      <c r="O449">
        <f>IF($L449="","",TRACKER!$F451)</f>
        <v/>
      </c>
      <c r="P449">
        <f>IF($L449="","",TRACKER!$K451)</f>
        <v/>
      </c>
      <c r="Q449">
        <f>IF($L449="","",TRACKER!$N451)</f>
        <v/>
      </c>
      <c r="R449">
        <f>TRACKER!$Y451</f>
        <v/>
      </c>
      <c r="S449">
        <f>TRACKER!$Z451</f>
        <v/>
      </c>
      <c r="T449">
        <f>TRACKER!$X451</f>
        <v/>
      </c>
    </row>
    <row r="450">
      <c r="G450">
        <f>IF(OR(SETUP!$C$128="",$A$6="",$B$6&lt;&gt;"Equipment"),"","Equipment")</f>
        <v/>
      </c>
      <c r="H450">
        <f>IF($G450="","",SETUP!$C$128)</f>
        <v/>
      </c>
      <c r="I450">
        <f>IF($G450="","",$A$6)</f>
        <v/>
      </c>
      <c r="J450">
        <f>IF($G450="","",IF(COUNTIFS(DOC_TYPE,$I450,DOC_EQP,$H450,DOC_SCOPE,"Equipment",DOC_ACTIVE,1)+COUNTIFS(DOC_TYPE,$I450,DOC_SYS,SETUP!$B$128,DOC_SCOPE,"System",DOC_ACTIVE,1)+COUNTIFS(DOC_TYPE,$I450,DOC_SCOPE,"All",DOC_ACTIVE,1)&gt;0,"",IFERROR(IF($E$6&lt;&gt;"",$E$6-$C$6,SETUP!$D$128-$C$6),60000)+ROW()/1000000))</f>
        <v/>
      </c>
      <c r="L450">
        <f>IF(TRACKER!$A452="","","Document")</f>
        <v/>
      </c>
      <c r="M450">
        <f>IF($L450="","",TRACKER!$E452&amp;"  -  "&amp;TRACKER!$A452)</f>
        <v/>
      </c>
      <c r="N450">
        <f>IF($L450="","",IF(TRACKER!$B452="Equipment",TRACKER!$D452,IF(TRACKER!$B452="System",TRACKER!$C452,"Whole contract")))</f>
        <v/>
      </c>
      <c r="O450">
        <f>IF($L450="","",TRACKER!$F452)</f>
        <v/>
      </c>
      <c r="P450">
        <f>IF($L450="","",TRACKER!$K452)</f>
        <v/>
      </c>
      <c r="Q450">
        <f>IF($L450="","",TRACKER!$N452)</f>
        <v/>
      </c>
      <c r="R450">
        <f>TRACKER!$Y452</f>
        <v/>
      </c>
      <c r="S450">
        <f>TRACKER!$Z452</f>
        <v/>
      </c>
      <c r="T450">
        <f>TRACKER!$X452</f>
        <v/>
      </c>
    </row>
    <row r="451">
      <c r="G451">
        <f>IF(OR(SETUP!$C$128="",$A$7="",$B$7&lt;&gt;"Equipment"),"","Equipment")</f>
        <v/>
      </c>
      <c r="H451">
        <f>IF($G451="","",SETUP!$C$128)</f>
        <v/>
      </c>
      <c r="I451">
        <f>IF($G451="","",$A$7)</f>
        <v/>
      </c>
      <c r="J451">
        <f>IF($G451="","",IF(COUNTIFS(DOC_TYPE,$I451,DOC_EQP,$H451,DOC_SCOPE,"Equipment",DOC_ACTIVE,1)+COUNTIFS(DOC_TYPE,$I451,DOC_SYS,SETUP!$B$128,DOC_SCOPE,"System",DOC_ACTIVE,1)+COUNTIFS(DOC_TYPE,$I451,DOC_SCOPE,"All",DOC_ACTIVE,1)&gt;0,"",IFERROR(IF($E$7&lt;&gt;"",$E$7-$C$7,SETUP!$D$128-$C$7),60000)+ROW()/1000000))</f>
        <v/>
      </c>
      <c r="L451">
        <f>IF(TRACKER!$A453="","","Document")</f>
        <v/>
      </c>
      <c r="M451">
        <f>IF($L451="","",TRACKER!$E453&amp;"  -  "&amp;TRACKER!$A453)</f>
        <v/>
      </c>
      <c r="N451">
        <f>IF($L451="","",IF(TRACKER!$B453="Equipment",TRACKER!$D453,IF(TRACKER!$B453="System",TRACKER!$C453,"Whole contract")))</f>
        <v/>
      </c>
      <c r="O451">
        <f>IF($L451="","",TRACKER!$F453)</f>
        <v/>
      </c>
      <c r="P451">
        <f>IF($L451="","",TRACKER!$K453)</f>
        <v/>
      </c>
      <c r="Q451">
        <f>IF($L451="","",TRACKER!$N453)</f>
        <v/>
      </c>
      <c r="R451">
        <f>TRACKER!$Y453</f>
        <v/>
      </c>
      <c r="S451">
        <f>TRACKER!$Z453</f>
        <v/>
      </c>
      <c r="T451">
        <f>TRACKER!$X453</f>
        <v/>
      </c>
    </row>
    <row r="452">
      <c r="G452">
        <f>IF(OR(SETUP!$C$128="",$A$8="",$B$8&lt;&gt;"Equipment"),"","Equipment")</f>
        <v/>
      </c>
      <c r="H452">
        <f>IF($G452="","",SETUP!$C$128)</f>
        <v/>
      </c>
      <c r="I452">
        <f>IF($G452="","",$A$8)</f>
        <v/>
      </c>
      <c r="J452">
        <f>IF($G452="","",IF(COUNTIFS(DOC_TYPE,$I452,DOC_EQP,$H452,DOC_SCOPE,"Equipment",DOC_ACTIVE,1)+COUNTIFS(DOC_TYPE,$I452,DOC_SYS,SETUP!$B$128,DOC_SCOPE,"System",DOC_ACTIVE,1)+COUNTIFS(DOC_TYPE,$I452,DOC_SCOPE,"All",DOC_ACTIVE,1)&gt;0,"",IFERROR(IF($E$8&lt;&gt;"",$E$8-$C$8,SETUP!$D$128-$C$8),60000)+ROW()/1000000))</f>
        <v/>
      </c>
      <c r="L452">
        <f>IF(TRACKER!$A454="","","Document")</f>
        <v/>
      </c>
      <c r="M452">
        <f>IF($L452="","",TRACKER!$E454&amp;"  -  "&amp;TRACKER!$A454)</f>
        <v/>
      </c>
      <c r="N452">
        <f>IF($L452="","",IF(TRACKER!$B454="Equipment",TRACKER!$D454,IF(TRACKER!$B454="System",TRACKER!$C454,"Whole contract")))</f>
        <v/>
      </c>
      <c r="O452">
        <f>IF($L452="","",TRACKER!$F454)</f>
        <v/>
      </c>
      <c r="P452">
        <f>IF($L452="","",TRACKER!$K454)</f>
        <v/>
      </c>
      <c r="Q452">
        <f>IF($L452="","",TRACKER!$N454)</f>
        <v/>
      </c>
      <c r="R452">
        <f>TRACKER!$Y454</f>
        <v/>
      </c>
      <c r="S452">
        <f>TRACKER!$Z454</f>
        <v/>
      </c>
      <c r="T452">
        <f>TRACKER!$X454</f>
        <v/>
      </c>
    </row>
    <row r="453">
      <c r="G453">
        <f>IF(OR(SETUP!$C$128="",$A$9="",$B$9&lt;&gt;"Equipment"),"","Equipment")</f>
        <v/>
      </c>
      <c r="H453">
        <f>IF($G453="","",SETUP!$C$128)</f>
        <v/>
      </c>
      <c r="I453">
        <f>IF($G453="","",$A$9)</f>
        <v/>
      </c>
      <c r="J453">
        <f>IF($G453="","",IF(COUNTIFS(DOC_TYPE,$I453,DOC_EQP,$H453,DOC_SCOPE,"Equipment",DOC_ACTIVE,1)+COUNTIFS(DOC_TYPE,$I453,DOC_SYS,SETUP!$B$128,DOC_SCOPE,"System",DOC_ACTIVE,1)+COUNTIFS(DOC_TYPE,$I453,DOC_SCOPE,"All",DOC_ACTIVE,1)&gt;0,"",IFERROR(IF($E$9&lt;&gt;"",$E$9-$C$9,SETUP!$D$128-$C$9),60000)+ROW()/1000000))</f>
        <v/>
      </c>
      <c r="L453">
        <f>IF(TRACKER!$A455="","","Document")</f>
        <v/>
      </c>
      <c r="M453">
        <f>IF($L453="","",TRACKER!$E455&amp;"  -  "&amp;TRACKER!$A455)</f>
        <v/>
      </c>
      <c r="N453">
        <f>IF($L453="","",IF(TRACKER!$B455="Equipment",TRACKER!$D455,IF(TRACKER!$B455="System",TRACKER!$C455,"Whole contract")))</f>
        <v/>
      </c>
      <c r="O453">
        <f>IF($L453="","",TRACKER!$F455)</f>
        <v/>
      </c>
      <c r="P453">
        <f>IF($L453="","",TRACKER!$K455)</f>
        <v/>
      </c>
      <c r="Q453">
        <f>IF($L453="","",TRACKER!$N455)</f>
        <v/>
      </c>
      <c r="R453">
        <f>TRACKER!$Y455</f>
        <v/>
      </c>
      <c r="S453">
        <f>TRACKER!$Z455</f>
        <v/>
      </c>
      <c r="T453">
        <f>TRACKER!$X455</f>
        <v/>
      </c>
    </row>
    <row r="454">
      <c r="G454">
        <f>IF(OR(SETUP!$C$128="",$A$10="",$B$10&lt;&gt;"Equipment"),"","Equipment")</f>
        <v/>
      </c>
      <c r="H454">
        <f>IF($G454="","",SETUP!$C$128)</f>
        <v/>
      </c>
      <c r="I454">
        <f>IF($G454="","",$A$10)</f>
        <v/>
      </c>
      <c r="J454">
        <f>IF($G454="","",IF(COUNTIFS(DOC_TYPE,$I454,DOC_EQP,$H454,DOC_SCOPE,"Equipment",DOC_ACTIVE,1)+COUNTIFS(DOC_TYPE,$I454,DOC_SYS,SETUP!$B$128,DOC_SCOPE,"System",DOC_ACTIVE,1)+COUNTIFS(DOC_TYPE,$I454,DOC_SCOPE,"All",DOC_ACTIVE,1)&gt;0,"",IFERROR(IF($E$10&lt;&gt;"",$E$10-$C$10,SETUP!$D$128-$C$10),60000)+ROW()/1000000))</f>
        <v/>
      </c>
      <c r="L454">
        <f>IF(TRACKER!$A456="","","Document")</f>
        <v/>
      </c>
      <c r="M454">
        <f>IF($L454="","",TRACKER!$E456&amp;"  -  "&amp;TRACKER!$A456)</f>
        <v/>
      </c>
      <c r="N454">
        <f>IF($L454="","",IF(TRACKER!$B456="Equipment",TRACKER!$D456,IF(TRACKER!$B456="System",TRACKER!$C456,"Whole contract")))</f>
        <v/>
      </c>
      <c r="O454">
        <f>IF($L454="","",TRACKER!$F456)</f>
        <v/>
      </c>
      <c r="P454">
        <f>IF($L454="","",TRACKER!$K456)</f>
        <v/>
      </c>
      <c r="Q454">
        <f>IF($L454="","",TRACKER!$N456)</f>
        <v/>
      </c>
      <c r="R454">
        <f>TRACKER!$Y456</f>
        <v/>
      </c>
      <c r="S454">
        <f>TRACKER!$Z456</f>
        <v/>
      </c>
      <c r="T454">
        <f>TRACKER!$X456</f>
        <v/>
      </c>
    </row>
    <row r="455">
      <c r="G455">
        <f>IF(OR(SETUP!$C$128="",$A$11="",$B$11&lt;&gt;"Equipment"),"","Equipment")</f>
        <v/>
      </c>
      <c r="H455">
        <f>IF($G455="","",SETUP!$C$128)</f>
        <v/>
      </c>
      <c r="I455">
        <f>IF($G455="","",$A$11)</f>
        <v/>
      </c>
      <c r="J455">
        <f>IF($G455="","",IF(COUNTIFS(DOC_TYPE,$I455,DOC_EQP,$H455,DOC_SCOPE,"Equipment",DOC_ACTIVE,1)+COUNTIFS(DOC_TYPE,$I455,DOC_SYS,SETUP!$B$128,DOC_SCOPE,"System",DOC_ACTIVE,1)+COUNTIFS(DOC_TYPE,$I455,DOC_SCOPE,"All",DOC_ACTIVE,1)&gt;0,"",IFERROR(IF($E$11&lt;&gt;"",$E$11-$C$11,SETUP!$D$128-$C$11),60000)+ROW()/1000000))</f>
        <v/>
      </c>
      <c r="L455">
        <f>IF(TRACKER!$A457="","","Document")</f>
        <v/>
      </c>
      <c r="M455">
        <f>IF($L455="","",TRACKER!$E457&amp;"  -  "&amp;TRACKER!$A457)</f>
        <v/>
      </c>
      <c r="N455">
        <f>IF($L455="","",IF(TRACKER!$B457="Equipment",TRACKER!$D457,IF(TRACKER!$B457="System",TRACKER!$C457,"Whole contract")))</f>
        <v/>
      </c>
      <c r="O455">
        <f>IF($L455="","",TRACKER!$F457)</f>
        <v/>
      </c>
      <c r="P455">
        <f>IF($L455="","",TRACKER!$K457)</f>
        <v/>
      </c>
      <c r="Q455">
        <f>IF($L455="","",TRACKER!$N457)</f>
        <v/>
      </c>
      <c r="R455">
        <f>TRACKER!$Y457</f>
        <v/>
      </c>
      <c r="S455">
        <f>TRACKER!$Z457</f>
        <v/>
      </c>
      <c r="T455">
        <f>TRACKER!$X457</f>
        <v/>
      </c>
    </row>
    <row r="456">
      <c r="G456">
        <f>IF(OR(SETUP!$C$128="",$A$12="",$B$12&lt;&gt;"Equipment"),"","Equipment")</f>
        <v/>
      </c>
      <c r="H456">
        <f>IF($G456="","",SETUP!$C$128)</f>
        <v/>
      </c>
      <c r="I456">
        <f>IF($G456="","",$A$12)</f>
        <v/>
      </c>
      <c r="J456">
        <f>IF($G456="","",IF(COUNTIFS(DOC_TYPE,$I456,DOC_EQP,$H456,DOC_SCOPE,"Equipment",DOC_ACTIVE,1)+COUNTIFS(DOC_TYPE,$I456,DOC_SYS,SETUP!$B$128,DOC_SCOPE,"System",DOC_ACTIVE,1)+COUNTIFS(DOC_TYPE,$I456,DOC_SCOPE,"All",DOC_ACTIVE,1)&gt;0,"",IFERROR(IF($E$12&lt;&gt;"",$E$12-$C$12,SETUP!$D$128-$C$12),60000)+ROW()/1000000))</f>
        <v/>
      </c>
      <c r="L456">
        <f>IF(TRACKER!$A458="","","Document")</f>
        <v/>
      </c>
      <c r="M456">
        <f>IF($L456="","",TRACKER!$E458&amp;"  -  "&amp;TRACKER!$A458)</f>
        <v/>
      </c>
      <c r="N456">
        <f>IF($L456="","",IF(TRACKER!$B458="Equipment",TRACKER!$D458,IF(TRACKER!$B458="System",TRACKER!$C458,"Whole contract")))</f>
        <v/>
      </c>
      <c r="O456">
        <f>IF($L456="","",TRACKER!$F458)</f>
        <v/>
      </c>
      <c r="P456">
        <f>IF($L456="","",TRACKER!$K458)</f>
        <v/>
      </c>
      <c r="Q456">
        <f>IF($L456="","",TRACKER!$N458)</f>
        <v/>
      </c>
      <c r="R456">
        <f>TRACKER!$Y458</f>
        <v/>
      </c>
      <c r="S456">
        <f>TRACKER!$Z458</f>
        <v/>
      </c>
      <c r="T456">
        <f>TRACKER!$X458</f>
        <v/>
      </c>
    </row>
    <row r="457">
      <c r="G457">
        <f>IF(OR(SETUP!$C$128="",$A$13="",$B$13&lt;&gt;"Equipment"),"","Equipment")</f>
        <v/>
      </c>
      <c r="H457">
        <f>IF($G457="","",SETUP!$C$128)</f>
        <v/>
      </c>
      <c r="I457">
        <f>IF($G457="","",$A$13)</f>
        <v/>
      </c>
      <c r="J457">
        <f>IF($G457="","",IF(COUNTIFS(DOC_TYPE,$I457,DOC_EQP,$H457,DOC_SCOPE,"Equipment",DOC_ACTIVE,1)+COUNTIFS(DOC_TYPE,$I457,DOC_SYS,SETUP!$B$128,DOC_SCOPE,"System",DOC_ACTIVE,1)+COUNTIFS(DOC_TYPE,$I457,DOC_SCOPE,"All",DOC_ACTIVE,1)&gt;0,"",IFERROR(IF($E$13&lt;&gt;"",$E$13-$C$13,SETUP!$D$128-$C$13),60000)+ROW()/1000000))</f>
        <v/>
      </c>
      <c r="L457">
        <f>IF(TRACKER!$A459="","","Document")</f>
        <v/>
      </c>
      <c r="M457">
        <f>IF($L457="","",TRACKER!$E459&amp;"  -  "&amp;TRACKER!$A459)</f>
        <v/>
      </c>
      <c r="N457">
        <f>IF($L457="","",IF(TRACKER!$B459="Equipment",TRACKER!$D459,IF(TRACKER!$B459="System",TRACKER!$C459,"Whole contract")))</f>
        <v/>
      </c>
      <c r="O457">
        <f>IF($L457="","",TRACKER!$F459)</f>
        <v/>
      </c>
      <c r="P457">
        <f>IF($L457="","",TRACKER!$K459)</f>
        <v/>
      </c>
      <c r="Q457">
        <f>IF($L457="","",TRACKER!$N459)</f>
        <v/>
      </c>
      <c r="R457">
        <f>TRACKER!$Y459</f>
        <v/>
      </c>
      <c r="S457">
        <f>TRACKER!$Z459</f>
        <v/>
      </c>
      <c r="T457">
        <f>TRACKER!$X459</f>
        <v/>
      </c>
    </row>
    <row r="458">
      <c r="G458">
        <f>IF(OR(SETUP!$C$129="",$A$2="",$B$2&lt;&gt;"Equipment"),"","Equipment")</f>
        <v/>
      </c>
      <c r="H458">
        <f>IF($G458="","",SETUP!$C$129)</f>
        <v/>
      </c>
      <c r="I458">
        <f>IF($G458="","",$A$2)</f>
        <v/>
      </c>
      <c r="J458">
        <f>IF($G458="","",IF(COUNTIFS(DOC_TYPE,$I458,DOC_EQP,$H458,DOC_SCOPE,"Equipment",DOC_ACTIVE,1)+COUNTIFS(DOC_TYPE,$I458,DOC_SYS,SETUP!$B$129,DOC_SCOPE,"System",DOC_ACTIVE,1)+COUNTIFS(DOC_TYPE,$I458,DOC_SCOPE,"All",DOC_ACTIVE,1)&gt;0,"",IFERROR(IF($E$2&lt;&gt;"",$E$2-$C$2,SETUP!$D$129-$C$2),60000)+ROW()/1000000))</f>
        <v/>
      </c>
      <c r="L458">
        <f>IF(TRACKER!$A460="","","Document")</f>
        <v/>
      </c>
      <c r="M458">
        <f>IF($L458="","",TRACKER!$E460&amp;"  -  "&amp;TRACKER!$A460)</f>
        <v/>
      </c>
      <c r="N458">
        <f>IF($L458="","",IF(TRACKER!$B460="Equipment",TRACKER!$D460,IF(TRACKER!$B460="System",TRACKER!$C460,"Whole contract")))</f>
        <v/>
      </c>
      <c r="O458">
        <f>IF($L458="","",TRACKER!$F460)</f>
        <v/>
      </c>
      <c r="P458">
        <f>IF($L458="","",TRACKER!$K460)</f>
        <v/>
      </c>
      <c r="Q458">
        <f>IF($L458="","",TRACKER!$N460)</f>
        <v/>
      </c>
      <c r="R458">
        <f>TRACKER!$Y460</f>
        <v/>
      </c>
      <c r="S458">
        <f>TRACKER!$Z460</f>
        <v/>
      </c>
      <c r="T458">
        <f>TRACKER!$X460</f>
        <v/>
      </c>
    </row>
    <row r="459">
      <c r="G459">
        <f>IF(OR(SETUP!$C$129="",$A$3="",$B$3&lt;&gt;"Equipment"),"","Equipment")</f>
        <v/>
      </c>
      <c r="H459">
        <f>IF($G459="","",SETUP!$C$129)</f>
        <v/>
      </c>
      <c r="I459">
        <f>IF($G459="","",$A$3)</f>
        <v/>
      </c>
      <c r="J459">
        <f>IF($G459="","",IF(COUNTIFS(DOC_TYPE,$I459,DOC_EQP,$H459,DOC_SCOPE,"Equipment",DOC_ACTIVE,1)+COUNTIFS(DOC_TYPE,$I459,DOC_SYS,SETUP!$B$129,DOC_SCOPE,"System",DOC_ACTIVE,1)+COUNTIFS(DOC_TYPE,$I459,DOC_SCOPE,"All",DOC_ACTIVE,1)&gt;0,"",IFERROR(IF($E$3&lt;&gt;"",$E$3-$C$3,SETUP!$D$129-$C$3),60000)+ROW()/1000000))</f>
        <v/>
      </c>
      <c r="L459">
        <f>IF(TRACKER!$A461="","","Document")</f>
        <v/>
      </c>
      <c r="M459">
        <f>IF($L459="","",TRACKER!$E461&amp;"  -  "&amp;TRACKER!$A461)</f>
        <v/>
      </c>
      <c r="N459">
        <f>IF($L459="","",IF(TRACKER!$B461="Equipment",TRACKER!$D461,IF(TRACKER!$B461="System",TRACKER!$C461,"Whole contract")))</f>
        <v/>
      </c>
      <c r="O459">
        <f>IF($L459="","",TRACKER!$F461)</f>
        <v/>
      </c>
      <c r="P459">
        <f>IF($L459="","",TRACKER!$K461)</f>
        <v/>
      </c>
      <c r="Q459">
        <f>IF($L459="","",TRACKER!$N461)</f>
        <v/>
      </c>
      <c r="R459">
        <f>TRACKER!$Y461</f>
        <v/>
      </c>
      <c r="S459">
        <f>TRACKER!$Z461</f>
        <v/>
      </c>
      <c r="T459">
        <f>TRACKER!$X461</f>
        <v/>
      </c>
    </row>
    <row r="460">
      <c r="G460">
        <f>IF(OR(SETUP!$C$129="",$A$4="",$B$4&lt;&gt;"Equipment"),"","Equipment")</f>
        <v/>
      </c>
      <c r="H460">
        <f>IF($G460="","",SETUP!$C$129)</f>
        <v/>
      </c>
      <c r="I460">
        <f>IF($G460="","",$A$4)</f>
        <v/>
      </c>
      <c r="J460">
        <f>IF($G460="","",IF(COUNTIFS(DOC_TYPE,$I460,DOC_EQP,$H460,DOC_SCOPE,"Equipment",DOC_ACTIVE,1)+COUNTIFS(DOC_TYPE,$I460,DOC_SYS,SETUP!$B$129,DOC_SCOPE,"System",DOC_ACTIVE,1)+COUNTIFS(DOC_TYPE,$I460,DOC_SCOPE,"All",DOC_ACTIVE,1)&gt;0,"",IFERROR(IF($E$4&lt;&gt;"",$E$4-$C$4,SETUP!$D$129-$C$4),60000)+ROW()/1000000))</f>
        <v/>
      </c>
      <c r="L460">
        <f>IF(TRACKER!$A462="","","Document")</f>
        <v/>
      </c>
      <c r="M460">
        <f>IF($L460="","",TRACKER!$E462&amp;"  -  "&amp;TRACKER!$A462)</f>
        <v/>
      </c>
      <c r="N460">
        <f>IF($L460="","",IF(TRACKER!$B462="Equipment",TRACKER!$D462,IF(TRACKER!$B462="System",TRACKER!$C462,"Whole contract")))</f>
        <v/>
      </c>
      <c r="O460">
        <f>IF($L460="","",TRACKER!$F462)</f>
        <v/>
      </c>
      <c r="P460">
        <f>IF($L460="","",TRACKER!$K462)</f>
        <v/>
      </c>
      <c r="Q460">
        <f>IF($L460="","",TRACKER!$N462)</f>
        <v/>
      </c>
      <c r="R460">
        <f>TRACKER!$Y462</f>
        <v/>
      </c>
      <c r="S460">
        <f>TRACKER!$Z462</f>
        <v/>
      </c>
      <c r="T460">
        <f>TRACKER!$X462</f>
        <v/>
      </c>
    </row>
    <row r="461">
      <c r="G461">
        <f>IF(OR(SETUP!$C$129="",$A$5="",$B$5&lt;&gt;"Equipment"),"","Equipment")</f>
        <v/>
      </c>
      <c r="H461">
        <f>IF($G461="","",SETUP!$C$129)</f>
        <v/>
      </c>
      <c r="I461">
        <f>IF($G461="","",$A$5)</f>
        <v/>
      </c>
      <c r="J461">
        <f>IF($G461="","",IF(COUNTIFS(DOC_TYPE,$I461,DOC_EQP,$H461,DOC_SCOPE,"Equipment",DOC_ACTIVE,1)+COUNTIFS(DOC_TYPE,$I461,DOC_SYS,SETUP!$B$129,DOC_SCOPE,"System",DOC_ACTIVE,1)+COUNTIFS(DOC_TYPE,$I461,DOC_SCOPE,"All",DOC_ACTIVE,1)&gt;0,"",IFERROR(IF($E$5&lt;&gt;"",$E$5-$C$5,SETUP!$D$129-$C$5),60000)+ROW()/1000000))</f>
        <v/>
      </c>
      <c r="L461">
        <f>IF(TRACKER!$A463="","","Document")</f>
        <v/>
      </c>
      <c r="M461">
        <f>IF($L461="","",TRACKER!$E463&amp;"  -  "&amp;TRACKER!$A463)</f>
        <v/>
      </c>
      <c r="N461">
        <f>IF($L461="","",IF(TRACKER!$B463="Equipment",TRACKER!$D463,IF(TRACKER!$B463="System",TRACKER!$C463,"Whole contract")))</f>
        <v/>
      </c>
      <c r="O461">
        <f>IF($L461="","",TRACKER!$F463)</f>
        <v/>
      </c>
      <c r="P461">
        <f>IF($L461="","",TRACKER!$K463)</f>
        <v/>
      </c>
      <c r="Q461">
        <f>IF($L461="","",TRACKER!$N463)</f>
        <v/>
      </c>
      <c r="R461">
        <f>TRACKER!$Y463</f>
        <v/>
      </c>
      <c r="S461">
        <f>TRACKER!$Z463</f>
        <v/>
      </c>
      <c r="T461">
        <f>TRACKER!$X463</f>
        <v/>
      </c>
    </row>
    <row r="462">
      <c r="G462">
        <f>IF(OR(SETUP!$C$129="",$A$6="",$B$6&lt;&gt;"Equipment"),"","Equipment")</f>
        <v/>
      </c>
      <c r="H462">
        <f>IF($G462="","",SETUP!$C$129)</f>
        <v/>
      </c>
      <c r="I462">
        <f>IF($G462="","",$A$6)</f>
        <v/>
      </c>
      <c r="J462">
        <f>IF($G462="","",IF(COUNTIFS(DOC_TYPE,$I462,DOC_EQP,$H462,DOC_SCOPE,"Equipment",DOC_ACTIVE,1)+COUNTIFS(DOC_TYPE,$I462,DOC_SYS,SETUP!$B$129,DOC_SCOPE,"System",DOC_ACTIVE,1)+COUNTIFS(DOC_TYPE,$I462,DOC_SCOPE,"All",DOC_ACTIVE,1)&gt;0,"",IFERROR(IF($E$6&lt;&gt;"",$E$6-$C$6,SETUP!$D$129-$C$6),60000)+ROW()/1000000))</f>
        <v/>
      </c>
      <c r="L462">
        <f>IF(TRACKER!$A464="","","Document")</f>
        <v/>
      </c>
      <c r="M462">
        <f>IF($L462="","",TRACKER!$E464&amp;"  -  "&amp;TRACKER!$A464)</f>
        <v/>
      </c>
      <c r="N462">
        <f>IF($L462="","",IF(TRACKER!$B464="Equipment",TRACKER!$D464,IF(TRACKER!$B464="System",TRACKER!$C464,"Whole contract")))</f>
        <v/>
      </c>
      <c r="O462">
        <f>IF($L462="","",TRACKER!$F464)</f>
        <v/>
      </c>
      <c r="P462">
        <f>IF($L462="","",TRACKER!$K464)</f>
        <v/>
      </c>
      <c r="Q462">
        <f>IF($L462="","",TRACKER!$N464)</f>
        <v/>
      </c>
      <c r="R462">
        <f>TRACKER!$Y464</f>
        <v/>
      </c>
      <c r="S462">
        <f>TRACKER!$Z464</f>
        <v/>
      </c>
      <c r="T462">
        <f>TRACKER!$X464</f>
        <v/>
      </c>
    </row>
    <row r="463">
      <c r="G463">
        <f>IF(OR(SETUP!$C$129="",$A$7="",$B$7&lt;&gt;"Equipment"),"","Equipment")</f>
        <v/>
      </c>
      <c r="H463">
        <f>IF($G463="","",SETUP!$C$129)</f>
        <v/>
      </c>
      <c r="I463">
        <f>IF($G463="","",$A$7)</f>
        <v/>
      </c>
      <c r="J463">
        <f>IF($G463="","",IF(COUNTIFS(DOC_TYPE,$I463,DOC_EQP,$H463,DOC_SCOPE,"Equipment",DOC_ACTIVE,1)+COUNTIFS(DOC_TYPE,$I463,DOC_SYS,SETUP!$B$129,DOC_SCOPE,"System",DOC_ACTIVE,1)+COUNTIFS(DOC_TYPE,$I463,DOC_SCOPE,"All",DOC_ACTIVE,1)&gt;0,"",IFERROR(IF($E$7&lt;&gt;"",$E$7-$C$7,SETUP!$D$129-$C$7),60000)+ROW()/1000000))</f>
        <v/>
      </c>
      <c r="L463">
        <f>IF(TRACKER!$A465="","","Document")</f>
        <v/>
      </c>
      <c r="M463">
        <f>IF($L463="","",TRACKER!$E465&amp;"  -  "&amp;TRACKER!$A465)</f>
        <v/>
      </c>
      <c r="N463">
        <f>IF($L463="","",IF(TRACKER!$B465="Equipment",TRACKER!$D465,IF(TRACKER!$B465="System",TRACKER!$C465,"Whole contract")))</f>
        <v/>
      </c>
      <c r="O463">
        <f>IF($L463="","",TRACKER!$F465)</f>
        <v/>
      </c>
      <c r="P463">
        <f>IF($L463="","",TRACKER!$K465)</f>
        <v/>
      </c>
      <c r="Q463">
        <f>IF($L463="","",TRACKER!$N465)</f>
        <v/>
      </c>
      <c r="R463">
        <f>TRACKER!$Y465</f>
        <v/>
      </c>
      <c r="S463">
        <f>TRACKER!$Z465</f>
        <v/>
      </c>
      <c r="T463">
        <f>TRACKER!$X465</f>
        <v/>
      </c>
    </row>
    <row r="464">
      <c r="G464">
        <f>IF(OR(SETUP!$C$129="",$A$8="",$B$8&lt;&gt;"Equipment"),"","Equipment")</f>
        <v/>
      </c>
      <c r="H464">
        <f>IF($G464="","",SETUP!$C$129)</f>
        <v/>
      </c>
      <c r="I464">
        <f>IF($G464="","",$A$8)</f>
        <v/>
      </c>
      <c r="J464">
        <f>IF($G464="","",IF(COUNTIFS(DOC_TYPE,$I464,DOC_EQP,$H464,DOC_SCOPE,"Equipment",DOC_ACTIVE,1)+COUNTIFS(DOC_TYPE,$I464,DOC_SYS,SETUP!$B$129,DOC_SCOPE,"System",DOC_ACTIVE,1)+COUNTIFS(DOC_TYPE,$I464,DOC_SCOPE,"All",DOC_ACTIVE,1)&gt;0,"",IFERROR(IF($E$8&lt;&gt;"",$E$8-$C$8,SETUP!$D$129-$C$8),60000)+ROW()/1000000))</f>
        <v/>
      </c>
      <c r="L464">
        <f>IF(TRACKER!$A466="","","Document")</f>
        <v/>
      </c>
      <c r="M464">
        <f>IF($L464="","",TRACKER!$E466&amp;"  -  "&amp;TRACKER!$A466)</f>
        <v/>
      </c>
      <c r="N464">
        <f>IF($L464="","",IF(TRACKER!$B466="Equipment",TRACKER!$D466,IF(TRACKER!$B466="System",TRACKER!$C466,"Whole contract")))</f>
        <v/>
      </c>
      <c r="O464">
        <f>IF($L464="","",TRACKER!$F466)</f>
        <v/>
      </c>
      <c r="P464">
        <f>IF($L464="","",TRACKER!$K466)</f>
        <v/>
      </c>
      <c r="Q464">
        <f>IF($L464="","",TRACKER!$N466)</f>
        <v/>
      </c>
      <c r="R464">
        <f>TRACKER!$Y466</f>
        <v/>
      </c>
      <c r="S464">
        <f>TRACKER!$Z466</f>
        <v/>
      </c>
      <c r="T464">
        <f>TRACKER!$X466</f>
        <v/>
      </c>
    </row>
    <row r="465">
      <c r="G465">
        <f>IF(OR(SETUP!$C$129="",$A$9="",$B$9&lt;&gt;"Equipment"),"","Equipment")</f>
        <v/>
      </c>
      <c r="H465">
        <f>IF($G465="","",SETUP!$C$129)</f>
        <v/>
      </c>
      <c r="I465">
        <f>IF($G465="","",$A$9)</f>
        <v/>
      </c>
      <c r="J465">
        <f>IF($G465="","",IF(COUNTIFS(DOC_TYPE,$I465,DOC_EQP,$H465,DOC_SCOPE,"Equipment",DOC_ACTIVE,1)+COUNTIFS(DOC_TYPE,$I465,DOC_SYS,SETUP!$B$129,DOC_SCOPE,"System",DOC_ACTIVE,1)+COUNTIFS(DOC_TYPE,$I465,DOC_SCOPE,"All",DOC_ACTIVE,1)&gt;0,"",IFERROR(IF($E$9&lt;&gt;"",$E$9-$C$9,SETUP!$D$129-$C$9),60000)+ROW()/1000000))</f>
        <v/>
      </c>
      <c r="L465">
        <f>IF(TRACKER!$A467="","","Document")</f>
        <v/>
      </c>
      <c r="M465">
        <f>IF($L465="","",TRACKER!$E467&amp;"  -  "&amp;TRACKER!$A467)</f>
        <v/>
      </c>
      <c r="N465">
        <f>IF($L465="","",IF(TRACKER!$B467="Equipment",TRACKER!$D467,IF(TRACKER!$B467="System",TRACKER!$C467,"Whole contract")))</f>
        <v/>
      </c>
      <c r="O465">
        <f>IF($L465="","",TRACKER!$F467)</f>
        <v/>
      </c>
      <c r="P465">
        <f>IF($L465="","",TRACKER!$K467)</f>
        <v/>
      </c>
      <c r="Q465">
        <f>IF($L465="","",TRACKER!$N467)</f>
        <v/>
      </c>
      <c r="R465">
        <f>TRACKER!$Y467</f>
        <v/>
      </c>
      <c r="S465">
        <f>TRACKER!$Z467</f>
        <v/>
      </c>
      <c r="T465">
        <f>TRACKER!$X467</f>
        <v/>
      </c>
    </row>
    <row r="466">
      <c r="G466">
        <f>IF(OR(SETUP!$C$129="",$A$10="",$B$10&lt;&gt;"Equipment"),"","Equipment")</f>
        <v/>
      </c>
      <c r="H466">
        <f>IF($G466="","",SETUP!$C$129)</f>
        <v/>
      </c>
      <c r="I466">
        <f>IF($G466="","",$A$10)</f>
        <v/>
      </c>
      <c r="J466">
        <f>IF($G466="","",IF(COUNTIFS(DOC_TYPE,$I466,DOC_EQP,$H466,DOC_SCOPE,"Equipment",DOC_ACTIVE,1)+COUNTIFS(DOC_TYPE,$I466,DOC_SYS,SETUP!$B$129,DOC_SCOPE,"System",DOC_ACTIVE,1)+COUNTIFS(DOC_TYPE,$I466,DOC_SCOPE,"All",DOC_ACTIVE,1)&gt;0,"",IFERROR(IF($E$10&lt;&gt;"",$E$10-$C$10,SETUP!$D$129-$C$10),60000)+ROW()/1000000))</f>
        <v/>
      </c>
      <c r="L466">
        <f>IF(TRACKER!$A468="","","Document")</f>
        <v/>
      </c>
      <c r="M466">
        <f>IF($L466="","",TRACKER!$E468&amp;"  -  "&amp;TRACKER!$A468)</f>
        <v/>
      </c>
      <c r="N466">
        <f>IF($L466="","",IF(TRACKER!$B468="Equipment",TRACKER!$D468,IF(TRACKER!$B468="System",TRACKER!$C468,"Whole contract")))</f>
        <v/>
      </c>
      <c r="O466">
        <f>IF($L466="","",TRACKER!$F468)</f>
        <v/>
      </c>
      <c r="P466">
        <f>IF($L466="","",TRACKER!$K468)</f>
        <v/>
      </c>
      <c r="Q466">
        <f>IF($L466="","",TRACKER!$N468)</f>
        <v/>
      </c>
      <c r="R466">
        <f>TRACKER!$Y468</f>
        <v/>
      </c>
      <c r="S466">
        <f>TRACKER!$Z468</f>
        <v/>
      </c>
      <c r="T466">
        <f>TRACKER!$X468</f>
        <v/>
      </c>
    </row>
    <row r="467">
      <c r="G467">
        <f>IF(OR(SETUP!$C$129="",$A$11="",$B$11&lt;&gt;"Equipment"),"","Equipment")</f>
        <v/>
      </c>
      <c r="H467">
        <f>IF($G467="","",SETUP!$C$129)</f>
        <v/>
      </c>
      <c r="I467">
        <f>IF($G467="","",$A$11)</f>
        <v/>
      </c>
      <c r="J467">
        <f>IF($G467="","",IF(COUNTIFS(DOC_TYPE,$I467,DOC_EQP,$H467,DOC_SCOPE,"Equipment",DOC_ACTIVE,1)+COUNTIFS(DOC_TYPE,$I467,DOC_SYS,SETUP!$B$129,DOC_SCOPE,"System",DOC_ACTIVE,1)+COUNTIFS(DOC_TYPE,$I467,DOC_SCOPE,"All",DOC_ACTIVE,1)&gt;0,"",IFERROR(IF($E$11&lt;&gt;"",$E$11-$C$11,SETUP!$D$129-$C$11),60000)+ROW()/1000000))</f>
        <v/>
      </c>
      <c r="L467">
        <f>IF(TRACKER!$A469="","","Document")</f>
        <v/>
      </c>
      <c r="M467">
        <f>IF($L467="","",TRACKER!$E469&amp;"  -  "&amp;TRACKER!$A469)</f>
        <v/>
      </c>
      <c r="N467">
        <f>IF($L467="","",IF(TRACKER!$B469="Equipment",TRACKER!$D469,IF(TRACKER!$B469="System",TRACKER!$C469,"Whole contract")))</f>
        <v/>
      </c>
      <c r="O467">
        <f>IF($L467="","",TRACKER!$F469)</f>
        <v/>
      </c>
      <c r="P467">
        <f>IF($L467="","",TRACKER!$K469)</f>
        <v/>
      </c>
      <c r="Q467">
        <f>IF($L467="","",TRACKER!$N469)</f>
        <v/>
      </c>
      <c r="R467">
        <f>TRACKER!$Y469</f>
        <v/>
      </c>
      <c r="S467">
        <f>TRACKER!$Z469</f>
        <v/>
      </c>
      <c r="T467">
        <f>TRACKER!$X469</f>
        <v/>
      </c>
    </row>
    <row r="468">
      <c r="G468">
        <f>IF(OR(SETUP!$C$129="",$A$12="",$B$12&lt;&gt;"Equipment"),"","Equipment")</f>
        <v/>
      </c>
      <c r="H468">
        <f>IF($G468="","",SETUP!$C$129)</f>
        <v/>
      </c>
      <c r="I468">
        <f>IF($G468="","",$A$12)</f>
        <v/>
      </c>
      <c r="J468">
        <f>IF($G468="","",IF(COUNTIFS(DOC_TYPE,$I468,DOC_EQP,$H468,DOC_SCOPE,"Equipment",DOC_ACTIVE,1)+COUNTIFS(DOC_TYPE,$I468,DOC_SYS,SETUP!$B$129,DOC_SCOPE,"System",DOC_ACTIVE,1)+COUNTIFS(DOC_TYPE,$I468,DOC_SCOPE,"All",DOC_ACTIVE,1)&gt;0,"",IFERROR(IF($E$12&lt;&gt;"",$E$12-$C$12,SETUP!$D$129-$C$12),60000)+ROW()/1000000))</f>
        <v/>
      </c>
      <c r="L468">
        <f>IF(TRACKER!$A470="","","Document")</f>
        <v/>
      </c>
      <c r="M468">
        <f>IF($L468="","",TRACKER!$E470&amp;"  -  "&amp;TRACKER!$A470)</f>
        <v/>
      </c>
      <c r="N468">
        <f>IF($L468="","",IF(TRACKER!$B470="Equipment",TRACKER!$D470,IF(TRACKER!$B470="System",TRACKER!$C470,"Whole contract")))</f>
        <v/>
      </c>
      <c r="O468">
        <f>IF($L468="","",TRACKER!$F470)</f>
        <v/>
      </c>
      <c r="P468">
        <f>IF($L468="","",TRACKER!$K470)</f>
        <v/>
      </c>
      <c r="Q468">
        <f>IF($L468="","",TRACKER!$N470)</f>
        <v/>
      </c>
      <c r="R468">
        <f>TRACKER!$Y470</f>
        <v/>
      </c>
      <c r="S468">
        <f>TRACKER!$Z470</f>
        <v/>
      </c>
      <c r="T468">
        <f>TRACKER!$X470</f>
        <v/>
      </c>
    </row>
    <row r="469">
      <c r="G469">
        <f>IF(OR(SETUP!$C$129="",$A$13="",$B$13&lt;&gt;"Equipment"),"","Equipment")</f>
        <v/>
      </c>
      <c r="H469">
        <f>IF($G469="","",SETUP!$C$129)</f>
        <v/>
      </c>
      <c r="I469">
        <f>IF($G469="","",$A$13)</f>
        <v/>
      </c>
      <c r="J469">
        <f>IF($G469="","",IF(COUNTIFS(DOC_TYPE,$I469,DOC_EQP,$H469,DOC_SCOPE,"Equipment",DOC_ACTIVE,1)+COUNTIFS(DOC_TYPE,$I469,DOC_SYS,SETUP!$B$129,DOC_SCOPE,"System",DOC_ACTIVE,1)+COUNTIFS(DOC_TYPE,$I469,DOC_SCOPE,"All",DOC_ACTIVE,1)&gt;0,"",IFERROR(IF($E$13&lt;&gt;"",$E$13-$C$13,SETUP!$D$129-$C$13),60000)+ROW()/1000000))</f>
        <v/>
      </c>
      <c r="L469">
        <f>IF(TRACKER!$A471="","","Document")</f>
        <v/>
      </c>
      <c r="M469">
        <f>IF($L469="","",TRACKER!$E471&amp;"  -  "&amp;TRACKER!$A471)</f>
        <v/>
      </c>
      <c r="N469">
        <f>IF($L469="","",IF(TRACKER!$B471="Equipment",TRACKER!$D471,IF(TRACKER!$B471="System",TRACKER!$C471,"Whole contract")))</f>
        <v/>
      </c>
      <c r="O469">
        <f>IF($L469="","",TRACKER!$F471)</f>
        <v/>
      </c>
      <c r="P469">
        <f>IF($L469="","",TRACKER!$K471)</f>
        <v/>
      </c>
      <c r="Q469">
        <f>IF($L469="","",TRACKER!$N471)</f>
        <v/>
      </c>
      <c r="R469">
        <f>TRACKER!$Y471</f>
        <v/>
      </c>
      <c r="S469">
        <f>TRACKER!$Z471</f>
        <v/>
      </c>
      <c r="T469">
        <f>TRACKER!$X471</f>
        <v/>
      </c>
    </row>
    <row r="470">
      <c r="G470">
        <f>IF(OR(SETUP!$C$130="",$A$2="",$B$2&lt;&gt;"Equipment"),"","Equipment")</f>
        <v/>
      </c>
      <c r="H470">
        <f>IF($G470="","",SETUP!$C$130)</f>
        <v/>
      </c>
      <c r="I470">
        <f>IF($G470="","",$A$2)</f>
        <v/>
      </c>
      <c r="J470">
        <f>IF($G470="","",IF(COUNTIFS(DOC_TYPE,$I470,DOC_EQP,$H470,DOC_SCOPE,"Equipment",DOC_ACTIVE,1)+COUNTIFS(DOC_TYPE,$I470,DOC_SYS,SETUP!$B$130,DOC_SCOPE,"System",DOC_ACTIVE,1)+COUNTIFS(DOC_TYPE,$I470,DOC_SCOPE,"All",DOC_ACTIVE,1)&gt;0,"",IFERROR(IF($E$2&lt;&gt;"",$E$2-$C$2,SETUP!$D$130-$C$2),60000)+ROW()/1000000))</f>
        <v/>
      </c>
      <c r="L470">
        <f>IF(TRACKER!$A472="","","Document")</f>
        <v/>
      </c>
      <c r="M470">
        <f>IF($L470="","",TRACKER!$E472&amp;"  -  "&amp;TRACKER!$A472)</f>
        <v/>
      </c>
      <c r="N470">
        <f>IF($L470="","",IF(TRACKER!$B472="Equipment",TRACKER!$D472,IF(TRACKER!$B472="System",TRACKER!$C472,"Whole contract")))</f>
        <v/>
      </c>
      <c r="O470">
        <f>IF($L470="","",TRACKER!$F472)</f>
        <v/>
      </c>
      <c r="P470">
        <f>IF($L470="","",TRACKER!$K472)</f>
        <v/>
      </c>
      <c r="Q470">
        <f>IF($L470="","",TRACKER!$N472)</f>
        <v/>
      </c>
      <c r="R470">
        <f>TRACKER!$Y472</f>
        <v/>
      </c>
      <c r="S470">
        <f>TRACKER!$Z472</f>
        <v/>
      </c>
      <c r="T470">
        <f>TRACKER!$X472</f>
        <v/>
      </c>
    </row>
    <row r="471">
      <c r="G471">
        <f>IF(OR(SETUP!$C$130="",$A$3="",$B$3&lt;&gt;"Equipment"),"","Equipment")</f>
        <v/>
      </c>
      <c r="H471">
        <f>IF($G471="","",SETUP!$C$130)</f>
        <v/>
      </c>
      <c r="I471">
        <f>IF($G471="","",$A$3)</f>
        <v/>
      </c>
      <c r="J471">
        <f>IF($G471="","",IF(COUNTIFS(DOC_TYPE,$I471,DOC_EQP,$H471,DOC_SCOPE,"Equipment",DOC_ACTIVE,1)+COUNTIFS(DOC_TYPE,$I471,DOC_SYS,SETUP!$B$130,DOC_SCOPE,"System",DOC_ACTIVE,1)+COUNTIFS(DOC_TYPE,$I471,DOC_SCOPE,"All",DOC_ACTIVE,1)&gt;0,"",IFERROR(IF($E$3&lt;&gt;"",$E$3-$C$3,SETUP!$D$130-$C$3),60000)+ROW()/1000000))</f>
        <v/>
      </c>
      <c r="L471">
        <f>IF(TRACKER!$A473="","","Document")</f>
        <v/>
      </c>
      <c r="M471">
        <f>IF($L471="","",TRACKER!$E473&amp;"  -  "&amp;TRACKER!$A473)</f>
        <v/>
      </c>
      <c r="N471">
        <f>IF($L471="","",IF(TRACKER!$B473="Equipment",TRACKER!$D473,IF(TRACKER!$B473="System",TRACKER!$C473,"Whole contract")))</f>
        <v/>
      </c>
      <c r="O471">
        <f>IF($L471="","",TRACKER!$F473)</f>
        <v/>
      </c>
      <c r="P471">
        <f>IF($L471="","",TRACKER!$K473)</f>
        <v/>
      </c>
      <c r="Q471">
        <f>IF($L471="","",TRACKER!$N473)</f>
        <v/>
      </c>
      <c r="R471">
        <f>TRACKER!$Y473</f>
        <v/>
      </c>
      <c r="S471">
        <f>TRACKER!$Z473</f>
        <v/>
      </c>
      <c r="T471">
        <f>TRACKER!$X473</f>
        <v/>
      </c>
    </row>
    <row r="472">
      <c r="G472">
        <f>IF(OR(SETUP!$C$130="",$A$4="",$B$4&lt;&gt;"Equipment"),"","Equipment")</f>
        <v/>
      </c>
      <c r="H472">
        <f>IF($G472="","",SETUP!$C$130)</f>
        <v/>
      </c>
      <c r="I472">
        <f>IF($G472="","",$A$4)</f>
        <v/>
      </c>
      <c r="J472">
        <f>IF($G472="","",IF(COUNTIFS(DOC_TYPE,$I472,DOC_EQP,$H472,DOC_SCOPE,"Equipment",DOC_ACTIVE,1)+COUNTIFS(DOC_TYPE,$I472,DOC_SYS,SETUP!$B$130,DOC_SCOPE,"System",DOC_ACTIVE,1)+COUNTIFS(DOC_TYPE,$I472,DOC_SCOPE,"All",DOC_ACTIVE,1)&gt;0,"",IFERROR(IF($E$4&lt;&gt;"",$E$4-$C$4,SETUP!$D$130-$C$4),60000)+ROW()/1000000))</f>
        <v/>
      </c>
      <c r="L472">
        <f>IF(TRACKER!$A474="","","Document")</f>
        <v/>
      </c>
      <c r="M472">
        <f>IF($L472="","",TRACKER!$E474&amp;"  -  "&amp;TRACKER!$A474)</f>
        <v/>
      </c>
      <c r="N472">
        <f>IF($L472="","",IF(TRACKER!$B474="Equipment",TRACKER!$D474,IF(TRACKER!$B474="System",TRACKER!$C474,"Whole contract")))</f>
        <v/>
      </c>
      <c r="O472">
        <f>IF($L472="","",TRACKER!$F474)</f>
        <v/>
      </c>
      <c r="P472">
        <f>IF($L472="","",TRACKER!$K474)</f>
        <v/>
      </c>
      <c r="Q472">
        <f>IF($L472="","",TRACKER!$N474)</f>
        <v/>
      </c>
      <c r="R472">
        <f>TRACKER!$Y474</f>
        <v/>
      </c>
      <c r="S472">
        <f>TRACKER!$Z474</f>
        <v/>
      </c>
      <c r="T472">
        <f>TRACKER!$X474</f>
        <v/>
      </c>
    </row>
    <row r="473">
      <c r="G473">
        <f>IF(OR(SETUP!$C$130="",$A$5="",$B$5&lt;&gt;"Equipment"),"","Equipment")</f>
        <v/>
      </c>
      <c r="H473">
        <f>IF($G473="","",SETUP!$C$130)</f>
        <v/>
      </c>
      <c r="I473">
        <f>IF($G473="","",$A$5)</f>
        <v/>
      </c>
      <c r="J473">
        <f>IF($G473="","",IF(COUNTIFS(DOC_TYPE,$I473,DOC_EQP,$H473,DOC_SCOPE,"Equipment",DOC_ACTIVE,1)+COUNTIFS(DOC_TYPE,$I473,DOC_SYS,SETUP!$B$130,DOC_SCOPE,"System",DOC_ACTIVE,1)+COUNTIFS(DOC_TYPE,$I473,DOC_SCOPE,"All",DOC_ACTIVE,1)&gt;0,"",IFERROR(IF($E$5&lt;&gt;"",$E$5-$C$5,SETUP!$D$130-$C$5),60000)+ROW()/1000000))</f>
        <v/>
      </c>
      <c r="L473">
        <f>IF(TRACKER!$A475="","","Document")</f>
        <v/>
      </c>
      <c r="M473">
        <f>IF($L473="","",TRACKER!$E475&amp;"  -  "&amp;TRACKER!$A475)</f>
        <v/>
      </c>
      <c r="N473">
        <f>IF($L473="","",IF(TRACKER!$B475="Equipment",TRACKER!$D475,IF(TRACKER!$B475="System",TRACKER!$C475,"Whole contract")))</f>
        <v/>
      </c>
      <c r="O473">
        <f>IF($L473="","",TRACKER!$F475)</f>
        <v/>
      </c>
      <c r="P473">
        <f>IF($L473="","",TRACKER!$K475)</f>
        <v/>
      </c>
      <c r="Q473">
        <f>IF($L473="","",TRACKER!$N475)</f>
        <v/>
      </c>
      <c r="R473">
        <f>TRACKER!$Y475</f>
        <v/>
      </c>
      <c r="S473">
        <f>TRACKER!$Z475</f>
        <v/>
      </c>
      <c r="T473">
        <f>TRACKER!$X475</f>
        <v/>
      </c>
    </row>
    <row r="474">
      <c r="G474">
        <f>IF(OR(SETUP!$C$130="",$A$6="",$B$6&lt;&gt;"Equipment"),"","Equipment")</f>
        <v/>
      </c>
      <c r="H474">
        <f>IF($G474="","",SETUP!$C$130)</f>
        <v/>
      </c>
      <c r="I474">
        <f>IF($G474="","",$A$6)</f>
        <v/>
      </c>
      <c r="J474">
        <f>IF($G474="","",IF(COUNTIFS(DOC_TYPE,$I474,DOC_EQP,$H474,DOC_SCOPE,"Equipment",DOC_ACTIVE,1)+COUNTIFS(DOC_TYPE,$I474,DOC_SYS,SETUP!$B$130,DOC_SCOPE,"System",DOC_ACTIVE,1)+COUNTIFS(DOC_TYPE,$I474,DOC_SCOPE,"All",DOC_ACTIVE,1)&gt;0,"",IFERROR(IF($E$6&lt;&gt;"",$E$6-$C$6,SETUP!$D$130-$C$6),60000)+ROW()/1000000))</f>
        <v/>
      </c>
      <c r="L474">
        <f>IF(TRACKER!$A476="","","Document")</f>
        <v/>
      </c>
      <c r="M474">
        <f>IF($L474="","",TRACKER!$E476&amp;"  -  "&amp;TRACKER!$A476)</f>
        <v/>
      </c>
      <c r="N474">
        <f>IF($L474="","",IF(TRACKER!$B476="Equipment",TRACKER!$D476,IF(TRACKER!$B476="System",TRACKER!$C476,"Whole contract")))</f>
        <v/>
      </c>
      <c r="O474">
        <f>IF($L474="","",TRACKER!$F476)</f>
        <v/>
      </c>
      <c r="P474">
        <f>IF($L474="","",TRACKER!$K476)</f>
        <v/>
      </c>
      <c r="Q474">
        <f>IF($L474="","",TRACKER!$N476)</f>
        <v/>
      </c>
      <c r="R474">
        <f>TRACKER!$Y476</f>
        <v/>
      </c>
      <c r="S474">
        <f>TRACKER!$Z476</f>
        <v/>
      </c>
      <c r="T474">
        <f>TRACKER!$X476</f>
        <v/>
      </c>
    </row>
    <row r="475">
      <c r="G475">
        <f>IF(OR(SETUP!$C$130="",$A$7="",$B$7&lt;&gt;"Equipment"),"","Equipment")</f>
        <v/>
      </c>
      <c r="H475">
        <f>IF($G475="","",SETUP!$C$130)</f>
        <v/>
      </c>
      <c r="I475">
        <f>IF($G475="","",$A$7)</f>
        <v/>
      </c>
      <c r="J475">
        <f>IF($G475="","",IF(COUNTIFS(DOC_TYPE,$I475,DOC_EQP,$H475,DOC_SCOPE,"Equipment",DOC_ACTIVE,1)+COUNTIFS(DOC_TYPE,$I475,DOC_SYS,SETUP!$B$130,DOC_SCOPE,"System",DOC_ACTIVE,1)+COUNTIFS(DOC_TYPE,$I475,DOC_SCOPE,"All",DOC_ACTIVE,1)&gt;0,"",IFERROR(IF($E$7&lt;&gt;"",$E$7-$C$7,SETUP!$D$130-$C$7),60000)+ROW()/1000000))</f>
        <v/>
      </c>
      <c r="L475">
        <f>IF(TRACKER!$A477="","","Document")</f>
        <v/>
      </c>
      <c r="M475">
        <f>IF($L475="","",TRACKER!$E477&amp;"  -  "&amp;TRACKER!$A477)</f>
        <v/>
      </c>
      <c r="N475">
        <f>IF($L475="","",IF(TRACKER!$B477="Equipment",TRACKER!$D477,IF(TRACKER!$B477="System",TRACKER!$C477,"Whole contract")))</f>
        <v/>
      </c>
      <c r="O475">
        <f>IF($L475="","",TRACKER!$F477)</f>
        <v/>
      </c>
      <c r="P475">
        <f>IF($L475="","",TRACKER!$K477)</f>
        <v/>
      </c>
      <c r="Q475">
        <f>IF($L475="","",TRACKER!$N477)</f>
        <v/>
      </c>
      <c r="R475">
        <f>TRACKER!$Y477</f>
        <v/>
      </c>
      <c r="S475">
        <f>TRACKER!$Z477</f>
        <v/>
      </c>
      <c r="T475">
        <f>TRACKER!$X477</f>
        <v/>
      </c>
    </row>
    <row r="476">
      <c r="G476">
        <f>IF(OR(SETUP!$C$130="",$A$8="",$B$8&lt;&gt;"Equipment"),"","Equipment")</f>
        <v/>
      </c>
      <c r="H476">
        <f>IF($G476="","",SETUP!$C$130)</f>
        <v/>
      </c>
      <c r="I476">
        <f>IF($G476="","",$A$8)</f>
        <v/>
      </c>
      <c r="J476">
        <f>IF($G476="","",IF(COUNTIFS(DOC_TYPE,$I476,DOC_EQP,$H476,DOC_SCOPE,"Equipment",DOC_ACTIVE,1)+COUNTIFS(DOC_TYPE,$I476,DOC_SYS,SETUP!$B$130,DOC_SCOPE,"System",DOC_ACTIVE,1)+COUNTIFS(DOC_TYPE,$I476,DOC_SCOPE,"All",DOC_ACTIVE,1)&gt;0,"",IFERROR(IF($E$8&lt;&gt;"",$E$8-$C$8,SETUP!$D$130-$C$8),60000)+ROW()/1000000))</f>
        <v/>
      </c>
      <c r="L476">
        <f>IF(TRACKER!$A478="","","Document")</f>
        <v/>
      </c>
      <c r="M476">
        <f>IF($L476="","",TRACKER!$E478&amp;"  -  "&amp;TRACKER!$A478)</f>
        <v/>
      </c>
      <c r="N476">
        <f>IF($L476="","",IF(TRACKER!$B478="Equipment",TRACKER!$D478,IF(TRACKER!$B478="System",TRACKER!$C478,"Whole contract")))</f>
        <v/>
      </c>
      <c r="O476">
        <f>IF($L476="","",TRACKER!$F478)</f>
        <v/>
      </c>
      <c r="P476">
        <f>IF($L476="","",TRACKER!$K478)</f>
        <v/>
      </c>
      <c r="Q476">
        <f>IF($L476="","",TRACKER!$N478)</f>
        <v/>
      </c>
      <c r="R476">
        <f>TRACKER!$Y478</f>
        <v/>
      </c>
      <c r="S476">
        <f>TRACKER!$Z478</f>
        <v/>
      </c>
      <c r="T476">
        <f>TRACKER!$X478</f>
        <v/>
      </c>
    </row>
    <row r="477">
      <c r="G477">
        <f>IF(OR(SETUP!$C$130="",$A$9="",$B$9&lt;&gt;"Equipment"),"","Equipment")</f>
        <v/>
      </c>
      <c r="H477">
        <f>IF($G477="","",SETUP!$C$130)</f>
        <v/>
      </c>
      <c r="I477">
        <f>IF($G477="","",$A$9)</f>
        <v/>
      </c>
      <c r="J477">
        <f>IF($G477="","",IF(COUNTIFS(DOC_TYPE,$I477,DOC_EQP,$H477,DOC_SCOPE,"Equipment",DOC_ACTIVE,1)+COUNTIFS(DOC_TYPE,$I477,DOC_SYS,SETUP!$B$130,DOC_SCOPE,"System",DOC_ACTIVE,1)+COUNTIFS(DOC_TYPE,$I477,DOC_SCOPE,"All",DOC_ACTIVE,1)&gt;0,"",IFERROR(IF($E$9&lt;&gt;"",$E$9-$C$9,SETUP!$D$130-$C$9),60000)+ROW()/1000000))</f>
        <v/>
      </c>
      <c r="L477">
        <f>IF(TRACKER!$A479="","","Document")</f>
        <v/>
      </c>
      <c r="M477">
        <f>IF($L477="","",TRACKER!$E479&amp;"  -  "&amp;TRACKER!$A479)</f>
        <v/>
      </c>
      <c r="N477">
        <f>IF($L477="","",IF(TRACKER!$B479="Equipment",TRACKER!$D479,IF(TRACKER!$B479="System",TRACKER!$C479,"Whole contract")))</f>
        <v/>
      </c>
      <c r="O477">
        <f>IF($L477="","",TRACKER!$F479)</f>
        <v/>
      </c>
      <c r="P477">
        <f>IF($L477="","",TRACKER!$K479)</f>
        <v/>
      </c>
      <c r="Q477">
        <f>IF($L477="","",TRACKER!$N479)</f>
        <v/>
      </c>
      <c r="R477">
        <f>TRACKER!$Y479</f>
        <v/>
      </c>
      <c r="S477">
        <f>TRACKER!$Z479</f>
        <v/>
      </c>
      <c r="T477">
        <f>TRACKER!$X479</f>
        <v/>
      </c>
    </row>
    <row r="478">
      <c r="G478">
        <f>IF(OR(SETUP!$C$130="",$A$10="",$B$10&lt;&gt;"Equipment"),"","Equipment")</f>
        <v/>
      </c>
      <c r="H478">
        <f>IF($G478="","",SETUP!$C$130)</f>
        <v/>
      </c>
      <c r="I478">
        <f>IF($G478="","",$A$10)</f>
        <v/>
      </c>
      <c r="J478">
        <f>IF($G478="","",IF(COUNTIFS(DOC_TYPE,$I478,DOC_EQP,$H478,DOC_SCOPE,"Equipment",DOC_ACTIVE,1)+COUNTIFS(DOC_TYPE,$I478,DOC_SYS,SETUP!$B$130,DOC_SCOPE,"System",DOC_ACTIVE,1)+COUNTIFS(DOC_TYPE,$I478,DOC_SCOPE,"All",DOC_ACTIVE,1)&gt;0,"",IFERROR(IF($E$10&lt;&gt;"",$E$10-$C$10,SETUP!$D$130-$C$10),60000)+ROW()/1000000))</f>
        <v/>
      </c>
      <c r="L478">
        <f>IF(TRACKER!$A480="","","Document")</f>
        <v/>
      </c>
      <c r="M478">
        <f>IF($L478="","",TRACKER!$E480&amp;"  -  "&amp;TRACKER!$A480)</f>
        <v/>
      </c>
      <c r="N478">
        <f>IF($L478="","",IF(TRACKER!$B480="Equipment",TRACKER!$D480,IF(TRACKER!$B480="System",TRACKER!$C480,"Whole contract")))</f>
        <v/>
      </c>
      <c r="O478">
        <f>IF($L478="","",TRACKER!$F480)</f>
        <v/>
      </c>
      <c r="P478">
        <f>IF($L478="","",TRACKER!$K480)</f>
        <v/>
      </c>
      <c r="Q478">
        <f>IF($L478="","",TRACKER!$N480)</f>
        <v/>
      </c>
      <c r="R478">
        <f>TRACKER!$Y480</f>
        <v/>
      </c>
      <c r="S478">
        <f>TRACKER!$Z480</f>
        <v/>
      </c>
      <c r="T478">
        <f>TRACKER!$X480</f>
        <v/>
      </c>
    </row>
    <row r="479">
      <c r="G479">
        <f>IF(OR(SETUP!$C$130="",$A$11="",$B$11&lt;&gt;"Equipment"),"","Equipment")</f>
        <v/>
      </c>
      <c r="H479">
        <f>IF($G479="","",SETUP!$C$130)</f>
        <v/>
      </c>
      <c r="I479">
        <f>IF($G479="","",$A$11)</f>
        <v/>
      </c>
      <c r="J479">
        <f>IF($G479="","",IF(COUNTIFS(DOC_TYPE,$I479,DOC_EQP,$H479,DOC_SCOPE,"Equipment",DOC_ACTIVE,1)+COUNTIFS(DOC_TYPE,$I479,DOC_SYS,SETUP!$B$130,DOC_SCOPE,"System",DOC_ACTIVE,1)+COUNTIFS(DOC_TYPE,$I479,DOC_SCOPE,"All",DOC_ACTIVE,1)&gt;0,"",IFERROR(IF($E$11&lt;&gt;"",$E$11-$C$11,SETUP!$D$130-$C$11),60000)+ROW()/1000000))</f>
        <v/>
      </c>
      <c r="L479">
        <f>IF(TRACKER!$A481="","","Document")</f>
        <v/>
      </c>
      <c r="M479">
        <f>IF($L479="","",TRACKER!$E481&amp;"  -  "&amp;TRACKER!$A481)</f>
        <v/>
      </c>
      <c r="N479">
        <f>IF($L479="","",IF(TRACKER!$B481="Equipment",TRACKER!$D481,IF(TRACKER!$B481="System",TRACKER!$C481,"Whole contract")))</f>
        <v/>
      </c>
      <c r="O479">
        <f>IF($L479="","",TRACKER!$F481)</f>
        <v/>
      </c>
      <c r="P479">
        <f>IF($L479="","",TRACKER!$K481)</f>
        <v/>
      </c>
      <c r="Q479">
        <f>IF($L479="","",TRACKER!$N481)</f>
        <v/>
      </c>
      <c r="R479">
        <f>TRACKER!$Y481</f>
        <v/>
      </c>
      <c r="S479">
        <f>TRACKER!$Z481</f>
        <v/>
      </c>
      <c r="T479">
        <f>TRACKER!$X481</f>
        <v/>
      </c>
    </row>
    <row r="480">
      <c r="G480">
        <f>IF(OR(SETUP!$C$130="",$A$12="",$B$12&lt;&gt;"Equipment"),"","Equipment")</f>
        <v/>
      </c>
      <c r="H480">
        <f>IF($G480="","",SETUP!$C$130)</f>
        <v/>
      </c>
      <c r="I480">
        <f>IF($G480="","",$A$12)</f>
        <v/>
      </c>
      <c r="J480">
        <f>IF($G480="","",IF(COUNTIFS(DOC_TYPE,$I480,DOC_EQP,$H480,DOC_SCOPE,"Equipment",DOC_ACTIVE,1)+COUNTIFS(DOC_TYPE,$I480,DOC_SYS,SETUP!$B$130,DOC_SCOPE,"System",DOC_ACTIVE,1)+COUNTIFS(DOC_TYPE,$I480,DOC_SCOPE,"All",DOC_ACTIVE,1)&gt;0,"",IFERROR(IF($E$12&lt;&gt;"",$E$12-$C$12,SETUP!$D$130-$C$12),60000)+ROW()/1000000))</f>
        <v/>
      </c>
      <c r="L480">
        <f>IF(TRACKER!$A482="","","Document")</f>
        <v/>
      </c>
      <c r="M480">
        <f>IF($L480="","",TRACKER!$E482&amp;"  -  "&amp;TRACKER!$A482)</f>
        <v/>
      </c>
      <c r="N480">
        <f>IF($L480="","",IF(TRACKER!$B482="Equipment",TRACKER!$D482,IF(TRACKER!$B482="System",TRACKER!$C482,"Whole contract")))</f>
        <v/>
      </c>
      <c r="O480">
        <f>IF($L480="","",TRACKER!$F482)</f>
        <v/>
      </c>
      <c r="P480">
        <f>IF($L480="","",TRACKER!$K482)</f>
        <v/>
      </c>
      <c r="Q480">
        <f>IF($L480="","",TRACKER!$N482)</f>
        <v/>
      </c>
      <c r="R480">
        <f>TRACKER!$Y482</f>
        <v/>
      </c>
      <c r="S480">
        <f>TRACKER!$Z482</f>
        <v/>
      </c>
      <c r="T480">
        <f>TRACKER!$X482</f>
        <v/>
      </c>
    </row>
    <row r="481">
      <c r="G481">
        <f>IF(OR(SETUP!$C$130="",$A$13="",$B$13&lt;&gt;"Equipment"),"","Equipment")</f>
        <v/>
      </c>
      <c r="H481">
        <f>IF($G481="","",SETUP!$C$130)</f>
        <v/>
      </c>
      <c r="I481">
        <f>IF($G481="","",$A$13)</f>
        <v/>
      </c>
      <c r="J481">
        <f>IF($G481="","",IF(COUNTIFS(DOC_TYPE,$I481,DOC_EQP,$H481,DOC_SCOPE,"Equipment",DOC_ACTIVE,1)+COUNTIFS(DOC_TYPE,$I481,DOC_SYS,SETUP!$B$130,DOC_SCOPE,"System",DOC_ACTIVE,1)+COUNTIFS(DOC_TYPE,$I481,DOC_SCOPE,"All",DOC_ACTIVE,1)&gt;0,"",IFERROR(IF($E$13&lt;&gt;"",$E$13-$C$13,SETUP!$D$130-$C$13),60000)+ROW()/1000000))</f>
        <v/>
      </c>
      <c r="L481">
        <f>IF(TRACKER!$A483="","","Document")</f>
        <v/>
      </c>
      <c r="M481">
        <f>IF($L481="","",TRACKER!$E483&amp;"  -  "&amp;TRACKER!$A483)</f>
        <v/>
      </c>
      <c r="N481">
        <f>IF($L481="","",IF(TRACKER!$B483="Equipment",TRACKER!$D483,IF(TRACKER!$B483="System",TRACKER!$C483,"Whole contract")))</f>
        <v/>
      </c>
      <c r="O481">
        <f>IF($L481="","",TRACKER!$F483)</f>
        <v/>
      </c>
      <c r="P481">
        <f>IF($L481="","",TRACKER!$K483)</f>
        <v/>
      </c>
      <c r="Q481">
        <f>IF($L481="","",TRACKER!$N483)</f>
        <v/>
      </c>
      <c r="R481">
        <f>TRACKER!$Y483</f>
        <v/>
      </c>
      <c r="S481">
        <f>TRACKER!$Z483</f>
        <v/>
      </c>
      <c r="T481">
        <f>TRACKER!$X483</f>
        <v/>
      </c>
    </row>
    <row r="482">
      <c r="G482">
        <f>IF(OR(SETUP!$C$131="",$A$2="",$B$2&lt;&gt;"Equipment"),"","Equipment")</f>
        <v/>
      </c>
      <c r="H482">
        <f>IF($G482="","",SETUP!$C$131)</f>
        <v/>
      </c>
      <c r="I482">
        <f>IF($G482="","",$A$2)</f>
        <v/>
      </c>
      <c r="J482">
        <f>IF($G482="","",IF(COUNTIFS(DOC_TYPE,$I482,DOC_EQP,$H482,DOC_SCOPE,"Equipment",DOC_ACTIVE,1)+COUNTIFS(DOC_TYPE,$I482,DOC_SYS,SETUP!$B$131,DOC_SCOPE,"System",DOC_ACTIVE,1)+COUNTIFS(DOC_TYPE,$I482,DOC_SCOPE,"All",DOC_ACTIVE,1)&gt;0,"",IFERROR(IF($E$2&lt;&gt;"",$E$2-$C$2,SETUP!$D$131-$C$2),60000)+ROW()/1000000))</f>
        <v/>
      </c>
      <c r="L482">
        <f>IF(TRACKER!$A484="","","Document")</f>
        <v/>
      </c>
      <c r="M482">
        <f>IF($L482="","",TRACKER!$E484&amp;"  -  "&amp;TRACKER!$A484)</f>
        <v/>
      </c>
      <c r="N482">
        <f>IF($L482="","",IF(TRACKER!$B484="Equipment",TRACKER!$D484,IF(TRACKER!$B484="System",TRACKER!$C484,"Whole contract")))</f>
        <v/>
      </c>
      <c r="O482">
        <f>IF($L482="","",TRACKER!$F484)</f>
        <v/>
      </c>
      <c r="P482">
        <f>IF($L482="","",TRACKER!$K484)</f>
        <v/>
      </c>
      <c r="Q482">
        <f>IF($L482="","",TRACKER!$N484)</f>
        <v/>
      </c>
      <c r="R482">
        <f>TRACKER!$Y484</f>
        <v/>
      </c>
      <c r="S482">
        <f>TRACKER!$Z484</f>
        <v/>
      </c>
      <c r="T482">
        <f>TRACKER!$X484</f>
        <v/>
      </c>
    </row>
    <row r="483">
      <c r="G483">
        <f>IF(OR(SETUP!$C$131="",$A$3="",$B$3&lt;&gt;"Equipment"),"","Equipment")</f>
        <v/>
      </c>
      <c r="H483">
        <f>IF($G483="","",SETUP!$C$131)</f>
        <v/>
      </c>
      <c r="I483">
        <f>IF($G483="","",$A$3)</f>
        <v/>
      </c>
      <c r="J483">
        <f>IF($G483="","",IF(COUNTIFS(DOC_TYPE,$I483,DOC_EQP,$H483,DOC_SCOPE,"Equipment",DOC_ACTIVE,1)+COUNTIFS(DOC_TYPE,$I483,DOC_SYS,SETUP!$B$131,DOC_SCOPE,"System",DOC_ACTIVE,1)+COUNTIFS(DOC_TYPE,$I483,DOC_SCOPE,"All",DOC_ACTIVE,1)&gt;0,"",IFERROR(IF($E$3&lt;&gt;"",$E$3-$C$3,SETUP!$D$131-$C$3),60000)+ROW()/1000000))</f>
        <v/>
      </c>
      <c r="L483">
        <f>IF(TRACKER!$A485="","","Document")</f>
        <v/>
      </c>
      <c r="M483">
        <f>IF($L483="","",TRACKER!$E485&amp;"  -  "&amp;TRACKER!$A485)</f>
        <v/>
      </c>
      <c r="N483">
        <f>IF($L483="","",IF(TRACKER!$B485="Equipment",TRACKER!$D485,IF(TRACKER!$B485="System",TRACKER!$C485,"Whole contract")))</f>
        <v/>
      </c>
      <c r="O483">
        <f>IF($L483="","",TRACKER!$F485)</f>
        <v/>
      </c>
      <c r="P483">
        <f>IF($L483="","",TRACKER!$K485)</f>
        <v/>
      </c>
      <c r="Q483">
        <f>IF($L483="","",TRACKER!$N485)</f>
        <v/>
      </c>
      <c r="R483">
        <f>TRACKER!$Y485</f>
        <v/>
      </c>
      <c r="S483">
        <f>TRACKER!$Z485</f>
        <v/>
      </c>
      <c r="T483">
        <f>TRACKER!$X485</f>
        <v/>
      </c>
    </row>
    <row r="484">
      <c r="G484">
        <f>IF(OR(SETUP!$C$131="",$A$4="",$B$4&lt;&gt;"Equipment"),"","Equipment")</f>
        <v/>
      </c>
      <c r="H484">
        <f>IF($G484="","",SETUP!$C$131)</f>
        <v/>
      </c>
      <c r="I484">
        <f>IF($G484="","",$A$4)</f>
        <v/>
      </c>
      <c r="J484">
        <f>IF($G484="","",IF(COUNTIFS(DOC_TYPE,$I484,DOC_EQP,$H484,DOC_SCOPE,"Equipment",DOC_ACTIVE,1)+COUNTIFS(DOC_TYPE,$I484,DOC_SYS,SETUP!$B$131,DOC_SCOPE,"System",DOC_ACTIVE,1)+COUNTIFS(DOC_TYPE,$I484,DOC_SCOPE,"All",DOC_ACTIVE,1)&gt;0,"",IFERROR(IF($E$4&lt;&gt;"",$E$4-$C$4,SETUP!$D$131-$C$4),60000)+ROW()/1000000))</f>
        <v/>
      </c>
      <c r="L484">
        <f>IF(TRACKER!$A486="","","Document")</f>
        <v/>
      </c>
      <c r="M484">
        <f>IF($L484="","",TRACKER!$E486&amp;"  -  "&amp;TRACKER!$A486)</f>
        <v/>
      </c>
      <c r="N484">
        <f>IF($L484="","",IF(TRACKER!$B486="Equipment",TRACKER!$D486,IF(TRACKER!$B486="System",TRACKER!$C486,"Whole contract")))</f>
        <v/>
      </c>
      <c r="O484">
        <f>IF($L484="","",TRACKER!$F486)</f>
        <v/>
      </c>
      <c r="P484">
        <f>IF($L484="","",TRACKER!$K486)</f>
        <v/>
      </c>
      <c r="Q484">
        <f>IF($L484="","",TRACKER!$N486)</f>
        <v/>
      </c>
      <c r="R484">
        <f>TRACKER!$Y486</f>
        <v/>
      </c>
      <c r="S484">
        <f>TRACKER!$Z486</f>
        <v/>
      </c>
      <c r="T484">
        <f>TRACKER!$X486</f>
        <v/>
      </c>
    </row>
    <row r="485">
      <c r="G485">
        <f>IF(OR(SETUP!$C$131="",$A$5="",$B$5&lt;&gt;"Equipment"),"","Equipment")</f>
        <v/>
      </c>
      <c r="H485">
        <f>IF($G485="","",SETUP!$C$131)</f>
        <v/>
      </c>
      <c r="I485">
        <f>IF($G485="","",$A$5)</f>
        <v/>
      </c>
      <c r="J485">
        <f>IF($G485="","",IF(COUNTIFS(DOC_TYPE,$I485,DOC_EQP,$H485,DOC_SCOPE,"Equipment",DOC_ACTIVE,1)+COUNTIFS(DOC_TYPE,$I485,DOC_SYS,SETUP!$B$131,DOC_SCOPE,"System",DOC_ACTIVE,1)+COUNTIFS(DOC_TYPE,$I485,DOC_SCOPE,"All",DOC_ACTIVE,1)&gt;0,"",IFERROR(IF($E$5&lt;&gt;"",$E$5-$C$5,SETUP!$D$131-$C$5),60000)+ROW()/1000000))</f>
        <v/>
      </c>
      <c r="L485">
        <f>IF(TRACKER!$A487="","","Document")</f>
        <v/>
      </c>
      <c r="M485">
        <f>IF($L485="","",TRACKER!$E487&amp;"  -  "&amp;TRACKER!$A487)</f>
        <v/>
      </c>
      <c r="N485">
        <f>IF($L485="","",IF(TRACKER!$B487="Equipment",TRACKER!$D487,IF(TRACKER!$B487="System",TRACKER!$C487,"Whole contract")))</f>
        <v/>
      </c>
      <c r="O485">
        <f>IF($L485="","",TRACKER!$F487)</f>
        <v/>
      </c>
      <c r="P485">
        <f>IF($L485="","",TRACKER!$K487)</f>
        <v/>
      </c>
      <c r="Q485">
        <f>IF($L485="","",TRACKER!$N487)</f>
        <v/>
      </c>
      <c r="R485">
        <f>TRACKER!$Y487</f>
        <v/>
      </c>
      <c r="S485">
        <f>TRACKER!$Z487</f>
        <v/>
      </c>
      <c r="T485">
        <f>TRACKER!$X487</f>
        <v/>
      </c>
    </row>
    <row r="486">
      <c r="G486">
        <f>IF(OR(SETUP!$C$131="",$A$6="",$B$6&lt;&gt;"Equipment"),"","Equipment")</f>
        <v/>
      </c>
      <c r="H486">
        <f>IF($G486="","",SETUP!$C$131)</f>
        <v/>
      </c>
      <c r="I486">
        <f>IF($G486="","",$A$6)</f>
        <v/>
      </c>
      <c r="J486">
        <f>IF($G486="","",IF(COUNTIFS(DOC_TYPE,$I486,DOC_EQP,$H486,DOC_SCOPE,"Equipment",DOC_ACTIVE,1)+COUNTIFS(DOC_TYPE,$I486,DOC_SYS,SETUP!$B$131,DOC_SCOPE,"System",DOC_ACTIVE,1)+COUNTIFS(DOC_TYPE,$I486,DOC_SCOPE,"All",DOC_ACTIVE,1)&gt;0,"",IFERROR(IF($E$6&lt;&gt;"",$E$6-$C$6,SETUP!$D$131-$C$6),60000)+ROW()/1000000))</f>
        <v/>
      </c>
      <c r="L486">
        <f>IF(TRACKER!$A488="","","Document")</f>
        <v/>
      </c>
      <c r="M486">
        <f>IF($L486="","",TRACKER!$E488&amp;"  -  "&amp;TRACKER!$A488)</f>
        <v/>
      </c>
      <c r="N486">
        <f>IF($L486="","",IF(TRACKER!$B488="Equipment",TRACKER!$D488,IF(TRACKER!$B488="System",TRACKER!$C488,"Whole contract")))</f>
        <v/>
      </c>
      <c r="O486">
        <f>IF($L486="","",TRACKER!$F488)</f>
        <v/>
      </c>
      <c r="P486">
        <f>IF($L486="","",TRACKER!$K488)</f>
        <v/>
      </c>
      <c r="Q486">
        <f>IF($L486="","",TRACKER!$N488)</f>
        <v/>
      </c>
      <c r="R486">
        <f>TRACKER!$Y488</f>
        <v/>
      </c>
      <c r="S486">
        <f>TRACKER!$Z488</f>
        <v/>
      </c>
      <c r="T486">
        <f>TRACKER!$X488</f>
        <v/>
      </c>
    </row>
    <row r="487">
      <c r="G487">
        <f>IF(OR(SETUP!$C$131="",$A$7="",$B$7&lt;&gt;"Equipment"),"","Equipment")</f>
        <v/>
      </c>
      <c r="H487">
        <f>IF($G487="","",SETUP!$C$131)</f>
        <v/>
      </c>
      <c r="I487">
        <f>IF($G487="","",$A$7)</f>
        <v/>
      </c>
      <c r="J487">
        <f>IF($G487="","",IF(COUNTIFS(DOC_TYPE,$I487,DOC_EQP,$H487,DOC_SCOPE,"Equipment",DOC_ACTIVE,1)+COUNTIFS(DOC_TYPE,$I487,DOC_SYS,SETUP!$B$131,DOC_SCOPE,"System",DOC_ACTIVE,1)+COUNTIFS(DOC_TYPE,$I487,DOC_SCOPE,"All",DOC_ACTIVE,1)&gt;0,"",IFERROR(IF($E$7&lt;&gt;"",$E$7-$C$7,SETUP!$D$131-$C$7),60000)+ROW()/1000000))</f>
        <v/>
      </c>
      <c r="L487">
        <f>IF(TRACKER!$A489="","","Document")</f>
        <v/>
      </c>
      <c r="M487">
        <f>IF($L487="","",TRACKER!$E489&amp;"  -  "&amp;TRACKER!$A489)</f>
        <v/>
      </c>
      <c r="N487">
        <f>IF($L487="","",IF(TRACKER!$B489="Equipment",TRACKER!$D489,IF(TRACKER!$B489="System",TRACKER!$C489,"Whole contract")))</f>
        <v/>
      </c>
      <c r="O487">
        <f>IF($L487="","",TRACKER!$F489)</f>
        <v/>
      </c>
      <c r="P487">
        <f>IF($L487="","",TRACKER!$K489)</f>
        <v/>
      </c>
      <c r="Q487">
        <f>IF($L487="","",TRACKER!$N489)</f>
        <v/>
      </c>
      <c r="R487">
        <f>TRACKER!$Y489</f>
        <v/>
      </c>
      <c r="S487">
        <f>TRACKER!$Z489</f>
        <v/>
      </c>
      <c r="T487">
        <f>TRACKER!$X489</f>
        <v/>
      </c>
    </row>
    <row r="488">
      <c r="G488">
        <f>IF(OR(SETUP!$C$131="",$A$8="",$B$8&lt;&gt;"Equipment"),"","Equipment")</f>
        <v/>
      </c>
      <c r="H488">
        <f>IF($G488="","",SETUP!$C$131)</f>
        <v/>
      </c>
      <c r="I488">
        <f>IF($G488="","",$A$8)</f>
        <v/>
      </c>
      <c r="J488">
        <f>IF($G488="","",IF(COUNTIFS(DOC_TYPE,$I488,DOC_EQP,$H488,DOC_SCOPE,"Equipment",DOC_ACTIVE,1)+COUNTIFS(DOC_TYPE,$I488,DOC_SYS,SETUP!$B$131,DOC_SCOPE,"System",DOC_ACTIVE,1)+COUNTIFS(DOC_TYPE,$I488,DOC_SCOPE,"All",DOC_ACTIVE,1)&gt;0,"",IFERROR(IF($E$8&lt;&gt;"",$E$8-$C$8,SETUP!$D$131-$C$8),60000)+ROW()/1000000))</f>
        <v/>
      </c>
      <c r="L488">
        <f>IF(TRACKER!$A490="","","Document")</f>
        <v/>
      </c>
      <c r="M488">
        <f>IF($L488="","",TRACKER!$E490&amp;"  -  "&amp;TRACKER!$A490)</f>
        <v/>
      </c>
      <c r="N488">
        <f>IF($L488="","",IF(TRACKER!$B490="Equipment",TRACKER!$D490,IF(TRACKER!$B490="System",TRACKER!$C490,"Whole contract")))</f>
        <v/>
      </c>
      <c r="O488">
        <f>IF($L488="","",TRACKER!$F490)</f>
        <v/>
      </c>
      <c r="P488">
        <f>IF($L488="","",TRACKER!$K490)</f>
        <v/>
      </c>
      <c r="Q488">
        <f>IF($L488="","",TRACKER!$N490)</f>
        <v/>
      </c>
      <c r="R488">
        <f>TRACKER!$Y490</f>
        <v/>
      </c>
      <c r="S488">
        <f>TRACKER!$Z490</f>
        <v/>
      </c>
      <c r="T488">
        <f>TRACKER!$X490</f>
        <v/>
      </c>
    </row>
    <row r="489">
      <c r="G489">
        <f>IF(OR(SETUP!$C$131="",$A$9="",$B$9&lt;&gt;"Equipment"),"","Equipment")</f>
        <v/>
      </c>
      <c r="H489">
        <f>IF($G489="","",SETUP!$C$131)</f>
        <v/>
      </c>
      <c r="I489">
        <f>IF($G489="","",$A$9)</f>
        <v/>
      </c>
      <c r="J489">
        <f>IF($G489="","",IF(COUNTIFS(DOC_TYPE,$I489,DOC_EQP,$H489,DOC_SCOPE,"Equipment",DOC_ACTIVE,1)+COUNTIFS(DOC_TYPE,$I489,DOC_SYS,SETUP!$B$131,DOC_SCOPE,"System",DOC_ACTIVE,1)+COUNTIFS(DOC_TYPE,$I489,DOC_SCOPE,"All",DOC_ACTIVE,1)&gt;0,"",IFERROR(IF($E$9&lt;&gt;"",$E$9-$C$9,SETUP!$D$131-$C$9),60000)+ROW()/1000000))</f>
        <v/>
      </c>
      <c r="L489">
        <f>IF(TRACKER!$A491="","","Document")</f>
        <v/>
      </c>
      <c r="M489">
        <f>IF($L489="","",TRACKER!$E491&amp;"  -  "&amp;TRACKER!$A491)</f>
        <v/>
      </c>
      <c r="N489">
        <f>IF($L489="","",IF(TRACKER!$B491="Equipment",TRACKER!$D491,IF(TRACKER!$B491="System",TRACKER!$C491,"Whole contract")))</f>
        <v/>
      </c>
      <c r="O489">
        <f>IF($L489="","",TRACKER!$F491)</f>
        <v/>
      </c>
      <c r="P489">
        <f>IF($L489="","",TRACKER!$K491)</f>
        <v/>
      </c>
      <c r="Q489">
        <f>IF($L489="","",TRACKER!$N491)</f>
        <v/>
      </c>
      <c r="R489">
        <f>TRACKER!$Y491</f>
        <v/>
      </c>
      <c r="S489">
        <f>TRACKER!$Z491</f>
        <v/>
      </c>
      <c r="T489">
        <f>TRACKER!$X491</f>
        <v/>
      </c>
    </row>
    <row r="490">
      <c r="G490">
        <f>IF(OR(SETUP!$C$131="",$A$10="",$B$10&lt;&gt;"Equipment"),"","Equipment")</f>
        <v/>
      </c>
      <c r="H490">
        <f>IF($G490="","",SETUP!$C$131)</f>
        <v/>
      </c>
      <c r="I490">
        <f>IF($G490="","",$A$10)</f>
        <v/>
      </c>
      <c r="J490">
        <f>IF($G490="","",IF(COUNTIFS(DOC_TYPE,$I490,DOC_EQP,$H490,DOC_SCOPE,"Equipment",DOC_ACTIVE,1)+COUNTIFS(DOC_TYPE,$I490,DOC_SYS,SETUP!$B$131,DOC_SCOPE,"System",DOC_ACTIVE,1)+COUNTIFS(DOC_TYPE,$I490,DOC_SCOPE,"All",DOC_ACTIVE,1)&gt;0,"",IFERROR(IF($E$10&lt;&gt;"",$E$10-$C$10,SETUP!$D$131-$C$10),60000)+ROW()/1000000))</f>
        <v/>
      </c>
      <c r="L490">
        <f>IF(TRACKER!$A492="","","Document")</f>
        <v/>
      </c>
      <c r="M490">
        <f>IF($L490="","",TRACKER!$E492&amp;"  -  "&amp;TRACKER!$A492)</f>
        <v/>
      </c>
      <c r="N490">
        <f>IF($L490="","",IF(TRACKER!$B492="Equipment",TRACKER!$D492,IF(TRACKER!$B492="System",TRACKER!$C492,"Whole contract")))</f>
        <v/>
      </c>
      <c r="O490">
        <f>IF($L490="","",TRACKER!$F492)</f>
        <v/>
      </c>
      <c r="P490">
        <f>IF($L490="","",TRACKER!$K492)</f>
        <v/>
      </c>
      <c r="Q490">
        <f>IF($L490="","",TRACKER!$N492)</f>
        <v/>
      </c>
      <c r="R490">
        <f>TRACKER!$Y492</f>
        <v/>
      </c>
      <c r="S490">
        <f>TRACKER!$Z492</f>
        <v/>
      </c>
      <c r="T490">
        <f>TRACKER!$X492</f>
        <v/>
      </c>
    </row>
    <row r="491">
      <c r="G491">
        <f>IF(OR(SETUP!$C$131="",$A$11="",$B$11&lt;&gt;"Equipment"),"","Equipment")</f>
        <v/>
      </c>
      <c r="H491">
        <f>IF($G491="","",SETUP!$C$131)</f>
        <v/>
      </c>
      <c r="I491">
        <f>IF($G491="","",$A$11)</f>
        <v/>
      </c>
      <c r="J491">
        <f>IF($G491="","",IF(COUNTIFS(DOC_TYPE,$I491,DOC_EQP,$H491,DOC_SCOPE,"Equipment",DOC_ACTIVE,1)+COUNTIFS(DOC_TYPE,$I491,DOC_SYS,SETUP!$B$131,DOC_SCOPE,"System",DOC_ACTIVE,1)+COUNTIFS(DOC_TYPE,$I491,DOC_SCOPE,"All",DOC_ACTIVE,1)&gt;0,"",IFERROR(IF($E$11&lt;&gt;"",$E$11-$C$11,SETUP!$D$131-$C$11),60000)+ROW()/1000000))</f>
        <v/>
      </c>
      <c r="L491">
        <f>IF(TRACKER!$A493="","","Document")</f>
        <v/>
      </c>
      <c r="M491">
        <f>IF($L491="","",TRACKER!$E493&amp;"  -  "&amp;TRACKER!$A493)</f>
        <v/>
      </c>
      <c r="N491">
        <f>IF($L491="","",IF(TRACKER!$B493="Equipment",TRACKER!$D493,IF(TRACKER!$B493="System",TRACKER!$C493,"Whole contract")))</f>
        <v/>
      </c>
      <c r="O491">
        <f>IF($L491="","",TRACKER!$F493)</f>
        <v/>
      </c>
      <c r="P491">
        <f>IF($L491="","",TRACKER!$K493)</f>
        <v/>
      </c>
      <c r="Q491">
        <f>IF($L491="","",TRACKER!$N493)</f>
        <v/>
      </c>
      <c r="R491">
        <f>TRACKER!$Y493</f>
        <v/>
      </c>
      <c r="S491">
        <f>TRACKER!$Z493</f>
        <v/>
      </c>
      <c r="T491">
        <f>TRACKER!$X493</f>
        <v/>
      </c>
    </row>
    <row r="492">
      <c r="G492">
        <f>IF(OR(SETUP!$C$131="",$A$12="",$B$12&lt;&gt;"Equipment"),"","Equipment")</f>
        <v/>
      </c>
      <c r="H492">
        <f>IF($G492="","",SETUP!$C$131)</f>
        <v/>
      </c>
      <c r="I492">
        <f>IF($G492="","",$A$12)</f>
        <v/>
      </c>
      <c r="J492">
        <f>IF($G492="","",IF(COUNTIFS(DOC_TYPE,$I492,DOC_EQP,$H492,DOC_SCOPE,"Equipment",DOC_ACTIVE,1)+COUNTIFS(DOC_TYPE,$I492,DOC_SYS,SETUP!$B$131,DOC_SCOPE,"System",DOC_ACTIVE,1)+COUNTIFS(DOC_TYPE,$I492,DOC_SCOPE,"All",DOC_ACTIVE,1)&gt;0,"",IFERROR(IF($E$12&lt;&gt;"",$E$12-$C$12,SETUP!$D$131-$C$12),60000)+ROW()/1000000))</f>
        <v/>
      </c>
      <c r="L492">
        <f>IF(TRACKER!$A494="","","Document")</f>
        <v/>
      </c>
      <c r="M492">
        <f>IF($L492="","",TRACKER!$E494&amp;"  -  "&amp;TRACKER!$A494)</f>
        <v/>
      </c>
      <c r="N492">
        <f>IF($L492="","",IF(TRACKER!$B494="Equipment",TRACKER!$D494,IF(TRACKER!$B494="System",TRACKER!$C494,"Whole contract")))</f>
        <v/>
      </c>
      <c r="O492">
        <f>IF($L492="","",TRACKER!$F494)</f>
        <v/>
      </c>
      <c r="P492">
        <f>IF($L492="","",TRACKER!$K494)</f>
        <v/>
      </c>
      <c r="Q492">
        <f>IF($L492="","",TRACKER!$N494)</f>
        <v/>
      </c>
      <c r="R492">
        <f>TRACKER!$Y494</f>
        <v/>
      </c>
      <c r="S492">
        <f>TRACKER!$Z494</f>
        <v/>
      </c>
      <c r="T492">
        <f>TRACKER!$X494</f>
        <v/>
      </c>
    </row>
    <row r="493">
      <c r="G493">
        <f>IF(OR(SETUP!$C$131="",$A$13="",$B$13&lt;&gt;"Equipment"),"","Equipment")</f>
        <v/>
      </c>
      <c r="H493">
        <f>IF($G493="","",SETUP!$C$131)</f>
        <v/>
      </c>
      <c r="I493">
        <f>IF($G493="","",$A$13)</f>
        <v/>
      </c>
      <c r="J493">
        <f>IF($G493="","",IF(COUNTIFS(DOC_TYPE,$I493,DOC_EQP,$H493,DOC_SCOPE,"Equipment",DOC_ACTIVE,1)+COUNTIFS(DOC_TYPE,$I493,DOC_SYS,SETUP!$B$131,DOC_SCOPE,"System",DOC_ACTIVE,1)+COUNTIFS(DOC_TYPE,$I493,DOC_SCOPE,"All",DOC_ACTIVE,1)&gt;0,"",IFERROR(IF($E$13&lt;&gt;"",$E$13-$C$13,SETUP!$D$131-$C$13),60000)+ROW()/1000000))</f>
        <v/>
      </c>
      <c r="L493">
        <f>IF(TRACKER!$A495="","","Document")</f>
        <v/>
      </c>
      <c r="M493">
        <f>IF($L493="","",TRACKER!$E495&amp;"  -  "&amp;TRACKER!$A495)</f>
        <v/>
      </c>
      <c r="N493">
        <f>IF($L493="","",IF(TRACKER!$B495="Equipment",TRACKER!$D495,IF(TRACKER!$B495="System",TRACKER!$C495,"Whole contract")))</f>
        <v/>
      </c>
      <c r="O493">
        <f>IF($L493="","",TRACKER!$F495)</f>
        <v/>
      </c>
      <c r="P493">
        <f>IF($L493="","",TRACKER!$K495)</f>
        <v/>
      </c>
      <c r="Q493">
        <f>IF($L493="","",TRACKER!$N495)</f>
        <v/>
      </c>
      <c r="R493">
        <f>TRACKER!$Y495</f>
        <v/>
      </c>
      <c r="S493">
        <f>TRACKER!$Z495</f>
        <v/>
      </c>
      <c r="T493">
        <f>TRACKER!$X495</f>
        <v/>
      </c>
    </row>
    <row r="494">
      <c r="G494">
        <f>IF(OR(SETUP!$C$132="",$A$2="",$B$2&lt;&gt;"Equipment"),"","Equipment")</f>
        <v/>
      </c>
      <c r="H494">
        <f>IF($G494="","",SETUP!$C$132)</f>
        <v/>
      </c>
      <c r="I494">
        <f>IF($G494="","",$A$2)</f>
        <v/>
      </c>
      <c r="J494">
        <f>IF($G494="","",IF(COUNTIFS(DOC_TYPE,$I494,DOC_EQP,$H494,DOC_SCOPE,"Equipment",DOC_ACTIVE,1)+COUNTIFS(DOC_TYPE,$I494,DOC_SYS,SETUP!$B$132,DOC_SCOPE,"System",DOC_ACTIVE,1)+COUNTIFS(DOC_TYPE,$I494,DOC_SCOPE,"All",DOC_ACTIVE,1)&gt;0,"",IFERROR(IF($E$2&lt;&gt;"",$E$2-$C$2,SETUP!$D$132-$C$2),60000)+ROW()/1000000))</f>
        <v/>
      </c>
      <c r="L494">
        <f>IF(TRACKER!$A496="","","Document")</f>
        <v/>
      </c>
      <c r="M494">
        <f>IF($L494="","",TRACKER!$E496&amp;"  -  "&amp;TRACKER!$A496)</f>
        <v/>
      </c>
      <c r="N494">
        <f>IF($L494="","",IF(TRACKER!$B496="Equipment",TRACKER!$D496,IF(TRACKER!$B496="System",TRACKER!$C496,"Whole contract")))</f>
        <v/>
      </c>
      <c r="O494">
        <f>IF($L494="","",TRACKER!$F496)</f>
        <v/>
      </c>
      <c r="P494">
        <f>IF($L494="","",TRACKER!$K496)</f>
        <v/>
      </c>
      <c r="Q494">
        <f>IF($L494="","",TRACKER!$N496)</f>
        <v/>
      </c>
      <c r="R494">
        <f>TRACKER!$Y496</f>
        <v/>
      </c>
      <c r="S494">
        <f>TRACKER!$Z496</f>
        <v/>
      </c>
      <c r="T494">
        <f>TRACKER!$X496</f>
        <v/>
      </c>
    </row>
    <row r="495">
      <c r="G495">
        <f>IF(OR(SETUP!$C$132="",$A$3="",$B$3&lt;&gt;"Equipment"),"","Equipment")</f>
        <v/>
      </c>
      <c r="H495">
        <f>IF($G495="","",SETUP!$C$132)</f>
        <v/>
      </c>
      <c r="I495">
        <f>IF($G495="","",$A$3)</f>
        <v/>
      </c>
      <c r="J495">
        <f>IF($G495="","",IF(COUNTIFS(DOC_TYPE,$I495,DOC_EQP,$H495,DOC_SCOPE,"Equipment",DOC_ACTIVE,1)+COUNTIFS(DOC_TYPE,$I495,DOC_SYS,SETUP!$B$132,DOC_SCOPE,"System",DOC_ACTIVE,1)+COUNTIFS(DOC_TYPE,$I495,DOC_SCOPE,"All",DOC_ACTIVE,1)&gt;0,"",IFERROR(IF($E$3&lt;&gt;"",$E$3-$C$3,SETUP!$D$132-$C$3),60000)+ROW()/1000000))</f>
        <v/>
      </c>
      <c r="L495">
        <f>IF(TRACKER!$A497="","","Document")</f>
        <v/>
      </c>
      <c r="M495">
        <f>IF($L495="","",TRACKER!$E497&amp;"  -  "&amp;TRACKER!$A497)</f>
        <v/>
      </c>
      <c r="N495">
        <f>IF($L495="","",IF(TRACKER!$B497="Equipment",TRACKER!$D497,IF(TRACKER!$B497="System",TRACKER!$C497,"Whole contract")))</f>
        <v/>
      </c>
      <c r="O495">
        <f>IF($L495="","",TRACKER!$F497)</f>
        <v/>
      </c>
      <c r="P495">
        <f>IF($L495="","",TRACKER!$K497)</f>
        <v/>
      </c>
      <c r="Q495">
        <f>IF($L495="","",TRACKER!$N497)</f>
        <v/>
      </c>
      <c r="R495">
        <f>TRACKER!$Y497</f>
        <v/>
      </c>
      <c r="S495">
        <f>TRACKER!$Z497</f>
        <v/>
      </c>
      <c r="T495">
        <f>TRACKER!$X497</f>
        <v/>
      </c>
    </row>
    <row r="496">
      <c r="G496">
        <f>IF(OR(SETUP!$C$132="",$A$4="",$B$4&lt;&gt;"Equipment"),"","Equipment")</f>
        <v/>
      </c>
      <c r="H496">
        <f>IF($G496="","",SETUP!$C$132)</f>
        <v/>
      </c>
      <c r="I496">
        <f>IF($G496="","",$A$4)</f>
        <v/>
      </c>
      <c r="J496">
        <f>IF($G496="","",IF(COUNTIFS(DOC_TYPE,$I496,DOC_EQP,$H496,DOC_SCOPE,"Equipment",DOC_ACTIVE,1)+COUNTIFS(DOC_TYPE,$I496,DOC_SYS,SETUP!$B$132,DOC_SCOPE,"System",DOC_ACTIVE,1)+COUNTIFS(DOC_TYPE,$I496,DOC_SCOPE,"All",DOC_ACTIVE,1)&gt;0,"",IFERROR(IF($E$4&lt;&gt;"",$E$4-$C$4,SETUP!$D$132-$C$4),60000)+ROW()/1000000))</f>
        <v/>
      </c>
      <c r="L496">
        <f>IF(TRACKER!$A498="","","Document")</f>
        <v/>
      </c>
      <c r="M496">
        <f>IF($L496="","",TRACKER!$E498&amp;"  -  "&amp;TRACKER!$A498)</f>
        <v/>
      </c>
      <c r="N496">
        <f>IF($L496="","",IF(TRACKER!$B498="Equipment",TRACKER!$D498,IF(TRACKER!$B498="System",TRACKER!$C498,"Whole contract")))</f>
        <v/>
      </c>
      <c r="O496">
        <f>IF($L496="","",TRACKER!$F498)</f>
        <v/>
      </c>
      <c r="P496">
        <f>IF($L496="","",TRACKER!$K498)</f>
        <v/>
      </c>
      <c r="Q496">
        <f>IF($L496="","",TRACKER!$N498)</f>
        <v/>
      </c>
      <c r="R496">
        <f>TRACKER!$Y498</f>
        <v/>
      </c>
      <c r="S496">
        <f>TRACKER!$Z498</f>
        <v/>
      </c>
      <c r="T496">
        <f>TRACKER!$X498</f>
        <v/>
      </c>
    </row>
    <row r="497">
      <c r="G497">
        <f>IF(OR(SETUP!$C$132="",$A$5="",$B$5&lt;&gt;"Equipment"),"","Equipment")</f>
        <v/>
      </c>
      <c r="H497">
        <f>IF($G497="","",SETUP!$C$132)</f>
        <v/>
      </c>
      <c r="I497">
        <f>IF($G497="","",$A$5)</f>
        <v/>
      </c>
      <c r="J497">
        <f>IF($G497="","",IF(COUNTIFS(DOC_TYPE,$I497,DOC_EQP,$H497,DOC_SCOPE,"Equipment",DOC_ACTIVE,1)+COUNTIFS(DOC_TYPE,$I497,DOC_SYS,SETUP!$B$132,DOC_SCOPE,"System",DOC_ACTIVE,1)+COUNTIFS(DOC_TYPE,$I497,DOC_SCOPE,"All",DOC_ACTIVE,1)&gt;0,"",IFERROR(IF($E$5&lt;&gt;"",$E$5-$C$5,SETUP!$D$132-$C$5),60000)+ROW()/1000000))</f>
        <v/>
      </c>
      <c r="L497">
        <f>IF(TRACKER!$A499="","","Document")</f>
        <v/>
      </c>
      <c r="M497">
        <f>IF($L497="","",TRACKER!$E499&amp;"  -  "&amp;TRACKER!$A499)</f>
        <v/>
      </c>
      <c r="N497">
        <f>IF($L497="","",IF(TRACKER!$B499="Equipment",TRACKER!$D499,IF(TRACKER!$B499="System",TRACKER!$C499,"Whole contract")))</f>
        <v/>
      </c>
      <c r="O497">
        <f>IF($L497="","",TRACKER!$F499)</f>
        <v/>
      </c>
      <c r="P497">
        <f>IF($L497="","",TRACKER!$K499)</f>
        <v/>
      </c>
      <c r="Q497">
        <f>IF($L497="","",TRACKER!$N499)</f>
        <v/>
      </c>
      <c r="R497">
        <f>TRACKER!$Y499</f>
        <v/>
      </c>
      <c r="S497">
        <f>TRACKER!$Z499</f>
        <v/>
      </c>
      <c r="T497">
        <f>TRACKER!$X499</f>
        <v/>
      </c>
    </row>
    <row r="498">
      <c r="G498">
        <f>IF(OR(SETUP!$C$132="",$A$6="",$B$6&lt;&gt;"Equipment"),"","Equipment")</f>
        <v/>
      </c>
      <c r="H498">
        <f>IF($G498="","",SETUP!$C$132)</f>
        <v/>
      </c>
      <c r="I498">
        <f>IF($G498="","",$A$6)</f>
        <v/>
      </c>
      <c r="J498">
        <f>IF($G498="","",IF(COUNTIFS(DOC_TYPE,$I498,DOC_EQP,$H498,DOC_SCOPE,"Equipment",DOC_ACTIVE,1)+COUNTIFS(DOC_TYPE,$I498,DOC_SYS,SETUP!$B$132,DOC_SCOPE,"System",DOC_ACTIVE,1)+COUNTIFS(DOC_TYPE,$I498,DOC_SCOPE,"All",DOC_ACTIVE,1)&gt;0,"",IFERROR(IF($E$6&lt;&gt;"",$E$6-$C$6,SETUP!$D$132-$C$6),60000)+ROW()/1000000))</f>
        <v/>
      </c>
      <c r="L498">
        <f>IF(TRACKER!$A500="","","Document")</f>
        <v/>
      </c>
      <c r="M498">
        <f>IF($L498="","",TRACKER!$E500&amp;"  -  "&amp;TRACKER!$A500)</f>
        <v/>
      </c>
      <c r="N498">
        <f>IF($L498="","",IF(TRACKER!$B500="Equipment",TRACKER!$D500,IF(TRACKER!$B500="System",TRACKER!$C500,"Whole contract")))</f>
        <v/>
      </c>
      <c r="O498">
        <f>IF($L498="","",TRACKER!$F500)</f>
        <v/>
      </c>
      <c r="P498">
        <f>IF($L498="","",TRACKER!$K500)</f>
        <v/>
      </c>
      <c r="Q498">
        <f>IF($L498="","",TRACKER!$N500)</f>
        <v/>
      </c>
      <c r="R498">
        <f>TRACKER!$Y500</f>
        <v/>
      </c>
      <c r="S498">
        <f>TRACKER!$Z500</f>
        <v/>
      </c>
      <c r="T498">
        <f>TRACKER!$X500</f>
        <v/>
      </c>
    </row>
    <row r="499">
      <c r="G499">
        <f>IF(OR(SETUP!$C$132="",$A$7="",$B$7&lt;&gt;"Equipment"),"","Equipment")</f>
        <v/>
      </c>
      <c r="H499">
        <f>IF($G499="","",SETUP!$C$132)</f>
        <v/>
      </c>
      <c r="I499">
        <f>IF($G499="","",$A$7)</f>
        <v/>
      </c>
      <c r="J499">
        <f>IF($G499="","",IF(COUNTIFS(DOC_TYPE,$I499,DOC_EQP,$H499,DOC_SCOPE,"Equipment",DOC_ACTIVE,1)+COUNTIFS(DOC_TYPE,$I499,DOC_SYS,SETUP!$B$132,DOC_SCOPE,"System",DOC_ACTIVE,1)+COUNTIFS(DOC_TYPE,$I499,DOC_SCOPE,"All",DOC_ACTIVE,1)&gt;0,"",IFERROR(IF($E$7&lt;&gt;"",$E$7-$C$7,SETUP!$D$132-$C$7),60000)+ROW()/1000000))</f>
        <v/>
      </c>
      <c r="L499">
        <f>IF(TRACKER!$A501="","","Document")</f>
        <v/>
      </c>
      <c r="M499">
        <f>IF($L499="","",TRACKER!$E501&amp;"  -  "&amp;TRACKER!$A501)</f>
        <v/>
      </c>
      <c r="N499">
        <f>IF($L499="","",IF(TRACKER!$B501="Equipment",TRACKER!$D501,IF(TRACKER!$B501="System",TRACKER!$C501,"Whole contract")))</f>
        <v/>
      </c>
      <c r="O499">
        <f>IF($L499="","",TRACKER!$F501)</f>
        <v/>
      </c>
      <c r="P499">
        <f>IF($L499="","",TRACKER!$K501)</f>
        <v/>
      </c>
      <c r="Q499">
        <f>IF($L499="","",TRACKER!$N501)</f>
        <v/>
      </c>
      <c r="R499">
        <f>TRACKER!$Y501</f>
        <v/>
      </c>
      <c r="S499">
        <f>TRACKER!$Z501</f>
        <v/>
      </c>
      <c r="T499">
        <f>TRACKER!$X501</f>
        <v/>
      </c>
    </row>
    <row r="500">
      <c r="G500">
        <f>IF(OR(SETUP!$C$132="",$A$8="",$B$8&lt;&gt;"Equipment"),"","Equipment")</f>
        <v/>
      </c>
      <c r="H500">
        <f>IF($G500="","",SETUP!$C$132)</f>
        <v/>
      </c>
      <c r="I500">
        <f>IF($G500="","",$A$8)</f>
        <v/>
      </c>
      <c r="J500">
        <f>IF($G500="","",IF(COUNTIFS(DOC_TYPE,$I500,DOC_EQP,$H500,DOC_SCOPE,"Equipment",DOC_ACTIVE,1)+COUNTIFS(DOC_TYPE,$I500,DOC_SYS,SETUP!$B$132,DOC_SCOPE,"System",DOC_ACTIVE,1)+COUNTIFS(DOC_TYPE,$I500,DOC_SCOPE,"All",DOC_ACTIVE,1)&gt;0,"",IFERROR(IF($E$8&lt;&gt;"",$E$8-$C$8,SETUP!$D$132-$C$8),60000)+ROW()/1000000))</f>
        <v/>
      </c>
      <c r="L500">
        <f>IF(TRACKER!$A502="","","Document")</f>
        <v/>
      </c>
      <c r="M500">
        <f>IF($L500="","",TRACKER!$E502&amp;"  -  "&amp;TRACKER!$A502)</f>
        <v/>
      </c>
      <c r="N500">
        <f>IF($L500="","",IF(TRACKER!$B502="Equipment",TRACKER!$D502,IF(TRACKER!$B502="System",TRACKER!$C502,"Whole contract")))</f>
        <v/>
      </c>
      <c r="O500">
        <f>IF($L500="","",TRACKER!$F502)</f>
        <v/>
      </c>
      <c r="P500">
        <f>IF($L500="","",TRACKER!$K502)</f>
        <v/>
      </c>
      <c r="Q500">
        <f>IF($L500="","",TRACKER!$N502)</f>
        <v/>
      </c>
      <c r="R500">
        <f>TRACKER!$Y502</f>
        <v/>
      </c>
      <c r="S500">
        <f>TRACKER!$Z502</f>
        <v/>
      </c>
      <c r="T500">
        <f>TRACKER!$X502</f>
        <v/>
      </c>
    </row>
    <row r="501">
      <c r="G501">
        <f>IF(OR(SETUP!$C$132="",$A$9="",$B$9&lt;&gt;"Equipment"),"","Equipment")</f>
        <v/>
      </c>
      <c r="H501">
        <f>IF($G501="","",SETUP!$C$132)</f>
        <v/>
      </c>
      <c r="I501">
        <f>IF($G501="","",$A$9)</f>
        <v/>
      </c>
      <c r="J501">
        <f>IF($G501="","",IF(COUNTIFS(DOC_TYPE,$I501,DOC_EQP,$H501,DOC_SCOPE,"Equipment",DOC_ACTIVE,1)+COUNTIFS(DOC_TYPE,$I501,DOC_SYS,SETUP!$B$132,DOC_SCOPE,"System",DOC_ACTIVE,1)+COUNTIFS(DOC_TYPE,$I501,DOC_SCOPE,"All",DOC_ACTIVE,1)&gt;0,"",IFERROR(IF($E$9&lt;&gt;"",$E$9-$C$9,SETUP!$D$132-$C$9),60000)+ROW()/1000000))</f>
        <v/>
      </c>
      <c r="L501">
        <f>IF(TRACKER!$A503="","","Document")</f>
        <v/>
      </c>
      <c r="M501">
        <f>IF($L501="","",TRACKER!$E503&amp;"  -  "&amp;TRACKER!$A503)</f>
        <v/>
      </c>
      <c r="N501">
        <f>IF($L501="","",IF(TRACKER!$B503="Equipment",TRACKER!$D503,IF(TRACKER!$B503="System",TRACKER!$C503,"Whole contract")))</f>
        <v/>
      </c>
      <c r="O501">
        <f>IF($L501="","",TRACKER!$F503)</f>
        <v/>
      </c>
      <c r="P501">
        <f>IF($L501="","",TRACKER!$K503)</f>
        <v/>
      </c>
      <c r="Q501">
        <f>IF($L501="","",TRACKER!$N503)</f>
        <v/>
      </c>
      <c r="R501">
        <f>TRACKER!$Y503</f>
        <v/>
      </c>
      <c r="S501">
        <f>TRACKER!$Z503</f>
        <v/>
      </c>
      <c r="T501">
        <f>TRACKER!$X503</f>
        <v/>
      </c>
    </row>
    <row r="502">
      <c r="G502">
        <f>IF(OR(SETUP!$C$132="",$A$10="",$B$10&lt;&gt;"Equipment"),"","Equipment")</f>
        <v/>
      </c>
      <c r="H502">
        <f>IF($G502="","",SETUP!$C$132)</f>
        <v/>
      </c>
      <c r="I502">
        <f>IF($G502="","",$A$10)</f>
        <v/>
      </c>
      <c r="J502">
        <f>IF($G502="","",IF(COUNTIFS(DOC_TYPE,$I502,DOC_EQP,$H502,DOC_SCOPE,"Equipment",DOC_ACTIVE,1)+COUNTIFS(DOC_TYPE,$I502,DOC_SYS,SETUP!$B$132,DOC_SCOPE,"System",DOC_ACTIVE,1)+COUNTIFS(DOC_TYPE,$I502,DOC_SCOPE,"All",DOC_ACTIVE,1)&gt;0,"",IFERROR(IF($E$10&lt;&gt;"",$E$10-$C$10,SETUP!$D$132-$C$10),60000)+ROW()/1000000))</f>
        <v/>
      </c>
      <c r="L502">
        <f>IF(ACTIONS!$A4="","","Action")</f>
        <v/>
      </c>
      <c r="M502">
        <f>IF($L502="","",ACTIONS!$A4&amp;"  -  "&amp;LEFT(ACTIONS!$B4,60))</f>
        <v/>
      </c>
      <c r="N502">
        <f>IF($L502="","",IF(ACTIONS!$E4&lt;&gt;"",ACTIONS!$E4,IF(ACTIONS!$D4&lt;&gt;"",ACTIONS!$D4,"-")))</f>
        <v/>
      </c>
      <c r="O502">
        <f>IF($L502="","",ACTIONS!$G4)</f>
        <v/>
      </c>
      <c r="P502">
        <f>IF($L502="","",ACTIONS!$I4)</f>
        <v/>
      </c>
      <c r="Q502">
        <f>IF($L502="","",ACTIONS!$L4)</f>
        <v/>
      </c>
      <c r="R502">
        <f>ACTIONS!$Q4</f>
        <v/>
      </c>
      <c r="S502">
        <f>ACTIONS!$R4</f>
        <v/>
      </c>
      <c r="T502">
        <f>ACTIONS!$P4</f>
        <v/>
      </c>
    </row>
    <row r="503">
      <c r="G503">
        <f>IF(OR(SETUP!$C$132="",$A$11="",$B$11&lt;&gt;"Equipment"),"","Equipment")</f>
        <v/>
      </c>
      <c r="H503">
        <f>IF($G503="","",SETUP!$C$132)</f>
        <v/>
      </c>
      <c r="I503">
        <f>IF($G503="","",$A$11)</f>
        <v/>
      </c>
      <c r="J503">
        <f>IF($G503="","",IF(COUNTIFS(DOC_TYPE,$I503,DOC_EQP,$H503,DOC_SCOPE,"Equipment",DOC_ACTIVE,1)+COUNTIFS(DOC_TYPE,$I503,DOC_SYS,SETUP!$B$132,DOC_SCOPE,"System",DOC_ACTIVE,1)+COUNTIFS(DOC_TYPE,$I503,DOC_SCOPE,"All",DOC_ACTIVE,1)&gt;0,"",IFERROR(IF($E$11&lt;&gt;"",$E$11-$C$11,SETUP!$D$132-$C$11),60000)+ROW()/1000000))</f>
        <v/>
      </c>
      <c r="L503">
        <f>IF(ACTIONS!$A5="","","Action")</f>
        <v/>
      </c>
      <c r="M503">
        <f>IF($L503="","",ACTIONS!$A5&amp;"  -  "&amp;LEFT(ACTIONS!$B5,60))</f>
        <v/>
      </c>
      <c r="N503">
        <f>IF($L503="","",IF(ACTIONS!$E5&lt;&gt;"",ACTIONS!$E5,IF(ACTIONS!$D5&lt;&gt;"",ACTIONS!$D5,"-")))</f>
        <v/>
      </c>
      <c r="O503">
        <f>IF($L503="","",ACTIONS!$G5)</f>
        <v/>
      </c>
      <c r="P503">
        <f>IF($L503="","",ACTIONS!$I5)</f>
        <v/>
      </c>
      <c r="Q503">
        <f>IF($L503="","",ACTIONS!$L5)</f>
        <v/>
      </c>
      <c r="R503">
        <f>ACTIONS!$Q5</f>
        <v/>
      </c>
      <c r="S503">
        <f>ACTIONS!$R5</f>
        <v/>
      </c>
      <c r="T503">
        <f>ACTIONS!$P5</f>
        <v/>
      </c>
    </row>
    <row r="504">
      <c r="G504">
        <f>IF(OR(SETUP!$C$132="",$A$12="",$B$12&lt;&gt;"Equipment"),"","Equipment")</f>
        <v/>
      </c>
      <c r="H504">
        <f>IF($G504="","",SETUP!$C$132)</f>
        <v/>
      </c>
      <c r="I504">
        <f>IF($G504="","",$A$12)</f>
        <v/>
      </c>
      <c r="J504">
        <f>IF($G504="","",IF(COUNTIFS(DOC_TYPE,$I504,DOC_EQP,$H504,DOC_SCOPE,"Equipment",DOC_ACTIVE,1)+COUNTIFS(DOC_TYPE,$I504,DOC_SYS,SETUP!$B$132,DOC_SCOPE,"System",DOC_ACTIVE,1)+COUNTIFS(DOC_TYPE,$I504,DOC_SCOPE,"All",DOC_ACTIVE,1)&gt;0,"",IFERROR(IF($E$12&lt;&gt;"",$E$12-$C$12,SETUP!$D$132-$C$12),60000)+ROW()/1000000))</f>
        <v/>
      </c>
      <c r="L504">
        <f>IF(ACTIONS!$A6="","","Action")</f>
        <v/>
      </c>
      <c r="M504">
        <f>IF($L504="","",ACTIONS!$A6&amp;"  -  "&amp;LEFT(ACTIONS!$B6,60))</f>
        <v/>
      </c>
      <c r="N504">
        <f>IF($L504="","",IF(ACTIONS!$E6&lt;&gt;"",ACTIONS!$E6,IF(ACTIONS!$D6&lt;&gt;"",ACTIONS!$D6,"-")))</f>
        <v/>
      </c>
      <c r="O504">
        <f>IF($L504="","",ACTIONS!$G6)</f>
        <v/>
      </c>
      <c r="P504">
        <f>IF($L504="","",ACTIONS!$I6)</f>
        <v/>
      </c>
      <c r="Q504">
        <f>IF($L504="","",ACTIONS!$L6)</f>
        <v/>
      </c>
      <c r="R504">
        <f>ACTIONS!$Q6</f>
        <v/>
      </c>
      <c r="S504">
        <f>ACTIONS!$R6</f>
        <v/>
      </c>
      <c r="T504">
        <f>ACTIONS!$P6</f>
        <v/>
      </c>
    </row>
    <row r="505">
      <c r="G505">
        <f>IF(OR(SETUP!$C$132="",$A$13="",$B$13&lt;&gt;"Equipment"),"","Equipment")</f>
        <v/>
      </c>
      <c r="H505">
        <f>IF($G505="","",SETUP!$C$132)</f>
        <v/>
      </c>
      <c r="I505">
        <f>IF($G505="","",$A$13)</f>
        <v/>
      </c>
      <c r="J505">
        <f>IF($G505="","",IF(COUNTIFS(DOC_TYPE,$I505,DOC_EQP,$H505,DOC_SCOPE,"Equipment",DOC_ACTIVE,1)+COUNTIFS(DOC_TYPE,$I505,DOC_SYS,SETUP!$B$132,DOC_SCOPE,"System",DOC_ACTIVE,1)+COUNTIFS(DOC_TYPE,$I505,DOC_SCOPE,"All",DOC_ACTIVE,1)&gt;0,"",IFERROR(IF($E$13&lt;&gt;"",$E$13-$C$13,SETUP!$D$132-$C$13),60000)+ROW()/1000000))</f>
        <v/>
      </c>
      <c r="L505">
        <f>IF(ACTIONS!$A7="","","Action")</f>
        <v/>
      </c>
      <c r="M505">
        <f>IF($L505="","",ACTIONS!$A7&amp;"  -  "&amp;LEFT(ACTIONS!$B7,60))</f>
        <v/>
      </c>
      <c r="N505">
        <f>IF($L505="","",IF(ACTIONS!$E7&lt;&gt;"",ACTIONS!$E7,IF(ACTIONS!$D7&lt;&gt;"",ACTIONS!$D7,"-")))</f>
        <v/>
      </c>
      <c r="O505">
        <f>IF($L505="","",ACTIONS!$G7)</f>
        <v/>
      </c>
      <c r="P505">
        <f>IF($L505="","",ACTIONS!$I7)</f>
        <v/>
      </c>
      <c r="Q505">
        <f>IF($L505="","",ACTIONS!$L7)</f>
        <v/>
      </c>
      <c r="R505">
        <f>ACTIONS!$Q7</f>
        <v/>
      </c>
      <c r="S505">
        <f>ACTIONS!$R7</f>
        <v/>
      </c>
      <c r="T505">
        <f>ACTIONS!$P7</f>
        <v/>
      </c>
    </row>
    <row r="506">
      <c r="G506">
        <f>IF(OR(SETUP!$C$133="",$A$2="",$B$2&lt;&gt;"Equipment"),"","Equipment")</f>
        <v/>
      </c>
      <c r="H506">
        <f>IF($G506="","",SETUP!$C$133)</f>
        <v/>
      </c>
      <c r="I506">
        <f>IF($G506="","",$A$2)</f>
        <v/>
      </c>
      <c r="J506">
        <f>IF($G506="","",IF(COUNTIFS(DOC_TYPE,$I506,DOC_EQP,$H506,DOC_SCOPE,"Equipment",DOC_ACTIVE,1)+COUNTIFS(DOC_TYPE,$I506,DOC_SYS,SETUP!$B$133,DOC_SCOPE,"System",DOC_ACTIVE,1)+COUNTIFS(DOC_TYPE,$I506,DOC_SCOPE,"All",DOC_ACTIVE,1)&gt;0,"",IFERROR(IF($E$2&lt;&gt;"",$E$2-$C$2,SETUP!$D$133-$C$2),60000)+ROW()/1000000))</f>
        <v/>
      </c>
      <c r="L506">
        <f>IF(ACTIONS!$A8="","","Action")</f>
        <v/>
      </c>
      <c r="M506">
        <f>IF($L506="","",ACTIONS!$A8&amp;"  -  "&amp;LEFT(ACTIONS!$B8,60))</f>
        <v/>
      </c>
      <c r="N506">
        <f>IF($L506="","",IF(ACTIONS!$E8&lt;&gt;"",ACTIONS!$E8,IF(ACTIONS!$D8&lt;&gt;"",ACTIONS!$D8,"-")))</f>
        <v/>
      </c>
      <c r="O506">
        <f>IF($L506="","",ACTIONS!$G8)</f>
        <v/>
      </c>
      <c r="P506">
        <f>IF($L506="","",ACTIONS!$I8)</f>
        <v/>
      </c>
      <c r="Q506">
        <f>IF($L506="","",ACTIONS!$L8)</f>
        <v/>
      </c>
      <c r="R506">
        <f>ACTIONS!$Q8</f>
        <v/>
      </c>
      <c r="S506">
        <f>ACTIONS!$R8</f>
        <v/>
      </c>
      <c r="T506">
        <f>ACTIONS!$P8</f>
        <v/>
      </c>
    </row>
    <row r="507">
      <c r="G507">
        <f>IF(OR(SETUP!$C$133="",$A$3="",$B$3&lt;&gt;"Equipment"),"","Equipment")</f>
        <v/>
      </c>
      <c r="H507">
        <f>IF($G507="","",SETUP!$C$133)</f>
        <v/>
      </c>
      <c r="I507">
        <f>IF($G507="","",$A$3)</f>
        <v/>
      </c>
      <c r="J507">
        <f>IF($G507="","",IF(COUNTIFS(DOC_TYPE,$I507,DOC_EQP,$H507,DOC_SCOPE,"Equipment",DOC_ACTIVE,1)+COUNTIFS(DOC_TYPE,$I507,DOC_SYS,SETUP!$B$133,DOC_SCOPE,"System",DOC_ACTIVE,1)+COUNTIFS(DOC_TYPE,$I507,DOC_SCOPE,"All",DOC_ACTIVE,1)&gt;0,"",IFERROR(IF($E$3&lt;&gt;"",$E$3-$C$3,SETUP!$D$133-$C$3),60000)+ROW()/1000000))</f>
        <v/>
      </c>
      <c r="L507">
        <f>IF(ACTIONS!$A9="","","Action")</f>
        <v/>
      </c>
      <c r="M507">
        <f>IF($L507="","",ACTIONS!$A9&amp;"  -  "&amp;LEFT(ACTIONS!$B9,60))</f>
        <v/>
      </c>
      <c r="N507">
        <f>IF($L507="","",IF(ACTIONS!$E9&lt;&gt;"",ACTIONS!$E9,IF(ACTIONS!$D9&lt;&gt;"",ACTIONS!$D9,"-")))</f>
        <v/>
      </c>
      <c r="O507">
        <f>IF($L507="","",ACTIONS!$G9)</f>
        <v/>
      </c>
      <c r="P507">
        <f>IF($L507="","",ACTIONS!$I9)</f>
        <v/>
      </c>
      <c r="Q507">
        <f>IF($L507="","",ACTIONS!$L9)</f>
        <v/>
      </c>
      <c r="R507">
        <f>ACTIONS!$Q9</f>
        <v/>
      </c>
      <c r="S507">
        <f>ACTIONS!$R9</f>
        <v/>
      </c>
      <c r="T507">
        <f>ACTIONS!$P9</f>
        <v/>
      </c>
    </row>
    <row r="508">
      <c r="G508">
        <f>IF(OR(SETUP!$C$133="",$A$4="",$B$4&lt;&gt;"Equipment"),"","Equipment")</f>
        <v/>
      </c>
      <c r="H508">
        <f>IF($G508="","",SETUP!$C$133)</f>
        <v/>
      </c>
      <c r="I508">
        <f>IF($G508="","",$A$4)</f>
        <v/>
      </c>
      <c r="J508">
        <f>IF($G508="","",IF(COUNTIFS(DOC_TYPE,$I508,DOC_EQP,$H508,DOC_SCOPE,"Equipment",DOC_ACTIVE,1)+COUNTIFS(DOC_TYPE,$I508,DOC_SYS,SETUP!$B$133,DOC_SCOPE,"System",DOC_ACTIVE,1)+COUNTIFS(DOC_TYPE,$I508,DOC_SCOPE,"All",DOC_ACTIVE,1)&gt;0,"",IFERROR(IF($E$4&lt;&gt;"",$E$4-$C$4,SETUP!$D$133-$C$4),60000)+ROW()/1000000))</f>
        <v/>
      </c>
      <c r="L508">
        <f>IF(ACTIONS!$A10="","","Action")</f>
        <v/>
      </c>
      <c r="M508">
        <f>IF($L508="","",ACTIONS!$A10&amp;"  -  "&amp;LEFT(ACTIONS!$B10,60))</f>
        <v/>
      </c>
      <c r="N508">
        <f>IF($L508="","",IF(ACTIONS!$E10&lt;&gt;"",ACTIONS!$E10,IF(ACTIONS!$D10&lt;&gt;"",ACTIONS!$D10,"-")))</f>
        <v/>
      </c>
      <c r="O508">
        <f>IF($L508="","",ACTIONS!$G10)</f>
        <v/>
      </c>
      <c r="P508">
        <f>IF($L508="","",ACTIONS!$I10)</f>
        <v/>
      </c>
      <c r="Q508">
        <f>IF($L508="","",ACTIONS!$L10)</f>
        <v/>
      </c>
      <c r="R508">
        <f>ACTIONS!$Q10</f>
        <v/>
      </c>
      <c r="S508">
        <f>ACTIONS!$R10</f>
        <v/>
      </c>
      <c r="T508">
        <f>ACTIONS!$P10</f>
        <v/>
      </c>
    </row>
    <row r="509">
      <c r="G509">
        <f>IF(OR(SETUP!$C$133="",$A$5="",$B$5&lt;&gt;"Equipment"),"","Equipment")</f>
        <v/>
      </c>
      <c r="H509">
        <f>IF($G509="","",SETUP!$C$133)</f>
        <v/>
      </c>
      <c r="I509">
        <f>IF($G509="","",$A$5)</f>
        <v/>
      </c>
      <c r="J509">
        <f>IF($G509="","",IF(COUNTIFS(DOC_TYPE,$I509,DOC_EQP,$H509,DOC_SCOPE,"Equipment",DOC_ACTIVE,1)+COUNTIFS(DOC_TYPE,$I509,DOC_SYS,SETUP!$B$133,DOC_SCOPE,"System",DOC_ACTIVE,1)+COUNTIFS(DOC_TYPE,$I509,DOC_SCOPE,"All",DOC_ACTIVE,1)&gt;0,"",IFERROR(IF($E$5&lt;&gt;"",$E$5-$C$5,SETUP!$D$133-$C$5),60000)+ROW()/1000000))</f>
        <v/>
      </c>
      <c r="L509">
        <f>IF(ACTIONS!$A11="","","Action")</f>
        <v/>
      </c>
      <c r="M509">
        <f>IF($L509="","",ACTIONS!$A11&amp;"  -  "&amp;LEFT(ACTIONS!$B11,60))</f>
        <v/>
      </c>
      <c r="N509">
        <f>IF($L509="","",IF(ACTIONS!$E11&lt;&gt;"",ACTIONS!$E11,IF(ACTIONS!$D11&lt;&gt;"",ACTIONS!$D11,"-")))</f>
        <v/>
      </c>
      <c r="O509">
        <f>IF($L509="","",ACTIONS!$G11)</f>
        <v/>
      </c>
      <c r="P509">
        <f>IF($L509="","",ACTIONS!$I11)</f>
        <v/>
      </c>
      <c r="Q509">
        <f>IF($L509="","",ACTIONS!$L11)</f>
        <v/>
      </c>
      <c r="R509">
        <f>ACTIONS!$Q11</f>
        <v/>
      </c>
      <c r="S509">
        <f>ACTIONS!$R11</f>
        <v/>
      </c>
      <c r="T509">
        <f>ACTIONS!$P11</f>
        <v/>
      </c>
    </row>
    <row r="510">
      <c r="G510">
        <f>IF(OR(SETUP!$C$133="",$A$6="",$B$6&lt;&gt;"Equipment"),"","Equipment")</f>
        <v/>
      </c>
      <c r="H510">
        <f>IF($G510="","",SETUP!$C$133)</f>
        <v/>
      </c>
      <c r="I510">
        <f>IF($G510="","",$A$6)</f>
        <v/>
      </c>
      <c r="J510">
        <f>IF($G510="","",IF(COUNTIFS(DOC_TYPE,$I510,DOC_EQP,$H510,DOC_SCOPE,"Equipment",DOC_ACTIVE,1)+COUNTIFS(DOC_TYPE,$I510,DOC_SYS,SETUP!$B$133,DOC_SCOPE,"System",DOC_ACTIVE,1)+COUNTIFS(DOC_TYPE,$I510,DOC_SCOPE,"All",DOC_ACTIVE,1)&gt;0,"",IFERROR(IF($E$6&lt;&gt;"",$E$6-$C$6,SETUP!$D$133-$C$6),60000)+ROW()/1000000))</f>
        <v/>
      </c>
      <c r="L510">
        <f>IF(ACTIONS!$A12="","","Action")</f>
        <v/>
      </c>
      <c r="M510">
        <f>IF($L510="","",ACTIONS!$A12&amp;"  -  "&amp;LEFT(ACTIONS!$B12,60))</f>
        <v/>
      </c>
      <c r="N510">
        <f>IF($L510="","",IF(ACTIONS!$E12&lt;&gt;"",ACTIONS!$E12,IF(ACTIONS!$D12&lt;&gt;"",ACTIONS!$D12,"-")))</f>
        <v/>
      </c>
      <c r="O510">
        <f>IF($L510="","",ACTIONS!$G12)</f>
        <v/>
      </c>
      <c r="P510">
        <f>IF($L510="","",ACTIONS!$I12)</f>
        <v/>
      </c>
      <c r="Q510">
        <f>IF($L510="","",ACTIONS!$L12)</f>
        <v/>
      </c>
      <c r="R510">
        <f>ACTIONS!$Q12</f>
        <v/>
      </c>
      <c r="S510">
        <f>ACTIONS!$R12</f>
        <v/>
      </c>
      <c r="T510">
        <f>ACTIONS!$P12</f>
        <v/>
      </c>
    </row>
    <row r="511">
      <c r="G511">
        <f>IF(OR(SETUP!$C$133="",$A$7="",$B$7&lt;&gt;"Equipment"),"","Equipment")</f>
        <v/>
      </c>
      <c r="H511">
        <f>IF($G511="","",SETUP!$C$133)</f>
        <v/>
      </c>
      <c r="I511">
        <f>IF($G511="","",$A$7)</f>
        <v/>
      </c>
      <c r="J511">
        <f>IF($G511="","",IF(COUNTIFS(DOC_TYPE,$I511,DOC_EQP,$H511,DOC_SCOPE,"Equipment",DOC_ACTIVE,1)+COUNTIFS(DOC_TYPE,$I511,DOC_SYS,SETUP!$B$133,DOC_SCOPE,"System",DOC_ACTIVE,1)+COUNTIFS(DOC_TYPE,$I511,DOC_SCOPE,"All",DOC_ACTIVE,1)&gt;0,"",IFERROR(IF($E$7&lt;&gt;"",$E$7-$C$7,SETUP!$D$133-$C$7),60000)+ROW()/1000000))</f>
        <v/>
      </c>
      <c r="L511">
        <f>IF(ACTIONS!$A13="","","Action")</f>
        <v/>
      </c>
      <c r="M511">
        <f>IF($L511="","",ACTIONS!$A13&amp;"  -  "&amp;LEFT(ACTIONS!$B13,60))</f>
        <v/>
      </c>
      <c r="N511">
        <f>IF($L511="","",IF(ACTIONS!$E13&lt;&gt;"",ACTIONS!$E13,IF(ACTIONS!$D13&lt;&gt;"",ACTIONS!$D13,"-")))</f>
        <v/>
      </c>
      <c r="O511">
        <f>IF($L511="","",ACTIONS!$G13)</f>
        <v/>
      </c>
      <c r="P511">
        <f>IF($L511="","",ACTIONS!$I13)</f>
        <v/>
      </c>
      <c r="Q511">
        <f>IF($L511="","",ACTIONS!$L13)</f>
        <v/>
      </c>
      <c r="R511">
        <f>ACTIONS!$Q13</f>
        <v/>
      </c>
      <c r="S511">
        <f>ACTIONS!$R13</f>
        <v/>
      </c>
      <c r="T511">
        <f>ACTIONS!$P13</f>
        <v/>
      </c>
    </row>
    <row r="512">
      <c r="G512">
        <f>IF(OR(SETUP!$C$133="",$A$8="",$B$8&lt;&gt;"Equipment"),"","Equipment")</f>
        <v/>
      </c>
      <c r="H512">
        <f>IF($G512="","",SETUP!$C$133)</f>
        <v/>
      </c>
      <c r="I512">
        <f>IF($G512="","",$A$8)</f>
        <v/>
      </c>
      <c r="J512">
        <f>IF($G512="","",IF(COUNTIFS(DOC_TYPE,$I512,DOC_EQP,$H512,DOC_SCOPE,"Equipment",DOC_ACTIVE,1)+COUNTIFS(DOC_TYPE,$I512,DOC_SYS,SETUP!$B$133,DOC_SCOPE,"System",DOC_ACTIVE,1)+COUNTIFS(DOC_TYPE,$I512,DOC_SCOPE,"All",DOC_ACTIVE,1)&gt;0,"",IFERROR(IF($E$8&lt;&gt;"",$E$8-$C$8,SETUP!$D$133-$C$8),60000)+ROW()/1000000))</f>
        <v/>
      </c>
      <c r="L512">
        <f>IF(ACTIONS!$A14="","","Action")</f>
        <v/>
      </c>
      <c r="M512">
        <f>IF($L512="","",ACTIONS!$A14&amp;"  -  "&amp;LEFT(ACTIONS!$B14,60))</f>
        <v/>
      </c>
      <c r="N512">
        <f>IF($L512="","",IF(ACTIONS!$E14&lt;&gt;"",ACTIONS!$E14,IF(ACTIONS!$D14&lt;&gt;"",ACTIONS!$D14,"-")))</f>
        <v/>
      </c>
      <c r="O512">
        <f>IF($L512="","",ACTIONS!$G14)</f>
        <v/>
      </c>
      <c r="P512">
        <f>IF($L512="","",ACTIONS!$I14)</f>
        <v/>
      </c>
      <c r="Q512">
        <f>IF($L512="","",ACTIONS!$L14)</f>
        <v/>
      </c>
      <c r="R512">
        <f>ACTIONS!$Q14</f>
        <v/>
      </c>
      <c r="S512">
        <f>ACTIONS!$R14</f>
        <v/>
      </c>
      <c r="T512">
        <f>ACTIONS!$P14</f>
        <v/>
      </c>
    </row>
    <row r="513">
      <c r="G513">
        <f>IF(OR(SETUP!$C$133="",$A$9="",$B$9&lt;&gt;"Equipment"),"","Equipment")</f>
        <v/>
      </c>
      <c r="H513">
        <f>IF($G513="","",SETUP!$C$133)</f>
        <v/>
      </c>
      <c r="I513">
        <f>IF($G513="","",$A$9)</f>
        <v/>
      </c>
      <c r="J513">
        <f>IF($G513="","",IF(COUNTIFS(DOC_TYPE,$I513,DOC_EQP,$H513,DOC_SCOPE,"Equipment",DOC_ACTIVE,1)+COUNTIFS(DOC_TYPE,$I513,DOC_SYS,SETUP!$B$133,DOC_SCOPE,"System",DOC_ACTIVE,1)+COUNTIFS(DOC_TYPE,$I513,DOC_SCOPE,"All",DOC_ACTIVE,1)&gt;0,"",IFERROR(IF($E$9&lt;&gt;"",$E$9-$C$9,SETUP!$D$133-$C$9),60000)+ROW()/1000000))</f>
        <v/>
      </c>
      <c r="L513">
        <f>IF(ACTIONS!$A15="","","Action")</f>
        <v/>
      </c>
      <c r="M513">
        <f>IF($L513="","",ACTIONS!$A15&amp;"  -  "&amp;LEFT(ACTIONS!$B15,60))</f>
        <v/>
      </c>
      <c r="N513">
        <f>IF($L513="","",IF(ACTIONS!$E15&lt;&gt;"",ACTIONS!$E15,IF(ACTIONS!$D15&lt;&gt;"",ACTIONS!$D15,"-")))</f>
        <v/>
      </c>
      <c r="O513">
        <f>IF($L513="","",ACTIONS!$G15)</f>
        <v/>
      </c>
      <c r="P513">
        <f>IF($L513="","",ACTIONS!$I15)</f>
        <v/>
      </c>
      <c r="Q513">
        <f>IF($L513="","",ACTIONS!$L15)</f>
        <v/>
      </c>
      <c r="R513">
        <f>ACTIONS!$Q15</f>
        <v/>
      </c>
      <c r="S513">
        <f>ACTIONS!$R15</f>
        <v/>
      </c>
      <c r="T513">
        <f>ACTIONS!$P15</f>
        <v/>
      </c>
    </row>
    <row r="514">
      <c r="G514">
        <f>IF(OR(SETUP!$C$133="",$A$10="",$B$10&lt;&gt;"Equipment"),"","Equipment")</f>
        <v/>
      </c>
      <c r="H514">
        <f>IF($G514="","",SETUP!$C$133)</f>
        <v/>
      </c>
      <c r="I514">
        <f>IF($G514="","",$A$10)</f>
        <v/>
      </c>
      <c r="J514">
        <f>IF($G514="","",IF(COUNTIFS(DOC_TYPE,$I514,DOC_EQP,$H514,DOC_SCOPE,"Equipment",DOC_ACTIVE,1)+COUNTIFS(DOC_TYPE,$I514,DOC_SYS,SETUP!$B$133,DOC_SCOPE,"System",DOC_ACTIVE,1)+COUNTIFS(DOC_TYPE,$I514,DOC_SCOPE,"All",DOC_ACTIVE,1)&gt;0,"",IFERROR(IF($E$10&lt;&gt;"",$E$10-$C$10,SETUP!$D$133-$C$10),60000)+ROW()/1000000))</f>
        <v/>
      </c>
      <c r="L514">
        <f>IF(ACTIONS!$A16="","","Action")</f>
        <v/>
      </c>
      <c r="M514">
        <f>IF($L514="","",ACTIONS!$A16&amp;"  -  "&amp;LEFT(ACTIONS!$B16,60))</f>
        <v/>
      </c>
      <c r="N514">
        <f>IF($L514="","",IF(ACTIONS!$E16&lt;&gt;"",ACTIONS!$E16,IF(ACTIONS!$D16&lt;&gt;"",ACTIONS!$D16,"-")))</f>
        <v/>
      </c>
      <c r="O514">
        <f>IF($L514="","",ACTIONS!$G16)</f>
        <v/>
      </c>
      <c r="P514">
        <f>IF($L514="","",ACTIONS!$I16)</f>
        <v/>
      </c>
      <c r="Q514">
        <f>IF($L514="","",ACTIONS!$L16)</f>
        <v/>
      </c>
      <c r="R514">
        <f>ACTIONS!$Q16</f>
        <v/>
      </c>
      <c r="S514">
        <f>ACTIONS!$R16</f>
        <v/>
      </c>
      <c r="T514">
        <f>ACTIONS!$P16</f>
        <v/>
      </c>
    </row>
    <row r="515">
      <c r="G515">
        <f>IF(OR(SETUP!$C$133="",$A$11="",$B$11&lt;&gt;"Equipment"),"","Equipment")</f>
        <v/>
      </c>
      <c r="H515">
        <f>IF($G515="","",SETUP!$C$133)</f>
        <v/>
      </c>
      <c r="I515">
        <f>IF($G515="","",$A$11)</f>
        <v/>
      </c>
      <c r="J515">
        <f>IF($G515="","",IF(COUNTIFS(DOC_TYPE,$I515,DOC_EQP,$H515,DOC_SCOPE,"Equipment",DOC_ACTIVE,1)+COUNTIFS(DOC_TYPE,$I515,DOC_SYS,SETUP!$B$133,DOC_SCOPE,"System",DOC_ACTIVE,1)+COUNTIFS(DOC_TYPE,$I515,DOC_SCOPE,"All",DOC_ACTIVE,1)&gt;0,"",IFERROR(IF($E$11&lt;&gt;"",$E$11-$C$11,SETUP!$D$133-$C$11),60000)+ROW()/1000000))</f>
        <v/>
      </c>
      <c r="L515">
        <f>IF(ACTIONS!$A17="","","Action")</f>
        <v/>
      </c>
      <c r="M515">
        <f>IF($L515="","",ACTIONS!$A17&amp;"  -  "&amp;LEFT(ACTIONS!$B17,60))</f>
        <v/>
      </c>
      <c r="N515">
        <f>IF($L515="","",IF(ACTIONS!$E17&lt;&gt;"",ACTIONS!$E17,IF(ACTIONS!$D17&lt;&gt;"",ACTIONS!$D17,"-")))</f>
        <v/>
      </c>
      <c r="O515">
        <f>IF($L515="","",ACTIONS!$G17)</f>
        <v/>
      </c>
      <c r="P515">
        <f>IF($L515="","",ACTIONS!$I17)</f>
        <v/>
      </c>
      <c r="Q515">
        <f>IF($L515="","",ACTIONS!$L17)</f>
        <v/>
      </c>
      <c r="R515">
        <f>ACTIONS!$Q17</f>
        <v/>
      </c>
      <c r="S515">
        <f>ACTIONS!$R17</f>
        <v/>
      </c>
      <c r="T515">
        <f>ACTIONS!$P17</f>
        <v/>
      </c>
    </row>
    <row r="516">
      <c r="G516">
        <f>IF(OR(SETUP!$C$133="",$A$12="",$B$12&lt;&gt;"Equipment"),"","Equipment")</f>
        <v/>
      </c>
      <c r="H516">
        <f>IF($G516="","",SETUP!$C$133)</f>
        <v/>
      </c>
      <c r="I516">
        <f>IF($G516="","",$A$12)</f>
        <v/>
      </c>
      <c r="J516">
        <f>IF($G516="","",IF(COUNTIFS(DOC_TYPE,$I516,DOC_EQP,$H516,DOC_SCOPE,"Equipment",DOC_ACTIVE,1)+COUNTIFS(DOC_TYPE,$I516,DOC_SYS,SETUP!$B$133,DOC_SCOPE,"System",DOC_ACTIVE,1)+COUNTIFS(DOC_TYPE,$I516,DOC_SCOPE,"All",DOC_ACTIVE,1)&gt;0,"",IFERROR(IF($E$12&lt;&gt;"",$E$12-$C$12,SETUP!$D$133-$C$12),60000)+ROW()/1000000))</f>
        <v/>
      </c>
      <c r="L516">
        <f>IF(ACTIONS!$A18="","","Action")</f>
        <v/>
      </c>
      <c r="M516">
        <f>IF($L516="","",ACTIONS!$A18&amp;"  -  "&amp;LEFT(ACTIONS!$B18,60))</f>
        <v/>
      </c>
      <c r="N516">
        <f>IF($L516="","",IF(ACTIONS!$E18&lt;&gt;"",ACTIONS!$E18,IF(ACTIONS!$D18&lt;&gt;"",ACTIONS!$D18,"-")))</f>
        <v/>
      </c>
      <c r="O516">
        <f>IF($L516="","",ACTIONS!$G18)</f>
        <v/>
      </c>
      <c r="P516">
        <f>IF($L516="","",ACTIONS!$I18)</f>
        <v/>
      </c>
      <c r="Q516">
        <f>IF($L516="","",ACTIONS!$L18)</f>
        <v/>
      </c>
      <c r="R516">
        <f>ACTIONS!$Q18</f>
        <v/>
      </c>
      <c r="S516">
        <f>ACTIONS!$R18</f>
        <v/>
      </c>
      <c r="T516">
        <f>ACTIONS!$P18</f>
        <v/>
      </c>
    </row>
    <row r="517">
      <c r="G517">
        <f>IF(OR(SETUP!$C$133="",$A$13="",$B$13&lt;&gt;"Equipment"),"","Equipment")</f>
        <v/>
      </c>
      <c r="H517">
        <f>IF($G517="","",SETUP!$C$133)</f>
        <v/>
      </c>
      <c r="I517">
        <f>IF($G517="","",$A$13)</f>
        <v/>
      </c>
      <c r="J517">
        <f>IF($G517="","",IF(COUNTIFS(DOC_TYPE,$I517,DOC_EQP,$H517,DOC_SCOPE,"Equipment",DOC_ACTIVE,1)+COUNTIFS(DOC_TYPE,$I517,DOC_SYS,SETUP!$B$133,DOC_SCOPE,"System",DOC_ACTIVE,1)+COUNTIFS(DOC_TYPE,$I517,DOC_SCOPE,"All",DOC_ACTIVE,1)&gt;0,"",IFERROR(IF($E$13&lt;&gt;"",$E$13-$C$13,SETUP!$D$133-$C$13),60000)+ROW()/1000000))</f>
        <v/>
      </c>
      <c r="L517">
        <f>IF(ACTIONS!$A19="","","Action")</f>
        <v/>
      </c>
      <c r="M517">
        <f>IF($L517="","",ACTIONS!$A19&amp;"  -  "&amp;LEFT(ACTIONS!$B19,60))</f>
        <v/>
      </c>
      <c r="N517">
        <f>IF($L517="","",IF(ACTIONS!$E19&lt;&gt;"",ACTIONS!$E19,IF(ACTIONS!$D19&lt;&gt;"",ACTIONS!$D19,"-")))</f>
        <v/>
      </c>
      <c r="O517">
        <f>IF($L517="","",ACTIONS!$G19)</f>
        <v/>
      </c>
      <c r="P517">
        <f>IF($L517="","",ACTIONS!$I19)</f>
        <v/>
      </c>
      <c r="Q517">
        <f>IF($L517="","",ACTIONS!$L19)</f>
        <v/>
      </c>
      <c r="R517">
        <f>ACTIONS!$Q19</f>
        <v/>
      </c>
      <c r="S517">
        <f>ACTIONS!$R19</f>
        <v/>
      </c>
      <c r="T517">
        <f>ACTIONS!$P19</f>
        <v/>
      </c>
    </row>
    <row r="518">
      <c r="G518">
        <f>IF(OR(SETUP!$C$134="",$A$2="",$B$2&lt;&gt;"Equipment"),"","Equipment")</f>
        <v/>
      </c>
      <c r="H518">
        <f>IF($G518="","",SETUP!$C$134)</f>
        <v/>
      </c>
      <c r="I518">
        <f>IF($G518="","",$A$2)</f>
        <v/>
      </c>
      <c r="J518">
        <f>IF($G518="","",IF(COUNTIFS(DOC_TYPE,$I518,DOC_EQP,$H518,DOC_SCOPE,"Equipment",DOC_ACTIVE,1)+COUNTIFS(DOC_TYPE,$I518,DOC_SYS,SETUP!$B$134,DOC_SCOPE,"System",DOC_ACTIVE,1)+COUNTIFS(DOC_TYPE,$I518,DOC_SCOPE,"All",DOC_ACTIVE,1)&gt;0,"",IFERROR(IF($E$2&lt;&gt;"",$E$2-$C$2,SETUP!$D$134-$C$2),60000)+ROW()/1000000))</f>
        <v/>
      </c>
      <c r="L518">
        <f>IF(ACTIONS!$A20="","","Action")</f>
        <v/>
      </c>
      <c r="M518">
        <f>IF($L518="","",ACTIONS!$A20&amp;"  -  "&amp;LEFT(ACTIONS!$B20,60))</f>
        <v/>
      </c>
      <c r="N518">
        <f>IF($L518="","",IF(ACTIONS!$E20&lt;&gt;"",ACTIONS!$E20,IF(ACTIONS!$D20&lt;&gt;"",ACTIONS!$D20,"-")))</f>
        <v/>
      </c>
      <c r="O518">
        <f>IF($L518="","",ACTIONS!$G20)</f>
        <v/>
      </c>
      <c r="P518">
        <f>IF($L518="","",ACTIONS!$I20)</f>
        <v/>
      </c>
      <c r="Q518">
        <f>IF($L518="","",ACTIONS!$L20)</f>
        <v/>
      </c>
      <c r="R518">
        <f>ACTIONS!$Q20</f>
        <v/>
      </c>
      <c r="S518">
        <f>ACTIONS!$R20</f>
        <v/>
      </c>
      <c r="T518">
        <f>ACTIONS!$P20</f>
        <v/>
      </c>
    </row>
    <row r="519">
      <c r="G519">
        <f>IF(OR(SETUP!$C$134="",$A$3="",$B$3&lt;&gt;"Equipment"),"","Equipment")</f>
        <v/>
      </c>
      <c r="H519">
        <f>IF($G519="","",SETUP!$C$134)</f>
        <v/>
      </c>
      <c r="I519">
        <f>IF($G519="","",$A$3)</f>
        <v/>
      </c>
      <c r="J519">
        <f>IF($G519="","",IF(COUNTIFS(DOC_TYPE,$I519,DOC_EQP,$H519,DOC_SCOPE,"Equipment",DOC_ACTIVE,1)+COUNTIFS(DOC_TYPE,$I519,DOC_SYS,SETUP!$B$134,DOC_SCOPE,"System",DOC_ACTIVE,1)+COUNTIFS(DOC_TYPE,$I519,DOC_SCOPE,"All",DOC_ACTIVE,1)&gt;0,"",IFERROR(IF($E$3&lt;&gt;"",$E$3-$C$3,SETUP!$D$134-$C$3),60000)+ROW()/1000000))</f>
        <v/>
      </c>
      <c r="L519">
        <f>IF(ACTIONS!$A21="","","Action")</f>
        <v/>
      </c>
      <c r="M519">
        <f>IF($L519="","",ACTIONS!$A21&amp;"  -  "&amp;LEFT(ACTIONS!$B21,60))</f>
        <v/>
      </c>
      <c r="N519">
        <f>IF($L519="","",IF(ACTIONS!$E21&lt;&gt;"",ACTIONS!$E21,IF(ACTIONS!$D21&lt;&gt;"",ACTIONS!$D21,"-")))</f>
        <v/>
      </c>
      <c r="O519">
        <f>IF($L519="","",ACTIONS!$G21)</f>
        <v/>
      </c>
      <c r="P519">
        <f>IF($L519="","",ACTIONS!$I21)</f>
        <v/>
      </c>
      <c r="Q519">
        <f>IF($L519="","",ACTIONS!$L21)</f>
        <v/>
      </c>
      <c r="R519">
        <f>ACTIONS!$Q21</f>
        <v/>
      </c>
      <c r="S519">
        <f>ACTIONS!$R21</f>
        <v/>
      </c>
      <c r="T519">
        <f>ACTIONS!$P21</f>
        <v/>
      </c>
    </row>
    <row r="520">
      <c r="G520">
        <f>IF(OR(SETUP!$C$134="",$A$4="",$B$4&lt;&gt;"Equipment"),"","Equipment")</f>
        <v/>
      </c>
      <c r="H520">
        <f>IF($G520="","",SETUP!$C$134)</f>
        <v/>
      </c>
      <c r="I520">
        <f>IF($G520="","",$A$4)</f>
        <v/>
      </c>
      <c r="J520">
        <f>IF($G520="","",IF(COUNTIFS(DOC_TYPE,$I520,DOC_EQP,$H520,DOC_SCOPE,"Equipment",DOC_ACTIVE,1)+COUNTIFS(DOC_TYPE,$I520,DOC_SYS,SETUP!$B$134,DOC_SCOPE,"System",DOC_ACTIVE,1)+COUNTIFS(DOC_TYPE,$I520,DOC_SCOPE,"All",DOC_ACTIVE,1)&gt;0,"",IFERROR(IF($E$4&lt;&gt;"",$E$4-$C$4,SETUP!$D$134-$C$4),60000)+ROW()/1000000))</f>
        <v/>
      </c>
      <c r="L520">
        <f>IF(ACTIONS!$A22="","","Action")</f>
        <v/>
      </c>
      <c r="M520">
        <f>IF($L520="","",ACTIONS!$A22&amp;"  -  "&amp;LEFT(ACTIONS!$B22,60))</f>
        <v/>
      </c>
      <c r="N520">
        <f>IF($L520="","",IF(ACTIONS!$E22&lt;&gt;"",ACTIONS!$E22,IF(ACTIONS!$D22&lt;&gt;"",ACTIONS!$D22,"-")))</f>
        <v/>
      </c>
      <c r="O520">
        <f>IF($L520="","",ACTIONS!$G22)</f>
        <v/>
      </c>
      <c r="P520">
        <f>IF($L520="","",ACTIONS!$I22)</f>
        <v/>
      </c>
      <c r="Q520">
        <f>IF($L520="","",ACTIONS!$L22)</f>
        <v/>
      </c>
      <c r="R520">
        <f>ACTIONS!$Q22</f>
        <v/>
      </c>
      <c r="S520">
        <f>ACTIONS!$R22</f>
        <v/>
      </c>
      <c r="T520">
        <f>ACTIONS!$P22</f>
        <v/>
      </c>
    </row>
    <row r="521">
      <c r="G521">
        <f>IF(OR(SETUP!$C$134="",$A$5="",$B$5&lt;&gt;"Equipment"),"","Equipment")</f>
        <v/>
      </c>
      <c r="H521">
        <f>IF($G521="","",SETUP!$C$134)</f>
        <v/>
      </c>
      <c r="I521">
        <f>IF($G521="","",$A$5)</f>
        <v/>
      </c>
      <c r="J521">
        <f>IF($G521="","",IF(COUNTIFS(DOC_TYPE,$I521,DOC_EQP,$H521,DOC_SCOPE,"Equipment",DOC_ACTIVE,1)+COUNTIFS(DOC_TYPE,$I521,DOC_SYS,SETUP!$B$134,DOC_SCOPE,"System",DOC_ACTIVE,1)+COUNTIFS(DOC_TYPE,$I521,DOC_SCOPE,"All",DOC_ACTIVE,1)&gt;0,"",IFERROR(IF($E$5&lt;&gt;"",$E$5-$C$5,SETUP!$D$134-$C$5),60000)+ROW()/1000000))</f>
        <v/>
      </c>
      <c r="L521">
        <f>IF(ACTIONS!$A23="","","Action")</f>
        <v/>
      </c>
      <c r="M521">
        <f>IF($L521="","",ACTIONS!$A23&amp;"  -  "&amp;LEFT(ACTIONS!$B23,60))</f>
        <v/>
      </c>
      <c r="N521">
        <f>IF($L521="","",IF(ACTIONS!$E23&lt;&gt;"",ACTIONS!$E23,IF(ACTIONS!$D23&lt;&gt;"",ACTIONS!$D23,"-")))</f>
        <v/>
      </c>
      <c r="O521">
        <f>IF($L521="","",ACTIONS!$G23)</f>
        <v/>
      </c>
      <c r="P521">
        <f>IF($L521="","",ACTIONS!$I23)</f>
        <v/>
      </c>
      <c r="Q521">
        <f>IF($L521="","",ACTIONS!$L23)</f>
        <v/>
      </c>
      <c r="R521">
        <f>ACTIONS!$Q23</f>
        <v/>
      </c>
      <c r="S521">
        <f>ACTIONS!$R23</f>
        <v/>
      </c>
      <c r="T521">
        <f>ACTIONS!$P23</f>
        <v/>
      </c>
    </row>
    <row r="522">
      <c r="G522">
        <f>IF(OR(SETUP!$C$134="",$A$6="",$B$6&lt;&gt;"Equipment"),"","Equipment")</f>
        <v/>
      </c>
      <c r="H522">
        <f>IF($G522="","",SETUP!$C$134)</f>
        <v/>
      </c>
      <c r="I522">
        <f>IF($G522="","",$A$6)</f>
        <v/>
      </c>
      <c r="J522">
        <f>IF($G522="","",IF(COUNTIFS(DOC_TYPE,$I522,DOC_EQP,$H522,DOC_SCOPE,"Equipment",DOC_ACTIVE,1)+COUNTIFS(DOC_TYPE,$I522,DOC_SYS,SETUP!$B$134,DOC_SCOPE,"System",DOC_ACTIVE,1)+COUNTIFS(DOC_TYPE,$I522,DOC_SCOPE,"All",DOC_ACTIVE,1)&gt;0,"",IFERROR(IF($E$6&lt;&gt;"",$E$6-$C$6,SETUP!$D$134-$C$6),60000)+ROW()/1000000))</f>
        <v/>
      </c>
      <c r="L522">
        <f>IF(ACTIONS!$A24="","","Action")</f>
        <v/>
      </c>
      <c r="M522">
        <f>IF($L522="","",ACTIONS!$A24&amp;"  -  "&amp;LEFT(ACTIONS!$B24,60))</f>
        <v/>
      </c>
      <c r="N522">
        <f>IF($L522="","",IF(ACTIONS!$E24&lt;&gt;"",ACTIONS!$E24,IF(ACTIONS!$D24&lt;&gt;"",ACTIONS!$D24,"-")))</f>
        <v/>
      </c>
      <c r="O522">
        <f>IF($L522="","",ACTIONS!$G24)</f>
        <v/>
      </c>
      <c r="P522">
        <f>IF($L522="","",ACTIONS!$I24)</f>
        <v/>
      </c>
      <c r="Q522">
        <f>IF($L522="","",ACTIONS!$L24)</f>
        <v/>
      </c>
      <c r="R522">
        <f>ACTIONS!$Q24</f>
        <v/>
      </c>
      <c r="S522">
        <f>ACTIONS!$R24</f>
        <v/>
      </c>
      <c r="T522">
        <f>ACTIONS!$P24</f>
        <v/>
      </c>
    </row>
    <row r="523">
      <c r="G523">
        <f>IF(OR(SETUP!$C$134="",$A$7="",$B$7&lt;&gt;"Equipment"),"","Equipment")</f>
        <v/>
      </c>
      <c r="H523">
        <f>IF($G523="","",SETUP!$C$134)</f>
        <v/>
      </c>
      <c r="I523">
        <f>IF($G523="","",$A$7)</f>
        <v/>
      </c>
      <c r="J523">
        <f>IF($G523="","",IF(COUNTIFS(DOC_TYPE,$I523,DOC_EQP,$H523,DOC_SCOPE,"Equipment",DOC_ACTIVE,1)+COUNTIFS(DOC_TYPE,$I523,DOC_SYS,SETUP!$B$134,DOC_SCOPE,"System",DOC_ACTIVE,1)+COUNTIFS(DOC_TYPE,$I523,DOC_SCOPE,"All",DOC_ACTIVE,1)&gt;0,"",IFERROR(IF($E$7&lt;&gt;"",$E$7-$C$7,SETUP!$D$134-$C$7),60000)+ROW()/1000000))</f>
        <v/>
      </c>
      <c r="L523">
        <f>IF(ACTIONS!$A25="","","Action")</f>
        <v/>
      </c>
      <c r="M523">
        <f>IF($L523="","",ACTIONS!$A25&amp;"  -  "&amp;LEFT(ACTIONS!$B25,60))</f>
        <v/>
      </c>
      <c r="N523">
        <f>IF($L523="","",IF(ACTIONS!$E25&lt;&gt;"",ACTIONS!$E25,IF(ACTIONS!$D25&lt;&gt;"",ACTIONS!$D25,"-")))</f>
        <v/>
      </c>
      <c r="O523">
        <f>IF($L523="","",ACTIONS!$G25)</f>
        <v/>
      </c>
      <c r="P523">
        <f>IF($L523="","",ACTIONS!$I25)</f>
        <v/>
      </c>
      <c r="Q523">
        <f>IF($L523="","",ACTIONS!$L25)</f>
        <v/>
      </c>
      <c r="R523">
        <f>ACTIONS!$Q25</f>
        <v/>
      </c>
      <c r="S523">
        <f>ACTIONS!$R25</f>
        <v/>
      </c>
      <c r="T523">
        <f>ACTIONS!$P25</f>
        <v/>
      </c>
    </row>
    <row r="524">
      <c r="G524">
        <f>IF(OR(SETUP!$C$134="",$A$8="",$B$8&lt;&gt;"Equipment"),"","Equipment")</f>
        <v/>
      </c>
      <c r="H524">
        <f>IF($G524="","",SETUP!$C$134)</f>
        <v/>
      </c>
      <c r="I524">
        <f>IF($G524="","",$A$8)</f>
        <v/>
      </c>
      <c r="J524">
        <f>IF($G524="","",IF(COUNTIFS(DOC_TYPE,$I524,DOC_EQP,$H524,DOC_SCOPE,"Equipment",DOC_ACTIVE,1)+COUNTIFS(DOC_TYPE,$I524,DOC_SYS,SETUP!$B$134,DOC_SCOPE,"System",DOC_ACTIVE,1)+COUNTIFS(DOC_TYPE,$I524,DOC_SCOPE,"All",DOC_ACTIVE,1)&gt;0,"",IFERROR(IF($E$8&lt;&gt;"",$E$8-$C$8,SETUP!$D$134-$C$8),60000)+ROW()/1000000))</f>
        <v/>
      </c>
      <c r="L524">
        <f>IF(ACTIONS!$A26="","","Action")</f>
        <v/>
      </c>
      <c r="M524">
        <f>IF($L524="","",ACTIONS!$A26&amp;"  -  "&amp;LEFT(ACTIONS!$B26,60))</f>
        <v/>
      </c>
      <c r="N524">
        <f>IF($L524="","",IF(ACTIONS!$E26&lt;&gt;"",ACTIONS!$E26,IF(ACTIONS!$D26&lt;&gt;"",ACTIONS!$D26,"-")))</f>
        <v/>
      </c>
      <c r="O524">
        <f>IF($L524="","",ACTIONS!$G26)</f>
        <v/>
      </c>
      <c r="P524">
        <f>IF($L524="","",ACTIONS!$I26)</f>
        <v/>
      </c>
      <c r="Q524">
        <f>IF($L524="","",ACTIONS!$L26)</f>
        <v/>
      </c>
      <c r="R524">
        <f>ACTIONS!$Q26</f>
        <v/>
      </c>
      <c r="S524">
        <f>ACTIONS!$R26</f>
        <v/>
      </c>
      <c r="T524">
        <f>ACTIONS!$P26</f>
        <v/>
      </c>
    </row>
    <row r="525">
      <c r="G525">
        <f>IF(OR(SETUP!$C$134="",$A$9="",$B$9&lt;&gt;"Equipment"),"","Equipment")</f>
        <v/>
      </c>
      <c r="H525">
        <f>IF($G525="","",SETUP!$C$134)</f>
        <v/>
      </c>
      <c r="I525">
        <f>IF($G525="","",$A$9)</f>
        <v/>
      </c>
      <c r="J525">
        <f>IF($G525="","",IF(COUNTIFS(DOC_TYPE,$I525,DOC_EQP,$H525,DOC_SCOPE,"Equipment",DOC_ACTIVE,1)+COUNTIFS(DOC_TYPE,$I525,DOC_SYS,SETUP!$B$134,DOC_SCOPE,"System",DOC_ACTIVE,1)+COUNTIFS(DOC_TYPE,$I525,DOC_SCOPE,"All",DOC_ACTIVE,1)&gt;0,"",IFERROR(IF($E$9&lt;&gt;"",$E$9-$C$9,SETUP!$D$134-$C$9),60000)+ROW()/1000000))</f>
        <v/>
      </c>
      <c r="L525">
        <f>IF(ACTIONS!$A27="","","Action")</f>
        <v/>
      </c>
      <c r="M525">
        <f>IF($L525="","",ACTIONS!$A27&amp;"  -  "&amp;LEFT(ACTIONS!$B27,60))</f>
        <v/>
      </c>
      <c r="N525">
        <f>IF($L525="","",IF(ACTIONS!$E27&lt;&gt;"",ACTIONS!$E27,IF(ACTIONS!$D27&lt;&gt;"",ACTIONS!$D27,"-")))</f>
        <v/>
      </c>
      <c r="O525">
        <f>IF($L525="","",ACTIONS!$G27)</f>
        <v/>
      </c>
      <c r="P525">
        <f>IF($L525="","",ACTIONS!$I27)</f>
        <v/>
      </c>
      <c r="Q525">
        <f>IF($L525="","",ACTIONS!$L27)</f>
        <v/>
      </c>
      <c r="R525">
        <f>ACTIONS!$Q27</f>
        <v/>
      </c>
      <c r="S525">
        <f>ACTIONS!$R27</f>
        <v/>
      </c>
      <c r="T525">
        <f>ACTIONS!$P27</f>
        <v/>
      </c>
    </row>
    <row r="526">
      <c r="G526">
        <f>IF(OR(SETUP!$C$134="",$A$10="",$B$10&lt;&gt;"Equipment"),"","Equipment")</f>
        <v/>
      </c>
      <c r="H526">
        <f>IF($G526="","",SETUP!$C$134)</f>
        <v/>
      </c>
      <c r="I526">
        <f>IF($G526="","",$A$10)</f>
        <v/>
      </c>
      <c r="J526">
        <f>IF($G526="","",IF(COUNTIFS(DOC_TYPE,$I526,DOC_EQP,$H526,DOC_SCOPE,"Equipment",DOC_ACTIVE,1)+COUNTIFS(DOC_TYPE,$I526,DOC_SYS,SETUP!$B$134,DOC_SCOPE,"System",DOC_ACTIVE,1)+COUNTIFS(DOC_TYPE,$I526,DOC_SCOPE,"All",DOC_ACTIVE,1)&gt;0,"",IFERROR(IF($E$10&lt;&gt;"",$E$10-$C$10,SETUP!$D$134-$C$10),60000)+ROW()/1000000))</f>
        <v/>
      </c>
      <c r="L526">
        <f>IF(ACTIONS!$A28="","","Action")</f>
        <v/>
      </c>
      <c r="M526">
        <f>IF($L526="","",ACTIONS!$A28&amp;"  -  "&amp;LEFT(ACTIONS!$B28,60))</f>
        <v/>
      </c>
      <c r="N526">
        <f>IF($L526="","",IF(ACTIONS!$E28&lt;&gt;"",ACTIONS!$E28,IF(ACTIONS!$D28&lt;&gt;"",ACTIONS!$D28,"-")))</f>
        <v/>
      </c>
      <c r="O526">
        <f>IF($L526="","",ACTIONS!$G28)</f>
        <v/>
      </c>
      <c r="P526">
        <f>IF($L526="","",ACTIONS!$I28)</f>
        <v/>
      </c>
      <c r="Q526">
        <f>IF($L526="","",ACTIONS!$L28)</f>
        <v/>
      </c>
      <c r="R526">
        <f>ACTIONS!$Q28</f>
        <v/>
      </c>
      <c r="S526">
        <f>ACTIONS!$R28</f>
        <v/>
      </c>
      <c r="T526">
        <f>ACTIONS!$P28</f>
        <v/>
      </c>
    </row>
    <row r="527">
      <c r="G527">
        <f>IF(OR(SETUP!$C$134="",$A$11="",$B$11&lt;&gt;"Equipment"),"","Equipment")</f>
        <v/>
      </c>
      <c r="H527">
        <f>IF($G527="","",SETUP!$C$134)</f>
        <v/>
      </c>
      <c r="I527">
        <f>IF($G527="","",$A$11)</f>
        <v/>
      </c>
      <c r="J527">
        <f>IF($G527="","",IF(COUNTIFS(DOC_TYPE,$I527,DOC_EQP,$H527,DOC_SCOPE,"Equipment",DOC_ACTIVE,1)+COUNTIFS(DOC_TYPE,$I527,DOC_SYS,SETUP!$B$134,DOC_SCOPE,"System",DOC_ACTIVE,1)+COUNTIFS(DOC_TYPE,$I527,DOC_SCOPE,"All",DOC_ACTIVE,1)&gt;0,"",IFERROR(IF($E$11&lt;&gt;"",$E$11-$C$11,SETUP!$D$134-$C$11),60000)+ROW()/1000000))</f>
        <v/>
      </c>
      <c r="L527">
        <f>IF(ACTIONS!$A29="","","Action")</f>
        <v/>
      </c>
      <c r="M527">
        <f>IF($L527="","",ACTIONS!$A29&amp;"  -  "&amp;LEFT(ACTIONS!$B29,60))</f>
        <v/>
      </c>
      <c r="N527">
        <f>IF($L527="","",IF(ACTIONS!$E29&lt;&gt;"",ACTIONS!$E29,IF(ACTIONS!$D29&lt;&gt;"",ACTIONS!$D29,"-")))</f>
        <v/>
      </c>
      <c r="O527">
        <f>IF($L527="","",ACTIONS!$G29)</f>
        <v/>
      </c>
      <c r="P527">
        <f>IF($L527="","",ACTIONS!$I29)</f>
        <v/>
      </c>
      <c r="Q527">
        <f>IF($L527="","",ACTIONS!$L29)</f>
        <v/>
      </c>
      <c r="R527">
        <f>ACTIONS!$Q29</f>
        <v/>
      </c>
      <c r="S527">
        <f>ACTIONS!$R29</f>
        <v/>
      </c>
      <c r="T527">
        <f>ACTIONS!$P29</f>
        <v/>
      </c>
    </row>
    <row r="528">
      <c r="G528">
        <f>IF(OR(SETUP!$C$134="",$A$12="",$B$12&lt;&gt;"Equipment"),"","Equipment")</f>
        <v/>
      </c>
      <c r="H528">
        <f>IF($G528="","",SETUP!$C$134)</f>
        <v/>
      </c>
      <c r="I528">
        <f>IF($G528="","",$A$12)</f>
        <v/>
      </c>
      <c r="J528">
        <f>IF($G528="","",IF(COUNTIFS(DOC_TYPE,$I528,DOC_EQP,$H528,DOC_SCOPE,"Equipment",DOC_ACTIVE,1)+COUNTIFS(DOC_TYPE,$I528,DOC_SYS,SETUP!$B$134,DOC_SCOPE,"System",DOC_ACTIVE,1)+COUNTIFS(DOC_TYPE,$I528,DOC_SCOPE,"All",DOC_ACTIVE,1)&gt;0,"",IFERROR(IF($E$12&lt;&gt;"",$E$12-$C$12,SETUP!$D$134-$C$12),60000)+ROW()/1000000))</f>
        <v/>
      </c>
      <c r="L528">
        <f>IF(ACTIONS!$A30="","","Action")</f>
        <v/>
      </c>
      <c r="M528">
        <f>IF($L528="","",ACTIONS!$A30&amp;"  -  "&amp;LEFT(ACTIONS!$B30,60))</f>
        <v/>
      </c>
      <c r="N528">
        <f>IF($L528="","",IF(ACTIONS!$E30&lt;&gt;"",ACTIONS!$E30,IF(ACTIONS!$D30&lt;&gt;"",ACTIONS!$D30,"-")))</f>
        <v/>
      </c>
      <c r="O528">
        <f>IF($L528="","",ACTIONS!$G30)</f>
        <v/>
      </c>
      <c r="P528">
        <f>IF($L528="","",ACTIONS!$I30)</f>
        <v/>
      </c>
      <c r="Q528">
        <f>IF($L528="","",ACTIONS!$L30)</f>
        <v/>
      </c>
      <c r="R528">
        <f>ACTIONS!$Q30</f>
        <v/>
      </c>
      <c r="S528">
        <f>ACTIONS!$R30</f>
        <v/>
      </c>
      <c r="T528">
        <f>ACTIONS!$P30</f>
        <v/>
      </c>
    </row>
    <row r="529">
      <c r="G529">
        <f>IF(OR(SETUP!$C$134="",$A$13="",$B$13&lt;&gt;"Equipment"),"","Equipment")</f>
        <v/>
      </c>
      <c r="H529">
        <f>IF($G529="","",SETUP!$C$134)</f>
        <v/>
      </c>
      <c r="I529">
        <f>IF($G529="","",$A$13)</f>
        <v/>
      </c>
      <c r="J529">
        <f>IF($G529="","",IF(COUNTIFS(DOC_TYPE,$I529,DOC_EQP,$H529,DOC_SCOPE,"Equipment",DOC_ACTIVE,1)+COUNTIFS(DOC_TYPE,$I529,DOC_SYS,SETUP!$B$134,DOC_SCOPE,"System",DOC_ACTIVE,1)+COUNTIFS(DOC_TYPE,$I529,DOC_SCOPE,"All",DOC_ACTIVE,1)&gt;0,"",IFERROR(IF($E$13&lt;&gt;"",$E$13-$C$13,SETUP!$D$134-$C$13),60000)+ROW()/1000000))</f>
        <v/>
      </c>
      <c r="L529">
        <f>IF(ACTIONS!$A31="","","Action")</f>
        <v/>
      </c>
      <c r="M529">
        <f>IF($L529="","",ACTIONS!$A31&amp;"  -  "&amp;LEFT(ACTIONS!$B31,60))</f>
        <v/>
      </c>
      <c r="N529">
        <f>IF($L529="","",IF(ACTIONS!$E31&lt;&gt;"",ACTIONS!$E31,IF(ACTIONS!$D31&lt;&gt;"",ACTIONS!$D31,"-")))</f>
        <v/>
      </c>
      <c r="O529">
        <f>IF($L529="","",ACTIONS!$G31)</f>
        <v/>
      </c>
      <c r="P529">
        <f>IF($L529="","",ACTIONS!$I31)</f>
        <v/>
      </c>
      <c r="Q529">
        <f>IF($L529="","",ACTIONS!$L31)</f>
        <v/>
      </c>
      <c r="R529">
        <f>ACTIONS!$Q31</f>
        <v/>
      </c>
      <c r="S529">
        <f>ACTIONS!$R31</f>
        <v/>
      </c>
      <c r="T529">
        <f>ACTIONS!$P31</f>
        <v/>
      </c>
    </row>
    <row r="530">
      <c r="G530">
        <f>IF(OR(SETUP!$C$135="",$A$2="",$B$2&lt;&gt;"Equipment"),"","Equipment")</f>
        <v/>
      </c>
      <c r="H530">
        <f>IF($G530="","",SETUP!$C$135)</f>
        <v/>
      </c>
      <c r="I530">
        <f>IF($G530="","",$A$2)</f>
        <v/>
      </c>
      <c r="J530">
        <f>IF($G530="","",IF(COUNTIFS(DOC_TYPE,$I530,DOC_EQP,$H530,DOC_SCOPE,"Equipment",DOC_ACTIVE,1)+COUNTIFS(DOC_TYPE,$I530,DOC_SYS,SETUP!$B$135,DOC_SCOPE,"System",DOC_ACTIVE,1)+COUNTIFS(DOC_TYPE,$I530,DOC_SCOPE,"All",DOC_ACTIVE,1)&gt;0,"",IFERROR(IF($E$2&lt;&gt;"",$E$2-$C$2,SETUP!$D$135-$C$2),60000)+ROW()/1000000))</f>
        <v/>
      </c>
      <c r="L530">
        <f>IF(ACTIONS!$A32="","","Action")</f>
        <v/>
      </c>
      <c r="M530">
        <f>IF($L530="","",ACTIONS!$A32&amp;"  -  "&amp;LEFT(ACTIONS!$B32,60))</f>
        <v/>
      </c>
      <c r="N530">
        <f>IF($L530="","",IF(ACTIONS!$E32&lt;&gt;"",ACTIONS!$E32,IF(ACTIONS!$D32&lt;&gt;"",ACTIONS!$D32,"-")))</f>
        <v/>
      </c>
      <c r="O530">
        <f>IF($L530="","",ACTIONS!$G32)</f>
        <v/>
      </c>
      <c r="P530">
        <f>IF($L530="","",ACTIONS!$I32)</f>
        <v/>
      </c>
      <c r="Q530">
        <f>IF($L530="","",ACTIONS!$L32)</f>
        <v/>
      </c>
      <c r="R530">
        <f>ACTIONS!$Q32</f>
        <v/>
      </c>
      <c r="S530">
        <f>ACTIONS!$R32</f>
        <v/>
      </c>
      <c r="T530">
        <f>ACTIONS!$P32</f>
        <v/>
      </c>
    </row>
    <row r="531">
      <c r="G531">
        <f>IF(OR(SETUP!$C$135="",$A$3="",$B$3&lt;&gt;"Equipment"),"","Equipment")</f>
        <v/>
      </c>
      <c r="H531">
        <f>IF($G531="","",SETUP!$C$135)</f>
        <v/>
      </c>
      <c r="I531">
        <f>IF($G531="","",$A$3)</f>
        <v/>
      </c>
      <c r="J531">
        <f>IF($G531="","",IF(COUNTIFS(DOC_TYPE,$I531,DOC_EQP,$H531,DOC_SCOPE,"Equipment",DOC_ACTIVE,1)+COUNTIFS(DOC_TYPE,$I531,DOC_SYS,SETUP!$B$135,DOC_SCOPE,"System",DOC_ACTIVE,1)+COUNTIFS(DOC_TYPE,$I531,DOC_SCOPE,"All",DOC_ACTIVE,1)&gt;0,"",IFERROR(IF($E$3&lt;&gt;"",$E$3-$C$3,SETUP!$D$135-$C$3),60000)+ROW()/1000000))</f>
        <v/>
      </c>
      <c r="L531">
        <f>IF(ACTIONS!$A33="","","Action")</f>
        <v/>
      </c>
      <c r="M531">
        <f>IF($L531="","",ACTIONS!$A33&amp;"  -  "&amp;LEFT(ACTIONS!$B33,60))</f>
        <v/>
      </c>
      <c r="N531">
        <f>IF($L531="","",IF(ACTIONS!$E33&lt;&gt;"",ACTIONS!$E33,IF(ACTIONS!$D33&lt;&gt;"",ACTIONS!$D33,"-")))</f>
        <v/>
      </c>
      <c r="O531">
        <f>IF($L531="","",ACTIONS!$G33)</f>
        <v/>
      </c>
      <c r="P531">
        <f>IF($L531="","",ACTIONS!$I33)</f>
        <v/>
      </c>
      <c r="Q531">
        <f>IF($L531="","",ACTIONS!$L33)</f>
        <v/>
      </c>
      <c r="R531">
        <f>ACTIONS!$Q33</f>
        <v/>
      </c>
      <c r="S531">
        <f>ACTIONS!$R33</f>
        <v/>
      </c>
      <c r="T531">
        <f>ACTIONS!$P33</f>
        <v/>
      </c>
    </row>
    <row r="532">
      <c r="G532">
        <f>IF(OR(SETUP!$C$135="",$A$4="",$B$4&lt;&gt;"Equipment"),"","Equipment")</f>
        <v/>
      </c>
      <c r="H532">
        <f>IF($G532="","",SETUP!$C$135)</f>
        <v/>
      </c>
      <c r="I532">
        <f>IF($G532="","",$A$4)</f>
        <v/>
      </c>
      <c r="J532">
        <f>IF($G532="","",IF(COUNTIFS(DOC_TYPE,$I532,DOC_EQP,$H532,DOC_SCOPE,"Equipment",DOC_ACTIVE,1)+COUNTIFS(DOC_TYPE,$I532,DOC_SYS,SETUP!$B$135,DOC_SCOPE,"System",DOC_ACTIVE,1)+COUNTIFS(DOC_TYPE,$I532,DOC_SCOPE,"All",DOC_ACTIVE,1)&gt;0,"",IFERROR(IF($E$4&lt;&gt;"",$E$4-$C$4,SETUP!$D$135-$C$4),60000)+ROW()/1000000))</f>
        <v/>
      </c>
      <c r="L532">
        <f>IF(ACTIONS!$A34="","","Action")</f>
        <v/>
      </c>
      <c r="M532">
        <f>IF($L532="","",ACTIONS!$A34&amp;"  -  "&amp;LEFT(ACTIONS!$B34,60))</f>
        <v/>
      </c>
      <c r="N532">
        <f>IF($L532="","",IF(ACTIONS!$E34&lt;&gt;"",ACTIONS!$E34,IF(ACTIONS!$D34&lt;&gt;"",ACTIONS!$D34,"-")))</f>
        <v/>
      </c>
      <c r="O532">
        <f>IF($L532="","",ACTIONS!$G34)</f>
        <v/>
      </c>
      <c r="P532">
        <f>IF($L532="","",ACTIONS!$I34)</f>
        <v/>
      </c>
      <c r="Q532">
        <f>IF($L532="","",ACTIONS!$L34)</f>
        <v/>
      </c>
      <c r="R532">
        <f>ACTIONS!$Q34</f>
        <v/>
      </c>
      <c r="S532">
        <f>ACTIONS!$R34</f>
        <v/>
      </c>
      <c r="T532">
        <f>ACTIONS!$P34</f>
        <v/>
      </c>
    </row>
    <row r="533">
      <c r="G533">
        <f>IF(OR(SETUP!$C$135="",$A$5="",$B$5&lt;&gt;"Equipment"),"","Equipment")</f>
        <v/>
      </c>
      <c r="H533">
        <f>IF($G533="","",SETUP!$C$135)</f>
        <v/>
      </c>
      <c r="I533">
        <f>IF($G533="","",$A$5)</f>
        <v/>
      </c>
      <c r="J533">
        <f>IF($G533="","",IF(COUNTIFS(DOC_TYPE,$I533,DOC_EQP,$H533,DOC_SCOPE,"Equipment",DOC_ACTIVE,1)+COUNTIFS(DOC_TYPE,$I533,DOC_SYS,SETUP!$B$135,DOC_SCOPE,"System",DOC_ACTIVE,1)+COUNTIFS(DOC_TYPE,$I533,DOC_SCOPE,"All",DOC_ACTIVE,1)&gt;0,"",IFERROR(IF($E$5&lt;&gt;"",$E$5-$C$5,SETUP!$D$135-$C$5),60000)+ROW()/1000000))</f>
        <v/>
      </c>
      <c r="L533">
        <f>IF(ACTIONS!$A35="","","Action")</f>
        <v/>
      </c>
      <c r="M533">
        <f>IF($L533="","",ACTIONS!$A35&amp;"  -  "&amp;LEFT(ACTIONS!$B35,60))</f>
        <v/>
      </c>
      <c r="N533">
        <f>IF($L533="","",IF(ACTIONS!$E35&lt;&gt;"",ACTIONS!$E35,IF(ACTIONS!$D35&lt;&gt;"",ACTIONS!$D35,"-")))</f>
        <v/>
      </c>
      <c r="O533">
        <f>IF($L533="","",ACTIONS!$G35)</f>
        <v/>
      </c>
      <c r="P533">
        <f>IF($L533="","",ACTIONS!$I35)</f>
        <v/>
      </c>
      <c r="Q533">
        <f>IF($L533="","",ACTIONS!$L35)</f>
        <v/>
      </c>
      <c r="R533">
        <f>ACTIONS!$Q35</f>
        <v/>
      </c>
      <c r="S533">
        <f>ACTIONS!$R35</f>
        <v/>
      </c>
      <c r="T533">
        <f>ACTIONS!$P35</f>
        <v/>
      </c>
    </row>
    <row r="534">
      <c r="G534">
        <f>IF(OR(SETUP!$C$135="",$A$6="",$B$6&lt;&gt;"Equipment"),"","Equipment")</f>
        <v/>
      </c>
      <c r="H534">
        <f>IF($G534="","",SETUP!$C$135)</f>
        <v/>
      </c>
      <c r="I534">
        <f>IF($G534="","",$A$6)</f>
        <v/>
      </c>
      <c r="J534">
        <f>IF($G534="","",IF(COUNTIFS(DOC_TYPE,$I534,DOC_EQP,$H534,DOC_SCOPE,"Equipment",DOC_ACTIVE,1)+COUNTIFS(DOC_TYPE,$I534,DOC_SYS,SETUP!$B$135,DOC_SCOPE,"System",DOC_ACTIVE,1)+COUNTIFS(DOC_TYPE,$I534,DOC_SCOPE,"All",DOC_ACTIVE,1)&gt;0,"",IFERROR(IF($E$6&lt;&gt;"",$E$6-$C$6,SETUP!$D$135-$C$6),60000)+ROW()/1000000))</f>
        <v/>
      </c>
      <c r="L534">
        <f>IF(ACTIONS!$A36="","","Action")</f>
        <v/>
      </c>
      <c r="M534">
        <f>IF($L534="","",ACTIONS!$A36&amp;"  -  "&amp;LEFT(ACTIONS!$B36,60))</f>
        <v/>
      </c>
      <c r="N534">
        <f>IF($L534="","",IF(ACTIONS!$E36&lt;&gt;"",ACTIONS!$E36,IF(ACTIONS!$D36&lt;&gt;"",ACTIONS!$D36,"-")))</f>
        <v/>
      </c>
      <c r="O534">
        <f>IF($L534="","",ACTIONS!$G36)</f>
        <v/>
      </c>
      <c r="P534">
        <f>IF($L534="","",ACTIONS!$I36)</f>
        <v/>
      </c>
      <c r="Q534">
        <f>IF($L534="","",ACTIONS!$L36)</f>
        <v/>
      </c>
      <c r="R534">
        <f>ACTIONS!$Q36</f>
        <v/>
      </c>
      <c r="S534">
        <f>ACTIONS!$R36</f>
        <v/>
      </c>
      <c r="T534">
        <f>ACTIONS!$P36</f>
        <v/>
      </c>
    </row>
    <row r="535">
      <c r="G535">
        <f>IF(OR(SETUP!$C$135="",$A$7="",$B$7&lt;&gt;"Equipment"),"","Equipment")</f>
        <v/>
      </c>
      <c r="H535">
        <f>IF($G535="","",SETUP!$C$135)</f>
        <v/>
      </c>
      <c r="I535">
        <f>IF($G535="","",$A$7)</f>
        <v/>
      </c>
      <c r="J535">
        <f>IF($G535="","",IF(COUNTIFS(DOC_TYPE,$I535,DOC_EQP,$H535,DOC_SCOPE,"Equipment",DOC_ACTIVE,1)+COUNTIFS(DOC_TYPE,$I535,DOC_SYS,SETUP!$B$135,DOC_SCOPE,"System",DOC_ACTIVE,1)+COUNTIFS(DOC_TYPE,$I535,DOC_SCOPE,"All",DOC_ACTIVE,1)&gt;0,"",IFERROR(IF($E$7&lt;&gt;"",$E$7-$C$7,SETUP!$D$135-$C$7),60000)+ROW()/1000000))</f>
        <v/>
      </c>
      <c r="L535">
        <f>IF(ACTIONS!$A37="","","Action")</f>
        <v/>
      </c>
      <c r="M535">
        <f>IF($L535="","",ACTIONS!$A37&amp;"  -  "&amp;LEFT(ACTIONS!$B37,60))</f>
        <v/>
      </c>
      <c r="N535">
        <f>IF($L535="","",IF(ACTIONS!$E37&lt;&gt;"",ACTIONS!$E37,IF(ACTIONS!$D37&lt;&gt;"",ACTIONS!$D37,"-")))</f>
        <v/>
      </c>
      <c r="O535">
        <f>IF($L535="","",ACTIONS!$G37)</f>
        <v/>
      </c>
      <c r="P535">
        <f>IF($L535="","",ACTIONS!$I37)</f>
        <v/>
      </c>
      <c r="Q535">
        <f>IF($L535="","",ACTIONS!$L37)</f>
        <v/>
      </c>
      <c r="R535">
        <f>ACTIONS!$Q37</f>
        <v/>
      </c>
      <c r="S535">
        <f>ACTIONS!$R37</f>
        <v/>
      </c>
      <c r="T535">
        <f>ACTIONS!$P37</f>
        <v/>
      </c>
    </row>
    <row r="536">
      <c r="G536">
        <f>IF(OR(SETUP!$C$135="",$A$8="",$B$8&lt;&gt;"Equipment"),"","Equipment")</f>
        <v/>
      </c>
      <c r="H536">
        <f>IF($G536="","",SETUP!$C$135)</f>
        <v/>
      </c>
      <c r="I536">
        <f>IF($G536="","",$A$8)</f>
        <v/>
      </c>
      <c r="J536">
        <f>IF($G536="","",IF(COUNTIFS(DOC_TYPE,$I536,DOC_EQP,$H536,DOC_SCOPE,"Equipment",DOC_ACTIVE,1)+COUNTIFS(DOC_TYPE,$I536,DOC_SYS,SETUP!$B$135,DOC_SCOPE,"System",DOC_ACTIVE,1)+COUNTIFS(DOC_TYPE,$I536,DOC_SCOPE,"All",DOC_ACTIVE,1)&gt;0,"",IFERROR(IF($E$8&lt;&gt;"",$E$8-$C$8,SETUP!$D$135-$C$8),60000)+ROW()/1000000))</f>
        <v/>
      </c>
      <c r="L536">
        <f>IF(ACTIONS!$A38="","","Action")</f>
        <v/>
      </c>
      <c r="M536">
        <f>IF($L536="","",ACTIONS!$A38&amp;"  -  "&amp;LEFT(ACTIONS!$B38,60))</f>
        <v/>
      </c>
      <c r="N536">
        <f>IF($L536="","",IF(ACTIONS!$E38&lt;&gt;"",ACTIONS!$E38,IF(ACTIONS!$D38&lt;&gt;"",ACTIONS!$D38,"-")))</f>
        <v/>
      </c>
      <c r="O536">
        <f>IF($L536="","",ACTIONS!$G38)</f>
        <v/>
      </c>
      <c r="P536">
        <f>IF($L536="","",ACTIONS!$I38)</f>
        <v/>
      </c>
      <c r="Q536">
        <f>IF($L536="","",ACTIONS!$L38)</f>
        <v/>
      </c>
      <c r="R536">
        <f>ACTIONS!$Q38</f>
        <v/>
      </c>
      <c r="S536">
        <f>ACTIONS!$R38</f>
        <v/>
      </c>
      <c r="T536">
        <f>ACTIONS!$P38</f>
        <v/>
      </c>
    </row>
    <row r="537">
      <c r="G537">
        <f>IF(OR(SETUP!$C$135="",$A$9="",$B$9&lt;&gt;"Equipment"),"","Equipment")</f>
        <v/>
      </c>
      <c r="H537">
        <f>IF($G537="","",SETUP!$C$135)</f>
        <v/>
      </c>
      <c r="I537">
        <f>IF($G537="","",$A$9)</f>
        <v/>
      </c>
      <c r="J537">
        <f>IF($G537="","",IF(COUNTIFS(DOC_TYPE,$I537,DOC_EQP,$H537,DOC_SCOPE,"Equipment",DOC_ACTIVE,1)+COUNTIFS(DOC_TYPE,$I537,DOC_SYS,SETUP!$B$135,DOC_SCOPE,"System",DOC_ACTIVE,1)+COUNTIFS(DOC_TYPE,$I537,DOC_SCOPE,"All",DOC_ACTIVE,1)&gt;0,"",IFERROR(IF($E$9&lt;&gt;"",$E$9-$C$9,SETUP!$D$135-$C$9),60000)+ROW()/1000000))</f>
        <v/>
      </c>
      <c r="L537">
        <f>IF(ACTIONS!$A39="","","Action")</f>
        <v/>
      </c>
      <c r="M537">
        <f>IF($L537="","",ACTIONS!$A39&amp;"  -  "&amp;LEFT(ACTIONS!$B39,60))</f>
        <v/>
      </c>
      <c r="N537">
        <f>IF($L537="","",IF(ACTIONS!$E39&lt;&gt;"",ACTIONS!$E39,IF(ACTIONS!$D39&lt;&gt;"",ACTIONS!$D39,"-")))</f>
        <v/>
      </c>
      <c r="O537">
        <f>IF($L537="","",ACTIONS!$G39)</f>
        <v/>
      </c>
      <c r="P537">
        <f>IF($L537="","",ACTIONS!$I39)</f>
        <v/>
      </c>
      <c r="Q537">
        <f>IF($L537="","",ACTIONS!$L39)</f>
        <v/>
      </c>
      <c r="R537">
        <f>ACTIONS!$Q39</f>
        <v/>
      </c>
      <c r="S537">
        <f>ACTIONS!$R39</f>
        <v/>
      </c>
      <c r="T537">
        <f>ACTIONS!$P39</f>
        <v/>
      </c>
    </row>
    <row r="538">
      <c r="G538">
        <f>IF(OR(SETUP!$C$135="",$A$10="",$B$10&lt;&gt;"Equipment"),"","Equipment")</f>
        <v/>
      </c>
      <c r="H538">
        <f>IF($G538="","",SETUP!$C$135)</f>
        <v/>
      </c>
      <c r="I538">
        <f>IF($G538="","",$A$10)</f>
        <v/>
      </c>
      <c r="J538">
        <f>IF($G538="","",IF(COUNTIFS(DOC_TYPE,$I538,DOC_EQP,$H538,DOC_SCOPE,"Equipment",DOC_ACTIVE,1)+COUNTIFS(DOC_TYPE,$I538,DOC_SYS,SETUP!$B$135,DOC_SCOPE,"System",DOC_ACTIVE,1)+COUNTIFS(DOC_TYPE,$I538,DOC_SCOPE,"All",DOC_ACTIVE,1)&gt;0,"",IFERROR(IF($E$10&lt;&gt;"",$E$10-$C$10,SETUP!$D$135-$C$10),60000)+ROW()/1000000))</f>
        <v/>
      </c>
      <c r="L538">
        <f>IF(ACTIONS!$A40="","","Action")</f>
        <v/>
      </c>
      <c r="M538">
        <f>IF($L538="","",ACTIONS!$A40&amp;"  -  "&amp;LEFT(ACTIONS!$B40,60))</f>
        <v/>
      </c>
      <c r="N538">
        <f>IF($L538="","",IF(ACTIONS!$E40&lt;&gt;"",ACTIONS!$E40,IF(ACTIONS!$D40&lt;&gt;"",ACTIONS!$D40,"-")))</f>
        <v/>
      </c>
      <c r="O538">
        <f>IF($L538="","",ACTIONS!$G40)</f>
        <v/>
      </c>
      <c r="P538">
        <f>IF($L538="","",ACTIONS!$I40)</f>
        <v/>
      </c>
      <c r="Q538">
        <f>IF($L538="","",ACTIONS!$L40)</f>
        <v/>
      </c>
      <c r="R538">
        <f>ACTIONS!$Q40</f>
        <v/>
      </c>
      <c r="S538">
        <f>ACTIONS!$R40</f>
        <v/>
      </c>
      <c r="T538">
        <f>ACTIONS!$P40</f>
        <v/>
      </c>
    </row>
    <row r="539">
      <c r="G539">
        <f>IF(OR(SETUP!$C$135="",$A$11="",$B$11&lt;&gt;"Equipment"),"","Equipment")</f>
        <v/>
      </c>
      <c r="H539">
        <f>IF($G539="","",SETUP!$C$135)</f>
        <v/>
      </c>
      <c r="I539">
        <f>IF($G539="","",$A$11)</f>
        <v/>
      </c>
      <c r="J539">
        <f>IF($G539="","",IF(COUNTIFS(DOC_TYPE,$I539,DOC_EQP,$H539,DOC_SCOPE,"Equipment",DOC_ACTIVE,1)+COUNTIFS(DOC_TYPE,$I539,DOC_SYS,SETUP!$B$135,DOC_SCOPE,"System",DOC_ACTIVE,1)+COUNTIFS(DOC_TYPE,$I539,DOC_SCOPE,"All",DOC_ACTIVE,1)&gt;0,"",IFERROR(IF($E$11&lt;&gt;"",$E$11-$C$11,SETUP!$D$135-$C$11),60000)+ROW()/1000000))</f>
        <v/>
      </c>
      <c r="L539">
        <f>IF(ACTIONS!$A41="","","Action")</f>
        <v/>
      </c>
      <c r="M539">
        <f>IF($L539="","",ACTIONS!$A41&amp;"  -  "&amp;LEFT(ACTIONS!$B41,60))</f>
        <v/>
      </c>
      <c r="N539">
        <f>IF($L539="","",IF(ACTIONS!$E41&lt;&gt;"",ACTIONS!$E41,IF(ACTIONS!$D41&lt;&gt;"",ACTIONS!$D41,"-")))</f>
        <v/>
      </c>
      <c r="O539">
        <f>IF($L539="","",ACTIONS!$G41)</f>
        <v/>
      </c>
      <c r="P539">
        <f>IF($L539="","",ACTIONS!$I41)</f>
        <v/>
      </c>
      <c r="Q539">
        <f>IF($L539="","",ACTIONS!$L41)</f>
        <v/>
      </c>
      <c r="R539">
        <f>ACTIONS!$Q41</f>
        <v/>
      </c>
      <c r="S539">
        <f>ACTIONS!$R41</f>
        <v/>
      </c>
      <c r="T539">
        <f>ACTIONS!$P41</f>
        <v/>
      </c>
    </row>
    <row r="540">
      <c r="G540">
        <f>IF(OR(SETUP!$C$135="",$A$12="",$B$12&lt;&gt;"Equipment"),"","Equipment")</f>
        <v/>
      </c>
      <c r="H540">
        <f>IF($G540="","",SETUP!$C$135)</f>
        <v/>
      </c>
      <c r="I540">
        <f>IF($G540="","",$A$12)</f>
        <v/>
      </c>
      <c r="J540">
        <f>IF($G540="","",IF(COUNTIFS(DOC_TYPE,$I540,DOC_EQP,$H540,DOC_SCOPE,"Equipment",DOC_ACTIVE,1)+COUNTIFS(DOC_TYPE,$I540,DOC_SYS,SETUP!$B$135,DOC_SCOPE,"System",DOC_ACTIVE,1)+COUNTIFS(DOC_TYPE,$I540,DOC_SCOPE,"All",DOC_ACTIVE,1)&gt;0,"",IFERROR(IF($E$12&lt;&gt;"",$E$12-$C$12,SETUP!$D$135-$C$12),60000)+ROW()/1000000))</f>
        <v/>
      </c>
      <c r="L540">
        <f>IF(ACTIONS!$A42="","","Action")</f>
        <v/>
      </c>
      <c r="M540">
        <f>IF($L540="","",ACTIONS!$A42&amp;"  -  "&amp;LEFT(ACTIONS!$B42,60))</f>
        <v/>
      </c>
      <c r="N540">
        <f>IF($L540="","",IF(ACTIONS!$E42&lt;&gt;"",ACTIONS!$E42,IF(ACTIONS!$D42&lt;&gt;"",ACTIONS!$D42,"-")))</f>
        <v/>
      </c>
      <c r="O540">
        <f>IF($L540="","",ACTIONS!$G42)</f>
        <v/>
      </c>
      <c r="P540">
        <f>IF($L540="","",ACTIONS!$I42)</f>
        <v/>
      </c>
      <c r="Q540">
        <f>IF($L540="","",ACTIONS!$L42)</f>
        <v/>
      </c>
      <c r="R540">
        <f>ACTIONS!$Q42</f>
        <v/>
      </c>
      <c r="S540">
        <f>ACTIONS!$R42</f>
        <v/>
      </c>
      <c r="T540">
        <f>ACTIONS!$P42</f>
        <v/>
      </c>
    </row>
    <row r="541">
      <c r="G541">
        <f>IF(OR(SETUP!$C$135="",$A$13="",$B$13&lt;&gt;"Equipment"),"","Equipment")</f>
        <v/>
      </c>
      <c r="H541">
        <f>IF($G541="","",SETUP!$C$135)</f>
        <v/>
      </c>
      <c r="I541">
        <f>IF($G541="","",$A$13)</f>
        <v/>
      </c>
      <c r="J541">
        <f>IF($G541="","",IF(COUNTIFS(DOC_TYPE,$I541,DOC_EQP,$H541,DOC_SCOPE,"Equipment",DOC_ACTIVE,1)+COUNTIFS(DOC_TYPE,$I541,DOC_SYS,SETUP!$B$135,DOC_SCOPE,"System",DOC_ACTIVE,1)+COUNTIFS(DOC_TYPE,$I541,DOC_SCOPE,"All",DOC_ACTIVE,1)&gt;0,"",IFERROR(IF($E$13&lt;&gt;"",$E$13-$C$13,SETUP!$D$135-$C$13),60000)+ROW()/1000000))</f>
        <v/>
      </c>
      <c r="L541">
        <f>IF(ACTIONS!$A43="","","Action")</f>
        <v/>
      </c>
      <c r="M541">
        <f>IF($L541="","",ACTIONS!$A43&amp;"  -  "&amp;LEFT(ACTIONS!$B43,60))</f>
        <v/>
      </c>
      <c r="N541">
        <f>IF($L541="","",IF(ACTIONS!$E43&lt;&gt;"",ACTIONS!$E43,IF(ACTIONS!$D43&lt;&gt;"",ACTIONS!$D43,"-")))</f>
        <v/>
      </c>
      <c r="O541">
        <f>IF($L541="","",ACTIONS!$G43)</f>
        <v/>
      </c>
      <c r="P541">
        <f>IF($L541="","",ACTIONS!$I43)</f>
        <v/>
      </c>
      <c r="Q541">
        <f>IF($L541="","",ACTIONS!$L43)</f>
        <v/>
      </c>
      <c r="R541">
        <f>ACTIONS!$Q43</f>
        <v/>
      </c>
      <c r="S541">
        <f>ACTIONS!$R43</f>
        <v/>
      </c>
      <c r="T541">
        <f>ACTIONS!$P43</f>
        <v/>
      </c>
    </row>
    <row r="542">
      <c r="G542">
        <f>IF(OR(SETUP!$C$136="",$A$2="",$B$2&lt;&gt;"Equipment"),"","Equipment")</f>
        <v/>
      </c>
      <c r="H542">
        <f>IF($G542="","",SETUP!$C$136)</f>
        <v/>
      </c>
      <c r="I542">
        <f>IF($G542="","",$A$2)</f>
        <v/>
      </c>
      <c r="J542">
        <f>IF($G542="","",IF(COUNTIFS(DOC_TYPE,$I542,DOC_EQP,$H542,DOC_SCOPE,"Equipment",DOC_ACTIVE,1)+COUNTIFS(DOC_TYPE,$I542,DOC_SYS,SETUP!$B$136,DOC_SCOPE,"System",DOC_ACTIVE,1)+COUNTIFS(DOC_TYPE,$I542,DOC_SCOPE,"All",DOC_ACTIVE,1)&gt;0,"",IFERROR(IF($E$2&lt;&gt;"",$E$2-$C$2,SETUP!$D$136-$C$2),60000)+ROW()/1000000))</f>
        <v/>
      </c>
      <c r="L542">
        <f>IF(ACTIONS!$A44="","","Action")</f>
        <v/>
      </c>
      <c r="M542">
        <f>IF($L542="","",ACTIONS!$A44&amp;"  -  "&amp;LEFT(ACTIONS!$B44,60))</f>
        <v/>
      </c>
      <c r="N542">
        <f>IF($L542="","",IF(ACTIONS!$E44&lt;&gt;"",ACTIONS!$E44,IF(ACTIONS!$D44&lt;&gt;"",ACTIONS!$D44,"-")))</f>
        <v/>
      </c>
      <c r="O542">
        <f>IF($L542="","",ACTIONS!$G44)</f>
        <v/>
      </c>
      <c r="P542">
        <f>IF($L542="","",ACTIONS!$I44)</f>
        <v/>
      </c>
      <c r="Q542">
        <f>IF($L542="","",ACTIONS!$L44)</f>
        <v/>
      </c>
      <c r="R542">
        <f>ACTIONS!$Q44</f>
        <v/>
      </c>
      <c r="S542">
        <f>ACTIONS!$R44</f>
        <v/>
      </c>
      <c r="T542">
        <f>ACTIONS!$P44</f>
        <v/>
      </c>
    </row>
    <row r="543">
      <c r="G543">
        <f>IF(OR(SETUP!$C$136="",$A$3="",$B$3&lt;&gt;"Equipment"),"","Equipment")</f>
        <v/>
      </c>
      <c r="H543">
        <f>IF($G543="","",SETUP!$C$136)</f>
        <v/>
      </c>
      <c r="I543">
        <f>IF($G543="","",$A$3)</f>
        <v/>
      </c>
      <c r="J543">
        <f>IF($G543="","",IF(COUNTIFS(DOC_TYPE,$I543,DOC_EQP,$H543,DOC_SCOPE,"Equipment",DOC_ACTIVE,1)+COUNTIFS(DOC_TYPE,$I543,DOC_SYS,SETUP!$B$136,DOC_SCOPE,"System",DOC_ACTIVE,1)+COUNTIFS(DOC_TYPE,$I543,DOC_SCOPE,"All",DOC_ACTIVE,1)&gt;0,"",IFERROR(IF($E$3&lt;&gt;"",$E$3-$C$3,SETUP!$D$136-$C$3),60000)+ROW()/1000000))</f>
        <v/>
      </c>
      <c r="L543">
        <f>IF(ACTIONS!$A45="","","Action")</f>
        <v/>
      </c>
      <c r="M543">
        <f>IF($L543="","",ACTIONS!$A45&amp;"  -  "&amp;LEFT(ACTIONS!$B45,60))</f>
        <v/>
      </c>
      <c r="N543">
        <f>IF($L543="","",IF(ACTIONS!$E45&lt;&gt;"",ACTIONS!$E45,IF(ACTIONS!$D45&lt;&gt;"",ACTIONS!$D45,"-")))</f>
        <v/>
      </c>
      <c r="O543">
        <f>IF($L543="","",ACTIONS!$G45)</f>
        <v/>
      </c>
      <c r="P543">
        <f>IF($L543="","",ACTIONS!$I45)</f>
        <v/>
      </c>
      <c r="Q543">
        <f>IF($L543="","",ACTIONS!$L45)</f>
        <v/>
      </c>
      <c r="R543">
        <f>ACTIONS!$Q45</f>
        <v/>
      </c>
      <c r="S543">
        <f>ACTIONS!$R45</f>
        <v/>
      </c>
      <c r="T543">
        <f>ACTIONS!$P45</f>
        <v/>
      </c>
    </row>
    <row r="544">
      <c r="G544">
        <f>IF(OR(SETUP!$C$136="",$A$4="",$B$4&lt;&gt;"Equipment"),"","Equipment")</f>
        <v/>
      </c>
      <c r="H544">
        <f>IF($G544="","",SETUP!$C$136)</f>
        <v/>
      </c>
      <c r="I544">
        <f>IF($G544="","",$A$4)</f>
        <v/>
      </c>
      <c r="J544">
        <f>IF($G544="","",IF(COUNTIFS(DOC_TYPE,$I544,DOC_EQP,$H544,DOC_SCOPE,"Equipment",DOC_ACTIVE,1)+COUNTIFS(DOC_TYPE,$I544,DOC_SYS,SETUP!$B$136,DOC_SCOPE,"System",DOC_ACTIVE,1)+COUNTIFS(DOC_TYPE,$I544,DOC_SCOPE,"All",DOC_ACTIVE,1)&gt;0,"",IFERROR(IF($E$4&lt;&gt;"",$E$4-$C$4,SETUP!$D$136-$C$4),60000)+ROW()/1000000))</f>
        <v/>
      </c>
      <c r="L544">
        <f>IF(ACTIONS!$A46="","","Action")</f>
        <v/>
      </c>
      <c r="M544">
        <f>IF($L544="","",ACTIONS!$A46&amp;"  -  "&amp;LEFT(ACTIONS!$B46,60))</f>
        <v/>
      </c>
      <c r="N544">
        <f>IF($L544="","",IF(ACTIONS!$E46&lt;&gt;"",ACTIONS!$E46,IF(ACTIONS!$D46&lt;&gt;"",ACTIONS!$D46,"-")))</f>
        <v/>
      </c>
      <c r="O544">
        <f>IF($L544="","",ACTIONS!$G46)</f>
        <v/>
      </c>
      <c r="P544">
        <f>IF($L544="","",ACTIONS!$I46)</f>
        <v/>
      </c>
      <c r="Q544">
        <f>IF($L544="","",ACTIONS!$L46)</f>
        <v/>
      </c>
      <c r="R544">
        <f>ACTIONS!$Q46</f>
        <v/>
      </c>
      <c r="S544">
        <f>ACTIONS!$R46</f>
        <v/>
      </c>
      <c r="T544">
        <f>ACTIONS!$P46</f>
        <v/>
      </c>
    </row>
    <row r="545">
      <c r="G545">
        <f>IF(OR(SETUP!$C$136="",$A$5="",$B$5&lt;&gt;"Equipment"),"","Equipment")</f>
        <v/>
      </c>
      <c r="H545">
        <f>IF($G545="","",SETUP!$C$136)</f>
        <v/>
      </c>
      <c r="I545">
        <f>IF($G545="","",$A$5)</f>
        <v/>
      </c>
      <c r="J545">
        <f>IF($G545="","",IF(COUNTIFS(DOC_TYPE,$I545,DOC_EQP,$H545,DOC_SCOPE,"Equipment",DOC_ACTIVE,1)+COUNTIFS(DOC_TYPE,$I545,DOC_SYS,SETUP!$B$136,DOC_SCOPE,"System",DOC_ACTIVE,1)+COUNTIFS(DOC_TYPE,$I545,DOC_SCOPE,"All",DOC_ACTIVE,1)&gt;0,"",IFERROR(IF($E$5&lt;&gt;"",$E$5-$C$5,SETUP!$D$136-$C$5),60000)+ROW()/1000000))</f>
        <v/>
      </c>
      <c r="L545">
        <f>IF(ACTIONS!$A47="","","Action")</f>
        <v/>
      </c>
      <c r="M545">
        <f>IF($L545="","",ACTIONS!$A47&amp;"  -  "&amp;LEFT(ACTIONS!$B47,60))</f>
        <v/>
      </c>
      <c r="N545">
        <f>IF($L545="","",IF(ACTIONS!$E47&lt;&gt;"",ACTIONS!$E47,IF(ACTIONS!$D47&lt;&gt;"",ACTIONS!$D47,"-")))</f>
        <v/>
      </c>
      <c r="O545">
        <f>IF($L545="","",ACTIONS!$G47)</f>
        <v/>
      </c>
      <c r="P545">
        <f>IF($L545="","",ACTIONS!$I47)</f>
        <v/>
      </c>
      <c r="Q545">
        <f>IF($L545="","",ACTIONS!$L47)</f>
        <v/>
      </c>
      <c r="R545">
        <f>ACTIONS!$Q47</f>
        <v/>
      </c>
      <c r="S545">
        <f>ACTIONS!$R47</f>
        <v/>
      </c>
      <c r="T545">
        <f>ACTIONS!$P47</f>
        <v/>
      </c>
    </row>
    <row r="546">
      <c r="G546">
        <f>IF(OR(SETUP!$C$136="",$A$6="",$B$6&lt;&gt;"Equipment"),"","Equipment")</f>
        <v/>
      </c>
      <c r="H546">
        <f>IF($G546="","",SETUP!$C$136)</f>
        <v/>
      </c>
      <c r="I546">
        <f>IF($G546="","",$A$6)</f>
        <v/>
      </c>
      <c r="J546">
        <f>IF($G546="","",IF(COUNTIFS(DOC_TYPE,$I546,DOC_EQP,$H546,DOC_SCOPE,"Equipment",DOC_ACTIVE,1)+COUNTIFS(DOC_TYPE,$I546,DOC_SYS,SETUP!$B$136,DOC_SCOPE,"System",DOC_ACTIVE,1)+COUNTIFS(DOC_TYPE,$I546,DOC_SCOPE,"All",DOC_ACTIVE,1)&gt;0,"",IFERROR(IF($E$6&lt;&gt;"",$E$6-$C$6,SETUP!$D$136-$C$6),60000)+ROW()/1000000))</f>
        <v/>
      </c>
      <c r="L546">
        <f>IF(ACTIONS!$A48="","","Action")</f>
        <v/>
      </c>
      <c r="M546">
        <f>IF($L546="","",ACTIONS!$A48&amp;"  -  "&amp;LEFT(ACTIONS!$B48,60))</f>
        <v/>
      </c>
      <c r="N546">
        <f>IF($L546="","",IF(ACTIONS!$E48&lt;&gt;"",ACTIONS!$E48,IF(ACTIONS!$D48&lt;&gt;"",ACTIONS!$D48,"-")))</f>
        <v/>
      </c>
      <c r="O546">
        <f>IF($L546="","",ACTIONS!$G48)</f>
        <v/>
      </c>
      <c r="P546">
        <f>IF($L546="","",ACTIONS!$I48)</f>
        <v/>
      </c>
      <c r="Q546">
        <f>IF($L546="","",ACTIONS!$L48)</f>
        <v/>
      </c>
      <c r="R546">
        <f>ACTIONS!$Q48</f>
        <v/>
      </c>
      <c r="S546">
        <f>ACTIONS!$R48</f>
        <v/>
      </c>
      <c r="T546">
        <f>ACTIONS!$P48</f>
        <v/>
      </c>
    </row>
    <row r="547">
      <c r="G547">
        <f>IF(OR(SETUP!$C$136="",$A$7="",$B$7&lt;&gt;"Equipment"),"","Equipment")</f>
        <v/>
      </c>
      <c r="H547">
        <f>IF($G547="","",SETUP!$C$136)</f>
        <v/>
      </c>
      <c r="I547">
        <f>IF($G547="","",$A$7)</f>
        <v/>
      </c>
      <c r="J547">
        <f>IF($G547="","",IF(COUNTIFS(DOC_TYPE,$I547,DOC_EQP,$H547,DOC_SCOPE,"Equipment",DOC_ACTIVE,1)+COUNTIFS(DOC_TYPE,$I547,DOC_SYS,SETUP!$B$136,DOC_SCOPE,"System",DOC_ACTIVE,1)+COUNTIFS(DOC_TYPE,$I547,DOC_SCOPE,"All",DOC_ACTIVE,1)&gt;0,"",IFERROR(IF($E$7&lt;&gt;"",$E$7-$C$7,SETUP!$D$136-$C$7),60000)+ROW()/1000000))</f>
        <v/>
      </c>
      <c r="L547">
        <f>IF(ACTIONS!$A49="","","Action")</f>
        <v/>
      </c>
      <c r="M547">
        <f>IF($L547="","",ACTIONS!$A49&amp;"  -  "&amp;LEFT(ACTIONS!$B49,60))</f>
        <v/>
      </c>
      <c r="N547">
        <f>IF($L547="","",IF(ACTIONS!$E49&lt;&gt;"",ACTIONS!$E49,IF(ACTIONS!$D49&lt;&gt;"",ACTIONS!$D49,"-")))</f>
        <v/>
      </c>
      <c r="O547">
        <f>IF($L547="","",ACTIONS!$G49)</f>
        <v/>
      </c>
      <c r="P547">
        <f>IF($L547="","",ACTIONS!$I49)</f>
        <v/>
      </c>
      <c r="Q547">
        <f>IF($L547="","",ACTIONS!$L49)</f>
        <v/>
      </c>
      <c r="R547">
        <f>ACTIONS!$Q49</f>
        <v/>
      </c>
      <c r="S547">
        <f>ACTIONS!$R49</f>
        <v/>
      </c>
      <c r="T547">
        <f>ACTIONS!$P49</f>
        <v/>
      </c>
    </row>
    <row r="548">
      <c r="G548">
        <f>IF(OR(SETUP!$C$136="",$A$8="",$B$8&lt;&gt;"Equipment"),"","Equipment")</f>
        <v/>
      </c>
      <c r="H548">
        <f>IF($G548="","",SETUP!$C$136)</f>
        <v/>
      </c>
      <c r="I548">
        <f>IF($G548="","",$A$8)</f>
        <v/>
      </c>
      <c r="J548">
        <f>IF($G548="","",IF(COUNTIFS(DOC_TYPE,$I548,DOC_EQP,$H548,DOC_SCOPE,"Equipment",DOC_ACTIVE,1)+COUNTIFS(DOC_TYPE,$I548,DOC_SYS,SETUP!$B$136,DOC_SCOPE,"System",DOC_ACTIVE,1)+COUNTIFS(DOC_TYPE,$I548,DOC_SCOPE,"All",DOC_ACTIVE,1)&gt;0,"",IFERROR(IF($E$8&lt;&gt;"",$E$8-$C$8,SETUP!$D$136-$C$8),60000)+ROW()/1000000))</f>
        <v/>
      </c>
      <c r="L548">
        <f>IF(ACTIONS!$A50="","","Action")</f>
        <v/>
      </c>
      <c r="M548">
        <f>IF($L548="","",ACTIONS!$A50&amp;"  -  "&amp;LEFT(ACTIONS!$B50,60))</f>
        <v/>
      </c>
      <c r="N548">
        <f>IF($L548="","",IF(ACTIONS!$E50&lt;&gt;"",ACTIONS!$E50,IF(ACTIONS!$D50&lt;&gt;"",ACTIONS!$D50,"-")))</f>
        <v/>
      </c>
      <c r="O548">
        <f>IF($L548="","",ACTIONS!$G50)</f>
        <v/>
      </c>
      <c r="P548">
        <f>IF($L548="","",ACTIONS!$I50)</f>
        <v/>
      </c>
      <c r="Q548">
        <f>IF($L548="","",ACTIONS!$L50)</f>
        <v/>
      </c>
      <c r="R548">
        <f>ACTIONS!$Q50</f>
        <v/>
      </c>
      <c r="S548">
        <f>ACTIONS!$R50</f>
        <v/>
      </c>
      <c r="T548">
        <f>ACTIONS!$P50</f>
        <v/>
      </c>
    </row>
    <row r="549">
      <c r="G549">
        <f>IF(OR(SETUP!$C$136="",$A$9="",$B$9&lt;&gt;"Equipment"),"","Equipment")</f>
        <v/>
      </c>
      <c r="H549">
        <f>IF($G549="","",SETUP!$C$136)</f>
        <v/>
      </c>
      <c r="I549">
        <f>IF($G549="","",$A$9)</f>
        <v/>
      </c>
      <c r="J549">
        <f>IF($G549="","",IF(COUNTIFS(DOC_TYPE,$I549,DOC_EQP,$H549,DOC_SCOPE,"Equipment",DOC_ACTIVE,1)+COUNTIFS(DOC_TYPE,$I549,DOC_SYS,SETUP!$B$136,DOC_SCOPE,"System",DOC_ACTIVE,1)+COUNTIFS(DOC_TYPE,$I549,DOC_SCOPE,"All",DOC_ACTIVE,1)&gt;0,"",IFERROR(IF($E$9&lt;&gt;"",$E$9-$C$9,SETUP!$D$136-$C$9),60000)+ROW()/1000000))</f>
        <v/>
      </c>
      <c r="L549">
        <f>IF(ACTIONS!$A51="","","Action")</f>
        <v/>
      </c>
      <c r="M549">
        <f>IF($L549="","",ACTIONS!$A51&amp;"  -  "&amp;LEFT(ACTIONS!$B51,60))</f>
        <v/>
      </c>
      <c r="N549">
        <f>IF($L549="","",IF(ACTIONS!$E51&lt;&gt;"",ACTIONS!$E51,IF(ACTIONS!$D51&lt;&gt;"",ACTIONS!$D51,"-")))</f>
        <v/>
      </c>
      <c r="O549">
        <f>IF($L549="","",ACTIONS!$G51)</f>
        <v/>
      </c>
      <c r="P549">
        <f>IF($L549="","",ACTIONS!$I51)</f>
        <v/>
      </c>
      <c r="Q549">
        <f>IF($L549="","",ACTIONS!$L51)</f>
        <v/>
      </c>
      <c r="R549">
        <f>ACTIONS!$Q51</f>
        <v/>
      </c>
      <c r="S549">
        <f>ACTIONS!$R51</f>
        <v/>
      </c>
      <c r="T549">
        <f>ACTIONS!$P51</f>
        <v/>
      </c>
    </row>
    <row r="550">
      <c r="G550">
        <f>IF(OR(SETUP!$C$136="",$A$10="",$B$10&lt;&gt;"Equipment"),"","Equipment")</f>
        <v/>
      </c>
      <c r="H550">
        <f>IF($G550="","",SETUP!$C$136)</f>
        <v/>
      </c>
      <c r="I550">
        <f>IF($G550="","",$A$10)</f>
        <v/>
      </c>
      <c r="J550">
        <f>IF($G550="","",IF(COUNTIFS(DOC_TYPE,$I550,DOC_EQP,$H550,DOC_SCOPE,"Equipment",DOC_ACTIVE,1)+COUNTIFS(DOC_TYPE,$I550,DOC_SYS,SETUP!$B$136,DOC_SCOPE,"System",DOC_ACTIVE,1)+COUNTIFS(DOC_TYPE,$I550,DOC_SCOPE,"All",DOC_ACTIVE,1)&gt;0,"",IFERROR(IF($E$10&lt;&gt;"",$E$10-$C$10,SETUP!$D$136-$C$10),60000)+ROW()/1000000))</f>
        <v/>
      </c>
      <c r="L550">
        <f>IF(ACTIONS!$A52="","","Action")</f>
        <v/>
      </c>
      <c r="M550">
        <f>IF($L550="","",ACTIONS!$A52&amp;"  -  "&amp;LEFT(ACTIONS!$B52,60))</f>
        <v/>
      </c>
      <c r="N550">
        <f>IF($L550="","",IF(ACTIONS!$E52&lt;&gt;"",ACTIONS!$E52,IF(ACTIONS!$D52&lt;&gt;"",ACTIONS!$D52,"-")))</f>
        <v/>
      </c>
      <c r="O550">
        <f>IF($L550="","",ACTIONS!$G52)</f>
        <v/>
      </c>
      <c r="P550">
        <f>IF($L550="","",ACTIONS!$I52)</f>
        <v/>
      </c>
      <c r="Q550">
        <f>IF($L550="","",ACTIONS!$L52)</f>
        <v/>
      </c>
      <c r="R550">
        <f>ACTIONS!$Q52</f>
        <v/>
      </c>
      <c r="S550">
        <f>ACTIONS!$R52</f>
        <v/>
      </c>
      <c r="T550">
        <f>ACTIONS!$P52</f>
        <v/>
      </c>
    </row>
    <row r="551">
      <c r="G551">
        <f>IF(OR(SETUP!$C$136="",$A$11="",$B$11&lt;&gt;"Equipment"),"","Equipment")</f>
        <v/>
      </c>
      <c r="H551">
        <f>IF($G551="","",SETUP!$C$136)</f>
        <v/>
      </c>
      <c r="I551">
        <f>IF($G551="","",$A$11)</f>
        <v/>
      </c>
      <c r="J551">
        <f>IF($G551="","",IF(COUNTIFS(DOC_TYPE,$I551,DOC_EQP,$H551,DOC_SCOPE,"Equipment",DOC_ACTIVE,1)+COUNTIFS(DOC_TYPE,$I551,DOC_SYS,SETUP!$B$136,DOC_SCOPE,"System",DOC_ACTIVE,1)+COUNTIFS(DOC_TYPE,$I551,DOC_SCOPE,"All",DOC_ACTIVE,1)&gt;0,"",IFERROR(IF($E$11&lt;&gt;"",$E$11-$C$11,SETUP!$D$136-$C$11),60000)+ROW()/1000000))</f>
        <v/>
      </c>
      <c r="L551">
        <f>IF(ACTIONS!$A53="","","Action")</f>
        <v/>
      </c>
      <c r="M551">
        <f>IF($L551="","",ACTIONS!$A53&amp;"  -  "&amp;LEFT(ACTIONS!$B53,60))</f>
        <v/>
      </c>
      <c r="N551">
        <f>IF($L551="","",IF(ACTIONS!$E53&lt;&gt;"",ACTIONS!$E53,IF(ACTIONS!$D53&lt;&gt;"",ACTIONS!$D53,"-")))</f>
        <v/>
      </c>
      <c r="O551">
        <f>IF($L551="","",ACTIONS!$G53)</f>
        <v/>
      </c>
      <c r="P551">
        <f>IF($L551="","",ACTIONS!$I53)</f>
        <v/>
      </c>
      <c r="Q551">
        <f>IF($L551="","",ACTIONS!$L53)</f>
        <v/>
      </c>
      <c r="R551">
        <f>ACTIONS!$Q53</f>
        <v/>
      </c>
      <c r="S551">
        <f>ACTIONS!$R53</f>
        <v/>
      </c>
      <c r="T551">
        <f>ACTIONS!$P53</f>
        <v/>
      </c>
    </row>
    <row r="552">
      <c r="G552">
        <f>IF(OR(SETUP!$C$136="",$A$12="",$B$12&lt;&gt;"Equipment"),"","Equipment")</f>
        <v/>
      </c>
      <c r="H552">
        <f>IF($G552="","",SETUP!$C$136)</f>
        <v/>
      </c>
      <c r="I552">
        <f>IF($G552="","",$A$12)</f>
        <v/>
      </c>
      <c r="J552">
        <f>IF($G552="","",IF(COUNTIFS(DOC_TYPE,$I552,DOC_EQP,$H552,DOC_SCOPE,"Equipment",DOC_ACTIVE,1)+COUNTIFS(DOC_TYPE,$I552,DOC_SYS,SETUP!$B$136,DOC_SCOPE,"System",DOC_ACTIVE,1)+COUNTIFS(DOC_TYPE,$I552,DOC_SCOPE,"All",DOC_ACTIVE,1)&gt;0,"",IFERROR(IF($E$12&lt;&gt;"",$E$12-$C$12,SETUP!$D$136-$C$12),60000)+ROW()/1000000))</f>
        <v/>
      </c>
      <c r="L552">
        <f>IF(ACTIONS!$A54="","","Action")</f>
        <v/>
      </c>
      <c r="M552">
        <f>IF($L552="","",ACTIONS!$A54&amp;"  -  "&amp;LEFT(ACTIONS!$B54,60))</f>
        <v/>
      </c>
      <c r="N552">
        <f>IF($L552="","",IF(ACTIONS!$E54&lt;&gt;"",ACTIONS!$E54,IF(ACTIONS!$D54&lt;&gt;"",ACTIONS!$D54,"-")))</f>
        <v/>
      </c>
      <c r="O552">
        <f>IF($L552="","",ACTIONS!$G54)</f>
        <v/>
      </c>
      <c r="P552">
        <f>IF($L552="","",ACTIONS!$I54)</f>
        <v/>
      </c>
      <c r="Q552">
        <f>IF($L552="","",ACTIONS!$L54)</f>
        <v/>
      </c>
      <c r="R552">
        <f>ACTIONS!$Q54</f>
        <v/>
      </c>
      <c r="S552">
        <f>ACTIONS!$R54</f>
        <v/>
      </c>
      <c r="T552">
        <f>ACTIONS!$P54</f>
        <v/>
      </c>
    </row>
    <row r="553">
      <c r="G553">
        <f>IF(OR(SETUP!$C$136="",$A$13="",$B$13&lt;&gt;"Equipment"),"","Equipment")</f>
        <v/>
      </c>
      <c r="H553">
        <f>IF($G553="","",SETUP!$C$136)</f>
        <v/>
      </c>
      <c r="I553">
        <f>IF($G553="","",$A$13)</f>
        <v/>
      </c>
      <c r="J553">
        <f>IF($G553="","",IF(COUNTIFS(DOC_TYPE,$I553,DOC_EQP,$H553,DOC_SCOPE,"Equipment",DOC_ACTIVE,1)+COUNTIFS(DOC_TYPE,$I553,DOC_SYS,SETUP!$B$136,DOC_SCOPE,"System",DOC_ACTIVE,1)+COUNTIFS(DOC_TYPE,$I553,DOC_SCOPE,"All",DOC_ACTIVE,1)&gt;0,"",IFERROR(IF($E$13&lt;&gt;"",$E$13-$C$13,SETUP!$D$136-$C$13),60000)+ROW()/1000000))</f>
        <v/>
      </c>
      <c r="L553">
        <f>IF(ACTIONS!$A55="","","Action")</f>
        <v/>
      </c>
      <c r="M553">
        <f>IF($L553="","",ACTIONS!$A55&amp;"  -  "&amp;LEFT(ACTIONS!$B55,60))</f>
        <v/>
      </c>
      <c r="N553">
        <f>IF($L553="","",IF(ACTIONS!$E55&lt;&gt;"",ACTIONS!$E55,IF(ACTIONS!$D55&lt;&gt;"",ACTIONS!$D55,"-")))</f>
        <v/>
      </c>
      <c r="O553">
        <f>IF($L553="","",ACTIONS!$G55)</f>
        <v/>
      </c>
      <c r="P553">
        <f>IF($L553="","",ACTIONS!$I55)</f>
        <v/>
      </c>
      <c r="Q553">
        <f>IF($L553="","",ACTIONS!$L55)</f>
        <v/>
      </c>
      <c r="R553">
        <f>ACTIONS!$Q55</f>
        <v/>
      </c>
      <c r="S553">
        <f>ACTIONS!$R55</f>
        <v/>
      </c>
      <c r="T553">
        <f>ACTIONS!$P55</f>
        <v/>
      </c>
    </row>
    <row r="554">
      <c r="G554">
        <f>IF(OR(SETUP!$C$137="",$A$2="",$B$2&lt;&gt;"Equipment"),"","Equipment")</f>
        <v/>
      </c>
      <c r="H554">
        <f>IF($G554="","",SETUP!$C$137)</f>
        <v/>
      </c>
      <c r="I554">
        <f>IF($G554="","",$A$2)</f>
        <v/>
      </c>
      <c r="J554">
        <f>IF($G554="","",IF(COUNTIFS(DOC_TYPE,$I554,DOC_EQP,$H554,DOC_SCOPE,"Equipment",DOC_ACTIVE,1)+COUNTIFS(DOC_TYPE,$I554,DOC_SYS,SETUP!$B$137,DOC_SCOPE,"System",DOC_ACTIVE,1)+COUNTIFS(DOC_TYPE,$I554,DOC_SCOPE,"All",DOC_ACTIVE,1)&gt;0,"",IFERROR(IF($E$2&lt;&gt;"",$E$2-$C$2,SETUP!$D$137-$C$2),60000)+ROW()/1000000))</f>
        <v/>
      </c>
      <c r="L554">
        <f>IF(ACTIONS!$A56="","","Action")</f>
        <v/>
      </c>
      <c r="M554">
        <f>IF($L554="","",ACTIONS!$A56&amp;"  -  "&amp;LEFT(ACTIONS!$B56,60))</f>
        <v/>
      </c>
      <c r="N554">
        <f>IF($L554="","",IF(ACTIONS!$E56&lt;&gt;"",ACTIONS!$E56,IF(ACTIONS!$D56&lt;&gt;"",ACTIONS!$D56,"-")))</f>
        <v/>
      </c>
      <c r="O554">
        <f>IF($L554="","",ACTIONS!$G56)</f>
        <v/>
      </c>
      <c r="P554">
        <f>IF($L554="","",ACTIONS!$I56)</f>
        <v/>
      </c>
      <c r="Q554">
        <f>IF($L554="","",ACTIONS!$L56)</f>
        <v/>
      </c>
      <c r="R554">
        <f>ACTIONS!$Q56</f>
        <v/>
      </c>
      <c r="S554">
        <f>ACTIONS!$R56</f>
        <v/>
      </c>
      <c r="T554">
        <f>ACTIONS!$P56</f>
        <v/>
      </c>
    </row>
    <row r="555">
      <c r="G555">
        <f>IF(OR(SETUP!$C$137="",$A$3="",$B$3&lt;&gt;"Equipment"),"","Equipment")</f>
        <v/>
      </c>
      <c r="H555">
        <f>IF($G555="","",SETUP!$C$137)</f>
        <v/>
      </c>
      <c r="I555">
        <f>IF($G555="","",$A$3)</f>
        <v/>
      </c>
      <c r="J555">
        <f>IF($G555="","",IF(COUNTIFS(DOC_TYPE,$I555,DOC_EQP,$H555,DOC_SCOPE,"Equipment",DOC_ACTIVE,1)+COUNTIFS(DOC_TYPE,$I555,DOC_SYS,SETUP!$B$137,DOC_SCOPE,"System",DOC_ACTIVE,1)+COUNTIFS(DOC_TYPE,$I555,DOC_SCOPE,"All",DOC_ACTIVE,1)&gt;0,"",IFERROR(IF($E$3&lt;&gt;"",$E$3-$C$3,SETUP!$D$137-$C$3),60000)+ROW()/1000000))</f>
        <v/>
      </c>
      <c r="L555">
        <f>IF(ACTIONS!$A57="","","Action")</f>
        <v/>
      </c>
      <c r="M555">
        <f>IF($L555="","",ACTIONS!$A57&amp;"  -  "&amp;LEFT(ACTIONS!$B57,60))</f>
        <v/>
      </c>
      <c r="N555">
        <f>IF($L555="","",IF(ACTIONS!$E57&lt;&gt;"",ACTIONS!$E57,IF(ACTIONS!$D57&lt;&gt;"",ACTIONS!$D57,"-")))</f>
        <v/>
      </c>
      <c r="O555">
        <f>IF($L555="","",ACTIONS!$G57)</f>
        <v/>
      </c>
      <c r="P555">
        <f>IF($L555="","",ACTIONS!$I57)</f>
        <v/>
      </c>
      <c r="Q555">
        <f>IF($L555="","",ACTIONS!$L57)</f>
        <v/>
      </c>
      <c r="R555">
        <f>ACTIONS!$Q57</f>
        <v/>
      </c>
      <c r="S555">
        <f>ACTIONS!$R57</f>
        <v/>
      </c>
      <c r="T555">
        <f>ACTIONS!$P57</f>
        <v/>
      </c>
    </row>
    <row r="556">
      <c r="G556">
        <f>IF(OR(SETUP!$C$137="",$A$4="",$B$4&lt;&gt;"Equipment"),"","Equipment")</f>
        <v/>
      </c>
      <c r="H556">
        <f>IF($G556="","",SETUP!$C$137)</f>
        <v/>
      </c>
      <c r="I556">
        <f>IF($G556="","",$A$4)</f>
        <v/>
      </c>
      <c r="J556">
        <f>IF($G556="","",IF(COUNTIFS(DOC_TYPE,$I556,DOC_EQP,$H556,DOC_SCOPE,"Equipment",DOC_ACTIVE,1)+COUNTIFS(DOC_TYPE,$I556,DOC_SYS,SETUP!$B$137,DOC_SCOPE,"System",DOC_ACTIVE,1)+COUNTIFS(DOC_TYPE,$I556,DOC_SCOPE,"All",DOC_ACTIVE,1)&gt;0,"",IFERROR(IF($E$4&lt;&gt;"",$E$4-$C$4,SETUP!$D$137-$C$4),60000)+ROW()/1000000))</f>
        <v/>
      </c>
      <c r="L556">
        <f>IF(ACTIONS!$A58="","","Action")</f>
        <v/>
      </c>
      <c r="M556">
        <f>IF($L556="","",ACTIONS!$A58&amp;"  -  "&amp;LEFT(ACTIONS!$B58,60))</f>
        <v/>
      </c>
      <c r="N556">
        <f>IF($L556="","",IF(ACTIONS!$E58&lt;&gt;"",ACTIONS!$E58,IF(ACTIONS!$D58&lt;&gt;"",ACTIONS!$D58,"-")))</f>
        <v/>
      </c>
      <c r="O556">
        <f>IF($L556="","",ACTIONS!$G58)</f>
        <v/>
      </c>
      <c r="P556">
        <f>IF($L556="","",ACTIONS!$I58)</f>
        <v/>
      </c>
      <c r="Q556">
        <f>IF($L556="","",ACTIONS!$L58)</f>
        <v/>
      </c>
      <c r="R556">
        <f>ACTIONS!$Q58</f>
        <v/>
      </c>
      <c r="S556">
        <f>ACTIONS!$R58</f>
        <v/>
      </c>
      <c r="T556">
        <f>ACTIONS!$P58</f>
        <v/>
      </c>
    </row>
    <row r="557">
      <c r="G557">
        <f>IF(OR(SETUP!$C$137="",$A$5="",$B$5&lt;&gt;"Equipment"),"","Equipment")</f>
        <v/>
      </c>
      <c r="H557">
        <f>IF($G557="","",SETUP!$C$137)</f>
        <v/>
      </c>
      <c r="I557">
        <f>IF($G557="","",$A$5)</f>
        <v/>
      </c>
      <c r="J557">
        <f>IF($G557="","",IF(COUNTIFS(DOC_TYPE,$I557,DOC_EQP,$H557,DOC_SCOPE,"Equipment",DOC_ACTIVE,1)+COUNTIFS(DOC_TYPE,$I557,DOC_SYS,SETUP!$B$137,DOC_SCOPE,"System",DOC_ACTIVE,1)+COUNTIFS(DOC_TYPE,$I557,DOC_SCOPE,"All",DOC_ACTIVE,1)&gt;0,"",IFERROR(IF($E$5&lt;&gt;"",$E$5-$C$5,SETUP!$D$137-$C$5),60000)+ROW()/1000000))</f>
        <v/>
      </c>
      <c r="L557">
        <f>IF(ACTIONS!$A59="","","Action")</f>
        <v/>
      </c>
      <c r="M557">
        <f>IF($L557="","",ACTIONS!$A59&amp;"  -  "&amp;LEFT(ACTIONS!$B59,60))</f>
        <v/>
      </c>
      <c r="N557">
        <f>IF($L557="","",IF(ACTIONS!$E59&lt;&gt;"",ACTIONS!$E59,IF(ACTIONS!$D59&lt;&gt;"",ACTIONS!$D59,"-")))</f>
        <v/>
      </c>
      <c r="O557">
        <f>IF($L557="","",ACTIONS!$G59)</f>
        <v/>
      </c>
      <c r="P557">
        <f>IF($L557="","",ACTIONS!$I59)</f>
        <v/>
      </c>
      <c r="Q557">
        <f>IF($L557="","",ACTIONS!$L59)</f>
        <v/>
      </c>
      <c r="R557">
        <f>ACTIONS!$Q59</f>
        <v/>
      </c>
      <c r="S557">
        <f>ACTIONS!$R59</f>
        <v/>
      </c>
      <c r="T557">
        <f>ACTIONS!$P59</f>
        <v/>
      </c>
    </row>
    <row r="558">
      <c r="G558">
        <f>IF(OR(SETUP!$C$137="",$A$6="",$B$6&lt;&gt;"Equipment"),"","Equipment")</f>
        <v/>
      </c>
      <c r="H558">
        <f>IF($G558="","",SETUP!$C$137)</f>
        <v/>
      </c>
      <c r="I558">
        <f>IF($G558="","",$A$6)</f>
        <v/>
      </c>
      <c r="J558">
        <f>IF($G558="","",IF(COUNTIFS(DOC_TYPE,$I558,DOC_EQP,$H558,DOC_SCOPE,"Equipment",DOC_ACTIVE,1)+COUNTIFS(DOC_TYPE,$I558,DOC_SYS,SETUP!$B$137,DOC_SCOPE,"System",DOC_ACTIVE,1)+COUNTIFS(DOC_TYPE,$I558,DOC_SCOPE,"All",DOC_ACTIVE,1)&gt;0,"",IFERROR(IF($E$6&lt;&gt;"",$E$6-$C$6,SETUP!$D$137-$C$6),60000)+ROW()/1000000))</f>
        <v/>
      </c>
      <c r="L558">
        <f>IF(ACTIONS!$A60="","","Action")</f>
        <v/>
      </c>
      <c r="M558">
        <f>IF($L558="","",ACTIONS!$A60&amp;"  -  "&amp;LEFT(ACTIONS!$B60,60))</f>
        <v/>
      </c>
      <c r="N558">
        <f>IF($L558="","",IF(ACTIONS!$E60&lt;&gt;"",ACTIONS!$E60,IF(ACTIONS!$D60&lt;&gt;"",ACTIONS!$D60,"-")))</f>
        <v/>
      </c>
      <c r="O558">
        <f>IF($L558="","",ACTIONS!$G60)</f>
        <v/>
      </c>
      <c r="P558">
        <f>IF($L558="","",ACTIONS!$I60)</f>
        <v/>
      </c>
      <c r="Q558">
        <f>IF($L558="","",ACTIONS!$L60)</f>
        <v/>
      </c>
      <c r="R558">
        <f>ACTIONS!$Q60</f>
        <v/>
      </c>
      <c r="S558">
        <f>ACTIONS!$R60</f>
        <v/>
      </c>
      <c r="T558">
        <f>ACTIONS!$P60</f>
        <v/>
      </c>
    </row>
    <row r="559">
      <c r="G559">
        <f>IF(OR(SETUP!$C$137="",$A$7="",$B$7&lt;&gt;"Equipment"),"","Equipment")</f>
        <v/>
      </c>
      <c r="H559">
        <f>IF($G559="","",SETUP!$C$137)</f>
        <v/>
      </c>
      <c r="I559">
        <f>IF($G559="","",$A$7)</f>
        <v/>
      </c>
      <c r="J559">
        <f>IF($G559="","",IF(COUNTIFS(DOC_TYPE,$I559,DOC_EQP,$H559,DOC_SCOPE,"Equipment",DOC_ACTIVE,1)+COUNTIFS(DOC_TYPE,$I559,DOC_SYS,SETUP!$B$137,DOC_SCOPE,"System",DOC_ACTIVE,1)+COUNTIFS(DOC_TYPE,$I559,DOC_SCOPE,"All",DOC_ACTIVE,1)&gt;0,"",IFERROR(IF($E$7&lt;&gt;"",$E$7-$C$7,SETUP!$D$137-$C$7),60000)+ROW()/1000000))</f>
        <v/>
      </c>
      <c r="L559">
        <f>IF(ACTIONS!$A61="","","Action")</f>
        <v/>
      </c>
      <c r="M559">
        <f>IF($L559="","",ACTIONS!$A61&amp;"  -  "&amp;LEFT(ACTIONS!$B61,60))</f>
        <v/>
      </c>
      <c r="N559">
        <f>IF($L559="","",IF(ACTIONS!$E61&lt;&gt;"",ACTIONS!$E61,IF(ACTIONS!$D61&lt;&gt;"",ACTIONS!$D61,"-")))</f>
        <v/>
      </c>
      <c r="O559">
        <f>IF($L559="","",ACTIONS!$G61)</f>
        <v/>
      </c>
      <c r="P559">
        <f>IF($L559="","",ACTIONS!$I61)</f>
        <v/>
      </c>
      <c r="Q559">
        <f>IF($L559="","",ACTIONS!$L61)</f>
        <v/>
      </c>
      <c r="R559">
        <f>ACTIONS!$Q61</f>
        <v/>
      </c>
      <c r="S559">
        <f>ACTIONS!$R61</f>
        <v/>
      </c>
      <c r="T559">
        <f>ACTIONS!$P61</f>
        <v/>
      </c>
    </row>
    <row r="560">
      <c r="G560">
        <f>IF(OR(SETUP!$C$137="",$A$8="",$B$8&lt;&gt;"Equipment"),"","Equipment")</f>
        <v/>
      </c>
      <c r="H560">
        <f>IF($G560="","",SETUP!$C$137)</f>
        <v/>
      </c>
      <c r="I560">
        <f>IF($G560="","",$A$8)</f>
        <v/>
      </c>
      <c r="J560">
        <f>IF($G560="","",IF(COUNTIFS(DOC_TYPE,$I560,DOC_EQP,$H560,DOC_SCOPE,"Equipment",DOC_ACTIVE,1)+COUNTIFS(DOC_TYPE,$I560,DOC_SYS,SETUP!$B$137,DOC_SCOPE,"System",DOC_ACTIVE,1)+COUNTIFS(DOC_TYPE,$I560,DOC_SCOPE,"All",DOC_ACTIVE,1)&gt;0,"",IFERROR(IF($E$8&lt;&gt;"",$E$8-$C$8,SETUP!$D$137-$C$8),60000)+ROW()/1000000))</f>
        <v/>
      </c>
      <c r="L560">
        <f>IF(ACTIONS!$A62="","","Action")</f>
        <v/>
      </c>
      <c r="M560">
        <f>IF($L560="","",ACTIONS!$A62&amp;"  -  "&amp;LEFT(ACTIONS!$B62,60))</f>
        <v/>
      </c>
      <c r="N560">
        <f>IF($L560="","",IF(ACTIONS!$E62&lt;&gt;"",ACTIONS!$E62,IF(ACTIONS!$D62&lt;&gt;"",ACTIONS!$D62,"-")))</f>
        <v/>
      </c>
      <c r="O560">
        <f>IF($L560="","",ACTIONS!$G62)</f>
        <v/>
      </c>
      <c r="P560">
        <f>IF($L560="","",ACTIONS!$I62)</f>
        <v/>
      </c>
      <c r="Q560">
        <f>IF($L560="","",ACTIONS!$L62)</f>
        <v/>
      </c>
      <c r="R560">
        <f>ACTIONS!$Q62</f>
        <v/>
      </c>
      <c r="S560">
        <f>ACTIONS!$R62</f>
        <v/>
      </c>
      <c r="T560">
        <f>ACTIONS!$P62</f>
        <v/>
      </c>
    </row>
    <row r="561">
      <c r="G561">
        <f>IF(OR(SETUP!$C$137="",$A$9="",$B$9&lt;&gt;"Equipment"),"","Equipment")</f>
        <v/>
      </c>
      <c r="H561">
        <f>IF($G561="","",SETUP!$C$137)</f>
        <v/>
      </c>
      <c r="I561">
        <f>IF($G561="","",$A$9)</f>
        <v/>
      </c>
      <c r="J561">
        <f>IF($G561="","",IF(COUNTIFS(DOC_TYPE,$I561,DOC_EQP,$H561,DOC_SCOPE,"Equipment",DOC_ACTIVE,1)+COUNTIFS(DOC_TYPE,$I561,DOC_SYS,SETUP!$B$137,DOC_SCOPE,"System",DOC_ACTIVE,1)+COUNTIFS(DOC_TYPE,$I561,DOC_SCOPE,"All",DOC_ACTIVE,1)&gt;0,"",IFERROR(IF($E$9&lt;&gt;"",$E$9-$C$9,SETUP!$D$137-$C$9),60000)+ROW()/1000000))</f>
        <v/>
      </c>
      <c r="L561">
        <f>IF(ACTIONS!$A63="","","Action")</f>
        <v/>
      </c>
      <c r="M561">
        <f>IF($L561="","",ACTIONS!$A63&amp;"  -  "&amp;LEFT(ACTIONS!$B63,60))</f>
        <v/>
      </c>
      <c r="N561">
        <f>IF($L561="","",IF(ACTIONS!$E63&lt;&gt;"",ACTIONS!$E63,IF(ACTIONS!$D63&lt;&gt;"",ACTIONS!$D63,"-")))</f>
        <v/>
      </c>
      <c r="O561">
        <f>IF($L561="","",ACTIONS!$G63)</f>
        <v/>
      </c>
      <c r="P561">
        <f>IF($L561="","",ACTIONS!$I63)</f>
        <v/>
      </c>
      <c r="Q561">
        <f>IF($L561="","",ACTIONS!$L63)</f>
        <v/>
      </c>
      <c r="R561">
        <f>ACTIONS!$Q63</f>
        <v/>
      </c>
      <c r="S561">
        <f>ACTIONS!$R63</f>
        <v/>
      </c>
      <c r="T561">
        <f>ACTIONS!$P63</f>
        <v/>
      </c>
    </row>
    <row r="562">
      <c r="G562">
        <f>IF(OR(SETUP!$C$137="",$A$10="",$B$10&lt;&gt;"Equipment"),"","Equipment")</f>
        <v/>
      </c>
      <c r="H562">
        <f>IF($G562="","",SETUP!$C$137)</f>
        <v/>
      </c>
      <c r="I562">
        <f>IF($G562="","",$A$10)</f>
        <v/>
      </c>
      <c r="J562">
        <f>IF($G562="","",IF(COUNTIFS(DOC_TYPE,$I562,DOC_EQP,$H562,DOC_SCOPE,"Equipment",DOC_ACTIVE,1)+COUNTIFS(DOC_TYPE,$I562,DOC_SYS,SETUP!$B$137,DOC_SCOPE,"System",DOC_ACTIVE,1)+COUNTIFS(DOC_TYPE,$I562,DOC_SCOPE,"All",DOC_ACTIVE,1)&gt;0,"",IFERROR(IF($E$10&lt;&gt;"",$E$10-$C$10,SETUP!$D$137-$C$10),60000)+ROW()/1000000))</f>
        <v/>
      </c>
      <c r="L562">
        <f>IF(ACTIONS!$A64="","","Action")</f>
        <v/>
      </c>
      <c r="M562">
        <f>IF($L562="","",ACTIONS!$A64&amp;"  -  "&amp;LEFT(ACTIONS!$B64,60))</f>
        <v/>
      </c>
      <c r="N562">
        <f>IF($L562="","",IF(ACTIONS!$E64&lt;&gt;"",ACTIONS!$E64,IF(ACTIONS!$D64&lt;&gt;"",ACTIONS!$D64,"-")))</f>
        <v/>
      </c>
      <c r="O562">
        <f>IF($L562="","",ACTIONS!$G64)</f>
        <v/>
      </c>
      <c r="P562">
        <f>IF($L562="","",ACTIONS!$I64)</f>
        <v/>
      </c>
      <c r="Q562">
        <f>IF($L562="","",ACTIONS!$L64)</f>
        <v/>
      </c>
      <c r="R562">
        <f>ACTIONS!$Q64</f>
        <v/>
      </c>
      <c r="S562">
        <f>ACTIONS!$R64</f>
        <v/>
      </c>
      <c r="T562">
        <f>ACTIONS!$P64</f>
        <v/>
      </c>
    </row>
    <row r="563">
      <c r="G563">
        <f>IF(OR(SETUP!$C$137="",$A$11="",$B$11&lt;&gt;"Equipment"),"","Equipment")</f>
        <v/>
      </c>
      <c r="H563">
        <f>IF($G563="","",SETUP!$C$137)</f>
        <v/>
      </c>
      <c r="I563">
        <f>IF($G563="","",$A$11)</f>
        <v/>
      </c>
      <c r="J563">
        <f>IF($G563="","",IF(COUNTIFS(DOC_TYPE,$I563,DOC_EQP,$H563,DOC_SCOPE,"Equipment",DOC_ACTIVE,1)+COUNTIFS(DOC_TYPE,$I563,DOC_SYS,SETUP!$B$137,DOC_SCOPE,"System",DOC_ACTIVE,1)+COUNTIFS(DOC_TYPE,$I563,DOC_SCOPE,"All",DOC_ACTIVE,1)&gt;0,"",IFERROR(IF($E$11&lt;&gt;"",$E$11-$C$11,SETUP!$D$137-$C$11),60000)+ROW()/1000000))</f>
        <v/>
      </c>
      <c r="L563">
        <f>IF(ACTIONS!$A65="","","Action")</f>
        <v/>
      </c>
      <c r="M563">
        <f>IF($L563="","",ACTIONS!$A65&amp;"  -  "&amp;LEFT(ACTIONS!$B65,60))</f>
        <v/>
      </c>
      <c r="N563">
        <f>IF($L563="","",IF(ACTIONS!$E65&lt;&gt;"",ACTIONS!$E65,IF(ACTIONS!$D65&lt;&gt;"",ACTIONS!$D65,"-")))</f>
        <v/>
      </c>
      <c r="O563">
        <f>IF($L563="","",ACTIONS!$G65)</f>
        <v/>
      </c>
      <c r="P563">
        <f>IF($L563="","",ACTIONS!$I65)</f>
        <v/>
      </c>
      <c r="Q563">
        <f>IF($L563="","",ACTIONS!$L65)</f>
        <v/>
      </c>
      <c r="R563">
        <f>ACTIONS!$Q65</f>
        <v/>
      </c>
      <c r="S563">
        <f>ACTIONS!$R65</f>
        <v/>
      </c>
      <c r="T563">
        <f>ACTIONS!$P65</f>
        <v/>
      </c>
    </row>
    <row r="564">
      <c r="G564">
        <f>IF(OR(SETUP!$C$137="",$A$12="",$B$12&lt;&gt;"Equipment"),"","Equipment")</f>
        <v/>
      </c>
      <c r="H564">
        <f>IF($G564="","",SETUP!$C$137)</f>
        <v/>
      </c>
      <c r="I564">
        <f>IF($G564="","",$A$12)</f>
        <v/>
      </c>
      <c r="J564">
        <f>IF($G564="","",IF(COUNTIFS(DOC_TYPE,$I564,DOC_EQP,$H564,DOC_SCOPE,"Equipment",DOC_ACTIVE,1)+COUNTIFS(DOC_TYPE,$I564,DOC_SYS,SETUP!$B$137,DOC_SCOPE,"System",DOC_ACTIVE,1)+COUNTIFS(DOC_TYPE,$I564,DOC_SCOPE,"All",DOC_ACTIVE,1)&gt;0,"",IFERROR(IF($E$12&lt;&gt;"",$E$12-$C$12,SETUP!$D$137-$C$12),60000)+ROW()/1000000))</f>
        <v/>
      </c>
      <c r="L564">
        <f>IF(ACTIONS!$A66="","","Action")</f>
        <v/>
      </c>
      <c r="M564">
        <f>IF($L564="","",ACTIONS!$A66&amp;"  -  "&amp;LEFT(ACTIONS!$B66,60))</f>
        <v/>
      </c>
      <c r="N564">
        <f>IF($L564="","",IF(ACTIONS!$E66&lt;&gt;"",ACTIONS!$E66,IF(ACTIONS!$D66&lt;&gt;"",ACTIONS!$D66,"-")))</f>
        <v/>
      </c>
      <c r="O564">
        <f>IF($L564="","",ACTIONS!$G66)</f>
        <v/>
      </c>
      <c r="P564">
        <f>IF($L564="","",ACTIONS!$I66)</f>
        <v/>
      </c>
      <c r="Q564">
        <f>IF($L564="","",ACTIONS!$L66)</f>
        <v/>
      </c>
      <c r="R564">
        <f>ACTIONS!$Q66</f>
        <v/>
      </c>
      <c r="S564">
        <f>ACTIONS!$R66</f>
        <v/>
      </c>
      <c r="T564">
        <f>ACTIONS!$P66</f>
        <v/>
      </c>
    </row>
    <row r="565">
      <c r="G565">
        <f>IF(OR(SETUP!$C$137="",$A$13="",$B$13&lt;&gt;"Equipment"),"","Equipment")</f>
        <v/>
      </c>
      <c r="H565">
        <f>IF($G565="","",SETUP!$C$137)</f>
        <v/>
      </c>
      <c r="I565">
        <f>IF($G565="","",$A$13)</f>
        <v/>
      </c>
      <c r="J565">
        <f>IF($G565="","",IF(COUNTIFS(DOC_TYPE,$I565,DOC_EQP,$H565,DOC_SCOPE,"Equipment",DOC_ACTIVE,1)+COUNTIFS(DOC_TYPE,$I565,DOC_SYS,SETUP!$B$137,DOC_SCOPE,"System",DOC_ACTIVE,1)+COUNTIFS(DOC_TYPE,$I565,DOC_SCOPE,"All",DOC_ACTIVE,1)&gt;0,"",IFERROR(IF($E$13&lt;&gt;"",$E$13-$C$13,SETUP!$D$137-$C$13),60000)+ROW()/1000000))</f>
        <v/>
      </c>
      <c r="L565">
        <f>IF(ACTIONS!$A67="","","Action")</f>
        <v/>
      </c>
      <c r="M565">
        <f>IF($L565="","",ACTIONS!$A67&amp;"  -  "&amp;LEFT(ACTIONS!$B67,60))</f>
        <v/>
      </c>
      <c r="N565">
        <f>IF($L565="","",IF(ACTIONS!$E67&lt;&gt;"",ACTIONS!$E67,IF(ACTIONS!$D67&lt;&gt;"",ACTIONS!$D67,"-")))</f>
        <v/>
      </c>
      <c r="O565">
        <f>IF($L565="","",ACTIONS!$G67)</f>
        <v/>
      </c>
      <c r="P565">
        <f>IF($L565="","",ACTIONS!$I67)</f>
        <v/>
      </c>
      <c r="Q565">
        <f>IF($L565="","",ACTIONS!$L67)</f>
        <v/>
      </c>
      <c r="R565">
        <f>ACTIONS!$Q67</f>
        <v/>
      </c>
      <c r="S565">
        <f>ACTIONS!$R67</f>
        <v/>
      </c>
      <c r="T565">
        <f>ACTIONS!$P67</f>
        <v/>
      </c>
    </row>
    <row r="566">
      <c r="G566">
        <f>IF(OR(SETUP!$C$138="",$A$2="",$B$2&lt;&gt;"Equipment"),"","Equipment")</f>
        <v/>
      </c>
      <c r="H566">
        <f>IF($G566="","",SETUP!$C$138)</f>
        <v/>
      </c>
      <c r="I566">
        <f>IF($G566="","",$A$2)</f>
        <v/>
      </c>
      <c r="J566">
        <f>IF($G566="","",IF(COUNTIFS(DOC_TYPE,$I566,DOC_EQP,$H566,DOC_SCOPE,"Equipment",DOC_ACTIVE,1)+COUNTIFS(DOC_TYPE,$I566,DOC_SYS,SETUP!$B$138,DOC_SCOPE,"System",DOC_ACTIVE,1)+COUNTIFS(DOC_TYPE,$I566,DOC_SCOPE,"All",DOC_ACTIVE,1)&gt;0,"",IFERROR(IF($E$2&lt;&gt;"",$E$2-$C$2,SETUP!$D$138-$C$2),60000)+ROW()/1000000))</f>
        <v/>
      </c>
      <c r="L566">
        <f>IF(ACTIONS!$A68="","","Action")</f>
        <v/>
      </c>
      <c r="M566">
        <f>IF($L566="","",ACTIONS!$A68&amp;"  -  "&amp;LEFT(ACTIONS!$B68,60))</f>
        <v/>
      </c>
      <c r="N566">
        <f>IF($L566="","",IF(ACTIONS!$E68&lt;&gt;"",ACTIONS!$E68,IF(ACTIONS!$D68&lt;&gt;"",ACTIONS!$D68,"-")))</f>
        <v/>
      </c>
      <c r="O566">
        <f>IF($L566="","",ACTIONS!$G68)</f>
        <v/>
      </c>
      <c r="P566">
        <f>IF($L566="","",ACTIONS!$I68)</f>
        <v/>
      </c>
      <c r="Q566">
        <f>IF($L566="","",ACTIONS!$L68)</f>
        <v/>
      </c>
      <c r="R566">
        <f>ACTIONS!$Q68</f>
        <v/>
      </c>
      <c r="S566">
        <f>ACTIONS!$R68</f>
        <v/>
      </c>
      <c r="T566">
        <f>ACTIONS!$P68</f>
        <v/>
      </c>
    </row>
    <row r="567">
      <c r="G567">
        <f>IF(OR(SETUP!$C$138="",$A$3="",$B$3&lt;&gt;"Equipment"),"","Equipment")</f>
        <v/>
      </c>
      <c r="H567">
        <f>IF($G567="","",SETUP!$C$138)</f>
        <v/>
      </c>
      <c r="I567">
        <f>IF($G567="","",$A$3)</f>
        <v/>
      </c>
      <c r="J567">
        <f>IF($G567="","",IF(COUNTIFS(DOC_TYPE,$I567,DOC_EQP,$H567,DOC_SCOPE,"Equipment",DOC_ACTIVE,1)+COUNTIFS(DOC_TYPE,$I567,DOC_SYS,SETUP!$B$138,DOC_SCOPE,"System",DOC_ACTIVE,1)+COUNTIFS(DOC_TYPE,$I567,DOC_SCOPE,"All",DOC_ACTIVE,1)&gt;0,"",IFERROR(IF($E$3&lt;&gt;"",$E$3-$C$3,SETUP!$D$138-$C$3),60000)+ROW()/1000000))</f>
        <v/>
      </c>
      <c r="L567">
        <f>IF(ACTIONS!$A69="","","Action")</f>
        <v/>
      </c>
      <c r="M567">
        <f>IF($L567="","",ACTIONS!$A69&amp;"  -  "&amp;LEFT(ACTIONS!$B69,60))</f>
        <v/>
      </c>
      <c r="N567">
        <f>IF($L567="","",IF(ACTIONS!$E69&lt;&gt;"",ACTIONS!$E69,IF(ACTIONS!$D69&lt;&gt;"",ACTIONS!$D69,"-")))</f>
        <v/>
      </c>
      <c r="O567">
        <f>IF($L567="","",ACTIONS!$G69)</f>
        <v/>
      </c>
      <c r="P567">
        <f>IF($L567="","",ACTIONS!$I69)</f>
        <v/>
      </c>
      <c r="Q567">
        <f>IF($L567="","",ACTIONS!$L69)</f>
        <v/>
      </c>
      <c r="R567">
        <f>ACTIONS!$Q69</f>
        <v/>
      </c>
      <c r="S567">
        <f>ACTIONS!$R69</f>
        <v/>
      </c>
      <c r="T567">
        <f>ACTIONS!$P69</f>
        <v/>
      </c>
    </row>
    <row r="568">
      <c r="G568">
        <f>IF(OR(SETUP!$C$138="",$A$4="",$B$4&lt;&gt;"Equipment"),"","Equipment")</f>
        <v/>
      </c>
      <c r="H568">
        <f>IF($G568="","",SETUP!$C$138)</f>
        <v/>
      </c>
      <c r="I568">
        <f>IF($G568="","",$A$4)</f>
        <v/>
      </c>
      <c r="J568">
        <f>IF($G568="","",IF(COUNTIFS(DOC_TYPE,$I568,DOC_EQP,$H568,DOC_SCOPE,"Equipment",DOC_ACTIVE,1)+COUNTIFS(DOC_TYPE,$I568,DOC_SYS,SETUP!$B$138,DOC_SCOPE,"System",DOC_ACTIVE,1)+COUNTIFS(DOC_TYPE,$I568,DOC_SCOPE,"All",DOC_ACTIVE,1)&gt;0,"",IFERROR(IF($E$4&lt;&gt;"",$E$4-$C$4,SETUP!$D$138-$C$4),60000)+ROW()/1000000))</f>
        <v/>
      </c>
      <c r="L568">
        <f>IF(ACTIONS!$A70="","","Action")</f>
        <v/>
      </c>
      <c r="M568">
        <f>IF($L568="","",ACTIONS!$A70&amp;"  -  "&amp;LEFT(ACTIONS!$B70,60))</f>
        <v/>
      </c>
      <c r="N568">
        <f>IF($L568="","",IF(ACTIONS!$E70&lt;&gt;"",ACTIONS!$E70,IF(ACTIONS!$D70&lt;&gt;"",ACTIONS!$D70,"-")))</f>
        <v/>
      </c>
      <c r="O568">
        <f>IF($L568="","",ACTIONS!$G70)</f>
        <v/>
      </c>
      <c r="P568">
        <f>IF($L568="","",ACTIONS!$I70)</f>
        <v/>
      </c>
      <c r="Q568">
        <f>IF($L568="","",ACTIONS!$L70)</f>
        <v/>
      </c>
      <c r="R568">
        <f>ACTIONS!$Q70</f>
        <v/>
      </c>
      <c r="S568">
        <f>ACTIONS!$R70</f>
        <v/>
      </c>
      <c r="T568">
        <f>ACTIONS!$P70</f>
        <v/>
      </c>
    </row>
    <row r="569">
      <c r="G569">
        <f>IF(OR(SETUP!$C$138="",$A$5="",$B$5&lt;&gt;"Equipment"),"","Equipment")</f>
        <v/>
      </c>
      <c r="H569">
        <f>IF($G569="","",SETUP!$C$138)</f>
        <v/>
      </c>
      <c r="I569">
        <f>IF($G569="","",$A$5)</f>
        <v/>
      </c>
      <c r="J569">
        <f>IF($G569="","",IF(COUNTIFS(DOC_TYPE,$I569,DOC_EQP,$H569,DOC_SCOPE,"Equipment",DOC_ACTIVE,1)+COUNTIFS(DOC_TYPE,$I569,DOC_SYS,SETUP!$B$138,DOC_SCOPE,"System",DOC_ACTIVE,1)+COUNTIFS(DOC_TYPE,$I569,DOC_SCOPE,"All",DOC_ACTIVE,1)&gt;0,"",IFERROR(IF($E$5&lt;&gt;"",$E$5-$C$5,SETUP!$D$138-$C$5),60000)+ROW()/1000000))</f>
        <v/>
      </c>
      <c r="L569">
        <f>IF(ACTIONS!$A71="","","Action")</f>
        <v/>
      </c>
      <c r="M569">
        <f>IF($L569="","",ACTIONS!$A71&amp;"  -  "&amp;LEFT(ACTIONS!$B71,60))</f>
        <v/>
      </c>
      <c r="N569">
        <f>IF($L569="","",IF(ACTIONS!$E71&lt;&gt;"",ACTIONS!$E71,IF(ACTIONS!$D71&lt;&gt;"",ACTIONS!$D71,"-")))</f>
        <v/>
      </c>
      <c r="O569">
        <f>IF($L569="","",ACTIONS!$G71)</f>
        <v/>
      </c>
      <c r="P569">
        <f>IF($L569="","",ACTIONS!$I71)</f>
        <v/>
      </c>
      <c r="Q569">
        <f>IF($L569="","",ACTIONS!$L71)</f>
        <v/>
      </c>
      <c r="R569">
        <f>ACTIONS!$Q71</f>
        <v/>
      </c>
      <c r="S569">
        <f>ACTIONS!$R71</f>
        <v/>
      </c>
      <c r="T569">
        <f>ACTIONS!$P71</f>
        <v/>
      </c>
    </row>
    <row r="570">
      <c r="G570">
        <f>IF(OR(SETUP!$C$138="",$A$6="",$B$6&lt;&gt;"Equipment"),"","Equipment")</f>
        <v/>
      </c>
      <c r="H570">
        <f>IF($G570="","",SETUP!$C$138)</f>
        <v/>
      </c>
      <c r="I570">
        <f>IF($G570="","",$A$6)</f>
        <v/>
      </c>
      <c r="J570">
        <f>IF($G570="","",IF(COUNTIFS(DOC_TYPE,$I570,DOC_EQP,$H570,DOC_SCOPE,"Equipment",DOC_ACTIVE,1)+COUNTIFS(DOC_TYPE,$I570,DOC_SYS,SETUP!$B$138,DOC_SCOPE,"System",DOC_ACTIVE,1)+COUNTIFS(DOC_TYPE,$I570,DOC_SCOPE,"All",DOC_ACTIVE,1)&gt;0,"",IFERROR(IF($E$6&lt;&gt;"",$E$6-$C$6,SETUP!$D$138-$C$6),60000)+ROW()/1000000))</f>
        <v/>
      </c>
      <c r="L570">
        <f>IF(ACTIONS!$A72="","","Action")</f>
        <v/>
      </c>
      <c r="M570">
        <f>IF($L570="","",ACTIONS!$A72&amp;"  -  "&amp;LEFT(ACTIONS!$B72,60))</f>
        <v/>
      </c>
      <c r="N570">
        <f>IF($L570="","",IF(ACTIONS!$E72&lt;&gt;"",ACTIONS!$E72,IF(ACTIONS!$D72&lt;&gt;"",ACTIONS!$D72,"-")))</f>
        <v/>
      </c>
      <c r="O570">
        <f>IF($L570="","",ACTIONS!$G72)</f>
        <v/>
      </c>
      <c r="P570">
        <f>IF($L570="","",ACTIONS!$I72)</f>
        <v/>
      </c>
      <c r="Q570">
        <f>IF($L570="","",ACTIONS!$L72)</f>
        <v/>
      </c>
      <c r="R570">
        <f>ACTIONS!$Q72</f>
        <v/>
      </c>
      <c r="S570">
        <f>ACTIONS!$R72</f>
        <v/>
      </c>
      <c r="T570">
        <f>ACTIONS!$P72</f>
        <v/>
      </c>
    </row>
    <row r="571">
      <c r="G571">
        <f>IF(OR(SETUP!$C$138="",$A$7="",$B$7&lt;&gt;"Equipment"),"","Equipment")</f>
        <v/>
      </c>
      <c r="H571">
        <f>IF($G571="","",SETUP!$C$138)</f>
        <v/>
      </c>
      <c r="I571">
        <f>IF($G571="","",$A$7)</f>
        <v/>
      </c>
      <c r="J571">
        <f>IF($G571="","",IF(COUNTIFS(DOC_TYPE,$I571,DOC_EQP,$H571,DOC_SCOPE,"Equipment",DOC_ACTIVE,1)+COUNTIFS(DOC_TYPE,$I571,DOC_SYS,SETUP!$B$138,DOC_SCOPE,"System",DOC_ACTIVE,1)+COUNTIFS(DOC_TYPE,$I571,DOC_SCOPE,"All",DOC_ACTIVE,1)&gt;0,"",IFERROR(IF($E$7&lt;&gt;"",$E$7-$C$7,SETUP!$D$138-$C$7),60000)+ROW()/1000000))</f>
        <v/>
      </c>
      <c r="L571">
        <f>IF(ACTIONS!$A73="","","Action")</f>
        <v/>
      </c>
      <c r="M571">
        <f>IF($L571="","",ACTIONS!$A73&amp;"  -  "&amp;LEFT(ACTIONS!$B73,60))</f>
        <v/>
      </c>
      <c r="N571">
        <f>IF($L571="","",IF(ACTIONS!$E73&lt;&gt;"",ACTIONS!$E73,IF(ACTIONS!$D73&lt;&gt;"",ACTIONS!$D73,"-")))</f>
        <v/>
      </c>
      <c r="O571">
        <f>IF($L571="","",ACTIONS!$G73)</f>
        <v/>
      </c>
      <c r="P571">
        <f>IF($L571="","",ACTIONS!$I73)</f>
        <v/>
      </c>
      <c r="Q571">
        <f>IF($L571="","",ACTIONS!$L73)</f>
        <v/>
      </c>
      <c r="R571">
        <f>ACTIONS!$Q73</f>
        <v/>
      </c>
      <c r="S571">
        <f>ACTIONS!$R73</f>
        <v/>
      </c>
      <c r="T571">
        <f>ACTIONS!$P73</f>
        <v/>
      </c>
    </row>
    <row r="572">
      <c r="G572">
        <f>IF(OR(SETUP!$C$138="",$A$8="",$B$8&lt;&gt;"Equipment"),"","Equipment")</f>
        <v/>
      </c>
      <c r="H572">
        <f>IF($G572="","",SETUP!$C$138)</f>
        <v/>
      </c>
      <c r="I572">
        <f>IF($G572="","",$A$8)</f>
        <v/>
      </c>
      <c r="J572">
        <f>IF($G572="","",IF(COUNTIFS(DOC_TYPE,$I572,DOC_EQP,$H572,DOC_SCOPE,"Equipment",DOC_ACTIVE,1)+COUNTIFS(DOC_TYPE,$I572,DOC_SYS,SETUP!$B$138,DOC_SCOPE,"System",DOC_ACTIVE,1)+COUNTIFS(DOC_TYPE,$I572,DOC_SCOPE,"All",DOC_ACTIVE,1)&gt;0,"",IFERROR(IF($E$8&lt;&gt;"",$E$8-$C$8,SETUP!$D$138-$C$8),60000)+ROW()/1000000))</f>
        <v/>
      </c>
      <c r="L572">
        <f>IF(ACTIONS!$A74="","","Action")</f>
        <v/>
      </c>
      <c r="M572">
        <f>IF($L572="","",ACTIONS!$A74&amp;"  -  "&amp;LEFT(ACTIONS!$B74,60))</f>
        <v/>
      </c>
      <c r="N572">
        <f>IF($L572="","",IF(ACTIONS!$E74&lt;&gt;"",ACTIONS!$E74,IF(ACTIONS!$D74&lt;&gt;"",ACTIONS!$D74,"-")))</f>
        <v/>
      </c>
      <c r="O572">
        <f>IF($L572="","",ACTIONS!$G74)</f>
        <v/>
      </c>
      <c r="P572">
        <f>IF($L572="","",ACTIONS!$I74)</f>
        <v/>
      </c>
      <c r="Q572">
        <f>IF($L572="","",ACTIONS!$L74)</f>
        <v/>
      </c>
      <c r="R572">
        <f>ACTIONS!$Q74</f>
        <v/>
      </c>
      <c r="S572">
        <f>ACTIONS!$R74</f>
        <v/>
      </c>
      <c r="T572">
        <f>ACTIONS!$P74</f>
        <v/>
      </c>
    </row>
    <row r="573">
      <c r="G573">
        <f>IF(OR(SETUP!$C$138="",$A$9="",$B$9&lt;&gt;"Equipment"),"","Equipment")</f>
        <v/>
      </c>
      <c r="H573">
        <f>IF($G573="","",SETUP!$C$138)</f>
        <v/>
      </c>
      <c r="I573">
        <f>IF($G573="","",$A$9)</f>
        <v/>
      </c>
      <c r="J573">
        <f>IF($G573="","",IF(COUNTIFS(DOC_TYPE,$I573,DOC_EQP,$H573,DOC_SCOPE,"Equipment",DOC_ACTIVE,1)+COUNTIFS(DOC_TYPE,$I573,DOC_SYS,SETUP!$B$138,DOC_SCOPE,"System",DOC_ACTIVE,1)+COUNTIFS(DOC_TYPE,$I573,DOC_SCOPE,"All",DOC_ACTIVE,1)&gt;0,"",IFERROR(IF($E$9&lt;&gt;"",$E$9-$C$9,SETUP!$D$138-$C$9),60000)+ROW()/1000000))</f>
        <v/>
      </c>
      <c r="L573">
        <f>IF(ACTIONS!$A75="","","Action")</f>
        <v/>
      </c>
      <c r="M573">
        <f>IF($L573="","",ACTIONS!$A75&amp;"  -  "&amp;LEFT(ACTIONS!$B75,60))</f>
        <v/>
      </c>
      <c r="N573">
        <f>IF($L573="","",IF(ACTIONS!$E75&lt;&gt;"",ACTIONS!$E75,IF(ACTIONS!$D75&lt;&gt;"",ACTIONS!$D75,"-")))</f>
        <v/>
      </c>
      <c r="O573">
        <f>IF($L573="","",ACTIONS!$G75)</f>
        <v/>
      </c>
      <c r="P573">
        <f>IF($L573="","",ACTIONS!$I75)</f>
        <v/>
      </c>
      <c r="Q573">
        <f>IF($L573="","",ACTIONS!$L75)</f>
        <v/>
      </c>
      <c r="R573">
        <f>ACTIONS!$Q75</f>
        <v/>
      </c>
      <c r="S573">
        <f>ACTIONS!$R75</f>
        <v/>
      </c>
      <c r="T573">
        <f>ACTIONS!$P75</f>
        <v/>
      </c>
    </row>
    <row r="574">
      <c r="G574">
        <f>IF(OR(SETUP!$C$138="",$A$10="",$B$10&lt;&gt;"Equipment"),"","Equipment")</f>
        <v/>
      </c>
      <c r="H574">
        <f>IF($G574="","",SETUP!$C$138)</f>
        <v/>
      </c>
      <c r="I574">
        <f>IF($G574="","",$A$10)</f>
        <v/>
      </c>
      <c r="J574">
        <f>IF($G574="","",IF(COUNTIFS(DOC_TYPE,$I574,DOC_EQP,$H574,DOC_SCOPE,"Equipment",DOC_ACTIVE,1)+COUNTIFS(DOC_TYPE,$I574,DOC_SYS,SETUP!$B$138,DOC_SCOPE,"System",DOC_ACTIVE,1)+COUNTIFS(DOC_TYPE,$I574,DOC_SCOPE,"All",DOC_ACTIVE,1)&gt;0,"",IFERROR(IF($E$10&lt;&gt;"",$E$10-$C$10,SETUP!$D$138-$C$10),60000)+ROW()/1000000))</f>
        <v/>
      </c>
      <c r="L574">
        <f>IF(ACTIONS!$A76="","","Action")</f>
        <v/>
      </c>
      <c r="M574">
        <f>IF($L574="","",ACTIONS!$A76&amp;"  -  "&amp;LEFT(ACTIONS!$B76,60))</f>
        <v/>
      </c>
      <c r="N574">
        <f>IF($L574="","",IF(ACTIONS!$E76&lt;&gt;"",ACTIONS!$E76,IF(ACTIONS!$D76&lt;&gt;"",ACTIONS!$D76,"-")))</f>
        <v/>
      </c>
      <c r="O574">
        <f>IF($L574="","",ACTIONS!$G76)</f>
        <v/>
      </c>
      <c r="P574">
        <f>IF($L574="","",ACTIONS!$I76)</f>
        <v/>
      </c>
      <c r="Q574">
        <f>IF($L574="","",ACTIONS!$L76)</f>
        <v/>
      </c>
      <c r="R574">
        <f>ACTIONS!$Q76</f>
        <v/>
      </c>
      <c r="S574">
        <f>ACTIONS!$R76</f>
        <v/>
      </c>
      <c r="T574">
        <f>ACTIONS!$P76</f>
        <v/>
      </c>
    </row>
    <row r="575">
      <c r="G575">
        <f>IF(OR(SETUP!$C$138="",$A$11="",$B$11&lt;&gt;"Equipment"),"","Equipment")</f>
        <v/>
      </c>
      <c r="H575">
        <f>IF($G575="","",SETUP!$C$138)</f>
        <v/>
      </c>
      <c r="I575">
        <f>IF($G575="","",$A$11)</f>
        <v/>
      </c>
      <c r="J575">
        <f>IF($G575="","",IF(COUNTIFS(DOC_TYPE,$I575,DOC_EQP,$H575,DOC_SCOPE,"Equipment",DOC_ACTIVE,1)+COUNTIFS(DOC_TYPE,$I575,DOC_SYS,SETUP!$B$138,DOC_SCOPE,"System",DOC_ACTIVE,1)+COUNTIFS(DOC_TYPE,$I575,DOC_SCOPE,"All",DOC_ACTIVE,1)&gt;0,"",IFERROR(IF($E$11&lt;&gt;"",$E$11-$C$11,SETUP!$D$138-$C$11),60000)+ROW()/1000000))</f>
        <v/>
      </c>
      <c r="L575">
        <f>IF(ACTIONS!$A77="","","Action")</f>
        <v/>
      </c>
      <c r="M575">
        <f>IF($L575="","",ACTIONS!$A77&amp;"  -  "&amp;LEFT(ACTIONS!$B77,60))</f>
        <v/>
      </c>
      <c r="N575">
        <f>IF($L575="","",IF(ACTIONS!$E77&lt;&gt;"",ACTIONS!$E77,IF(ACTIONS!$D77&lt;&gt;"",ACTIONS!$D77,"-")))</f>
        <v/>
      </c>
      <c r="O575">
        <f>IF($L575="","",ACTIONS!$G77)</f>
        <v/>
      </c>
      <c r="P575">
        <f>IF($L575="","",ACTIONS!$I77)</f>
        <v/>
      </c>
      <c r="Q575">
        <f>IF($L575="","",ACTIONS!$L77)</f>
        <v/>
      </c>
      <c r="R575">
        <f>ACTIONS!$Q77</f>
        <v/>
      </c>
      <c r="S575">
        <f>ACTIONS!$R77</f>
        <v/>
      </c>
      <c r="T575">
        <f>ACTIONS!$P77</f>
        <v/>
      </c>
    </row>
    <row r="576">
      <c r="G576">
        <f>IF(OR(SETUP!$C$138="",$A$12="",$B$12&lt;&gt;"Equipment"),"","Equipment")</f>
        <v/>
      </c>
      <c r="H576">
        <f>IF($G576="","",SETUP!$C$138)</f>
        <v/>
      </c>
      <c r="I576">
        <f>IF($G576="","",$A$12)</f>
        <v/>
      </c>
      <c r="J576">
        <f>IF($G576="","",IF(COUNTIFS(DOC_TYPE,$I576,DOC_EQP,$H576,DOC_SCOPE,"Equipment",DOC_ACTIVE,1)+COUNTIFS(DOC_TYPE,$I576,DOC_SYS,SETUP!$B$138,DOC_SCOPE,"System",DOC_ACTIVE,1)+COUNTIFS(DOC_TYPE,$I576,DOC_SCOPE,"All",DOC_ACTIVE,1)&gt;0,"",IFERROR(IF($E$12&lt;&gt;"",$E$12-$C$12,SETUP!$D$138-$C$12),60000)+ROW()/1000000))</f>
        <v/>
      </c>
      <c r="L576">
        <f>IF(ACTIONS!$A78="","","Action")</f>
        <v/>
      </c>
      <c r="M576">
        <f>IF($L576="","",ACTIONS!$A78&amp;"  -  "&amp;LEFT(ACTIONS!$B78,60))</f>
        <v/>
      </c>
      <c r="N576">
        <f>IF($L576="","",IF(ACTIONS!$E78&lt;&gt;"",ACTIONS!$E78,IF(ACTIONS!$D78&lt;&gt;"",ACTIONS!$D78,"-")))</f>
        <v/>
      </c>
      <c r="O576">
        <f>IF($L576="","",ACTIONS!$G78)</f>
        <v/>
      </c>
      <c r="P576">
        <f>IF($L576="","",ACTIONS!$I78)</f>
        <v/>
      </c>
      <c r="Q576">
        <f>IF($L576="","",ACTIONS!$L78)</f>
        <v/>
      </c>
      <c r="R576">
        <f>ACTIONS!$Q78</f>
        <v/>
      </c>
      <c r="S576">
        <f>ACTIONS!$R78</f>
        <v/>
      </c>
      <c r="T576">
        <f>ACTIONS!$P78</f>
        <v/>
      </c>
    </row>
    <row r="577">
      <c r="G577">
        <f>IF(OR(SETUP!$C$138="",$A$13="",$B$13&lt;&gt;"Equipment"),"","Equipment")</f>
        <v/>
      </c>
      <c r="H577">
        <f>IF($G577="","",SETUP!$C$138)</f>
        <v/>
      </c>
      <c r="I577">
        <f>IF($G577="","",$A$13)</f>
        <v/>
      </c>
      <c r="J577">
        <f>IF($G577="","",IF(COUNTIFS(DOC_TYPE,$I577,DOC_EQP,$H577,DOC_SCOPE,"Equipment",DOC_ACTIVE,1)+COUNTIFS(DOC_TYPE,$I577,DOC_SYS,SETUP!$B$138,DOC_SCOPE,"System",DOC_ACTIVE,1)+COUNTIFS(DOC_TYPE,$I577,DOC_SCOPE,"All",DOC_ACTIVE,1)&gt;0,"",IFERROR(IF($E$13&lt;&gt;"",$E$13-$C$13,SETUP!$D$138-$C$13),60000)+ROW()/1000000))</f>
        <v/>
      </c>
      <c r="L577">
        <f>IF(ACTIONS!$A79="","","Action")</f>
        <v/>
      </c>
      <c r="M577">
        <f>IF($L577="","",ACTIONS!$A79&amp;"  -  "&amp;LEFT(ACTIONS!$B79,60))</f>
        <v/>
      </c>
      <c r="N577">
        <f>IF($L577="","",IF(ACTIONS!$E79&lt;&gt;"",ACTIONS!$E79,IF(ACTIONS!$D79&lt;&gt;"",ACTIONS!$D79,"-")))</f>
        <v/>
      </c>
      <c r="O577">
        <f>IF($L577="","",ACTIONS!$G79)</f>
        <v/>
      </c>
      <c r="P577">
        <f>IF($L577="","",ACTIONS!$I79)</f>
        <v/>
      </c>
      <c r="Q577">
        <f>IF($L577="","",ACTIONS!$L79)</f>
        <v/>
      </c>
      <c r="R577">
        <f>ACTIONS!$Q79</f>
        <v/>
      </c>
      <c r="S577">
        <f>ACTIONS!$R79</f>
        <v/>
      </c>
      <c r="T577">
        <f>ACTIONS!$P79</f>
        <v/>
      </c>
    </row>
    <row r="578">
      <c r="G578">
        <f>IF(OR(SETUP!$C$139="",$A$2="",$B$2&lt;&gt;"Equipment"),"","Equipment")</f>
        <v/>
      </c>
      <c r="H578">
        <f>IF($G578="","",SETUP!$C$139)</f>
        <v/>
      </c>
      <c r="I578">
        <f>IF($G578="","",$A$2)</f>
        <v/>
      </c>
      <c r="J578">
        <f>IF($G578="","",IF(COUNTIFS(DOC_TYPE,$I578,DOC_EQP,$H578,DOC_SCOPE,"Equipment",DOC_ACTIVE,1)+COUNTIFS(DOC_TYPE,$I578,DOC_SYS,SETUP!$B$139,DOC_SCOPE,"System",DOC_ACTIVE,1)+COUNTIFS(DOC_TYPE,$I578,DOC_SCOPE,"All",DOC_ACTIVE,1)&gt;0,"",IFERROR(IF($E$2&lt;&gt;"",$E$2-$C$2,SETUP!$D$139-$C$2),60000)+ROW()/1000000))</f>
        <v/>
      </c>
      <c r="L578">
        <f>IF(ACTIONS!$A80="","","Action")</f>
        <v/>
      </c>
      <c r="M578">
        <f>IF($L578="","",ACTIONS!$A80&amp;"  -  "&amp;LEFT(ACTIONS!$B80,60))</f>
        <v/>
      </c>
      <c r="N578">
        <f>IF($L578="","",IF(ACTIONS!$E80&lt;&gt;"",ACTIONS!$E80,IF(ACTIONS!$D80&lt;&gt;"",ACTIONS!$D80,"-")))</f>
        <v/>
      </c>
      <c r="O578">
        <f>IF($L578="","",ACTIONS!$G80)</f>
        <v/>
      </c>
      <c r="P578">
        <f>IF($L578="","",ACTIONS!$I80)</f>
        <v/>
      </c>
      <c r="Q578">
        <f>IF($L578="","",ACTIONS!$L80)</f>
        <v/>
      </c>
      <c r="R578">
        <f>ACTIONS!$Q80</f>
        <v/>
      </c>
      <c r="S578">
        <f>ACTIONS!$R80</f>
        <v/>
      </c>
      <c r="T578">
        <f>ACTIONS!$P80</f>
        <v/>
      </c>
    </row>
    <row r="579">
      <c r="G579">
        <f>IF(OR(SETUP!$C$139="",$A$3="",$B$3&lt;&gt;"Equipment"),"","Equipment")</f>
        <v/>
      </c>
      <c r="H579">
        <f>IF($G579="","",SETUP!$C$139)</f>
        <v/>
      </c>
      <c r="I579">
        <f>IF($G579="","",$A$3)</f>
        <v/>
      </c>
      <c r="J579">
        <f>IF($G579="","",IF(COUNTIFS(DOC_TYPE,$I579,DOC_EQP,$H579,DOC_SCOPE,"Equipment",DOC_ACTIVE,1)+COUNTIFS(DOC_TYPE,$I579,DOC_SYS,SETUP!$B$139,DOC_SCOPE,"System",DOC_ACTIVE,1)+COUNTIFS(DOC_TYPE,$I579,DOC_SCOPE,"All",DOC_ACTIVE,1)&gt;0,"",IFERROR(IF($E$3&lt;&gt;"",$E$3-$C$3,SETUP!$D$139-$C$3),60000)+ROW()/1000000))</f>
        <v/>
      </c>
      <c r="L579">
        <f>IF(ACTIONS!$A81="","","Action")</f>
        <v/>
      </c>
      <c r="M579">
        <f>IF($L579="","",ACTIONS!$A81&amp;"  -  "&amp;LEFT(ACTIONS!$B81,60))</f>
        <v/>
      </c>
      <c r="N579">
        <f>IF($L579="","",IF(ACTIONS!$E81&lt;&gt;"",ACTIONS!$E81,IF(ACTIONS!$D81&lt;&gt;"",ACTIONS!$D81,"-")))</f>
        <v/>
      </c>
      <c r="O579">
        <f>IF($L579="","",ACTIONS!$G81)</f>
        <v/>
      </c>
      <c r="P579">
        <f>IF($L579="","",ACTIONS!$I81)</f>
        <v/>
      </c>
      <c r="Q579">
        <f>IF($L579="","",ACTIONS!$L81)</f>
        <v/>
      </c>
      <c r="R579">
        <f>ACTIONS!$Q81</f>
        <v/>
      </c>
      <c r="S579">
        <f>ACTIONS!$R81</f>
        <v/>
      </c>
      <c r="T579">
        <f>ACTIONS!$P81</f>
        <v/>
      </c>
    </row>
    <row r="580">
      <c r="G580">
        <f>IF(OR(SETUP!$C$139="",$A$4="",$B$4&lt;&gt;"Equipment"),"","Equipment")</f>
        <v/>
      </c>
      <c r="H580">
        <f>IF($G580="","",SETUP!$C$139)</f>
        <v/>
      </c>
      <c r="I580">
        <f>IF($G580="","",$A$4)</f>
        <v/>
      </c>
      <c r="J580">
        <f>IF($G580="","",IF(COUNTIFS(DOC_TYPE,$I580,DOC_EQP,$H580,DOC_SCOPE,"Equipment",DOC_ACTIVE,1)+COUNTIFS(DOC_TYPE,$I580,DOC_SYS,SETUP!$B$139,DOC_SCOPE,"System",DOC_ACTIVE,1)+COUNTIFS(DOC_TYPE,$I580,DOC_SCOPE,"All",DOC_ACTIVE,1)&gt;0,"",IFERROR(IF($E$4&lt;&gt;"",$E$4-$C$4,SETUP!$D$139-$C$4),60000)+ROW()/1000000))</f>
        <v/>
      </c>
      <c r="L580">
        <f>IF(ACTIONS!$A82="","","Action")</f>
        <v/>
      </c>
      <c r="M580">
        <f>IF($L580="","",ACTIONS!$A82&amp;"  -  "&amp;LEFT(ACTIONS!$B82,60))</f>
        <v/>
      </c>
      <c r="N580">
        <f>IF($L580="","",IF(ACTIONS!$E82&lt;&gt;"",ACTIONS!$E82,IF(ACTIONS!$D82&lt;&gt;"",ACTIONS!$D82,"-")))</f>
        <v/>
      </c>
      <c r="O580">
        <f>IF($L580="","",ACTIONS!$G82)</f>
        <v/>
      </c>
      <c r="P580">
        <f>IF($L580="","",ACTIONS!$I82)</f>
        <v/>
      </c>
      <c r="Q580">
        <f>IF($L580="","",ACTIONS!$L82)</f>
        <v/>
      </c>
      <c r="R580">
        <f>ACTIONS!$Q82</f>
        <v/>
      </c>
      <c r="S580">
        <f>ACTIONS!$R82</f>
        <v/>
      </c>
      <c r="T580">
        <f>ACTIONS!$P82</f>
        <v/>
      </c>
    </row>
    <row r="581">
      <c r="G581">
        <f>IF(OR(SETUP!$C$139="",$A$5="",$B$5&lt;&gt;"Equipment"),"","Equipment")</f>
        <v/>
      </c>
      <c r="H581">
        <f>IF($G581="","",SETUP!$C$139)</f>
        <v/>
      </c>
      <c r="I581">
        <f>IF($G581="","",$A$5)</f>
        <v/>
      </c>
      <c r="J581">
        <f>IF($G581="","",IF(COUNTIFS(DOC_TYPE,$I581,DOC_EQP,$H581,DOC_SCOPE,"Equipment",DOC_ACTIVE,1)+COUNTIFS(DOC_TYPE,$I581,DOC_SYS,SETUP!$B$139,DOC_SCOPE,"System",DOC_ACTIVE,1)+COUNTIFS(DOC_TYPE,$I581,DOC_SCOPE,"All",DOC_ACTIVE,1)&gt;0,"",IFERROR(IF($E$5&lt;&gt;"",$E$5-$C$5,SETUP!$D$139-$C$5),60000)+ROW()/1000000))</f>
        <v/>
      </c>
      <c r="L581">
        <f>IF(ACTIONS!$A83="","","Action")</f>
        <v/>
      </c>
      <c r="M581">
        <f>IF($L581="","",ACTIONS!$A83&amp;"  -  "&amp;LEFT(ACTIONS!$B83,60))</f>
        <v/>
      </c>
      <c r="N581">
        <f>IF($L581="","",IF(ACTIONS!$E83&lt;&gt;"",ACTIONS!$E83,IF(ACTIONS!$D83&lt;&gt;"",ACTIONS!$D83,"-")))</f>
        <v/>
      </c>
      <c r="O581">
        <f>IF($L581="","",ACTIONS!$G83)</f>
        <v/>
      </c>
      <c r="P581">
        <f>IF($L581="","",ACTIONS!$I83)</f>
        <v/>
      </c>
      <c r="Q581">
        <f>IF($L581="","",ACTIONS!$L83)</f>
        <v/>
      </c>
      <c r="R581">
        <f>ACTIONS!$Q83</f>
        <v/>
      </c>
      <c r="S581">
        <f>ACTIONS!$R83</f>
        <v/>
      </c>
      <c r="T581">
        <f>ACTIONS!$P83</f>
        <v/>
      </c>
    </row>
    <row r="582">
      <c r="G582">
        <f>IF(OR(SETUP!$C$139="",$A$6="",$B$6&lt;&gt;"Equipment"),"","Equipment")</f>
        <v/>
      </c>
      <c r="H582">
        <f>IF($G582="","",SETUP!$C$139)</f>
        <v/>
      </c>
      <c r="I582">
        <f>IF($G582="","",$A$6)</f>
        <v/>
      </c>
      <c r="J582">
        <f>IF($G582="","",IF(COUNTIFS(DOC_TYPE,$I582,DOC_EQP,$H582,DOC_SCOPE,"Equipment",DOC_ACTIVE,1)+COUNTIFS(DOC_TYPE,$I582,DOC_SYS,SETUP!$B$139,DOC_SCOPE,"System",DOC_ACTIVE,1)+COUNTIFS(DOC_TYPE,$I582,DOC_SCOPE,"All",DOC_ACTIVE,1)&gt;0,"",IFERROR(IF($E$6&lt;&gt;"",$E$6-$C$6,SETUP!$D$139-$C$6),60000)+ROW()/1000000))</f>
        <v/>
      </c>
      <c r="L582">
        <f>IF(ACTIONS!$A84="","","Action")</f>
        <v/>
      </c>
      <c r="M582">
        <f>IF($L582="","",ACTIONS!$A84&amp;"  -  "&amp;LEFT(ACTIONS!$B84,60))</f>
        <v/>
      </c>
      <c r="N582">
        <f>IF($L582="","",IF(ACTIONS!$E84&lt;&gt;"",ACTIONS!$E84,IF(ACTIONS!$D84&lt;&gt;"",ACTIONS!$D84,"-")))</f>
        <v/>
      </c>
      <c r="O582">
        <f>IF($L582="","",ACTIONS!$G84)</f>
        <v/>
      </c>
      <c r="P582">
        <f>IF($L582="","",ACTIONS!$I84)</f>
        <v/>
      </c>
      <c r="Q582">
        <f>IF($L582="","",ACTIONS!$L84)</f>
        <v/>
      </c>
      <c r="R582">
        <f>ACTIONS!$Q84</f>
        <v/>
      </c>
      <c r="S582">
        <f>ACTIONS!$R84</f>
        <v/>
      </c>
      <c r="T582">
        <f>ACTIONS!$P84</f>
        <v/>
      </c>
    </row>
    <row r="583">
      <c r="G583">
        <f>IF(OR(SETUP!$C$139="",$A$7="",$B$7&lt;&gt;"Equipment"),"","Equipment")</f>
        <v/>
      </c>
      <c r="H583">
        <f>IF($G583="","",SETUP!$C$139)</f>
        <v/>
      </c>
      <c r="I583">
        <f>IF($G583="","",$A$7)</f>
        <v/>
      </c>
      <c r="J583">
        <f>IF($G583="","",IF(COUNTIFS(DOC_TYPE,$I583,DOC_EQP,$H583,DOC_SCOPE,"Equipment",DOC_ACTIVE,1)+COUNTIFS(DOC_TYPE,$I583,DOC_SYS,SETUP!$B$139,DOC_SCOPE,"System",DOC_ACTIVE,1)+COUNTIFS(DOC_TYPE,$I583,DOC_SCOPE,"All",DOC_ACTIVE,1)&gt;0,"",IFERROR(IF($E$7&lt;&gt;"",$E$7-$C$7,SETUP!$D$139-$C$7),60000)+ROW()/1000000))</f>
        <v/>
      </c>
      <c r="L583">
        <f>IF(ACTIONS!$A85="","","Action")</f>
        <v/>
      </c>
      <c r="M583">
        <f>IF($L583="","",ACTIONS!$A85&amp;"  -  "&amp;LEFT(ACTIONS!$B85,60))</f>
        <v/>
      </c>
      <c r="N583">
        <f>IF($L583="","",IF(ACTIONS!$E85&lt;&gt;"",ACTIONS!$E85,IF(ACTIONS!$D85&lt;&gt;"",ACTIONS!$D85,"-")))</f>
        <v/>
      </c>
      <c r="O583">
        <f>IF($L583="","",ACTIONS!$G85)</f>
        <v/>
      </c>
      <c r="P583">
        <f>IF($L583="","",ACTIONS!$I85)</f>
        <v/>
      </c>
      <c r="Q583">
        <f>IF($L583="","",ACTIONS!$L85)</f>
        <v/>
      </c>
      <c r="R583">
        <f>ACTIONS!$Q85</f>
        <v/>
      </c>
      <c r="S583">
        <f>ACTIONS!$R85</f>
        <v/>
      </c>
      <c r="T583">
        <f>ACTIONS!$P85</f>
        <v/>
      </c>
    </row>
    <row r="584">
      <c r="G584">
        <f>IF(OR(SETUP!$C$139="",$A$8="",$B$8&lt;&gt;"Equipment"),"","Equipment")</f>
        <v/>
      </c>
      <c r="H584">
        <f>IF($G584="","",SETUP!$C$139)</f>
        <v/>
      </c>
      <c r="I584">
        <f>IF($G584="","",$A$8)</f>
        <v/>
      </c>
      <c r="J584">
        <f>IF($G584="","",IF(COUNTIFS(DOC_TYPE,$I584,DOC_EQP,$H584,DOC_SCOPE,"Equipment",DOC_ACTIVE,1)+COUNTIFS(DOC_TYPE,$I584,DOC_SYS,SETUP!$B$139,DOC_SCOPE,"System",DOC_ACTIVE,1)+COUNTIFS(DOC_TYPE,$I584,DOC_SCOPE,"All",DOC_ACTIVE,1)&gt;0,"",IFERROR(IF($E$8&lt;&gt;"",$E$8-$C$8,SETUP!$D$139-$C$8),60000)+ROW()/1000000))</f>
        <v/>
      </c>
      <c r="L584">
        <f>IF(ACTIONS!$A86="","","Action")</f>
        <v/>
      </c>
      <c r="M584">
        <f>IF($L584="","",ACTIONS!$A86&amp;"  -  "&amp;LEFT(ACTIONS!$B86,60))</f>
        <v/>
      </c>
      <c r="N584">
        <f>IF($L584="","",IF(ACTIONS!$E86&lt;&gt;"",ACTIONS!$E86,IF(ACTIONS!$D86&lt;&gt;"",ACTIONS!$D86,"-")))</f>
        <v/>
      </c>
      <c r="O584">
        <f>IF($L584="","",ACTIONS!$G86)</f>
        <v/>
      </c>
      <c r="P584">
        <f>IF($L584="","",ACTIONS!$I86)</f>
        <v/>
      </c>
      <c r="Q584">
        <f>IF($L584="","",ACTIONS!$L86)</f>
        <v/>
      </c>
      <c r="R584">
        <f>ACTIONS!$Q86</f>
        <v/>
      </c>
      <c r="S584">
        <f>ACTIONS!$R86</f>
        <v/>
      </c>
      <c r="T584">
        <f>ACTIONS!$P86</f>
        <v/>
      </c>
    </row>
    <row r="585">
      <c r="G585">
        <f>IF(OR(SETUP!$C$139="",$A$9="",$B$9&lt;&gt;"Equipment"),"","Equipment")</f>
        <v/>
      </c>
      <c r="H585">
        <f>IF($G585="","",SETUP!$C$139)</f>
        <v/>
      </c>
      <c r="I585">
        <f>IF($G585="","",$A$9)</f>
        <v/>
      </c>
      <c r="J585">
        <f>IF($G585="","",IF(COUNTIFS(DOC_TYPE,$I585,DOC_EQP,$H585,DOC_SCOPE,"Equipment",DOC_ACTIVE,1)+COUNTIFS(DOC_TYPE,$I585,DOC_SYS,SETUP!$B$139,DOC_SCOPE,"System",DOC_ACTIVE,1)+COUNTIFS(DOC_TYPE,$I585,DOC_SCOPE,"All",DOC_ACTIVE,1)&gt;0,"",IFERROR(IF($E$9&lt;&gt;"",$E$9-$C$9,SETUP!$D$139-$C$9),60000)+ROW()/1000000))</f>
        <v/>
      </c>
      <c r="L585">
        <f>IF(ACTIONS!$A87="","","Action")</f>
        <v/>
      </c>
      <c r="M585">
        <f>IF($L585="","",ACTIONS!$A87&amp;"  -  "&amp;LEFT(ACTIONS!$B87,60))</f>
        <v/>
      </c>
      <c r="N585">
        <f>IF($L585="","",IF(ACTIONS!$E87&lt;&gt;"",ACTIONS!$E87,IF(ACTIONS!$D87&lt;&gt;"",ACTIONS!$D87,"-")))</f>
        <v/>
      </c>
      <c r="O585">
        <f>IF($L585="","",ACTIONS!$G87)</f>
        <v/>
      </c>
      <c r="P585">
        <f>IF($L585="","",ACTIONS!$I87)</f>
        <v/>
      </c>
      <c r="Q585">
        <f>IF($L585="","",ACTIONS!$L87)</f>
        <v/>
      </c>
      <c r="R585">
        <f>ACTIONS!$Q87</f>
        <v/>
      </c>
      <c r="S585">
        <f>ACTIONS!$R87</f>
        <v/>
      </c>
      <c r="T585">
        <f>ACTIONS!$P87</f>
        <v/>
      </c>
    </row>
    <row r="586">
      <c r="G586">
        <f>IF(OR(SETUP!$C$139="",$A$10="",$B$10&lt;&gt;"Equipment"),"","Equipment")</f>
        <v/>
      </c>
      <c r="H586">
        <f>IF($G586="","",SETUP!$C$139)</f>
        <v/>
      </c>
      <c r="I586">
        <f>IF($G586="","",$A$10)</f>
        <v/>
      </c>
      <c r="J586">
        <f>IF($G586="","",IF(COUNTIFS(DOC_TYPE,$I586,DOC_EQP,$H586,DOC_SCOPE,"Equipment",DOC_ACTIVE,1)+COUNTIFS(DOC_TYPE,$I586,DOC_SYS,SETUP!$B$139,DOC_SCOPE,"System",DOC_ACTIVE,1)+COUNTIFS(DOC_TYPE,$I586,DOC_SCOPE,"All",DOC_ACTIVE,1)&gt;0,"",IFERROR(IF($E$10&lt;&gt;"",$E$10-$C$10,SETUP!$D$139-$C$10),60000)+ROW()/1000000))</f>
        <v/>
      </c>
      <c r="L586">
        <f>IF(ACTIONS!$A88="","","Action")</f>
        <v/>
      </c>
      <c r="M586">
        <f>IF($L586="","",ACTIONS!$A88&amp;"  -  "&amp;LEFT(ACTIONS!$B88,60))</f>
        <v/>
      </c>
      <c r="N586">
        <f>IF($L586="","",IF(ACTIONS!$E88&lt;&gt;"",ACTIONS!$E88,IF(ACTIONS!$D88&lt;&gt;"",ACTIONS!$D88,"-")))</f>
        <v/>
      </c>
      <c r="O586">
        <f>IF($L586="","",ACTIONS!$G88)</f>
        <v/>
      </c>
      <c r="P586">
        <f>IF($L586="","",ACTIONS!$I88)</f>
        <v/>
      </c>
      <c r="Q586">
        <f>IF($L586="","",ACTIONS!$L88)</f>
        <v/>
      </c>
      <c r="R586">
        <f>ACTIONS!$Q88</f>
        <v/>
      </c>
      <c r="S586">
        <f>ACTIONS!$R88</f>
        <v/>
      </c>
      <c r="T586">
        <f>ACTIONS!$P88</f>
        <v/>
      </c>
    </row>
    <row r="587">
      <c r="G587">
        <f>IF(OR(SETUP!$C$139="",$A$11="",$B$11&lt;&gt;"Equipment"),"","Equipment")</f>
        <v/>
      </c>
      <c r="H587">
        <f>IF($G587="","",SETUP!$C$139)</f>
        <v/>
      </c>
      <c r="I587">
        <f>IF($G587="","",$A$11)</f>
        <v/>
      </c>
      <c r="J587">
        <f>IF($G587="","",IF(COUNTIFS(DOC_TYPE,$I587,DOC_EQP,$H587,DOC_SCOPE,"Equipment",DOC_ACTIVE,1)+COUNTIFS(DOC_TYPE,$I587,DOC_SYS,SETUP!$B$139,DOC_SCOPE,"System",DOC_ACTIVE,1)+COUNTIFS(DOC_TYPE,$I587,DOC_SCOPE,"All",DOC_ACTIVE,1)&gt;0,"",IFERROR(IF($E$11&lt;&gt;"",$E$11-$C$11,SETUP!$D$139-$C$11),60000)+ROW()/1000000))</f>
        <v/>
      </c>
      <c r="L587">
        <f>IF(ACTIONS!$A89="","","Action")</f>
        <v/>
      </c>
      <c r="M587">
        <f>IF($L587="","",ACTIONS!$A89&amp;"  -  "&amp;LEFT(ACTIONS!$B89,60))</f>
        <v/>
      </c>
      <c r="N587">
        <f>IF($L587="","",IF(ACTIONS!$E89&lt;&gt;"",ACTIONS!$E89,IF(ACTIONS!$D89&lt;&gt;"",ACTIONS!$D89,"-")))</f>
        <v/>
      </c>
      <c r="O587">
        <f>IF($L587="","",ACTIONS!$G89)</f>
        <v/>
      </c>
      <c r="P587">
        <f>IF($L587="","",ACTIONS!$I89)</f>
        <v/>
      </c>
      <c r="Q587">
        <f>IF($L587="","",ACTIONS!$L89)</f>
        <v/>
      </c>
      <c r="R587">
        <f>ACTIONS!$Q89</f>
        <v/>
      </c>
      <c r="S587">
        <f>ACTIONS!$R89</f>
        <v/>
      </c>
      <c r="T587">
        <f>ACTIONS!$P89</f>
        <v/>
      </c>
    </row>
    <row r="588">
      <c r="G588">
        <f>IF(OR(SETUP!$C$139="",$A$12="",$B$12&lt;&gt;"Equipment"),"","Equipment")</f>
        <v/>
      </c>
      <c r="H588">
        <f>IF($G588="","",SETUP!$C$139)</f>
        <v/>
      </c>
      <c r="I588">
        <f>IF($G588="","",$A$12)</f>
        <v/>
      </c>
      <c r="J588">
        <f>IF($G588="","",IF(COUNTIFS(DOC_TYPE,$I588,DOC_EQP,$H588,DOC_SCOPE,"Equipment",DOC_ACTIVE,1)+COUNTIFS(DOC_TYPE,$I588,DOC_SYS,SETUP!$B$139,DOC_SCOPE,"System",DOC_ACTIVE,1)+COUNTIFS(DOC_TYPE,$I588,DOC_SCOPE,"All",DOC_ACTIVE,1)&gt;0,"",IFERROR(IF($E$12&lt;&gt;"",$E$12-$C$12,SETUP!$D$139-$C$12),60000)+ROW()/1000000))</f>
        <v/>
      </c>
      <c r="L588">
        <f>IF(ACTIONS!$A90="","","Action")</f>
        <v/>
      </c>
      <c r="M588">
        <f>IF($L588="","",ACTIONS!$A90&amp;"  -  "&amp;LEFT(ACTIONS!$B90,60))</f>
        <v/>
      </c>
      <c r="N588">
        <f>IF($L588="","",IF(ACTIONS!$E90&lt;&gt;"",ACTIONS!$E90,IF(ACTIONS!$D90&lt;&gt;"",ACTIONS!$D90,"-")))</f>
        <v/>
      </c>
      <c r="O588">
        <f>IF($L588="","",ACTIONS!$G90)</f>
        <v/>
      </c>
      <c r="P588">
        <f>IF($L588="","",ACTIONS!$I90)</f>
        <v/>
      </c>
      <c r="Q588">
        <f>IF($L588="","",ACTIONS!$L90)</f>
        <v/>
      </c>
      <c r="R588">
        <f>ACTIONS!$Q90</f>
        <v/>
      </c>
      <c r="S588">
        <f>ACTIONS!$R90</f>
        <v/>
      </c>
      <c r="T588">
        <f>ACTIONS!$P90</f>
        <v/>
      </c>
    </row>
    <row r="589">
      <c r="G589">
        <f>IF(OR(SETUP!$C$139="",$A$13="",$B$13&lt;&gt;"Equipment"),"","Equipment")</f>
        <v/>
      </c>
      <c r="H589">
        <f>IF($G589="","",SETUP!$C$139)</f>
        <v/>
      </c>
      <c r="I589">
        <f>IF($G589="","",$A$13)</f>
        <v/>
      </c>
      <c r="J589">
        <f>IF($G589="","",IF(COUNTIFS(DOC_TYPE,$I589,DOC_EQP,$H589,DOC_SCOPE,"Equipment",DOC_ACTIVE,1)+COUNTIFS(DOC_TYPE,$I589,DOC_SYS,SETUP!$B$139,DOC_SCOPE,"System",DOC_ACTIVE,1)+COUNTIFS(DOC_TYPE,$I589,DOC_SCOPE,"All",DOC_ACTIVE,1)&gt;0,"",IFERROR(IF($E$13&lt;&gt;"",$E$13-$C$13,SETUP!$D$139-$C$13),60000)+ROW()/1000000))</f>
        <v/>
      </c>
      <c r="L589">
        <f>IF(ACTIONS!$A91="","","Action")</f>
        <v/>
      </c>
      <c r="M589">
        <f>IF($L589="","",ACTIONS!$A91&amp;"  -  "&amp;LEFT(ACTIONS!$B91,60))</f>
        <v/>
      </c>
      <c r="N589">
        <f>IF($L589="","",IF(ACTIONS!$E91&lt;&gt;"",ACTIONS!$E91,IF(ACTIONS!$D91&lt;&gt;"",ACTIONS!$D91,"-")))</f>
        <v/>
      </c>
      <c r="O589">
        <f>IF($L589="","",ACTIONS!$G91)</f>
        <v/>
      </c>
      <c r="P589">
        <f>IF($L589="","",ACTIONS!$I91)</f>
        <v/>
      </c>
      <c r="Q589">
        <f>IF($L589="","",ACTIONS!$L91)</f>
        <v/>
      </c>
      <c r="R589">
        <f>ACTIONS!$Q91</f>
        <v/>
      </c>
      <c r="S589">
        <f>ACTIONS!$R91</f>
        <v/>
      </c>
      <c r="T589">
        <f>ACTIONS!$P91</f>
        <v/>
      </c>
    </row>
    <row r="590">
      <c r="G590">
        <f>IF(OR(SETUP!$C$140="",$A$2="",$B$2&lt;&gt;"Equipment"),"","Equipment")</f>
        <v/>
      </c>
      <c r="H590">
        <f>IF($G590="","",SETUP!$C$140)</f>
        <v/>
      </c>
      <c r="I590">
        <f>IF($G590="","",$A$2)</f>
        <v/>
      </c>
      <c r="J590">
        <f>IF($G590="","",IF(COUNTIFS(DOC_TYPE,$I590,DOC_EQP,$H590,DOC_SCOPE,"Equipment",DOC_ACTIVE,1)+COUNTIFS(DOC_TYPE,$I590,DOC_SYS,SETUP!$B$140,DOC_SCOPE,"System",DOC_ACTIVE,1)+COUNTIFS(DOC_TYPE,$I590,DOC_SCOPE,"All",DOC_ACTIVE,1)&gt;0,"",IFERROR(IF($E$2&lt;&gt;"",$E$2-$C$2,SETUP!$D$140-$C$2),60000)+ROW()/1000000))</f>
        <v/>
      </c>
      <c r="L590">
        <f>IF(ACTIONS!$A92="","","Action")</f>
        <v/>
      </c>
      <c r="M590">
        <f>IF($L590="","",ACTIONS!$A92&amp;"  -  "&amp;LEFT(ACTIONS!$B92,60))</f>
        <v/>
      </c>
      <c r="N590">
        <f>IF($L590="","",IF(ACTIONS!$E92&lt;&gt;"",ACTIONS!$E92,IF(ACTIONS!$D92&lt;&gt;"",ACTIONS!$D92,"-")))</f>
        <v/>
      </c>
      <c r="O590">
        <f>IF($L590="","",ACTIONS!$G92)</f>
        <v/>
      </c>
      <c r="P590">
        <f>IF($L590="","",ACTIONS!$I92)</f>
        <v/>
      </c>
      <c r="Q590">
        <f>IF($L590="","",ACTIONS!$L92)</f>
        <v/>
      </c>
      <c r="R590">
        <f>ACTIONS!$Q92</f>
        <v/>
      </c>
      <c r="S590">
        <f>ACTIONS!$R92</f>
        <v/>
      </c>
      <c r="T590">
        <f>ACTIONS!$P92</f>
        <v/>
      </c>
    </row>
    <row r="591">
      <c r="G591">
        <f>IF(OR(SETUP!$C$140="",$A$3="",$B$3&lt;&gt;"Equipment"),"","Equipment")</f>
        <v/>
      </c>
      <c r="H591">
        <f>IF($G591="","",SETUP!$C$140)</f>
        <v/>
      </c>
      <c r="I591">
        <f>IF($G591="","",$A$3)</f>
        <v/>
      </c>
      <c r="J591">
        <f>IF($G591="","",IF(COUNTIFS(DOC_TYPE,$I591,DOC_EQP,$H591,DOC_SCOPE,"Equipment",DOC_ACTIVE,1)+COUNTIFS(DOC_TYPE,$I591,DOC_SYS,SETUP!$B$140,DOC_SCOPE,"System",DOC_ACTIVE,1)+COUNTIFS(DOC_TYPE,$I591,DOC_SCOPE,"All",DOC_ACTIVE,1)&gt;0,"",IFERROR(IF($E$3&lt;&gt;"",$E$3-$C$3,SETUP!$D$140-$C$3),60000)+ROW()/1000000))</f>
        <v/>
      </c>
      <c r="L591">
        <f>IF(ACTIONS!$A93="","","Action")</f>
        <v/>
      </c>
      <c r="M591">
        <f>IF($L591="","",ACTIONS!$A93&amp;"  -  "&amp;LEFT(ACTIONS!$B93,60))</f>
        <v/>
      </c>
      <c r="N591">
        <f>IF($L591="","",IF(ACTIONS!$E93&lt;&gt;"",ACTIONS!$E93,IF(ACTIONS!$D93&lt;&gt;"",ACTIONS!$D93,"-")))</f>
        <v/>
      </c>
      <c r="O591">
        <f>IF($L591="","",ACTIONS!$G93)</f>
        <v/>
      </c>
      <c r="P591">
        <f>IF($L591="","",ACTIONS!$I93)</f>
        <v/>
      </c>
      <c r="Q591">
        <f>IF($L591="","",ACTIONS!$L93)</f>
        <v/>
      </c>
      <c r="R591">
        <f>ACTIONS!$Q93</f>
        <v/>
      </c>
      <c r="S591">
        <f>ACTIONS!$R93</f>
        <v/>
      </c>
      <c r="T591">
        <f>ACTIONS!$P93</f>
        <v/>
      </c>
    </row>
    <row r="592">
      <c r="G592">
        <f>IF(OR(SETUP!$C$140="",$A$4="",$B$4&lt;&gt;"Equipment"),"","Equipment")</f>
        <v/>
      </c>
      <c r="H592">
        <f>IF($G592="","",SETUP!$C$140)</f>
        <v/>
      </c>
      <c r="I592">
        <f>IF($G592="","",$A$4)</f>
        <v/>
      </c>
      <c r="J592">
        <f>IF($G592="","",IF(COUNTIFS(DOC_TYPE,$I592,DOC_EQP,$H592,DOC_SCOPE,"Equipment",DOC_ACTIVE,1)+COUNTIFS(DOC_TYPE,$I592,DOC_SYS,SETUP!$B$140,DOC_SCOPE,"System",DOC_ACTIVE,1)+COUNTIFS(DOC_TYPE,$I592,DOC_SCOPE,"All",DOC_ACTIVE,1)&gt;0,"",IFERROR(IF($E$4&lt;&gt;"",$E$4-$C$4,SETUP!$D$140-$C$4),60000)+ROW()/1000000))</f>
        <v/>
      </c>
      <c r="L592">
        <f>IF(ACTIONS!$A94="","","Action")</f>
        <v/>
      </c>
      <c r="M592">
        <f>IF($L592="","",ACTIONS!$A94&amp;"  -  "&amp;LEFT(ACTIONS!$B94,60))</f>
        <v/>
      </c>
      <c r="N592">
        <f>IF($L592="","",IF(ACTIONS!$E94&lt;&gt;"",ACTIONS!$E94,IF(ACTIONS!$D94&lt;&gt;"",ACTIONS!$D94,"-")))</f>
        <v/>
      </c>
      <c r="O592">
        <f>IF($L592="","",ACTIONS!$G94)</f>
        <v/>
      </c>
      <c r="P592">
        <f>IF($L592="","",ACTIONS!$I94)</f>
        <v/>
      </c>
      <c r="Q592">
        <f>IF($L592="","",ACTIONS!$L94)</f>
        <v/>
      </c>
      <c r="R592">
        <f>ACTIONS!$Q94</f>
        <v/>
      </c>
      <c r="S592">
        <f>ACTIONS!$R94</f>
        <v/>
      </c>
      <c r="T592">
        <f>ACTIONS!$P94</f>
        <v/>
      </c>
    </row>
    <row r="593">
      <c r="G593">
        <f>IF(OR(SETUP!$C$140="",$A$5="",$B$5&lt;&gt;"Equipment"),"","Equipment")</f>
        <v/>
      </c>
      <c r="H593">
        <f>IF($G593="","",SETUP!$C$140)</f>
        <v/>
      </c>
      <c r="I593">
        <f>IF($G593="","",$A$5)</f>
        <v/>
      </c>
      <c r="J593">
        <f>IF($G593="","",IF(COUNTIFS(DOC_TYPE,$I593,DOC_EQP,$H593,DOC_SCOPE,"Equipment",DOC_ACTIVE,1)+COUNTIFS(DOC_TYPE,$I593,DOC_SYS,SETUP!$B$140,DOC_SCOPE,"System",DOC_ACTIVE,1)+COUNTIFS(DOC_TYPE,$I593,DOC_SCOPE,"All",DOC_ACTIVE,1)&gt;0,"",IFERROR(IF($E$5&lt;&gt;"",$E$5-$C$5,SETUP!$D$140-$C$5),60000)+ROW()/1000000))</f>
        <v/>
      </c>
      <c r="L593">
        <f>IF(ACTIONS!$A95="","","Action")</f>
        <v/>
      </c>
      <c r="M593">
        <f>IF($L593="","",ACTIONS!$A95&amp;"  -  "&amp;LEFT(ACTIONS!$B95,60))</f>
        <v/>
      </c>
      <c r="N593">
        <f>IF($L593="","",IF(ACTIONS!$E95&lt;&gt;"",ACTIONS!$E95,IF(ACTIONS!$D95&lt;&gt;"",ACTIONS!$D95,"-")))</f>
        <v/>
      </c>
      <c r="O593">
        <f>IF($L593="","",ACTIONS!$G95)</f>
        <v/>
      </c>
      <c r="P593">
        <f>IF($L593="","",ACTIONS!$I95)</f>
        <v/>
      </c>
      <c r="Q593">
        <f>IF($L593="","",ACTIONS!$L95)</f>
        <v/>
      </c>
      <c r="R593">
        <f>ACTIONS!$Q95</f>
        <v/>
      </c>
      <c r="S593">
        <f>ACTIONS!$R95</f>
        <v/>
      </c>
      <c r="T593">
        <f>ACTIONS!$P95</f>
        <v/>
      </c>
    </row>
    <row r="594">
      <c r="G594">
        <f>IF(OR(SETUP!$C$140="",$A$6="",$B$6&lt;&gt;"Equipment"),"","Equipment")</f>
        <v/>
      </c>
      <c r="H594">
        <f>IF($G594="","",SETUP!$C$140)</f>
        <v/>
      </c>
      <c r="I594">
        <f>IF($G594="","",$A$6)</f>
        <v/>
      </c>
      <c r="J594">
        <f>IF($G594="","",IF(COUNTIFS(DOC_TYPE,$I594,DOC_EQP,$H594,DOC_SCOPE,"Equipment",DOC_ACTIVE,1)+COUNTIFS(DOC_TYPE,$I594,DOC_SYS,SETUP!$B$140,DOC_SCOPE,"System",DOC_ACTIVE,1)+COUNTIFS(DOC_TYPE,$I594,DOC_SCOPE,"All",DOC_ACTIVE,1)&gt;0,"",IFERROR(IF($E$6&lt;&gt;"",$E$6-$C$6,SETUP!$D$140-$C$6),60000)+ROW()/1000000))</f>
        <v/>
      </c>
      <c r="L594">
        <f>IF(ACTIONS!$A96="","","Action")</f>
        <v/>
      </c>
      <c r="M594">
        <f>IF($L594="","",ACTIONS!$A96&amp;"  -  "&amp;LEFT(ACTIONS!$B96,60))</f>
        <v/>
      </c>
      <c r="N594">
        <f>IF($L594="","",IF(ACTIONS!$E96&lt;&gt;"",ACTIONS!$E96,IF(ACTIONS!$D96&lt;&gt;"",ACTIONS!$D96,"-")))</f>
        <v/>
      </c>
      <c r="O594">
        <f>IF($L594="","",ACTIONS!$G96)</f>
        <v/>
      </c>
      <c r="P594">
        <f>IF($L594="","",ACTIONS!$I96)</f>
        <v/>
      </c>
      <c r="Q594">
        <f>IF($L594="","",ACTIONS!$L96)</f>
        <v/>
      </c>
      <c r="R594">
        <f>ACTIONS!$Q96</f>
        <v/>
      </c>
      <c r="S594">
        <f>ACTIONS!$R96</f>
        <v/>
      </c>
      <c r="T594">
        <f>ACTIONS!$P96</f>
        <v/>
      </c>
    </row>
    <row r="595">
      <c r="G595">
        <f>IF(OR(SETUP!$C$140="",$A$7="",$B$7&lt;&gt;"Equipment"),"","Equipment")</f>
        <v/>
      </c>
      <c r="H595">
        <f>IF($G595="","",SETUP!$C$140)</f>
        <v/>
      </c>
      <c r="I595">
        <f>IF($G595="","",$A$7)</f>
        <v/>
      </c>
      <c r="J595">
        <f>IF($G595="","",IF(COUNTIFS(DOC_TYPE,$I595,DOC_EQP,$H595,DOC_SCOPE,"Equipment",DOC_ACTIVE,1)+COUNTIFS(DOC_TYPE,$I595,DOC_SYS,SETUP!$B$140,DOC_SCOPE,"System",DOC_ACTIVE,1)+COUNTIFS(DOC_TYPE,$I595,DOC_SCOPE,"All",DOC_ACTIVE,1)&gt;0,"",IFERROR(IF($E$7&lt;&gt;"",$E$7-$C$7,SETUP!$D$140-$C$7),60000)+ROW()/1000000))</f>
        <v/>
      </c>
      <c r="L595">
        <f>IF(ACTIONS!$A97="","","Action")</f>
        <v/>
      </c>
      <c r="M595">
        <f>IF($L595="","",ACTIONS!$A97&amp;"  -  "&amp;LEFT(ACTIONS!$B97,60))</f>
        <v/>
      </c>
      <c r="N595">
        <f>IF($L595="","",IF(ACTIONS!$E97&lt;&gt;"",ACTIONS!$E97,IF(ACTIONS!$D97&lt;&gt;"",ACTIONS!$D97,"-")))</f>
        <v/>
      </c>
      <c r="O595">
        <f>IF($L595="","",ACTIONS!$G97)</f>
        <v/>
      </c>
      <c r="P595">
        <f>IF($L595="","",ACTIONS!$I97)</f>
        <v/>
      </c>
      <c r="Q595">
        <f>IF($L595="","",ACTIONS!$L97)</f>
        <v/>
      </c>
      <c r="R595">
        <f>ACTIONS!$Q97</f>
        <v/>
      </c>
      <c r="S595">
        <f>ACTIONS!$R97</f>
        <v/>
      </c>
      <c r="T595">
        <f>ACTIONS!$P97</f>
        <v/>
      </c>
    </row>
    <row r="596">
      <c r="G596">
        <f>IF(OR(SETUP!$C$140="",$A$8="",$B$8&lt;&gt;"Equipment"),"","Equipment")</f>
        <v/>
      </c>
      <c r="H596">
        <f>IF($G596="","",SETUP!$C$140)</f>
        <v/>
      </c>
      <c r="I596">
        <f>IF($G596="","",$A$8)</f>
        <v/>
      </c>
      <c r="J596">
        <f>IF($G596="","",IF(COUNTIFS(DOC_TYPE,$I596,DOC_EQP,$H596,DOC_SCOPE,"Equipment",DOC_ACTIVE,1)+COUNTIFS(DOC_TYPE,$I596,DOC_SYS,SETUP!$B$140,DOC_SCOPE,"System",DOC_ACTIVE,1)+COUNTIFS(DOC_TYPE,$I596,DOC_SCOPE,"All",DOC_ACTIVE,1)&gt;0,"",IFERROR(IF($E$8&lt;&gt;"",$E$8-$C$8,SETUP!$D$140-$C$8),60000)+ROW()/1000000))</f>
        <v/>
      </c>
      <c r="L596">
        <f>IF(ACTIONS!$A98="","","Action")</f>
        <v/>
      </c>
      <c r="M596">
        <f>IF($L596="","",ACTIONS!$A98&amp;"  -  "&amp;LEFT(ACTIONS!$B98,60))</f>
        <v/>
      </c>
      <c r="N596">
        <f>IF($L596="","",IF(ACTIONS!$E98&lt;&gt;"",ACTIONS!$E98,IF(ACTIONS!$D98&lt;&gt;"",ACTIONS!$D98,"-")))</f>
        <v/>
      </c>
      <c r="O596">
        <f>IF($L596="","",ACTIONS!$G98)</f>
        <v/>
      </c>
      <c r="P596">
        <f>IF($L596="","",ACTIONS!$I98)</f>
        <v/>
      </c>
      <c r="Q596">
        <f>IF($L596="","",ACTIONS!$L98)</f>
        <v/>
      </c>
      <c r="R596">
        <f>ACTIONS!$Q98</f>
        <v/>
      </c>
      <c r="S596">
        <f>ACTIONS!$R98</f>
        <v/>
      </c>
      <c r="T596">
        <f>ACTIONS!$P98</f>
        <v/>
      </c>
    </row>
    <row r="597">
      <c r="G597">
        <f>IF(OR(SETUP!$C$140="",$A$9="",$B$9&lt;&gt;"Equipment"),"","Equipment")</f>
        <v/>
      </c>
      <c r="H597">
        <f>IF($G597="","",SETUP!$C$140)</f>
        <v/>
      </c>
      <c r="I597">
        <f>IF($G597="","",$A$9)</f>
        <v/>
      </c>
      <c r="J597">
        <f>IF($G597="","",IF(COUNTIFS(DOC_TYPE,$I597,DOC_EQP,$H597,DOC_SCOPE,"Equipment",DOC_ACTIVE,1)+COUNTIFS(DOC_TYPE,$I597,DOC_SYS,SETUP!$B$140,DOC_SCOPE,"System",DOC_ACTIVE,1)+COUNTIFS(DOC_TYPE,$I597,DOC_SCOPE,"All",DOC_ACTIVE,1)&gt;0,"",IFERROR(IF($E$9&lt;&gt;"",$E$9-$C$9,SETUP!$D$140-$C$9),60000)+ROW()/1000000))</f>
        <v/>
      </c>
      <c r="L597">
        <f>IF(ACTIONS!$A99="","","Action")</f>
        <v/>
      </c>
      <c r="M597">
        <f>IF($L597="","",ACTIONS!$A99&amp;"  -  "&amp;LEFT(ACTIONS!$B99,60))</f>
        <v/>
      </c>
      <c r="N597">
        <f>IF($L597="","",IF(ACTIONS!$E99&lt;&gt;"",ACTIONS!$E99,IF(ACTIONS!$D99&lt;&gt;"",ACTIONS!$D99,"-")))</f>
        <v/>
      </c>
      <c r="O597">
        <f>IF($L597="","",ACTIONS!$G99)</f>
        <v/>
      </c>
      <c r="P597">
        <f>IF($L597="","",ACTIONS!$I99)</f>
        <v/>
      </c>
      <c r="Q597">
        <f>IF($L597="","",ACTIONS!$L99)</f>
        <v/>
      </c>
      <c r="R597">
        <f>ACTIONS!$Q99</f>
        <v/>
      </c>
      <c r="S597">
        <f>ACTIONS!$R99</f>
        <v/>
      </c>
      <c r="T597">
        <f>ACTIONS!$P99</f>
        <v/>
      </c>
    </row>
    <row r="598">
      <c r="G598">
        <f>IF(OR(SETUP!$C$140="",$A$10="",$B$10&lt;&gt;"Equipment"),"","Equipment")</f>
        <v/>
      </c>
      <c r="H598">
        <f>IF($G598="","",SETUP!$C$140)</f>
        <v/>
      </c>
      <c r="I598">
        <f>IF($G598="","",$A$10)</f>
        <v/>
      </c>
      <c r="J598">
        <f>IF($G598="","",IF(COUNTIFS(DOC_TYPE,$I598,DOC_EQP,$H598,DOC_SCOPE,"Equipment",DOC_ACTIVE,1)+COUNTIFS(DOC_TYPE,$I598,DOC_SYS,SETUP!$B$140,DOC_SCOPE,"System",DOC_ACTIVE,1)+COUNTIFS(DOC_TYPE,$I598,DOC_SCOPE,"All",DOC_ACTIVE,1)&gt;0,"",IFERROR(IF($E$10&lt;&gt;"",$E$10-$C$10,SETUP!$D$140-$C$10),60000)+ROW()/1000000))</f>
        <v/>
      </c>
      <c r="L598">
        <f>IF(ACTIONS!$A100="","","Action")</f>
        <v/>
      </c>
      <c r="M598">
        <f>IF($L598="","",ACTIONS!$A100&amp;"  -  "&amp;LEFT(ACTIONS!$B100,60))</f>
        <v/>
      </c>
      <c r="N598">
        <f>IF($L598="","",IF(ACTIONS!$E100&lt;&gt;"",ACTIONS!$E100,IF(ACTIONS!$D100&lt;&gt;"",ACTIONS!$D100,"-")))</f>
        <v/>
      </c>
      <c r="O598">
        <f>IF($L598="","",ACTIONS!$G100)</f>
        <v/>
      </c>
      <c r="P598">
        <f>IF($L598="","",ACTIONS!$I100)</f>
        <v/>
      </c>
      <c r="Q598">
        <f>IF($L598="","",ACTIONS!$L100)</f>
        <v/>
      </c>
      <c r="R598">
        <f>ACTIONS!$Q100</f>
        <v/>
      </c>
      <c r="S598">
        <f>ACTIONS!$R100</f>
        <v/>
      </c>
      <c r="T598">
        <f>ACTIONS!$P100</f>
        <v/>
      </c>
    </row>
    <row r="599">
      <c r="G599">
        <f>IF(OR(SETUP!$C$140="",$A$11="",$B$11&lt;&gt;"Equipment"),"","Equipment")</f>
        <v/>
      </c>
      <c r="H599">
        <f>IF($G599="","",SETUP!$C$140)</f>
        <v/>
      </c>
      <c r="I599">
        <f>IF($G599="","",$A$11)</f>
        <v/>
      </c>
      <c r="J599">
        <f>IF($G599="","",IF(COUNTIFS(DOC_TYPE,$I599,DOC_EQP,$H599,DOC_SCOPE,"Equipment",DOC_ACTIVE,1)+COUNTIFS(DOC_TYPE,$I599,DOC_SYS,SETUP!$B$140,DOC_SCOPE,"System",DOC_ACTIVE,1)+COUNTIFS(DOC_TYPE,$I599,DOC_SCOPE,"All",DOC_ACTIVE,1)&gt;0,"",IFERROR(IF($E$11&lt;&gt;"",$E$11-$C$11,SETUP!$D$140-$C$11),60000)+ROW()/1000000))</f>
        <v/>
      </c>
      <c r="L599">
        <f>IF(ACTIONS!$A101="","","Action")</f>
        <v/>
      </c>
      <c r="M599">
        <f>IF($L599="","",ACTIONS!$A101&amp;"  -  "&amp;LEFT(ACTIONS!$B101,60))</f>
        <v/>
      </c>
      <c r="N599">
        <f>IF($L599="","",IF(ACTIONS!$E101&lt;&gt;"",ACTIONS!$E101,IF(ACTIONS!$D101&lt;&gt;"",ACTIONS!$D101,"-")))</f>
        <v/>
      </c>
      <c r="O599">
        <f>IF($L599="","",ACTIONS!$G101)</f>
        <v/>
      </c>
      <c r="P599">
        <f>IF($L599="","",ACTIONS!$I101)</f>
        <v/>
      </c>
      <c r="Q599">
        <f>IF($L599="","",ACTIONS!$L101)</f>
        <v/>
      </c>
      <c r="R599">
        <f>ACTIONS!$Q101</f>
        <v/>
      </c>
      <c r="S599">
        <f>ACTIONS!$R101</f>
        <v/>
      </c>
      <c r="T599">
        <f>ACTIONS!$P101</f>
        <v/>
      </c>
    </row>
    <row r="600">
      <c r="G600">
        <f>IF(OR(SETUP!$C$140="",$A$12="",$B$12&lt;&gt;"Equipment"),"","Equipment")</f>
        <v/>
      </c>
      <c r="H600">
        <f>IF($G600="","",SETUP!$C$140)</f>
        <v/>
      </c>
      <c r="I600">
        <f>IF($G600="","",$A$12)</f>
        <v/>
      </c>
      <c r="J600">
        <f>IF($G600="","",IF(COUNTIFS(DOC_TYPE,$I600,DOC_EQP,$H600,DOC_SCOPE,"Equipment",DOC_ACTIVE,1)+COUNTIFS(DOC_TYPE,$I600,DOC_SYS,SETUP!$B$140,DOC_SCOPE,"System",DOC_ACTIVE,1)+COUNTIFS(DOC_TYPE,$I600,DOC_SCOPE,"All",DOC_ACTIVE,1)&gt;0,"",IFERROR(IF($E$12&lt;&gt;"",$E$12-$C$12,SETUP!$D$140-$C$12),60000)+ROW()/1000000))</f>
        <v/>
      </c>
      <c r="L600">
        <f>IF(ACTIONS!$A102="","","Action")</f>
        <v/>
      </c>
      <c r="M600">
        <f>IF($L600="","",ACTIONS!$A102&amp;"  -  "&amp;LEFT(ACTIONS!$B102,60))</f>
        <v/>
      </c>
      <c r="N600">
        <f>IF($L600="","",IF(ACTIONS!$E102&lt;&gt;"",ACTIONS!$E102,IF(ACTIONS!$D102&lt;&gt;"",ACTIONS!$D102,"-")))</f>
        <v/>
      </c>
      <c r="O600">
        <f>IF($L600="","",ACTIONS!$G102)</f>
        <v/>
      </c>
      <c r="P600">
        <f>IF($L600="","",ACTIONS!$I102)</f>
        <v/>
      </c>
      <c r="Q600">
        <f>IF($L600="","",ACTIONS!$L102)</f>
        <v/>
      </c>
      <c r="R600">
        <f>ACTIONS!$Q102</f>
        <v/>
      </c>
      <c r="S600">
        <f>ACTIONS!$R102</f>
        <v/>
      </c>
      <c r="T600">
        <f>ACTIONS!$P102</f>
        <v/>
      </c>
    </row>
    <row r="601">
      <c r="G601">
        <f>IF(OR(SETUP!$C$140="",$A$13="",$B$13&lt;&gt;"Equipment"),"","Equipment")</f>
        <v/>
      </c>
      <c r="H601">
        <f>IF($G601="","",SETUP!$C$140)</f>
        <v/>
      </c>
      <c r="I601">
        <f>IF($G601="","",$A$13)</f>
        <v/>
      </c>
      <c r="J601">
        <f>IF($G601="","",IF(COUNTIFS(DOC_TYPE,$I601,DOC_EQP,$H601,DOC_SCOPE,"Equipment",DOC_ACTIVE,1)+COUNTIFS(DOC_TYPE,$I601,DOC_SYS,SETUP!$B$140,DOC_SCOPE,"System",DOC_ACTIVE,1)+COUNTIFS(DOC_TYPE,$I601,DOC_SCOPE,"All",DOC_ACTIVE,1)&gt;0,"",IFERROR(IF($E$13&lt;&gt;"",$E$13-$C$13,SETUP!$D$140-$C$13),60000)+ROW()/1000000))</f>
        <v/>
      </c>
      <c r="L601">
        <f>IF(ACTIONS!$A103="","","Action")</f>
        <v/>
      </c>
      <c r="M601">
        <f>IF($L601="","",ACTIONS!$A103&amp;"  -  "&amp;LEFT(ACTIONS!$B103,60))</f>
        <v/>
      </c>
      <c r="N601">
        <f>IF($L601="","",IF(ACTIONS!$E103&lt;&gt;"",ACTIONS!$E103,IF(ACTIONS!$D103&lt;&gt;"",ACTIONS!$D103,"-")))</f>
        <v/>
      </c>
      <c r="O601">
        <f>IF($L601="","",ACTIONS!$G103)</f>
        <v/>
      </c>
      <c r="P601">
        <f>IF($L601="","",ACTIONS!$I103)</f>
        <v/>
      </c>
      <c r="Q601">
        <f>IF($L601="","",ACTIONS!$L103)</f>
        <v/>
      </c>
      <c r="R601">
        <f>ACTIONS!$Q103</f>
        <v/>
      </c>
      <c r="S601">
        <f>ACTIONS!$R103</f>
        <v/>
      </c>
      <c r="T601">
        <f>ACTIONS!$P103</f>
        <v/>
      </c>
    </row>
    <row r="602">
      <c r="G602">
        <f>IF(OR(SETUP!$C$141="",$A$2="",$B$2&lt;&gt;"Equipment"),"","Equipment")</f>
        <v/>
      </c>
      <c r="H602">
        <f>IF($G602="","",SETUP!$C$141)</f>
        <v/>
      </c>
      <c r="I602">
        <f>IF($G602="","",$A$2)</f>
        <v/>
      </c>
      <c r="J602">
        <f>IF($G602="","",IF(COUNTIFS(DOC_TYPE,$I602,DOC_EQP,$H602,DOC_SCOPE,"Equipment",DOC_ACTIVE,1)+COUNTIFS(DOC_TYPE,$I602,DOC_SYS,SETUP!$B$141,DOC_SCOPE,"System",DOC_ACTIVE,1)+COUNTIFS(DOC_TYPE,$I602,DOC_SCOPE,"All",DOC_ACTIVE,1)&gt;0,"",IFERROR(IF($E$2&lt;&gt;"",$E$2-$C$2,SETUP!$D$141-$C$2),60000)+ROW()/1000000))</f>
        <v/>
      </c>
      <c r="L602">
        <f>IF(ACTIONS!$A104="","","Action")</f>
        <v/>
      </c>
      <c r="M602">
        <f>IF($L602="","",ACTIONS!$A104&amp;"  -  "&amp;LEFT(ACTIONS!$B104,60))</f>
        <v/>
      </c>
      <c r="N602">
        <f>IF($L602="","",IF(ACTIONS!$E104&lt;&gt;"",ACTIONS!$E104,IF(ACTIONS!$D104&lt;&gt;"",ACTIONS!$D104,"-")))</f>
        <v/>
      </c>
      <c r="O602">
        <f>IF($L602="","",ACTIONS!$G104)</f>
        <v/>
      </c>
      <c r="P602">
        <f>IF($L602="","",ACTIONS!$I104)</f>
        <v/>
      </c>
      <c r="Q602">
        <f>IF($L602="","",ACTIONS!$L104)</f>
        <v/>
      </c>
      <c r="R602">
        <f>ACTIONS!$Q104</f>
        <v/>
      </c>
      <c r="S602">
        <f>ACTIONS!$R104</f>
        <v/>
      </c>
      <c r="T602">
        <f>ACTIONS!$P104</f>
        <v/>
      </c>
    </row>
    <row r="603">
      <c r="G603">
        <f>IF(OR(SETUP!$C$141="",$A$3="",$B$3&lt;&gt;"Equipment"),"","Equipment")</f>
        <v/>
      </c>
      <c r="H603">
        <f>IF($G603="","",SETUP!$C$141)</f>
        <v/>
      </c>
      <c r="I603">
        <f>IF($G603="","",$A$3)</f>
        <v/>
      </c>
      <c r="J603">
        <f>IF($G603="","",IF(COUNTIFS(DOC_TYPE,$I603,DOC_EQP,$H603,DOC_SCOPE,"Equipment",DOC_ACTIVE,1)+COUNTIFS(DOC_TYPE,$I603,DOC_SYS,SETUP!$B$141,DOC_SCOPE,"System",DOC_ACTIVE,1)+COUNTIFS(DOC_TYPE,$I603,DOC_SCOPE,"All",DOC_ACTIVE,1)&gt;0,"",IFERROR(IF($E$3&lt;&gt;"",$E$3-$C$3,SETUP!$D$141-$C$3),60000)+ROW()/1000000))</f>
        <v/>
      </c>
      <c r="L603">
        <f>IF(ACTIONS!$A105="","","Action")</f>
        <v/>
      </c>
      <c r="M603">
        <f>IF($L603="","",ACTIONS!$A105&amp;"  -  "&amp;LEFT(ACTIONS!$B105,60))</f>
        <v/>
      </c>
      <c r="N603">
        <f>IF($L603="","",IF(ACTIONS!$E105&lt;&gt;"",ACTIONS!$E105,IF(ACTIONS!$D105&lt;&gt;"",ACTIONS!$D105,"-")))</f>
        <v/>
      </c>
      <c r="O603">
        <f>IF($L603="","",ACTIONS!$G105)</f>
        <v/>
      </c>
      <c r="P603">
        <f>IF($L603="","",ACTIONS!$I105)</f>
        <v/>
      </c>
      <c r="Q603">
        <f>IF($L603="","",ACTIONS!$L105)</f>
        <v/>
      </c>
      <c r="R603">
        <f>ACTIONS!$Q105</f>
        <v/>
      </c>
      <c r="S603">
        <f>ACTIONS!$R105</f>
        <v/>
      </c>
      <c r="T603">
        <f>ACTIONS!$P105</f>
        <v/>
      </c>
    </row>
    <row r="604">
      <c r="G604">
        <f>IF(OR(SETUP!$C$141="",$A$4="",$B$4&lt;&gt;"Equipment"),"","Equipment")</f>
        <v/>
      </c>
      <c r="H604">
        <f>IF($G604="","",SETUP!$C$141)</f>
        <v/>
      </c>
      <c r="I604">
        <f>IF($G604="","",$A$4)</f>
        <v/>
      </c>
      <c r="J604">
        <f>IF($G604="","",IF(COUNTIFS(DOC_TYPE,$I604,DOC_EQP,$H604,DOC_SCOPE,"Equipment",DOC_ACTIVE,1)+COUNTIFS(DOC_TYPE,$I604,DOC_SYS,SETUP!$B$141,DOC_SCOPE,"System",DOC_ACTIVE,1)+COUNTIFS(DOC_TYPE,$I604,DOC_SCOPE,"All",DOC_ACTIVE,1)&gt;0,"",IFERROR(IF($E$4&lt;&gt;"",$E$4-$C$4,SETUP!$D$141-$C$4),60000)+ROW()/1000000))</f>
        <v/>
      </c>
      <c r="L604">
        <f>IF(ACTIONS!$A106="","","Action")</f>
        <v/>
      </c>
      <c r="M604">
        <f>IF($L604="","",ACTIONS!$A106&amp;"  -  "&amp;LEFT(ACTIONS!$B106,60))</f>
        <v/>
      </c>
      <c r="N604">
        <f>IF($L604="","",IF(ACTIONS!$E106&lt;&gt;"",ACTIONS!$E106,IF(ACTIONS!$D106&lt;&gt;"",ACTIONS!$D106,"-")))</f>
        <v/>
      </c>
      <c r="O604">
        <f>IF($L604="","",ACTIONS!$G106)</f>
        <v/>
      </c>
      <c r="P604">
        <f>IF($L604="","",ACTIONS!$I106)</f>
        <v/>
      </c>
      <c r="Q604">
        <f>IF($L604="","",ACTIONS!$L106)</f>
        <v/>
      </c>
      <c r="R604">
        <f>ACTIONS!$Q106</f>
        <v/>
      </c>
      <c r="S604">
        <f>ACTIONS!$R106</f>
        <v/>
      </c>
      <c r="T604">
        <f>ACTIONS!$P106</f>
        <v/>
      </c>
    </row>
    <row r="605">
      <c r="G605">
        <f>IF(OR(SETUP!$C$141="",$A$5="",$B$5&lt;&gt;"Equipment"),"","Equipment")</f>
        <v/>
      </c>
      <c r="H605">
        <f>IF($G605="","",SETUP!$C$141)</f>
        <v/>
      </c>
      <c r="I605">
        <f>IF($G605="","",$A$5)</f>
        <v/>
      </c>
      <c r="J605">
        <f>IF($G605="","",IF(COUNTIFS(DOC_TYPE,$I605,DOC_EQP,$H605,DOC_SCOPE,"Equipment",DOC_ACTIVE,1)+COUNTIFS(DOC_TYPE,$I605,DOC_SYS,SETUP!$B$141,DOC_SCOPE,"System",DOC_ACTIVE,1)+COUNTIFS(DOC_TYPE,$I605,DOC_SCOPE,"All",DOC_ACTIVE,1)&gt;0,"",IFERROR(IF($E$5&lt;&gt;"",$E$5-$C$5,SETUP!$D$141-$C$5),60000)+ROW()/1000000))</f>
        <v/>
      </c>
      <c r="L605">
        <f>IF(ACTIONS!$A107="","","Action")</f>
        <v/>
      </c>
      <c r="M605">
        <f>IF($L605="","",ACTIONS!$A107&amp;"  -  "&amp;LEFT(ACTIONS!$B107,60))</f>
        <v/>
      </c>
      <c r="N605">
        <f>IF($L605="","",IF(ACTIONS!$E107&lt;&gt;"",ACTIONS!$E107,IF(ACTIONS!$D107&lt;&gt;"",ACTIONS!$D107,"-")))</f>
        <v/>
      </c>
      <c r="O605">
        <f>IF($L605="","",ACTIONS!$G107)</f>
        <v/>
      </c>
      <c r="P605">
        <f>IF($L605="","",ACTIONS!$I107)</f>
        <v/>
      </c>
      <c r="Q605">
        <f>IF($L605="","",ACTIONS!$L107)</f>
        <v/>
      </c>
      <c r="R605">
        <f>ACTIONS!$Q107</f>
        <v/>
      </c>
      <c r="S605">
        <f>ACTIONS!$R107</f>
        <v/>
      </c>
      <c r="T605">
        <f>ACTIONS!$P107</f>
        <v/>
      </c>
    </row>
    <row r="606">
      <c r="G606">
        <f>IF(OR(SETUP!$C$141="",$A$6="",$B$6&lt;&gt;"Equipment"),"","Equipment")</f>
        <v/>
      </c>
      <c r="H606">
        <f>IF($G606="","",SETUP!$C$141)</f>
        <v/>
      </c>
      <c r="I606">
        <f>IF($G606="","",$A$6)</f>
        <v/>
      </c>
      <c r="J606">
        <f>IF($G606="","",IF(COUNTIFS(DOC_TYPE,$I606,DOC_EQP,$H606,DOC_SCOPE,"Equipment",DOC_ACTIVE,1)+COUNTIFS(DOC_TYPE,$I606,DOC_SYS,SETUP!$B$141,DOC_SCOPE,"System",DOC_ACTIVE,1)+COUNTIFS(DOC_TYPE,$I606,DOC_SCOPE,"All",DOC_ACTIVE,1)&gt;0,"",IFERROR(IF($E$6&lt;&gt;"",$E$6-$C$6,SETUP!$D$141-$C$6),60000)+ROW()/1000000))</f>
        <v/>
      </c>
      <c r="L606">
        <f>IF(ACTIONS!$A108="","","Action")</f>
        <v/>
      </c>
      <c r="M606">
        <f>IF($L606="","",ACTIONS!$A108&amp;"  -  "&amp;LEFT(ACTIONS!$B108,60))</f>
        <v/>
      </c>
      <c r="N606">
        <f>IF($L606="","",IF(ACTIONS!$E108&lt;&gt;"",ACTIONS!$E108,IF(ACTIONS!$D108&lt;&gt;"",ACTIONS!$D108,"-")))</f>
        <v/>
      </c>
      <c r="O606">
        <f>IF($L606="","",ACTIONS!$G108)</f>
        <v/>
      </c>
      <c r="P606">
        <f>IF($L606="","",ACTIONS!$I108)</f>
        <v/>
      </c>
      <c r="Q606">
        <f>IF($L606="","",ACTIONS!$L108)</f>
        <v/>
      </c>
      <c r="R606">
        <f>ACTIONS!$Q108</f>
        <v/>
      </c>
      <c r="S606">
        <f>ACTIONS!$R108</f>
        <v/>
      </c>
      <c r="T606">
        <f>ACTIONS!$P108</f>
        <v/>
      </c>
    </row>
    <row r="607">
      <c r="G607">
        <f>IF(OR(SETUP!$C$141="",$A$7="",$B$7&lt;&gt;"Equipment"),"","Equipment")</f>
        <v/>
      </c>
      <c r="H607">
        <f>IF($G607="","",SETUP!$C$141)</f>
        <v/>
      </c>
      <c r="I607">
        <f>IF($G607="","",$A$7)</f>
        <v/>
      </c>
      <c r="J607">
        <f>IF($G607="","",IF(COUNTIFS(DOC_TYPE,$I607,DOC_EQP,$H607,DOC_SCOPE,"Equipment",DOC_ACTIVE,1)+COUNTIFS(DOC_TYPE,$I607,DOC_SYS,SETUP!$B$141,DOC_SCOPE,"System",DOC_ACTIVE,1)+COUNTIFS(DOC_TYPE,$I607,DOC_SCOPE,"All",DOC_ACTIVE,1)&gt;0,"",IFERROR(IF($E$7&lt;&gt;"",$E$7-$C$7,SETUP!$D$141-$C$7),60000)+ROW()/1000000))</f>
        <v/>
      </c>
      <c r="L607">
        <f>IF(ACTIONS!$A109="","","Action")</f>
        <v/>
      </c>
      <c r="M607">
        <f>IF($L607="","",ACTIONS!$A109&amp;"  -  "&amp;LEFT(ACTIONS!$B109,60))</f>
        <v/>
      </c>
      <c r="N607">
        <f>IF($L607="","",IF(ACTIONS!$E109&lt;&gt;"",ACTIONS!$E109,IF(ACTIONS!$D109&lt;&gt;"",ACTIONS!$D109,"-")))</f>
        <v/>
      </c>
      <c r="O607">
        <f>IF($L607="","",ACTIONS!$G109)</f>
        <v/>
      </c>
      <c r="P607">
        <f>IF($L607="","",ACTIONS!$I109)</f>
        <v/>
      </c>
      <c r="Q607">
        <f>IF($L607="","",ACTIONS!$L109)</f>
        <v/>
      </c>
      <c r="R607">
        <f>ACTIONS!$Q109</f>
        <v/>
      </c>
      <c r="S607">
        <f>ACTIONS!$R109</f>
        <v/>
      </c>
      <c r="T607">
        <f>ACTIONS!$P109</f>
        <v/>
      </c>
    </row>
    <row r="608">
      <c r="G608">
        <f>IF(OR(SETUP!$C$141="",$A$8="",$B$8&lt;&gt;"Equipment"),"","Equipment")</f>
        <v/>
      </c>
      <c r="H608">
        <f>IF($G608="","",SETUP!$C$141)</f>
        <v/>
      </c>
      <c r="I608">
        <f>IF($G608="","",$A$8)</f>
        <v/>
      </c>
      <c r="J608">
        <f>IF($G608="","",IF(COUNTIFS(DOC_TYPE,$I608,DOC_EQP,$H608,DOC_SCOPE,"Equipment",DOC_ACTIVE,1)+COUNTIFS(DOC_TYPE,$I608,DOC_SYS,SETUP!$B$141,DOC_SCOPE,"System",DOC_ACTIVE,1)+COUNTIFS(DOC_TYPE,$I608,DOC_SCOPE,"All",DOC_ACTIVE,1)&gt;0,"",IFERROR(IF($E$8&lt;&gt;"",$E$8-$C$8,SETUP!$D$141-$C$8),60000)+ROW()/1000000))</f>
        <v/>
      </c>
      <c r="L608">
        <f>IF(ACTIONS!$A110="","","Action")</f>
        <v/>
      </c>
      <c r="M608">
        <f>IF($L608="","",ACTIONS!$A110&amp;"  -  "&amp;LEFT(ACTIONS!$B110,60))</f>
        <v/>
      </c>
      <c r="N608">
        <f>IF($L608="","",IF(ACTIONS!$E110&lt;&gt;"",ACTIONS!$E110,IF(ACTIONS!$D110&lt;&gt;"",ACTIONS!$D110,"-")))</f>
        <v/>
      </c>
      <c r="O608">
        <f>IF($L608="","",ACTIONS!$G110)</f>
        <v/>
      </c>
      <c r="P608">
        <f>IF($L608="","",ACTIONS!$I110)</f>
        <v/>
      </c>
      <c r="Q608">
        <f>IF($L608="","",ACTIONS!$L110)</f>
        <v/>
      </c>
      <c r="R608">
        <f>ACTIONS!$Q110</f>
        <v/>
      </c>
      <c r="S608">
        <f>ACTIONS!$R110</f>
        <v/>
      </c>
      <c r="T608">
        <f>ACTIONS!$P110</f>
        <v/>
      </c>
    </row>
    <row r="609">
      <c r="G609">
        <f>IF(OR(SETUP!$C$141="",$A$9="",$B$9&lt;&gt;"Equipment"),"","Equipment")</f>
        <v/>
      </c>
      <c r="H609">
        <f>IF($G609="","",SETUP!$C$141)</f>
        <v/>
      </c>
      <c r="I609">
        <f>IF($G609="","",$A$9)</f>
        <v/>
      </c>
      <c r="J609">
        <f>IF($G609="","",IF(COUNTIFS(DOC_TYPE,$I609,DOC_EQP,$H609,DOC_SCOPE,"Equipment",DOC_ACTIVE,1)+COUNTIFS(DOC_TYPE,$I609,DOC_SYS,SETUP!$B$141,DOC_SCOPE,"System",DOC_ACTIVE,1)+COUNTIFS(DOC_TYPE,$I609,DOC_SCOPE,"All",DOC_ACTIVE,1)&gt;0,"",IFERROR(IF($E$9&lt;&gt;"",$E$9-$C$9,SETUP!$D$141-$C$9),60000)+ROW()/1000000))</f>
        <v/>
      </c>
      <c r="L609">
        <f>IF(ACTIONS!$A111="","","Action")</f>
        <v/>
      </c>
      <c r="M609">
        <f>IF($L609="","",ACTIONS!$A111&amp;"  -  "&amp;LEFT(ACTIONS!$B111,60))</f>
        <v/>
      </c>
      <c r="N609">
        <f>IF($L609="","",IF(ACTIONS!$E111&lt;&gt;"",ACTIONS!$E111,IF(ACTIONS!$D111&lt;&gt;"",ACTIONS!$D111,"-")))</f>
        <v/>
      </c>
      <c r="O609">
        <f>IF($L609="","",ACTIONS!$G111)</f>
        <v/>
      </c>
      <c r="P609">
        <f>IF($L609="","",ACTIONS!$I111)</f>
        <v/>
      </c>
      <c r="Q609">
        <f>IF($L609="","",ACTIONS!$L111)</f>
        <v/>
      </c>
      <c r="R609">
        <f>ACTIONS!$Q111</f>
        <v/>
      </c>
      <c r="S609">
        <f>ACTIONS!$R111</f>
        <v/>
      </c>
      <c r="T609">
        <f>ACTIONS!$P111</f>
        <v/>
      </c>
    </row>
    <row r="610">
      <c r="G610">
        <f>IF(OR(SETUP!$C$141="",$A$10="",$B$10&lt;&gt;"Equipment"),"","Equipment")</f>
        <v/>
      </c>
      <c r="H610">
        <f>IF($G610="","",SETUP!$C$141)</f>
        <v/>
      </c>
      <c r="I610">
        <f>IF($G610="","",$A$10)</f>
        <v/>
      </c>
      <c r="J610">
        <f>IF($G610="","",IF(COUNTIFS(DOC_TYPE,$I610,DOC_EQP,$H610,DOC_SCOPE,"Equipment",DOC_ACTIVE,1)+COUNTIFS(DOC_TYPE,$I610,DOC_SYS,SETUP!$B$141,DOC_SCOPE,"System",DOC_ACTIVE,1)+COUNTIFS(DOC_TYPE,$I610,DOC_SCOPE,"All",DOC_ACTIVE,1)&gt;0,"",IFERROR(IF($E$10&lt;&gt;"",$E$10-$C$10,SETUP!$D$141-$C$10),60000)+ROW()/1000000))</f>
        <v/>
      </c>
      <c r="L610">
        <f>IF(ACTIONS!$A112="","","Action")</f>
        <v/>
      </c>
      <c r="M610">
        <f>IF($L610="","",ACTIONS!$A112&amp;"  -  "&amp;LEFT(ACTIONS!$B112,60))</f>
        <v/>
      </c>
      <c r="N610">
        <f>IF($L610="","",IF(ACTIONS!$E112&lt;&gt;"",ACTIONS!$E112,IF(ACTIONS!$D112&lt;&gt;"",ACTIONS!$D112,"-")))</f>
        <v/>
      </c>
      <c r="O610">
        <f>IF($L610="","",ACTIONS!$G112)</f>
        <v/>
      </c>
      <c r="P610">
        <f>IF($L610="","",ACTIONS!$I112)</f>
        <v/>
      </c>
      <c r="Q610">
        <f>IF($L610="","",ACTIONS!$L112)</f>
        <v/>
      </c>
      <c r="R610">
        <f>ACTIONS!$Q112</f>
        <v/>
      </c>
      <c r="S610">
        <f>ACTIONS!$R112</f>
        <v/>
      </c>
      <c r="T610">
        <f>ACTIONS!$P112</f>
        <v/>
      </c>
    </row>
    <row r="611">
      <c r="G611">
        <f>IF(OR(SETUP!$C$141="",$A$11="",$B$11&lt;&gt;"Equipment"),"","Equipment")</f>
        <v/>
      </c>
      <c r="H611">
        <f>IF($G611="","",SETUP!$C$141)</f>
        <v/>
      </c>
      <c r="I611">
        <f>IF($G611="","",$A$11)</f>
        <v/>
      </c>
      <c r="J611">
        <f>IF($G611="","",IF(COUNTIFS(DOC_TYPE,$I611,DOC_EQP,$H611,DOC_SCOPE,"Equipment",DOC_ACTIVE,1)+COUNTIFS(DOC_TYPE,$I611,DOC_SYS,SETUP!$B$141,DOC_SCOPE,"System",DOC_ACTIVE,1)+COUNTIFS(DOC_TYPE,$I611,DOC_SCOPE,"All",DOC_ACTIVE,1)&gt;0,"",IFERROR(IF($E$11&lt;&gt;"",$E$11-$C$11,SETUP!$D$141-$C$11),60000)+ROW()/1000000))</f>
        <v/>
      </c>
      <c r="L611">
        <f>IF(ACTIONS!$A113="","","Action")</f>
        <v/>
      </c>
      <c r="M611">
        <f>IF($L611="","",ACTIONS!$A113&amp;"  -  "&amp;LEFT(ACTIONS!$B113,60))</f>
        <v/>
      </c>
      <c r="N611">
        <f>IF($L611="","",IF(ACTIONS!$E113&lt;&gt;"",ACTIONS!$E113,IF(ACTIONS!$D113&lt;&gt;"",ACTIONS!$D113,"-")))</f>
        <v/>
      </c>
      <c r="O611">
        <f>IF($L611="","",ACTIONS!$G113)</f>
        <v/>
      </c>
      <c r="P611">
        <f>IF($L611="","",ACTIONS!$I113)</f>
        <v/>
      </c>
      <c r="Q611">
        <f>IF($L611="","",ACTIONS!$L113)</f>
        <v/>
      </c>
      <c r="R611">
        <f>ACTIONS!$Q113</f>
        <v/>
      </c>
      <c r="S611">
        <f>ACTIONS!$R113</f>
        <v/>
      </c>
      <c r="T611">
        <f>ACTIONS!$P113</f>
        <v/>
      </c>
    </row>
    <row r="612">
      <c r="G612">
        <f>IF(OR(SETUP!$C$141="",$A$12="",$B$12&lt;&gt;"Equipment"),"","Equipment")</f>
        <v/>
      </c>
      <c r="H612">
        <f>IF($G612="","",SETUP!$C$141)</f>
        <v/>
      </c>
      <c r="I612">
        <f>IF($G612="","",$A$12)</f>
        <v/>
      </c>
      <c r="J612">
        <f>IF($G612="","",IF(COUNTIFS(DOC_TYPE,$I612,DOC_EQP,$H612,DOC_SCOPE,"Equipment",DOC_ACTIVE,1)+COUNTIFS(DOC_TYPE,$I612,DOC_SYS,SETUP!$B$141,DOC_SCOPE,"System",DOC_ACTIVE,1)+COUNTIFS(DOC_TYPE,$I612,DOC_SCOPE,"All",DOC_ACTIVE,1)&gt;0,"",IFERROR(IF($E$12&lt;&gt;"",$E$12-$C$12,SETUP!$D$141-$C$12),60000)+ROW()/1000000))</f>
        <v/>
      </c>
      <c r="L612">
        <f>IF(ACTIONS!$A114="","","Action")</f>
        <v/>
      </c>
      <c r="M612">
        <f>IF($L612="","",ACTIONS!$A114&amp;"  -  "&amp;LEFT(ACTIONS!$B114,60))</f>
        <v/>
      </c>
      <c r="N612">
        <f>IF($L612="","",IF(ACTIONS!$E114&lt;&gt;"",ACTIONS!$E114,IF(ACTIONS!$D114&lt;&gt;"",ACTIONS!$D114,"-")))</f>
        <v/>
      </c>
      <c r="O612">
        <f>IF($L612="","",ACTIONS!$G114)</f>
        <v/>
      </c>
      <c r="P612">
        <f>IF($L612="","",ACTIONS!$I114)</f>
        <v/>
      </c>
      <c r="Q612">
        <f>IF($L612="","",ACTIONS!$L114)</f>
        <v/>
      </c>
      <c r="R612">
        <f>ACTIONS!$Q114</f>
        <v/>
      </c>
      <c r="S612">
        <f>ACTIONS!$R114</f>
        <v/>
      </c>
      <c r="T612">
        <f>ACTIONS!$P114</f>
        <v/>
      </c>
    </row>
    <row r="613">
      <c r="G613">
        <f>IF(OR(SETUP!$C$141="",$A$13="",$B$13&lt;&gt;"Equipment"),"","Equipment")</f>
        <v/>
      </c>
      <c r="H613">
        <f>IF($G613="","",SETUP!$C$141)</f>
        <v/>
      </c>
      <c r="I613">
        <f>IF($G613="","",$A$13)</f>
        <v/>
      </c>
      <c r="J613">
        <f>IF($G613="","",IF(COUNTIFS(DOC_TYPE,$I613,DOC_EQP,$H613,DOC_SCOPE,"Equipment",DOC_ACTIVE,1)+COUNTIFS(DOC_TYPE,$I613,DOC_SYS,SETUP!$B$141,DOC_SCOPE,"System",DOC_ACTIVE,1)+COUNTIFS(DOC_TYPE,$I613,DOC_SCOPE,"All",DOC_ACTIVE,1)&gt;0,"",IFERROR(IF($E$13&lt;&gt;"",$E$13-$C$13,SETUP!$D$141-$C$13),60000)+ROW()/1000000))</f>
        <v/>
      </c>
      <c r="L613">
        <f>IF(ACTIONS!$A115="","","Action")</f>
        <v/>
      </c>
      <c r="M613">
        <f>IF($L613="","",ACTIONS!$A115&amp;"  -  "&amp;LEFT(ACTIONS!$B115,60))</f>
        <v/>
      </c>
      <c r="N613">
        <f>IF($L613="","",IF(ACTIONS!$E115&lt;&gt;"",ACTIONS!$E115,IF(ACTIONS!$D115&lt;&gt;"",ACTIONS!$D115,"-")))</f>
        <v/>
      </c>
      <c r="O613">
        <f>IF($L613="","",ACTIONS!$G115)</f>
        <v/>
      </c>
      <c r="P613">
        <f>IF($L613="","",ACTIONS!$I115)</f>
        <v/>
      </c>
      <c r="Q613">
        <f>IF($L613="","",ACTIONS!$L115)</f>
        <v/>
      </c>
      <c r="R613">
        <f>ACTIONS!$Q115</f>
        <v/>
      </c>
      <c r="S613">
        <f>ACTIONS!$R115</f>
        <v/>
      </c>
      <c r="T613">
        <f>ACTIONS!$P115</f>
        <v/>
      </c>
    </row>
    <row r="614">
      <c r="G614">
        <f>IF(OR(SETUP!$C$142="",$A$2="",$B$2&lt;&gt;"Equipment"),"","Equipment")</f>
        <v/>
      </c>
      <c r="H614">
        <f>IF($G614="","",SETUP!$C$142)</f>
        <v/>
      </c>
      <c r="I614">
        <f>IF($G614="","",$A$2)</f>
        <v/>
      </c>
      <c r="J614">
        <f>IF($G614="","",IF(COUNTIFS(DOC_TYPE,$I614,DOC_EQP,$H614,DOC_SCOPE,"Equipment",DOC_ACTIVE,1)+COUNTIFS(DOC_TYPE,$I614,DOC_SYS,SETUP!$B$142,DOC_SCOPE,"System",DOC_ACTIVE,1)+COUNTIFS(DOC_TYPE,$I614,DOC_SCOPE,"All",DOC_ACTIVE,1)&gt;0,"",IFERROR(IF($E$2&lt;&gt;"",$E$2-$C$2,SETUP!$D$142-$C$2),60000)+ROW()/1000000))</f>
        <v/>
      </c>
      <c r="L614">
        <f>IF(ACTIONS!$A116="","","Action")</f>
        <v/>
      </c>
      <c r="M614">
        <f>IF($L614="","",ACTIONS!$A116&amp;"  -  "&amp;LEFT(ACTIONS!$B116,60))</f>
        <v/>
      </c>
      <c r="N614">
        <f>IF($L614="","",IF(ACTIONS!$E116&lt;&gt;"",ACTIONS!$E116,IF(ACTIONS!$D116&lt;&gt;"",ACTIONS!$D116,"-")))</f>
        <v/>
      </c>
      <c r="O614">
        <f>IF($L614="","",ACTIONS!$G116)</f>
        <v/>
      </c>
      <c r="P614">
        <f>IF($L614="","",ACTIONS!$I116)</f>
        <v/>
      </c>
      <c r="Q614">
        <f>IF($L614="","",ACTIONS!$L116)</f>
        <v/>
      </c>
      <c r="R614">
        <f>ACTIONS!$Q116</f>
        <v/>
      </c>
      <c r="S614">
        <f>ACTIONS!$R116</f>
        <v/>
      </c>
      <c r="T614">
        <f>ACTIONS!$P116</f>
        <v/>
      </c>
    </row>
    <row r="615">
      <c r="G615">
        <f>IF(OR(SETUP!$C$142="",$A$3="",$B$3&lt;&gt;"Equipment"),"","Equipment")</f>
        <v/>
      </c>
      <c r="H615">
        <f>IF($G615="","",SETUP!$C$142)</f>
        <v/>
      </c>
      <c r="I615">
        <f>IF($G615="","",$A$3)</f>
        <v/>
      </c>
      <c r="J615">
        <f>IF($G615="","",IF(COUNTIFS(DOC_TYPE,$I615,DOC_EQP,$H615,DOC_SCOPE,"Equipment",DOC_ACTIVE,1)+COUNTIFS(DOC_TYPE,$I615,DOC_SYS,SETUP!$B$142,DOC_SCOPE,"System",DOC_ACTIVE,1)+COUNTIFS(DOC_TYPE,$I615,DOC_SCOPE,"All",DOC_ACTIVE,1)&gt;0,"",IFERROR(IF($E$3&lt;&gt;"",$E$3-$C$3,SETUP!$D$142-$C$3),60000)+ROW()/1000000))</f>
        <v/>
      </c>
      <c r="L615">
        <f>IF(ACTIONS!$A117="","","Action")</f>
        <v/>
      </c>
      <c r="M615">
        <f>IF($L615="","",ACTIONS!$A117&amp;"  -  "&amp;LEFT(ACTIONS!$B117,60))</f>
        <v/>
      </c>
      <c r="N615">
        <f>IF($L615="","",IF(ACTIONS!$E117&lt;&gt;"",ACTIONS!$E117,IF(ACTIONS!$D117&lt;&gt;"",ACTIONS!$D117,"-")))</f>
        <v/>
      </c>
      <c r="O615">
        <f>IF($L615="","",ACTIONS!$G117)</f>
        <v/>
      </c>
      <c r="P615">
        <f>IF($L615="","",ACTIONS!$I117)</f>
        <v/>
      </c>
      <c r="Q615">
        <f>IF($L615="","",ACTIONS!$L117)</f>
        <v/>
      </c>
      <c r="R615">
        <f>ACTIONS!$Q117</f>
        <v/>
      </c>
      <c r="S615">
        <f>ACTIONS!$R117</f>
        <v/>
      </c>
      <c r="T615">
        <f>ACTIONS!$P117</f>
        <v/>
      </c>
    </row>
    <row r="616">
      <c r="G616">
        <f>IF(OR(SETUP!$C$142="",$A$4="",$B$4&lt;&gt;"Equipment"),"","Equipment")</f>
        <v/>
      </c>
      <c r="H616">
        <f>IF($G616="","",SETUP!$C$142)</f>
        <v/>
      </c>
      <c r="I616">
        <f>IF($G616="","",$A$4)</f>
        <v/>
      </c>
      <c r="J616">
        <f>IF($G616="","",IF(COUNTIFS(DOC_TYPE,$I616,DOC_EQP,$H616,DOC_SCOPE,"Equipment",DOC_ACTIVE,1)+COUNTIFS(DOC_TYPE,$I616,DOC_SYS,SETUP!$B$142,DOC_SCOPE,"System",DOC_ACTIVE,1)+COUNTIFS(DOC_TYPE,$I616,DOC_SCOPE,"All",DOC_ACTIVE,1)&gt;0,"",IFERROR(IF($E$4&lt;&gt;"",$E$4-$C$4,SETUP!$D$142-$C$4),60000)+ROW()/1000000))</f>
        <v/>
      </c>
      <c r="L616">
        <f>IF(ACTIONS!$A118="","","Action")</f>
        <v/>
      </c>
      <c r="M616">
        <f>IF($L616="","",ACTIONS!$A118&amp;"  -  "&amp;LEFT(ACTIONS!$B118,60))</f>
        <v/>
      </c>
      <c r="N616">
        <f>IF($L616="","",IF(ACTIONS!$E118&lt;&gt;"",ACTIONS!$E118,IF(ACTIONS!$D118&lt;&gt;"",ACTIONS!$D118,"-")))</f>
        <v/>
      </c>
      <c r="O616">
        <f>IF($L616="","",ACTIONS!$G118)</f>
        <v/>
      </c>
      <c r="P616">
        <f>IF($L616="","",ACTIONS!$I118)</f>
        <v/>
      </c>
      <c r="Q616">
        <f>IF($L616="","",ACTIONS!$L118)</f>
        <v/>
      </c>
      <c r="R616">
        <f>ACTIONS!$Q118</f>
        <v/>
      </c>
      <c r="S616">
        <f>ACTIONS!$R118</f>
        <v/>
      </c>
      <c r="T616">
        <f>ACTIONS!$P118</f>
        <v/>
      </c>
    </row>
    <row r="617">
      <c r="G617">
        <f>IF(OR(SETUP!$C$142="",$A$5="",$B$5&lt;&gt;"Equipment"),"","Equipment")</f>
        <v/>
      </c>
      <c r="H617">
        <f>IF($G617="","",SETUP!$C$142)</f>
        <v/>
      </c>
      <c r="I617">
        <f>IF($G617="","",$A$5)</f>
        <v/>
      </c>
      <c r="J617">
        <f>IF($G617="","",IF(COUNTIFS(DOC_TYPE,$I617,DOC_EQP,$H617,DOC_SCOPE,"Equipment",DOC_ACTIVE,1)+COUNTIFS(DOC_TYPE,$I617,DOC_SYS,SETUP!$B$142,DOC_SCOPE,"System",DOC_ACTIVE,1)+COUNTIFS(DOC_TYPE,$I617,DOC_SCOPE,"All",DOC_ACTIVE,1)&gt;0,"",IFERROR(IF($E$5&lt;&gt;"",$E$5-$C$5,SETUP!$D$142-$C$5),60000)+ROW()/1000000))</f>
        <v/>
      </c>
      <c r="L617">
        <f>IF(ACTIONS!$A119="","","Action")</f>
        <v/>
      </c>
      <c r="M617">
        <f>IF($L617="","",ACTIONS!$A119&amp;"  -  "&amp;LEFT(ACTIONS!$B119,60))</f>
        <v/>
      </c>
      <c r="N617">
        <f>IF($L617="","",IF(ACTIONS!$E119&lt;&gt;"",ACTIONS!$E119,IF(ACTIONS!$D119&lt;&gt;"",ACTIONS!$D119,"-")))</f>
        <v/>
      </c>
      <c r="O617">
        <f>IF($L617="","",ACTIONS!$G119)</f>
        <v/>
      </c>
      <c r="P617">
        <f>IF($L617="","",ACTIONS!$I119)</f>
        <v/>
      </c>
      <c r="Q617">
        <f>IF($L617="","",ACTIONS!$L119)</f>
        <v/>
      </c>
      <c r="R617">
        <f>ACTIONS!$Q119</f>
        <v/>
      </c>
      <c r="S617">
        <f>ACTIONS!$R119</f>
        <v/>
      </c>
      <c r="T617">
        <f>ACTIONS!$P119</f>
        <v/>
      </c>
    </row>
    <row r="618">
      <c r="G618">
        <f>IF(OR(SETUP!$C$142="",$A$6="",$B$6&lt;&gt;"Equipment"),"","Equipment")</f>
        <v/>
      </c>
      <c r="H618">
        <f>IF($G618="","",SETUP!$C$142)</f>
        <v/>
      </c>
      <c r="I618">
        <f>IF($G618="","",$A$6)</f>
        <v/>
      </c>
      <c r="J618">
        <f>IF($G618="","",IF(COUNTIFS(DOC_TYPE,$I618,DOC_EQP,$H618,DOC_SCOPE,"Equipment",DOC_ACTIVE,1)+COUNTIFS(DOC_TYPE,$I618,DOC_SYS,SETUP!$B$142,DOC_SCOPE,"System",DOC_ACTIVE,1)+COUNTIFS(DOC_TYPE,$I618,DOC_SCOPE,"All",DOC_ACTIVE,1)&gt;0,"",IFERROR(IF($E$6&lt;&gt;"",$E$6-$C$6,SETUP!$D$142-$C$6),60000)+ROW()/1000000))</f>
        <v/>
      </c>
      <c r="L618">
        <f>IF(ACTIONS!$A120="","","Action")</f>
        <v/>
      </c>
      <c r="M618">
        <f>IF($L618="","",ACTIONS!$A120&amp;"  -  "&amp;LEFT(ACTIONS!$B120,60))</f>
        <v/>
      </c>
      <c r="N618">
        <f>IF($L618="","",IF(ACTIONS!$E120&lt;&gt;"",ACTIONS!$E120,IF(ACTIONS!$D120&lt;&gt;"",ACTIONS!$D120,"-")))</f>
        <v/>
      </c>
      <c r="O618">
        <f>IF($L618="","",ACTIONS!$G120)</f>
        <v/>
      </c>
      <c r="P618">
        <f>IF($L618="","",ACTIONS!$I120)</f>
        <v/>
      </c>
      <c r="Q618">
        <f>IF($L618="","",ACTIONS!$L120)</f>
        <v/>
      </c>
      <c r="R618">
        <f>ACTIONS!$Q120</f>
        <v/>
      </c>
      <c r="S618">
        <f>ACTIONS!$R120</f>
        <v/>
      </c>
      <c r="T618">
        <f>ACTIONS!$P120</f>
        <v/>
      </c>
    </row>
    <row r="619">
      <c r="G619">
        <f>IF(OR(SETUP!$C$142="",$A$7="",$B$7&lt;&gt;"Equipment"),"","Equipment")</f>
        <v/>
      </c>
      <c r="H619">
        <f>IF($G619="","",SETUP!$C$142)</f>
        <v/>
      </c>
      <c r="I619">
        <f>IF($G619="","",$A$7)</f>
        <v/>
      </c>
      <c r="J619">
        <f>IF($G619="","",IF(COUNTIFS(DOC_TYPE,$I619,DOC_EQP,$H619,DOC_SCOPE,"Equipment",DOC_ACTIVE,1)+COUNTIFS(DOC_TYPE,$I619,DOC_SYS,SETUP!$B$142,DOC_SCOPE,"System",DOC_ACTIVE,1)+COUNTIFS(DOC_TYPE,$I619,DOC_SCOPE,"All",DOC_ACTIVE,1)&gt;0,"",IFERROR(IF($E$7&lt;&gt;"",$E$7-$C$7,SETUP!$D$142-$C$7),60000)+ROW()/1000000))</f>
        <v/>
      </c>
      <c r="L619">
        <f>IF(ACTIONS!$A121="","","Action")</f>
        <v/>
      </c>
      <c r="M619">
        <f>IF($L619="","",ACTIONS!$A121&amp;"  -  "&amp;LEFT(ACTIONS!$B121,60))</f>
        <v/>
      </c>
      <c r="N619">
        <f>IF($L619="","",IF(ACTIONS!$E121&lt;&gt;"",ACTIONS!$E121,IF(ACTIONS!$D121&lt;&gt;"",ACTIONS!$D121,"-")))</f>
        <v/>
      </c>
      <c r="O619">
        <f>IF($L619="","",ACTIONS!$G121)</f>
        <v/>
      </c>
      <c r="P619">
        <f>IF($L619="","",ACTIONS!$I121)</f>
        <v/>
      </c>
      <c r="Q619">
        <f>IF($L619="","",ACTIONS!$L121)</f>
        <v/>
      </c>
      <c r="R619">
        <f>ACTIONS!$Q121</f>
        <v/>
      </c>
      <c r="S619">
        <f>ACTIONS!$R121</f>
        <v/>
      </c>
      <c r="T619">
        <f>ACTIONS!$P121</f>
        <v/>
      </c>
    </row>
    <row r="620">
      <c r="G620">
        <f>IF(OR(SETUP!$C$142="",$A$8="",$B$8&lt;&gt;"Equipment"),"","Equipment")</f>
        <v/>
      </c>
      <c r="H620">
        <f>IF($G620="","",SETUP!$C$142)</f>
        <v/>
      </c>
      <c r="I620">
        <f>IF($G620="","",$A$8)</f>
        <v/>
      </c>
      <c r="J620">
        <f>IF($G620="","",IF(COUNTIFS(DOC_TYPE,$I620,DOC_EQP,$H620,DOC_SCOPE,"Equipment",DOC_ACTIVE,1)+COUNTIFS(DOC_TYPE,$I620,DOC_SYS,SETUP!$B$142,DOC_SCOPE,"System",DOC_ACTIVE,1)+COUNTIFS(DOC_TYPE,$I620,DOC_SCOPE,"All",DOC_ACTIVE,1)&gt;0,"",IFERROR(IF($E$8&lt;&gt;"",$E$8-$C$8,SETUP!$D$142-$C$8),60000)+ROW()/1000000))</f>
        <v/>
      </c>
      <c r="L620">
        <f>IF(ACTIONS!$A122="","","Action")</f>
        <v/>
      </c>
      <c r="M620">
        <f>IF($L620="","",ACTIONS!$A122&amp;"  -  "&amp;LEFT(ACTIONS!$B122,60))</f>
        <v/>
      </c>
      <c r="N620">
        <f>IF($L620="","",IF(ACTIONS!$E122&lt;&gt;"",ACTIONS!$E122,IF(ACTIONS!$D122&lt;&gt;"",ACTIONS!$D122,"-")))</f>
        <v/>
      </c>
      <c r="O620">
        <f>IF($L620="","",ACTIONS!$G122)</f>
        <v/>
      </c>
      <c r="P620">
        <f>IF($L620="","",ACTIONS!$I122)</f>
        <v/>
      </c>
      <c r="Q620">
        <f>IF($L620="","",ACTIONS!$L122)</f>
        <v/>
      </c>
      <c r="R620">
        <f>ACTIONS!$Q122</f>
        <v/>
      </c>
      <c r="S620">
        <f>ACTIONS!$R122</f>
        <v/>
      </c>
      <c r="T620">
        <f>ACTIONS!$P122</f>
        <v/>
      </c>
    </row>
    <row r="621">
      <c r="G621">
        <f>IF(OR(SETUP!$C$142="",$A$9="",$B$9&lt;&gt;"Equipment"),"","Equipment")</f>
        <v/>
      </c>
      <c r="H621">
        <f>IF($G621="","",SETUP!$C$142)</f>
        <v/>
      </c>
      <c r="I621">
        <f>IF($G621="","",$A$9)</f>
        <v/>
      </c>
      <c r="J621">
        <f>IF($G621="","",IF(COUNTIFS(DOC_TYPE,$I621,DOC_EQP,$H621,DOC_SCOPE,"Equipment",DOC_ACTIVE,1)+COUNTIFS(DOC_TYPE,$I621,DOC_SYS,SETUP!$B$142,DOC_SCOPE,"System",DOC_ACTIVE,1)+COUNTIFS(DOC_TYPE,$I621,DOC_SCOPE,"All",DOC_ACTIVE,1)&gt;0,"",IFERROR(IF($E$9&lt;&gt;"",$E$9-$C$9,SETUP!$D$142-$C$9),60000)+ROW()/1000000))</f>
        <v/>
      </c>
      <c r="L621">
        <f>IF(ACTIONS!$A123="","","Action")</f>
        <v/>
      </c>
      <c r="M621">
        <f>IF($L621="","",ACTIONS!$A123&amp;"  -  "&amp;LEFT(ACTIONS!$B123,60))</f>
        <v/>
      </c>
      <c r="N621">
        <f>IF($L621="","",IF(ACTIONS!$E123&lt;&gt;"",ACTIONS!$E123,IF(ACTIONS!$D123&lt;&gt;"",ACTIONS!$D123,"-")))</f>
        <v/>
      </c>
      <c r="O621">
        <f>IF($L621="","",ACTIONS!$G123)</f>
        <v/>
      </c>
      <c r="P621">
        <f>IF($L621="","",ACTIONS!$I123)</f>
        <v/>
      </c>
      <c r="Q621">
        <f>IF($L621="","",ACTIONS!$L123)</f>
        <v/>
      </c>
      <c r="R621">
        <f>ACTIONS!$Q123</f>
        <v/>
      </c>
      <c r="S621">
        <f>ACTIONS!$R123</f>
        <v/>
      </c>
      <c r="T621">
        <f>ACTIONS!$P123</f>
        <v/>
      </c>
    </row>
    <row r="622">
      <c r="G622">
        <f>IF(OR(SETUP!$C$142="",$A$10="",$B$10&lt;&gt;"Equipment"),"","Equipment")</f>
        <v/>
      </c>
      <c r="H622">
        <f>IF($G622="","",SETUP!$C$142)</f>
        <v/>
      </c>
      <c r="I622">
        <f>IF($G622="","",$A$10)</f>
        <v/>
      </c>
      <c r="J622">
        <f>IF($G622="","",IF(COUNTIFS(DOC_TYPE,$I622,DOC_EQP,$H622,DOC_SCOPE,"Equipment",DOC_ACTIVE,1)+COUNTIFS(DOC_TYPE,$I622,DOC_SYS,SETUP!$B$142,DOC_SCOPE,"System",DOC_ACTIVE,1)+COUNTIFS(DOC_TYPE,$I622,DOC_SCOPE,"All",DOC_ACTIVE,1)&gt;0,"",IFERROR(IF($E$10&lt;&gt;"",$E$10-$C$10,SETUP!$D$142-$C$10),60000)+ROW()/1000000))</f>
        <v/>
      </c>
      <c r="L622">
        <f>IF(ACTIONS!$A124="","","Action")</f>
        <v/>
      </c>
      <c r="M622">
        <f>IF($L622="","",ACTIONS!$A124&amp;"  -  "&amp;LEFT(ACTIONS!$B124,60))</f>
        <v/>
      </c>
      <c r="N622">
        <f>IF($L622="","",IF(ACTIONS!$E124&lt;&gt;"",ACTIONS!$E124,IF(ACTIONS!$D124&lt;&gt;"",ACTIONS!$D124,"-")))</f>
        <v/>
      </c>
      <c r="O622">
        <f>IF($L622="","",ACTIONS!$G124)</f>
        <v/>
      </c>
      <c r="P622">
        <f>IF($L622="","",ACTIONS!$I124)</f>
        <v/>
      </c>
      <c r="Q622">
        <f>IF($L622="","",ACTIONS!$L124)</f>
        <v/>
      </c>
      <c r="R622">
        <f>ACTIONS!$Q124</f>
        <v/>
      </c>
      <c r="S622">
        <f>ACTIONS!$R124</f>
        <v/>
      </c>
      <c r="T622">
        <f>ACTIONS!$P124</f>
        <v/>
      </c>
    </row>
    <row r="623">
      <c r="G623">
        <f>IF(OR(SETUP!$C$142="",$A$11="",$B$11&lt;&gt;"Equipment"),"","Equipment")</f>
        <v/>
      </c>
      <c r="H623">
        <f>IF($G623="","",SETUP!$C$142)</f>
        <v/>
      </c>
      <c r="I623">
        <f>IF($G623="","",$A$11)</f>
        <v/>
      </c>
      <c r="J623">
        <f>IF($G623="","",IF(COUNTIFS(DOC_TYPE,$I623,DOC_EQP,$H623,DOC_SCOPE,"Equipment",DOC_ACTIVE,1)+COUNTIFS(DOC_TYPE,$I623,DOC_SYS,SETUP!$B$142,DOC_SCOPE,"System",DOC_ACTIVE,1)+COUNTIFS(DOC_TYPE,$I623,DOC_SCOPE,"All",DOC_ACTIVE,1)&gt;0,"",IFERROR(IF($E$11&lt;&gt;"",$E$11-$C$11,SETUP!$D$142-$C$11),60000)+ROW()/1000000))</f>
        <v/>
      </c>
      <c r="L623">
        <f>IF(ACTIONS!$A125="","","Action")</f>
        <v/>
      </c>
      <c r="M623">
        <f>IF($L623="","",ACTIONS!$A125&amp;"  -  "&amp;LEFT(ACTIONS!$B125,60))</f>
        <v/>
      </c>
      <c r="N623">
        <f>IF($L623="","",IF(ACTIONS!$E125&lt;&gt;"",ACTIONS!$E125,IF(ACTIONS!$D125&lt;&gt;"",ACTIONS!$D125,"-")))</f>
        <v/>
      </c>
      <c r="O623">
        <f>IF($L623="","",ACTIONS!$G125)</f>
        <v/>
      </c>
      <c r="P623">
        <f>IF($L623="","",ACTIONS!$I125)</f>
        <v/>
      </c>
      <c r="Q623">
        <f>IF($L623="","",ACTIONS!$L125)</f>
        <v/>
      </c>
      <c r="R623">
        <f>ACTIONS!$Q125</f>
        <v/>
      </c>
      <c r="S623">
        <f>ACTIONS!$R125</f>
        <v/>
      </c>
      <c r="T623">
        <f>ACTIONS!$P125</f>
        <v/>
      </c>
    </row>
    <row r="624">
      <c r="G624">
        <f>IF(OR(SETUP!$C$142="",$A$12="",$B$12&lt;&gt;"Equipment"),"","Equipment")</f>
        <v/>
      </c>
      <c r="H624">
        <f>IF($G624="","",SETUP!$C$142)</f>
        <v/>
      </c>
      <c r="I624">
        <f>IF($G624="","",$A$12)</f>
        <v/>
      </c>
      <c r="J624">
        <f>IF($G624="","",IF(COUNTIFS(DOC_TYPE,$I624,DOC_EQP,$H624,DOC_SCOPE,"Equipment",DOC_ACTIVE,1)+COUNTIFS(DOC_TYPE,$I624,DOC_SYS,SETUP!$B$142,DOC_SCOPE,"System",DOC_ACTIVE,1)+COUNTIFS(DOC_TYPE,$I624,DOC_SCOPE,"All",DOC_ACTIVE,1)&gt;0,"",IFERROR(IF($E$12&lt;&gt;"",$E$12-$C$12,SETUP!$D$142-$C$12),60000)+ROW()/1000000))</f>
        <v/>
      </c>
      <c r="L624">
        <f>IF(ACTIONS!$A126="","","Action")</f>
        <v/>
      </c>
      <c r="M624">
        <f>IF($L624="","",ACTIONS!$A126&amp;"  -  "&amp;LEFT(ACTIONS!$B126,60))</f>
        <v/>
      </c>
      <c r="N624">
        <f>IF($L624="","",IF(ACTIONS!$E126&lt;&gt;"",ACTIONS!$E126,IF(ACTIONS!$D126&lt;&gt;"",ACTIONS!$D126,"-")))</f>
        <v/>
      </c>
      <c r="O624">
        <f>IF($L624="","",ACTIONS!$G126)</f>
        <v/>
      </c>
      <c r="P624">
        <f>IF($L624="","",ACTIONS!$I126)</f>
        <v/>
      </c>
      <c r="Q624">
        <f>IF($L624="","",ACTIONS!$L126)</f>
        <v/>
      </c>
      <c r="R624">
        <f>ACTIONS!$Q126</f>
        <v/>
      </c>
      <c r="S624">
        <f>ACTIONS!$R126</f>
        <v/>
      </c>
      <c r="T624">
        <f>ACTIONS!$P126</f>
        <v/>
      </c>
    </row>
    <row r="625">
      <c r="G625">
        <f>IF(OR(SETUP!$C$142="",$A$13="",$B$13&lt;&gt;"Equipment"),"","Equipment")</f>
        <v/>
      </c>
      <c r="H625">
        <f>IF($G625="","",SETUP!$C$142)</f>
        <v/>
      </c>
      <c r="I625">
        <f>IF($G625="","",$A$13)</f>
        <v/>
      </c>
      <c r="J625">
        <f>IF($G625="","",IF(COUNTIFS(DOC_TYPE,$I625,DOC_EQP,$H625,DOC_SCOPE,"Equipment",DOC_ACTIVE,1)+COUNTIFS(DOC_TYPE,$I625,DOC_SYS,SETUP!$B$142,DOC_SCOPE,"System",DOC_ACTIVE,1)+COUNTIFS(DOC_TYPE,$I625,DOC_SCOPE,"All",DOC_ACTIVE,1)&gt;0,"",IFERROR(IF($E$13&lt;&gt;"",$E$13-$C$13,SETUP!$D$142-$C$13),60000)+ROW()/1000000))</f>
        <v/>
      </c>
      <c r="L625">
        <f>IF(ACTIONS!$A127="","","Action")</f>
        <v/>
      </c>
      <c r="M625">
        <f>IF($L625="","",ACTIONS!$A127&amp;"  -  "&amp;LEFT(ACTIONS!$B127,60))</f>
        <v/>
      </c>
      <c r="N625">
        <f>IF($L625="","",IF(ACTIONS!$E127&lt;&gt;"",ACTIONS!$E127,IF(ACTIONS!$D127&lt;&gt;"",ACTIONS!$D127,"-")))</f>
        <v/>
      </c>
      <c r="O625">
        <f>IF($L625="","",ACTIONS!$G127)</f>
        <v/>
      </c>
      <c r="P625">
        <f>IF($L625="","",ACTIONS!$I127)</f>
        <v/>
      </c>
      <c r="Q625">
        <f>IF($L625="","",ACTIONS!$L127)</f>
        <v/>
      </c>
      <c r="R625">
        <f>ACTIONS!$Q127</f>
        <v/>
      </c>
      <c r="S625">
        <f>ACTIONS!$R127</f>
        <v/>
      </c>
      <c r="T625">
        <f>ACTIONS!$P127</f>
        <v/>
      </c>
    </row>
    <row r="626">
      <c r="G626">
        <f>IF(OR(SETUP!$C$143="",$A$2="",$B$2&lt;&gt;"Equipment"),"","Equipment")</f>
        <v/>
      </c>
      <c r="H626">
        <f>IF($G626="","",SETUP!$C$143)</f>
        <v/>
      </c>
      <c r="I626">
        <f>IF($G626="","",$A$2)</f>
        <v/>
      </c>
      <c r="J626">
        <f>IF($G626="","",IF(COUNTIFS(DOC_TYPE,$I626,DOC_EQP,$H626,DOC_SCOPE,"Equipment",DOC_ACTIVE,1)+COUNTIFS(DOC_TYPE,$I626,DOC_SYS,SETUP!$B$143,DOC_SCOPE,"System",DOC_ACTIVE,1)+COUNTIFS(DOC_TYPE,$I626,DOC_SCOPE,"All",DOC_ACTIVE,1)&gt;0,"",IFERROR(IF($E$2&lt;&gt;"",$E$2-$C$2,SETUP!$D$143-$C$2),60000)+ROW()/1000000))</f>
        <v/>
      </c>
      <c r="L626">
        <f>IF(ACTIONS!$A128="","","Action")</f>
        <v/>
      </c>
      <c r="M626">
        <f>IF($L626="","",ACTIONS!$A128&amp;"  -  "&amp;LEFT(ACTIONS!$B128,60))</f>
        <v/>
      </c>
      <c r="N626">
        <f>IF($L626="","",IF(ACTIONS!$E128&lt;&gt;"",ACTIONS!$E128,IF(ACTIONS!$D128&lt;&gt;"",ACTIONS!$D128,"-")))</f>
        <v/>
      </c>
      <c r="O626">
        <f>IF($L626="","",ACTIONS!$G128)</f>
        <v/>
      </c>
      <c r="P626">
        <f>IF($L626="","",ACTIONS!$I128)</f>
        <v/>
      </c>
      <c r="Q626">
        <f>IF($L626="","",ACTIONS!$L128)</f>
        <v/>
      </c>
      <c r="R626">
        <f>ACTIONS!$Q128</f>
        <v/>
      </c>
      <c r="S626">
        <f>ACTIONS!$R128</f>
        <v/>
      </c>
      <c r="T626">
        <f>ACTIONS!$P128</f>
        <v/>
      </c>
    </row>
    <row r="627">
      <c r="G627">
        <f>IF(OR(SETUP!$C$143="",$A$3="",$B$3&lt;&gt;"Equipment"),"","Equipment")</f>
        <v/>
      </c>
      <c r="H627">
        <f>IF($G627="","",SETUP!$C$143)</f>
        <v/>
      </c>
      <c r="I627">
        <f>IF($G627="","",$A$3)</f>
        <v/>
      </c>
      <c r="J627">
        <f>IF($G627="","",IF(COUNTIFS(DOC_TYPE,$I627,DOC_EQP,$H627,DOC_SCOPE,"Equipment",DOC_ACTIVE,1)+COUNTIFS(DOC_TYPE,$I627,DOC_SYS,SETUP!$B$143,DOC_SCOPE,"System",DOC_ACTIVE,1)+COUNTIFS(DOC_TYPE,$I627,DOC_SCOPE,"All",DOC_ACTIVE,1)&gt;0,"",IFERROR(IF($E$3&lt;&gt;"",$E$3-$C$3,SETUP!$D$143-$C$3),60000)+ROW()/1000000))</f>
        <v/>
      </c>
      <c r="L627">
        <f>IF(ACTIONS!$A129="","","Action")</f>
        <v/>
      </c>
      <c r="M627">
        <f>IF($L627="","",ACTIONS!$A129&amp;"  -  "&amp;LEFT(ACTIONS!$B129,60))</f>
        <v/>
      </c>
      <c r="N627">
        <f>IF($L627="","",IF(ACTIONS!$E129&lt;&gt;"",ACTIONS!$E129,IF(ACTIONS!$D129&lt;&gt;"",ACTIONS!$D129,"-")))</f>
        <v/>
      </c>
      <c r="O627">
        <f>IF($L627="","",ACTIONS!$G129)</f>
        <v/>
      </c>
      <c r="P627">
        <f>IF($L627="","",ACTIONS!$I129)</f>
        <v/>
      </c>
      <c r="Q627">
        <f>IF($L627="","",ACTIONS!$L129)</f>
        <v/>
      </c>
      <c r="R627">
        <f>ACTIONS!$Q129</f>
        <v/>
      </c>
      <c r="S627">
        <f>ACTIONS!$R129</f>
        <v/>
      </c>
      <c r="T627">
        <f>ACTIONS!$P129</f>
        <v/>
      </c>
    </row>
    <row r="628">
      <c r="G628">
        <f>IF(OR(SETUP!$C$143="",$A$4="",$B$4&lt;&gt;"Equipment"),"","Equipment")</f>
        <v/>
      </c>
      <c r="H628">
        <f>IF($G628="","",SETUP!$C$143)</f>
        <v/>
      </c>
      <c r="I628">
        <f>IF($G628="","",$A$4)</f>
        <v/>
      </c>
      <c r="J628">
        <f>IF($G628="","",IF(COUNTIFS(DOC_TYPE,$I628,DOC_EQP,$H628,DOC_SCOPE,"Equipment",DOC_ACTIVE,1)+COUNTIFS(DOC_TYPE,$I628,DOC_SYS,SETUP!$B$143,DOC_SCOPE,"System",DOC_ACTIVE,1)+COUNTIFS(DOC_TYPE,$I628,DOC_SCOPE,"All",DOC_ACTIVE,1)&gt;0,"",IFERROR(IF($E$4&lt;&gt;"",$E$4-$C$4,SETUP!$D$143-$C$4),60000)+ROW()/1000000))</f>
        <v/>
      </c>
      <c r="L628">
        <f>IF(ACTIONS!$A130="","","Action")</f>
        <v/>
      </c>
      <c r="M628">
        <f>IF($L628="","",ACTIONS!$A130&amp;"  -  "&amp;LEFT(ACTIONS!$B130,60))</f>
        <v/>
      </c>
      <c r="N628">
        <f>IF($L628="","",IF(ACTIONS!$E130&lt;&gt;"",ACTIONS!$E130,IF(ACTIONS!$D130&lt;&gt;"",ACTIONS!$D130,"-")))</f>
        <v/>
      </c>
      <c r="O628">
        <f>IF($L628="","",ACTIONS!$G130)</f>
        <v/>
      </c>
      <c r="P628">
        <f>IF($L628="","",ACTIONS!$I130)</f>
        <v/>
      </c>
      <c r="Q628">
        <f>IF($L628="","",ACTIONS!$L130)</f>
        <v/>
      </c>
      <c r="R628">
        <f>ACTIONS!$Q130</f>
        <v/>
      </c>
      <c r="S628">
        <f>ACTIONS!$R130</f>
        <v/>
      </c>
      <c r="T628">
        <f>ACTIONS!$P130</f>
        <v/>
      </c>
    </row>
    <row r="629">
      <c r="G629">
        <f>IF(OR(SETUP!$C$143="",$A$5="",$B$5&lt;&gt;"Equipment"),"","Equipment")</f>
        <v/>
      </c>
      <c r="H629">
        <f>IF($G629="","",SETUP!$C$143)</f>
        <v/>
      </c>
      <c r="I629">
        <f>IF($G629="","",$A$5)</f>
        <v/>
      </c>
      <c r="J629">
        <f>IF($G629="","",IF(COUNTIFS(DOC_TYPE,$I629,DOC_EQP,$H629,DOC_SCOPE,"Equipment",DOC_ACTIVE,1)+COUNTIFS(DOC_TYPE,$I629,DOC_SYS,SETUP!$B$143,DOC_SCOPE,"System",DOC_ACTIVE,1)+COUNTIFS(DOC_TYPE,$I629,DOC_SCOPE,"All",DOC_ACTIVE,1)&gt;0,"",IFERROR(IF($E$5&lt;&gt;"",$E$5-$C$5,SETUP!$D$143-$C$5),60000)+ROW()/1000000))</f>
        <v/>
      </c>
      <c r="L629">
        <f>IF(ACTIONS!$A131="","","Action")</f>
        <v/>
      </c>
      <c r="M629">
        <f>IF($L629="","",ACTIONS!$A131&amp;"  -  "&amp;LEFT(ACTIONS!$B131,60))</f>
        <v/>
      </c>
      <c r="N629">
        <f>IF($L629="","",IF(ACTIONS!$E131&lt;&gt;"",ACTIONS!$E131,IF(ACTIONS!$D131&lt;&gt;"",ACTIONS!$D131,"-")))</f>
        <v/>
      </c>
      <c r="O629">
        <f>IF($L629="","",ACTIONS!$G131)</f>
        <v/>
      </c>
      <c r="P629">
        <f>IF($L629="","",ACTIONS!$I131)</f>
        <v/>
      </c>
      <c r="Q629">
        <f>IF($L629="","",ACTIONS!$L131)</f>
        <v/>
      </c>
      <c r="R629">
        <f>ACTIONS!$Q131</f>
        <v/>
      </c>
      <c r="S629">
        <f>ACTIONS!$R131</f>
        <v/>
      </c>
      <c r="T629">
        <f>ACTIONS!$P131</f>
        <v/>
      </c>
    </row>
    <row r="630">
      <c r="G630">
        <f>IF(OR(SETUP!$C$143="",$A$6="",$B$6&lt;&gt;"Equipment"),"","Equipment")</f>
        <v/>
      </c>
      <c r="H630">
        <f>IF($G630="","",SETUP!$C$143)</f>
        <v/>
      </c>
      <c r="I630">
        <f>IF($G630="","",$A$6)</f>
        <v/>
      </c>
      <c r="J630">
        <f>IF($G630="","",IF(COUNTIFS(DOC_TYPE,$I630,DOC_EQP,$H630,DOC_SCOPE,"Equipment",DOC_ACTIVE,1)+COUNTIFS(DOC_TYPE,$I630,DOC_SYS,SETUP!$B$143,DOC_SCOPE,"System",DOC_ACTIVE,1)+COUNTIFS(DOC_TYPE,$I630,DOC_SCOPE,"All",DOC_ACTIVE,1)&gt;0,"",IFERROR(IF($E$6&lt;&gt;"",$E$6-$C$6,SETUP!$D$143-$C$6),60000)+ROW()/1000000))</f>
        <v/>
      </c>
      <c r="L630">
        <f>IF(ACTIONS!$A132="","","Action")</f>
        <v/>
      </c>
      <c r="M630">
        <f>IF($L630="","",ACTIONS!$A132&amp;"  -  "&amp;LEFT(ACTIONS!$B132,60))</f>
        <v/>
      </c>
      <c r="N630">
        <f>IF($L630="","",IF(ACTIONS!$E132&lt;&gt;"",ACTIONS!$E132,IF(ACTIONS!$D132&lt;&gt;"",ACTIONS!$D132,"-")))</f>
        <v/>
      </c>
      <c r="O630">
        <f>IF($L630="","",ACTIONS!$G132)</f>
        <v/>
      </c>
      <c r="P630">
        <f>IF($L630="","",ACTIONS!$I132)</f>
        <v/>
      </c>
      <c r="Q630">
        <f>IF($L630="","",ACTIONS!$L132)</f>
        <v/>
      </c>
      <c r="R630">
        <f>ACTIONS!$Q132</f>
        <v/>
      </c>
      <c r="S630">
        <f>ACTIONS!$R132</f>
        <v/>
      </c>
      <c r="T630">
        <f>ACTIONS!$P132</f>
        <v/>
      </c>
    </row>
    <row r="631">
      <c r="G631">
        <f>IF(OR(SETUP!$C$143="",$A$7="",$B$7&lt;&gt;"Equipment"),"","Equipment")</f>
        <v/>
      </c>
      <c r="H631">
        <f>IF($G631="","",SETUP!$C$143)</f>
        <v/>
      </c>
      <c r="I631">
        <f>IF($G631="","",$A$7)</f>
        <v/>
      </c>
      <c r="J631">
        <f>IF($G631="","",IF(COUNTIFS(DOC_TYPE,$I631,DOC_EQP,$H631,DOC_SCOPE,"Equipment",DOC_ACTIVE,1)+COUNTIFS(DOC_TYPE,$I631,DOC_SYS,SETUP!$B$143,DOC_SCOPE,"System",DOC_ACTIVE,1)+COUNTIFS(DOC_TYPE,$I631,DOC_SCOPE,"All",DOC_ACTIVE,1)&gt;0,"",IFERROR(IF($E$7&lt;&gt;"",$E$7-$C$7,SETUP!$D$143-$C$7),60000)+ROW()/1000000))</f>
        <v/>
      </c>
      <c r="L631">
        <f>IF(ACTIONS!$A133="","","Action")</f>
        <v/>
      </c>
      <c r="M631">
        <f>IF($L631="","",ACTIONS!$A133&amp;"  -  "&amp;LEFT(ACTIONS!$B133,60))</f>
        <v/>
      </c>
      <c r="N631">
        <f>IF($L631="","",IF(ACTIONS!$E133&lt;&gt;"",ACTIONS!$E133,IF(ACTIONS!$D133&lt;&gt;"",ACTIONS!$D133,"-")))</f>
        <v/>
      </c>
      <c r="O631">
        <f>IF($L631="","",ACTIONS!$G133)</f>
        <v/>
      </c>
      <c r="P631">
        <f>IF($L631="","",ACTIONS!$I133)</f>
        <v/>
      </c>
      <c r="Q631">
        <f>IF($L631="","",ACTIONS!$L133)</f>
        <v/>
      </c>
      <c r="R631">
        <f>ACTIONS!$Q133</f>
        <v/>
      </c>
      <c r="S631">
        <f>ACTIONS!$R133</f>
        <v/>
      </c>
      <c r="T631">
        <f>ACTIONS!$P133</f>
        <v/>
      </c>
    </row>
    <row r="632">
      <c r="G632">
        <f>IF(OR(SETUP!$C$143="",$A$8="",$B$8&lt;&gt;"Equipment"),"","Equipment")</f>
        <v/>
      </c>
      <c r="H632">
        <f>IF($G632="","",SETUP!$C$143)</f>
        <v/>
      </c>
      <c r="I632">
        <f>IF($G632="","",$A$8)</f>
        <v/>
      </c>
      <c r="J632">
        <f>IF($G632="","",IF(COUNTIFS(DOC_TYPE,$I632,DOC_EQP,$H632,DOC_SCOPE,"Equipment",DOC_ACTIVE,1)+COUNTIFS(DOC_TYPE,$I632,DOC_SYS,SETUP!$B$143,DOC_SCOPE,"System",DOC_ACTIVE,1)+COUNTIFS(DOC_TYPE,$I632,DOC_SCOPE,"All",DOC_ACTIVE,1)&gt;0,"",IFERROR(IF($E$8&lt;&gt;"",$E$8-$C$8,SETUP!$D$143-$C$8),60000)+ROW()/1000000))</f>
        <v/>
      </c>
      <c r="L632">
        <f>IF(ACTIONS!$A134="","","Action")</f>
        <v/>
      </c>
      <c r="M632">
        <f>IF($L632="","",ACTIONS!$A134&amp;"  -  "&amp;LEFT(ACTIONS!$B134,60))</f>
        <v/>
      </c>
      <c r="N632">
        <f>IF($L632="","",IF(ACTIONS!$E134&lt;&gt;"",ACTIONS!$E134,IF(ACTIONS!$D134&lt;&gt;"",ACTIONS!$D134,"-")))</f>
        <v/>
      </c>
      <c r="O632">
        <f>IF($L632="","",ACTIONS!$G134)</f>
        <v/>
      </c>
      <c r="P632">
        <f>IF($L632="","",ACTIONS!$I134)</f>
        <v/>
      </c>
      <c r="Q632">
        <f>IF($L632="","",ACTIONS!$L134)</f>
        <v/>
      </c>
      <c r="R632">
        <f>ACTIONS!$Q134</f>
        <v/>
      </c>
      <c r="S632">
        <f>ACTIONS!$R134</f>
        <v/>
      </c>
      <c r="T632">
        <f>ACTIONS!$P134</f>
        <v/>
      </c>
    </row>
    <row r="633">
      <c r="G633">
        <f>IF(OR(SETUP!$C$143="",$A$9="",$B$9&lt;&gt;"Equipment"),"","Equipment")</f>
        <v/>
      </c>
      <c r="H633">
        <f>IF($G633="","",SETUP!$C$143)</f>
        <v/>
      </c>
      <c r="I633">
        <f>IF($G633="","",$A$9)</f>
        <v/>
      </c>
      <c r="J633">
        <f>IF($G633="","",IF(COUNTIFS(DOC_TYPE,$I633,DOC_EQP,$H633,DOC_SCOPE,"Equipment",DOC_ACTIVE,1)+COUNTIFS(DOC_TYPE,$I633,DOC_SYS,SETUP!$B$143,DOC_SCOPE,"System",DOC_ACTIVE,1)+COUNTIFS(DOC_TYPE,$I633,DOC_SCOPE,"All",DOC_ACTIVE,1)&gt;0,"",IFERROR(IF($E$9&lt;&gt;"",$E$9-$C$9,SETUP!$D$143-$C$9),60000)+ROW()/1000000))</f>
        <v/>
      </c>
      <c r="L633">
        <f>IF(ACTIONS!$A135="","","Action")</f>
        <v/>
      </c>
      <c r="M633">
        <f>IF($L633="","",ACTIONS!$A135&amp;"  -  "&amp;LEFT(ACTIONS!$B135,60))</f>
        <v/>
      </c>
      <c r="N633">
        <f>IF($L633="","",IF(ACTIONS!$E135&lt;&gt;"",ACTIONS!$E135,IF(ACTIONS!$D135&lt;&gt;"",ACTIONS!$D135,"-")))</f>
        <v/>
      </c>
      <c r="O633">
        <f>IF($L633="","",ACTIONS!$G135)</f>
        <v/>
      </c>
      <c r="P633">
        <f>IF($L633="","",ACTIONS!$I135)</f>
        <v/>
      </c>
      <c r="Q633">
        <f>IF($L633="","",ACTIONS!$L135)</f>
        <v/>
      </c>
      <c r="R633">
        <f>ACTIONS!$Q135</f>
        <v/>
      </c>
      <c r="S633">
        <f>ACTIONS!$R135</f>
        <v/>
      </c>
      <c r="T633">
        <f>ACTIONS!$P135</f>
        <v/>
      </c>
    </row>
    <row r="634">
      <c r="G634">
        <f>IF(OR(SETUP!$C$143="",$A$10="",$B$10&lt;&gt;"Equipment"),"","Equipment")</f>
        <v/>
      </c>
      <c r="H634">
        <f>IF($G634="","",SETUP!$C$143)</f>
        <v/>
      </c>
      <c r="I634">
        <f>IF($G634="","",$A$10)</f>
        <v/>
      </c>
      <c r="J634">
        <f>IF($G634="","",IF(COUNTIFS(DOC_TYPE,$I634,DOC_EQP,$H634,DOC_SCOPE,"Equipment",DOC_ACTIVE,1)+COUNTIFS(DOC_TYPE,$I634,DOC_SYS,SETUP!$B$143,DOC_SCOPE,"System",DOC_ACTIVE,1)+COUNTIFS(DOC_TYPE,$I634,DOC_SCOPE,"All",DOC_ACTIVE,1)&gt;0,"",IFERROR(IF($E$10&lt;&gt;"",$E$10-$C$10,SETUP!$D$143-$C$10),60000)+ROW()/1000000))</f>
        <v/>
      </c>
      <c r="L634">
        <f>IF(ACTIONS!$A136="","","Action")</f>
        <v/>
      </c>
      <c r="M634">
        <f>IF($L634="","",ACTIONS!$A136&amp;"  -  "&amp;LEFT(ACTIONS!$B136,60))</f>
        <v/>
      </c>
      <c r="N634">
        <f>IF($L634="","",IF(ACTIONS!$E136&lt;&gt;"",ACTIONS!$E136,IF(ACTIONS!$D136&lt;&gt;"",ACTIONS!$D136,"-")))</f>
        <v/>
      </c>
      <c r="O634">
        <f>IF($L634="","",ACTIONS!$G136)</f>
        <v/>
      </c>
      <c r="P634">
        <f>IF($L634="","",ACTIONS!$I136)</f>
        <v/>
      </c>
      <c r="Q634">
        <f>IF($L634="","",ACTIONS!$L136)</f>
        <v/>
      </c>
      <c r="R634">
        <f>ACTIONS!$Q136</f>
        <v/>
      </c>
      <c r="S634">
        <f>ACTIONS!$R136</f>
        <v/>
      </c>
      <c r="T634">
        <f>ACTIONS!$P136</f>
        <v/>
      </c>
    </row>
    <row r="635">
      <c r="G635">
        <f>IF(OR(SETUP!$C$143="",$A$11="",$B$11&lt;&gt;"Equipment"),"","Equipment")</f>
        <v/>
      </c>
      <c r="H635">
        <f>IF($G635="","",SETUP!$C$143)</f>
        <v/>
      </c>
      <c r="I635">
        <f>IF($G635="","",$A$11)</f>
        <v/>
      </c>
      <c r="J635">
        <f>IF($G635="","",IF(COUNTIFS(DOC_TYPE,$I635,DOC_EQP,$H635,DOC_SCOPE,"Equipment",DOC_ACTIVE,1)+COUNTIFS(DOC_TYPE,$I635,DOC_SYS,SETUP!$B$143,DOC_SCOPE,"System",DOC_ACTIVE,1)+COUNTIFS(DOC_TYPE,$I635,DOC_SCOPE,"All",DOC_ACTIVE,1)&gt;0,"",IFERROR(IF($E$11&lt;&gt;"",$E$11-$C$11,SETUP!$D$143-$C$11),60000)+ROW()/1000000))</f>
        <v/>
      </c>
      <c r="L635">
        <f>IF(ACTIONS!$A137="","","Action")</f>
        <v/>
      </c>
      <c r="M635">
        <f>IF($L635="","",ACTIONS!$A137&amp;"  -  "&amp;LEFT(ACTIONS!$B137,60))</f>
        <v/>
      </c>
      <c r="N635">
        <f>IF($L635="","",IF(ACTIONS!$E137&lt;&gt;"",ACTIONS!$E137,IF(ACTIONS!$D137&lt;&gt;"",ACTIONS!$D137,"-")))</f>
        <v/>
      </c>
      <c r="O635">
        <f>IF($L635="","",ACTIONS!$G137)</f>
        <v/>
      </c>
      <c r="P635">
        <f>IF($L635="","",ACTIONS!$I137)</f>
        <v/>
      </c>
      <c r="Q635">
        <f>IF($L635="","",ACTIONS!$L137)</f>
        <v/>
      </c>
      <c r="R635">
        <f>ACTIONS!$Q137</f>
        <v/>
      </c>
      <c r="S635">
        <f>ACTIONS!$R137</f>
        <v/>
      </c>
      <c r="T635">
        <f>ACTIONS!$P137</f>
        <v/>
      </c>
    </row>
    <row r="636">
      <c r="G636">
        <f>IF(OR(SETUP!$C$143="",$A$12="",$B$12&lt;&gt;"Equipment"),"","Equipment")</f>
        <v/>
      </c>
      <c r="H636">
        <f>IF($G636="","",SETUP!$C$143)</f>
        <v/>
      </c>
      <c r="I636">
        <f>IF($G636="","",$A$12)</f>
        <v/>
      </c>
      <c r="J636">
        <f>IF($G636="","",IF(COUNTIFS(DOC_TYPE,$I636,DOC_EQP,$H636,DOC_SCOPE,"Equipment",DOC_ACTIVE,1)+COUNTIFS(DOC_TYPE,$I636,DOC_SYS,SETUP!$B$143,DOC_SCOPE,"System",DOC_ACTIVE,1)+COUNTIFS(DOC_TYPE,$I636,DOC_SCOPE,"All",DOC_ACTIVE,1)&gt;0,"",IFERROR(IF($E$12&lt;&gt;"",$E$12-$C$12,SETUP!$D$143-$C$12),60000)+ROW()/1000000))</f>
        <v/>
      </c>
      <c r="L636">
        <f>IF(ACTIONS!$A138="","","Action")</f>
        <v/>
      </c>
      <c r="M636">
        <f>IF($L636="","",ACTIONS!$A138&amp;"  -  "&amp;LEFT(ACTIONS!$B138,60))</f>
        <v/>
      </c>
      <c r="N636">
        <f>IF($L636="","",IF(ACTIONS!$E138&lt;&gt;"",ACTIONS!$E138,IF(ACTIONS!$D138&lt;&gt;"",ACTIONS!$D138,"-")))</f>
        <v/>
      </c>
      <c r="O636">
        <f>IF($L636="","",ACTIONS!$G138)</f>
        <v/>
      </c>
      <c r="P636">
        <f>IF($L636="","",ACTIONS!$I138)</f>
        <v/>
      </c>
      <c r="Q636">
        <f>IF($L636="","",ACTIONS!$L138)</f>
        <v/>
      </c>
      <c r="R636">
        <f>ACTIONS!$Q138</f>
        <v/>
      </c>
      <c r="S636">
        <f>ACTIONS!$R138</f>
        <v/>
      </c>
      <c r="T636">
        <f>ACTIONS!$P138</f>
        <v/>
      </c>
    </row>
    <row r="637">
      <c r="G637">
        <f>IF(OR(SETUP!$C$143="",$A$13="",$B$13&lt;&gt;"Equipment"),"","Equipment")</f>
        <v/>
      </c>
      <c r="H637">
        <f>IF($G637="","",SETUP!$C$143)</f>
        <v/>
      </c>
      <c r="I637">
        <f>IF($G637="","",$A$13)</f>
        <v/>
      </c>
      <c r="J637">
        <f>IF($G637="","",IF(COUNTIFS(DOC_TYPE,$I637,DOC_EQP,$H637,DOC_SCOPE,"Equipment",DOC_ACTIVE,1)+COUNTIFS(DOC_TYPE,$I637,DOC_SYS,SETUP!$B$143,DOC_SCOPE,"System",DOC_ACTIVE,1)+COUNTIFS(DOC_TYPE,$I637,DOC_SCOPE,"All",DOC_ACTIVE,1)&gt;0,"",IFERROR(IF($E$13&lt;&gt;"",$E$13-$C$13,SETUP!$D$143-$C$13),60000)+ROW()/1000000))</f>
        <v/>
      </c>
      <c r="L637">
        <f>IF(ACTIONS!$A139="","","Action")</f>
        <v/>
      </c>
      <c r="M637">
        <f>IF($L637="","",ACTIONS!$A139&amp;"  -  "&amp;LEFT(ACTIONS!$B139,60))</f>
        <v/>
      </c>
      <c r="N637">
        <f>IF($L637="","",IF(ACTIONS!$E139&lt;&gt;"",ACTIONS!$E139,IF(ACTIONS!$D139&lt;&gt;"",ACTIONS!$D139,"-")))</f>
        <v/>
      </c>
      <c r="O637">
        <f>IF($L637="","",ACTIONS!$G139)</f>
        <v/>
      </c>
      <c r="P637">
        <f>IF($L637="","",ACTIONS!$I139)</f>
        <v/>
      </c>
      <c r="Q637">
        <f>IF($L637="","",ACTIONS!$L139)</f>
        <v/>
      </c>
      <c r="R637">
        <f>ACTIONS!$Q139</f>
        <v/>
      </c>
      <c r="S637">
        <f>ACTIONS!$R139</f>
        <v/>
      </c>
      <c r="T637">
        <f>ACTIONS!$P139</f>
        <v/>
      </c>
    </row>
    <row r="638">
      <c r="G638">
        <f>IF(OR(SETUP!$C$144="",$A$2="",$B$2&lt;&gt;"Equipment"),"","Equipment")</f>
        <v/>
      </c>
      <c r="H638">
        <f>IF($G638="","",SETUP!$C$144)</f>
        <v/>
      </c>
      <c r="I638">
        <f>IF($G638="","",$A$2)</f>
        <v/>
      </c>
      <c r="J638">
        <f>IF($G638="","",IF(COUNTIFS(DOC_TYPE,$I638,DOC_EQP,$H638,DOC_SCOPE,"Equipment",DOC_ACTIVE,1)+COUNTIFS(DOC_TYPE,$I638,DOC_SYS,SETUP!$B$144,DOC_SCOPE,"System",DOC_ACTIVE,1)+COUNTIFS(DOC_TYPE,$I638,DOC_SCOPE,"All",DOC_ACTIVE,1)&gt;0,"",IFERROR(IF($E$2&lt;&gt;"",$E$2-$C$2,SETUP!$D$144-$C$2),60000)+ROW()/1000000))</f>
        <v/>
      </c>
      <c r="L638">
        <f>IF(ACTIONS!$A140="","","Action")</f>
        <v/>
      </c>
      <c r="M638">
        <f>IF($L638="","",ACTIONS!$A140&amp;"  -  "&amp;LEFT(ACTIONS!$B140,60))</f>
        <v/>
      </c>
      <c r="N638">
        <f>IF($L638="","",IF(ACTIONS!$E140&lt;&gt;"",ACTIONS!$E140,IF(ACTIONS!$D140&lt;&gt;"",ACTIONS!$D140,"-")))</f>
        <v/>
      </c>
      <c r="O638">
        <f>IF($L638="","",ACTIONS!$G140)</f>
        <v/>
      </c>
      <c r="P638">
        <f>IF($L638="","",ACTIONS!$I140)</f>
        <v/>
      </c>
      <c r="Q638">
        <f>IF($L638="","",ACTIONS!$L140)</f>
        <v/>
      </c>
      <c r="R638">
        <f>ACTIONS!$Q140</f>
        <v/>
      </c>
      <c r="S638">
        <f>ACTIONS!$R140</f>
        <v/>
      </c>
      <c r="T638">
        <f>ACTIONS!$P140</f>
        <v/>
      </c>
    </row>
    <row r="639">
      <c r="G639">
        <f>IF(OR(SETUP!$C$144="",$A$3="",$B$3&lt;&gt;"Equipment"),"","Equipment")</f>
        <v/>
      </c>
      <c r="H639">
        <f>IF($G639="","",SETUP!$C$144)</f>
        <v/>
      </c>
      <c r="I639">
        <f>IF($G639="","",$A$3)</f>
        <v/>
      </c>
      <c r="J639">
        <f>IF($G639="","",IF(COUNTIFS(DOC_TYPE,$I639,DOC_EQP,$H639,DOC_SCOPE,"Equipment",DOC_ACTIVE,1)+COUNTIFS(DOC_TYPE,$I639,DOC_SYS,SETUP!$B$144,DOC_SCOPE,"System",DOC_ACTIVE,1)+COUNTIFS(DOC_TYPE,$I639,DOC_SCOPE,"All",DOC_ACTIVE,1)&gt;0,"",IFERROR(IF($E$3&lt;&gt;"",$E$3-$C$3,SETUP!$D$144-$C$3),60000)+ROW()/1000000))</f>
        <v/>
      </c>
      <c r="L639">
        <f>IF(ACTIONS!$A141="","","Action")</f>
        <v/>
      </c>
      <c r="M639">
        <f>IF($L639="","",ACTIONS!$A141&amp;"  -  "&amp;LEFT(ACTIONS!$B141,60))</f>
        <v/>
      </c>
      <c r="N639">
        <f>IF($L639="","",IF(ACTIONS!$E141&lt;&gt;"",ACTIONS!$E141,IF(ACTIONS!$D141&lt;&gt;"",ACTIONS!$D141,"-")))</f>
        <v/>
      </c>
      <c r="O639">
        <f>IF($L639="","",ACTIONS!$G141)</f>
        <v/>
      </c>
      <c r="P639">
        <f>IF($L639="","",ACTIONS!$I141)</f>
        <v/>
      </c>
      <c r="Q639">
        <f>IF($L639="","",ACTIONS!$L141)</f>
        <v/>
      </c>
      <c r="R639">
        <f>ACTIONS!$Q141</f>
        <v/>
      </c>
      <c r="S639">
        <f>ACTIONS!$R141</f>
        <v/>
      </c>
      <c r="T639">
        <f>ACTIONS!$P141</f>
        <v/>
      </c>
    </row>
    <row r="640">
      <c r="G640">
        <f>IF(OR(SETUP!$C$144="",$A$4="",$B$4&lt;&gt;"Equipment"),"","Equipment")</f>
        <v/>
      </c>
      <c r="H640">
        <f>IF($G640="","",SETUP!$C$144)</f>
        <v/>
      </c>
      <c r="I640">
        <f>IF($G640="","",$A$4)</f>
        <v/>
      </c>
      <c r="J640">
        <f>IF($G640="","",IF(COUNTIFS(DOC_TYPE,$I640,DOC_EQP,$H640,DOC_SCOPE,"Equipment",DOC_ACTIVE,1)+COUNTIFS(DOC_TYPE,$I640,DOC_SYS,SETUP!$B$144,DOC_SCOPE,"System",DOC_ACTIVE,1)+COUNTIFS(DOC_TYPE,$I640,DOC_SCOPE,"All",DOC_ACTIVE,1)&gt;0,"",IFERROR(IF($E$4&lt;&gt;"",$E$4-$C$4,SETUP!$D$144-$C$4),60000)+ROW()/1000000))</f>
        <v/>
      </c>
      <c r="L640">
        <f>IF(ACTIONS!$A142="","","Action")</f>
        <v/>
      </c>
      <c r="M640">
        <f>IF($L640="","",ACTIONS!$A142&amp;"  -  "&amp;LEFT(ACTIONS!$B142,60))</f>
        <v/>
      </c>
      <c r="N640">
        <f>IF($L640="","",IF(ACTIONS!$E142&lt;&gt;"",ACTIONS!$E142,IF(ACTIONS!$D142&lt;&gt;"",ACTIONS!$D142,"-")))</f>
        <v/>
      </c>
      <c r="O640">
        <f>IF($L640="","",ACTIONS!$G142)</f>
        <v/>
      </c>
      <c r="P640">
        <f>IF($L640="","",ACTIONS!$I142)</f>
        <v/>
      </c>
      <c r="Q640">
        <f>IF($L640="","",ACTIONS!$L142)</f>
        <v/>
      </c>
      <c r="R640">
        <f>ACTIONS!$Q142</f>
        <v/>
      </c>
      <c r="S640">
        <f>ACTIONS!$R142</f>
        <v/>
      </c>
      <c r="T640">
        <f>ACTIONS!$P142</f>
        <v/>
      </c>
    </row>
    <row r="641">
      <c r="G641">
        <f>IF(OR(SETUP!$C$144="",$A$5="",$B$5&lt;&gt;"Equipment"),"","Equipment")</f>
        <v/>
      </c>
      <c r="H641">
        <f>IF($G641="","",SETUP!$C$144)</f>
        <v/>
      </c>
      <c r="I641">
        <f>IF($G641="","",$A$5)</f>
        <v/>
      </c>
      <c r="J641">
        <f>IF($G641="","",IF(COUNTIFS(DOC_TYPE,$I641,DOC_EQP,$H641,DOC_SCOPE,"Equipment",DOC_ACTIVE,1)+COUNTIFS(DOC_TYPE,$I641,DOC_SYS,SETUP!$B$144,DOC_SCOPE,"System",DOC_ACTIVE,1)+COUNTIFS(DOC_TYPE,$I641,DOC_SCOPE,"All",DOC_ACTIVE,1)&gt;0,"",IFERROR(IF($E$5&lt;&gt;"",$E$5-$C$5,SETUP!$D$144-$C$5),60000)+ROW()/1000000))</f>
        <v/>
      </c>
      <c r="L641">
        <f>IF(ACTIONS!$A143="","","Action")</f>
        <v/>
      </c>
      <c r="M641">
        <f>IF($L641="","",ACTIONS!$A143&amp;"  -  "&amp;LEFT(ACTIONS!$B143,60))</f>
        <v/>
      </c>
      <c r="N641">
        <f>IF($L641="","",IF(ACTIONS!$E143&lt;&gt;"",ACTIONS!$E143,IF(ACTIONS!$D143&lt;&gt;"",ACTIONS!$D143,"-")))</f>
        <v/>
      </c>
      <c r="O641">
        <f>IF($L641="","",ACTIONS!$G143)</f>
        <v/>
      </c>
      <c r="P641">
        <f>IF($L641="","",ACTIONS!$I143)</f>
        <v/>
      </c>
      <c r="Q641">
        <f>IF($L641="","",ACTIONS!$L143)</f>
        <v/>
      </c>
      <c r="R641">
        <f>ACTIONS!$Q143</f>
        <v/>
      </c>
      <c r="S641">
        <f>ACTIONS!$R143</f>
        <v/>
      </c>
      <c r="T641">
        <f>ACTIONS!$P143</f>
        <v/>
      </c>
    </row>
    <row r="642">
      <c r="G642">
        <f>IF(OR(SETUP!$C$144="",$A$6="",$B$6&lt;&gt;"Equipment"),"","Equipment")</f>
        <v/>
      </c>
      <c r="H642">
        <f>IF($G642="","",SETUP!$C$144)</f>
        <v/>
      </c>
      <c r="I642">
        <f>IF($G642="","",$A$6)</f>
        <v/>
      </c>
      <c r="J642">
        <f>IF($G642="","",IF(COUNTIFS(DOC_TYPE,$I642,DOC_EQP,$H642,DOC_SCOPE,"Equipment",DOC_ACTIVE,1)+COUNTIFS(DOC_TYPE,$I642,DOC_SYS,SETUP!$B$144,DOC_SCOPE,"System",DOC_ACTIVE,1)+COUNTIFS(DOC_TYPE,$I642,DOC_SCOPE,"All",DOC_ACTIVE,1)&gt;0,"",IFERROR(IF($E$6&lt;&gt;"",$E$6-$C$6,SETUP!$D$144-$C$6),60000)+ROW()/1000000))</f>
        <v/>
      </c>
      <c r="L642">
        <f>IF(ACTIONS!$A144="","","Action")</f>
        <v/>
      </c>
      <c r="M642">
        <f>IF($L642="","",ACTIONS!$A144&amp;"  -  "&amp;LEFT(ACTIONS!$B144,60))</f>
        <v/>
      </c>
      <c r="N642">
        <f>IF($L642="","",IF(ACTIONS!$E144&lt;&gt;"",ACTIONS!$E144,IF(ACTIONS!$D144&lt;&gt;"",ACTIONS!$D144,"-")))</f>
        <v/>
      </c>
      <c r="O642">
        <f>IF($L642="","",ACTIONS!$G144)</f>
        <v/>
      </c>
      <c r="P642">
        <f>IF($L642="","",ACTIONS!$I144)</f>
        <v/>
      </c>
      <c r="Q642">
        <f>IF($L642="","",ACTIONS!$L144)</f>
        <v/>
      </c>
      <c r="R642">
        <f>ACTIONS!$Q144</f>
        <v/>
      </c>
      <c r="S642">
        <f>ACTIONS!$R144</f>
        <v/>
      </c>
      <c r="T642">
        <f>ACTIONS!$P144</f>
        <v/>
      </c>
    </row>
    <row r="643">
      <c r="G643">
        <f>IF(OR(SETUP!$C$144="",$A$7="",$B$7&lt;&gt;"Equipment"),"","Equipment")</f>
        <v/>
      </c>
      <c r="H643">
        <f>IF($G643="","",SETUP!$C$144)</f>
        <v/>
      </c>
      <c r="I643">
        <f>IF($G643="","",$A$7)</f>
        <v/>
      </c>
      <c r="J643">
        <f>IF($G643="","",IF(COUNTIFS(DOC_TYPE,$I643,DOC_EQP,$H643,DOC_SCOPE,"Equipment",DOC_ACTIVE,1)+COUNTIFS(DOC_TYPE,$I643,DOC_SYS,SETUP!$B$144,DOC_SCOPE,"System",DOC_ACTIVE,1)+COUNTIFS(DOC_TYPE,$I643,DOC_SCOPE,"All",DOC_ACTIVE,1)&gt;0,"",IFERROR(IF($E$7&lt;&gt;"",$E$7-$C$7,SETUP!$D$144-$C$7),60000)+ROW()/1000000))</f>
        <v/>
      </c>
      <c r="L643">
        <f>IF(ACTIONS!$A145="","","Action")</f>
        <v/>
      </c>
      <c r="M643">
        <f>IF($L643="","",ACTIONS!$A145&amp;"  -  "&amp;LEFT(ACTIONS!$B145,60))</f>
        <v/>
      </c>
      <c r="N643">
        <f>IF($L643="","",IF(ACTIONS!$E145&lt;&gt;"",ACTIONS!$E145,IF(ACTIONS!$D145&lt;&gt;"",ACTIONS!$D145,"-")))</f>
        <v/>
      </c>
      <c r="O643">
        <f>IF($L643="","",ACTIONS!$G145)</f>
        <v/>
      </c>
      <c r="P643">
        <f>IF($L643="","",ACTIONS!$I145)</f>
        <v/>
      </c>
      <c r="Q643">
        <f>IF($L643="","",ACTIONS!$L145)</f>
        <v/>
      </c>
      <c r="R643">
        <f>ACTIONS!$Q145</f>
        <v/>
      </c>
      <c r="S643">
        <f>ACTIONS!$R145</f>
        <v/>
      </c>
      <c r="T643">
        <f>ACTIONS!$P145</f>
        <v/>
      </c>
    </row>
    <row r="644">
      <c r="G644">
        <f>IF(OR(SETUP!$C$144="",$A$8="",$B$8&lt;&gt;"Equipment"),"","Equipment")</f>
        <v/>
      </c>
      <c r="H644">
        <f>IF($G644="","",SETUP!$C$144)</f>
        <v/>
      </c>
      <c r="I644">
        <f>IF($G644="","",$A$8)</f>
        <v/>
      </c>
      <c r="J644">
        <f>IF($G644="","",IF(COUNTIFS(DOC_TYPE,$I644,DOC_EQP,$H644,DOC_SCOPE,"Equipment",DOC_ACTIVE,1)+COUNTIFS(DOC_TYPE,$I644,DOC_SYS,SETUP!$B$144,DOC_SCOPE,"System",DOC_ACTIVE,1)+COUNTIFS(DOC_TYPE,$I644,DOC_SCOPE,"All",DOC_ACTIVE,1)&gt;0,"",IFERROR(IF($E$8&lt;&gt;"",$E$8-$C$8,SETUP!$D$144-$C$8),60000)+ROW()/1000000))</f>
        <v/>
      </c>
      <c r="L644">
        <f>IF(ACTIONS!$A146="","","Action")</f>
        <v/>
      </c>
      <c r="M644">
        <f>IF($L644="","",ACTIONS!$A146&amp;"  -  "&amp;LEFT(ACTIONS!$B146,60))</f>
        <v/>
      </c>
      <c r="N644">
        <f>IF($L644="","",IF(ACTIONS!$E146&lt;&gt;"",ACTIONS!$E146,IF(ACTIONS!$D146&lt;&gt;"",ACTIONS!$D146,"-")))</f>
        <v/>
      </c>
      <c r="O644">
        <f>IF($L644="","",ACTIONS!$G146)</f>
        <v/>
      </c>
      <c r="P644">
        <f>IF($L644="","",ACTIONS!$I146)</f>
        <v/>
      </c>
      <c r="Q644">
        <f>IF($L644="","",ACTIONS!$L146)</f>
        <v/>
      </c>
      <c r="R644">
        <f>ACTIONS!$Q146</f>
        <v/>
      </c>
      <c r="S644">
        <f>ACTIONS!$R146</f>
        <v/>
      </c>
      <c r="T644">
        <f>ACTIONS!$P146</f>
        <v/>
      </c>
    </row>
    <row r="645">
      <c r="G645">
        <f>IF(OR(SETUP!$C$144="",$A$9="",$B$9&lt;&gt;"Equipment"),"","Equipment")</f>
        <v/>
      </c>
      <c r="H645">
        <f>IF($G645="","",SETUP!$C$144)</f>
        <v/>
      </c>
      <c r="I645">
        <f>IF($G645="","",$A$9)</f>
        <v/>
      </c>
      <c r="J645">
        <f>IF($G645="","",IF(COUNTIFS(DOC_TYPE,$I645,DOC_EQP,$H645,DOC_SCOPE,"Equipment",DOC_ACTIVE,1)+COUNTIFS(DOC_TYPE,$I645,DOC_SYS,SETUP!$B$144,DOC_SCOPE,"System",DOC_ACTIVE,1)+COUNTIFS(DOC_TYPE,$I645,DOC_SCOPE,"All",DOC_ACTIVE,1)&gt;0,"",IFERROR(IF($E$9&lt;&gt;"",$E$9-$C$9,SETUP!$D$144-$C$9),60000)+ROW()/1000000))</f>
        <v/>
      </c>
      <c r="L645">
        <f>IF(ACTIONS!$A147="","","Action")</f>
        <v/>
      </c>
      <c r="M645">
        <f>IF($L645="","",ACTIONS!$A147&amp;"  -  "&amp;LEFT(ACTIONS!$B147,60))</f>
        <v/>
      </c>
      <c r="N645">
        <f>IF($L645="","",IF(ACTIONS!$E147&lt;&gt;"",ACTIONS!$E147,IF(ACTIONS!$D147&lt;&gt;"",ACTIONS!$D147,"-")))</f>
        <v/>
      </c>
      <c r="O645">
        <f>IF($L645="","",ACTIONS!$G147)</f>
        <v/>
      </c>
      <c r="P645">
        <f>IF($L645="","",ACTIONS!$I147)</f>
        <v/>
      </c>
      <c r="Q645">
        <f>IF($L645="","",ACTIONS!$L147)</f>
        <v/>
      </c>
      <c r="R645">
        <f>ACTIONS!$Q147</f>
        <v/>
      </c>
      <c r="S645">
        <f>ACTIONS!$R147</f>
        <v/>
      </c>
      <c r="T645">
        <f>ACTIONS!$P147</f>
        <v/>
      </c>
    </row>
    <row r="646">
      <c r="G646">
        <f>IF(OR(SETUP!$C$144="",$A$10="",$B$10&lt;&gt;"Equipment"),"","Equipment")</f>
        <v/>
      </c>
      <c r="H646">
        <f>IF($G646="","",SETUP!$C$144)</f>
        <v/>
      </c>
      <c r="I646">
        <f>IF($G646="","",$A$10)</f>
        <v/>
      </c>
      <c r="J646">
        <f>IF($G646="","",IF(COUNTIFS(DOC_TYPE,$I646,DOC_EQP,$H646,DOC_SCOPE,"Equipment",DOC_ACTIVE,1)+COUNTIFS(DOC_TYPE,$I646,DOC_SYS,SETUP!$B$144,DOC_SCOPE,"System",DOC_ACTIVE,1)+COUNTIFS(DOC_TYPE,$I646,DOC_SCOPE,"All",DOC_ACTIVE,1)&gt;0,"",IFERROR(IF($E$10&lt;&gt;"",$E$10-$C$10,SETUP!$D$144-$C$10),60000)+ROW()/1000000))</f>
        <v/>
      </c>
      <c r="L646">
        <f>IF(ACTIONS!$A148="","","Action")</f>
        <v/>
      </c>
      <c r="M646">
        <f>IF($L646="","",ACTIONS!$A148&amp;"  -  "&amp;LEFT(ACTIONS!$B148,60))</f>
        <v/>
      </c>
      <c r="N646">
        <f>IF($L646="","",IF(ACTIONS!$E148&lt;&gt;"",ACTIONS!$E148,IF(ACTIONS!$D148&lt;&gt;"",ACTIONS!$D148,"-")))</f>
        <v/>
      </c>
      <c r="O646">
        <f>IF($L646="","",ACTIONS!$G148)</f>
        <v/>
      </c>
      <c r="P646">
        <f>IF($L646="","",ACTIONS!$I148)</f>
        <v/>
      </c>
      <c r="Q646">
        <f>IF($L646="","",ACTIONS!$L148)</f>
        <v/>
      </c>
      <c r="R646">
        <f>ACTIONS!$Q148</f>
        <v/>
      </c>
      <c r="S646">
        <f>ACTIONS!$R148</f>
        <v/>
      </c>
      <c r="T646">
        <f>ACTIONS!$P148</f>
        <v/>
      </c>
    </row>
    <row r="647">
      <c r="G647">
        <f>IF(OR(SETUP!$C$144="",$A$11="",$B$11&lt;&gt;"Equipment"),"","Equipment")</f>
        <v/>
      </c>
      <c r="H647">
        <f>IF($G647="","",SETUP!$C$144)</f>
        <v/>
      </c>
      <c r="I647">
        <f>IF($G647="","",$A$11)</f>
        <v/>
      </c>
      <c r="J647">
        <f>IF($G647="","",IF(COUNTIFS(DOC_TYPE,$I647,DOC_EQP,$H647,DOC_SCOPE,"Equipment",DOC_ACTIVE,1)+COUNTIFS(DOC_TYPE,$I647,DOC_SYS,SETUP!$B$144,DOC_SCOPE,"System",DOC_ACTIVE,1)+COUNTIFS(DOC_TYPE,$I647,DOC_SCOPE,"All",DOC_ACTIVE,1)&gt;0,"",IFERROR(IF($E$11&lt;&gt;"",$E$11-$C$11,SETUP!$D$144-$C$11),60000)+ROW()/1000000))</f>
        <v/>
      </c>
      <c r="L647">
        <f>IF(ACTIONS!$A149="","","Action")</f>
        <v/>
      </c>
      <c r="M647">
        <f>IF($L647="","",ACTIONS!$A149&amp;"  -  "&amp;LEFT(ACTIONS!$B149,60))</f>
        <v/>
      </c>
      <c r="N647">
        <f>IF($L647="","",IF(ACTIONS!$E149&lt;&gt;"",ACTIONS!$E149,IF(ACTIONS!$D149&lt;&gt;"",ACTIONS!$D149,"-")))</f>
        <v/>
      </c>
      <c r="O647">
        <f>IF($L647="","",ACTIONS!$G149)</f>
        <v/>
      </c>
      <c r="P647">
        <f>IF($L647="","",ACTIONS!$I149)</f>
        <v/>
      </c>
      <c r="Q647">
        <f>IF($L647="","",ACTIONS!$L149)</f>
        <v/>
      </c>
      <c r="R647">
        <f>ACTIONS!$Q149</f>
        <v/>
      </c>
      <c r="S647">
        <f>ACTIONS!$R149</f>
        <v/>
      </c>
      <c r="T647">
        <f>ACTIONS!$P149</f>
        <v/>
      </c>
    </row>
    <row r="648">
      <c r="G648">
        <f>IF(OR(SETUP!$C$144="",$A$12="",$B$12&lt;&gt;"Equipment"),"","Equipment")</f>
        <v/>
      </c>
      <c r="H648">
        <f>IF($G648="","",SETUP!$C$144)</f>
        <v/>
      </c>
      <c r="I648">
        <f>IF($G648="","",$A$12)</f>
        <v/>
      </c>
      <c r="J648">
        <f>IF($G648="","",IF(COUNTIFS(DOC_TYPE,$I648,DOC_EQP,$H648,DOC_SCOPE,"Equipment",DOC_ACTIVE,1)+COUNTIFS(DOC_TYPE,$I648,DOC_SYS,SETUP!$B$144,DOC_SCOPE,"System",DOC_ACTIVE,1)+COUNTIFS(DOC_TYPE,$I648,DOC_SCOPE,"All",DOC_ACTIVE,1)&gt;0,"",IFERROR(IF($E$12&lt;&gt;"",$E$12-$C$12,SETUP!$D$144-$C$12),60000)+ROW()/1000000))</f>
        <v/>
      </c>
      <c r="L648">
        <f>IF(ACTIONS!$A150="","","Action")</f>
        <v/>
      </c>
      <c r="M648">
        <f>IF($L648="","",ACTIONS!$A150&amp;"  -  "&amp;LEFT(ACTIONS!$B150,60))</f>
        <v/>
      </c>
      <c r="N648">
        <f>IF($L648="","",IF(ACTIONS!$E150&lt;&gt;"",ACTIONS!$E150,IF(ACTIONS!$D150&lt;&gt;"",ACTIONS!$D150,"-")))</f>
        <v/>
      </c>
      <c r="O648">
        <f>IF($L648="","",ACTIONS!$G150)</f>
        <v/>
      </c>
      <c r="P648">
        <f>IF($L648="","",ACTIONS!$I150)</f>
        <v/>
      </c>
      <c r="Q648">
        <f>IF($L648="","",ACTIONS!$L150)</f>
        <v/>
      </c>
      <c r="R648">
        <f>ACTIONS!$Q150</f>
        <v/>
      </c>
      <c r="S648">
        <f>ACTIONS!$R150</f>
        <v/>
      </c>
      <c r="T648">
        <f>ACTIONS!$P150</f>
        <v/>
      </c>
    </row>
    <row r="649">
      <c r="G649">
        <f>IF(OR(SETUP!$C$144="",$A$13="",$B$13&lt;&gt;"Equipment"),"","Equipment")</f>
        <v/>
      </c>
      <c r="H649">
        <f>IF($G649="","",SETUP!$C$144)</f>
        <v/>
      </c>
      <c r="I649">
        <f>IF($G649="","",$A$13)</f>
        <v/>
      </c>
      <c r="J649">
        <f>IF($G649="","",IF(COUNTIFS(DOC_TYPE,$I649,DOC_EQP,$H649,DOC_SCOPE,"Equipment",DOC_ACTIVE,1)+COUNTIFS(DOC_TYPE,$I649,DOC_SYS,SETUP!$B$144,DOC_SCOPE,"System",DOC_ACTIVE,1)+COUNTIFS(DOC_TYPE,$I649,DOC_SCOPE,"All",DOC_ACTIVE,1)&gt;0,"",IFERROR(IF($E$13&lt;&gt;"",$E$13-$C$13,SETUP!$D$144-$C$13),60000)+ROW()/1000000))</f>
        <v/>
      </c>
      <c r="L649">
        <f>IF(ACTIONS!$A151="","","Action")</f>
        <v/>
      </c>
      <c r="M649">
        <f>IF($L649="","",ACTIONS!$A151&amp;"  -  "&amp;LEFT(ACTIONS!$B151,60))</f>
        <v/>
      </c>
      <c r="N649">
        <f>IF($L649="","",IF(ACTIONS!$E151&lt;&gt;"",ACTIONS!$E151,IF(ACTIONS!$D151&lt;&gt;"",ACTIONS!$D151,"-")))</f>
        <v/>
      </c>
      <c r="O649">
        <f>IF($L649="","",ACTIONS!$G151)</f>
        <v/>
      </c>
      <c r="P649">
        <f>IF($L649="","",ACTIONS!$I151)</f>
        <v/>
      </c>
      <c r="Q649">
        <f>IF($L649="","",ACTIONS!$L151)</f>
        <v/>
      </c>
      <c r="R649">
        <f>ACTIONS!$Q151</f>
        <v/>
      </c>
      <c r="S649">
        <f>ACTIONS!$R151</f>
        <v/>
      </c>
      <c r="T649">
        <f>ACTIONS!$P151</f>
        <v/>
      </c>
    </row>
    <row r="650">
      <c r="G650">
        <f>IF(OR(SETUP!$C$145="",$A$2="",$B$2&lt;&gt;"Equipment"),"","Equipment")</f>
        <v/>
      </c>
      <c r="H650">
        <f>IF($G650="","",SETUP!$C$145)</f>
        <v/>
      </c>
      <c r="I650">
        <f>IF($G650="","",$A$2)</f>
        <v/>
      </c>
      <c r="J650">
        <f>IF($G650="","",IF(COUNTIFS(DOC_TYPE,$I650,DOC_EQP,$H650,DOC_SCOPE,"Equipment",DOC_ACTIVE,1)+COUNTIFS(DOC_TYPE,$I650,DOC_SYS,SETUP!$B$145,DOC_SCOPE,"System",DOC_ACTIVE,1)+COUNTIFS(DOC_TYPE,$I650,DOC_SCOPE,"All",DOC_ACTIVE,1)&gt;0,"",IFERROR(IF($E$2&lt;&gt;"",$E$2-$C$2,SETUP!$D$145-$C$2),60000)+ROW()/1000000))</f>
        <v/>
      </c>
      <c r="L650">
        <f>IF(ACTIONS!$A152="","","Action")</f>
        <v/>
      </c>
      <c r="M650">
        <f>IF($L650="","",ACTIONS!$A152&amp;"  -  "&amp;LEFT(ACTIONS!$B152,60))</f>
        <v/>
      </c>
      <c r="N650">
        <f>IF($L650="","",IF(ACTIONS!$E152&lt;&gt;"",ACTIONS!$E152,IF(ACTIONS!$D152&lt;&gt;"",ACTIONS!$D152,"-")))</f>
        <v/>
      </c>
      <c r="O650">
        <f>IF($L650="","",ACTIONS!$G152)</f>
        <v/>
      </c>
      <c r="P650">
        <f>IF($L650="","",ACTIONS!$I152)</f>
        <v/>
      </c>
      <c r="Q650">
        <f>IF($L650="","",ACTIONS!$L152)</f>
        <v/>
      </c>
      <c r="R650">
        <f>ACTIONS!$Q152</f>
        <v/>
      </c>
      <c r="S650">
        <f>ACTIONS!$R152</f>
        <v/>
      </c>
      <c r="T650">
        <f>ACTIONS!$P152</f>
        <v/>
      </c>
    </row>
    <row r="651">
      <c r="G651">
        <f>IF(OR(SETUP!$C$145="",$A$3="",$B$3&lt;&gt;"Equipment"),"","Equipment")</f>
        <v/>
      </c>
      <c r="H651">
        <f>IF($G651="","",SETUP!$C$145)</f>
        <v/>
      </c>
      <c r="I651">
        <f>IF($G651="","",$A$3)</f>
        <v/>
      </c>
      <c r="J651">
        <f>IF($G651="","",IF(COUNTIFS(DOC_TYPE,$I651,DOC_EQP,$H651,DOC_SCOPE,"Equipment",DOC_ACTIVE,1)+COUNTIFS(DOC_TYPE,$I651,DOC_SYS,SETUP!$B$145,DOC_SCOPE,"System",DOC_ACTIVE,1)+COUNTIFS(DOC_TYPE,$I651,DOC_SCOPE,"All",DOC_ACTIVE,1)&gt;0,"",IFERROR(IF($E$3&lt;&gt;"",$E$3-$C$3,SETUP!$D$145-$C$3),60000)+ROW()/1000000))</f>
        <v/>
      </c>
      <c r="L651">
        <f>IF(ACTIONS!$A153="","","Action")</f>
        <v/>
      </c>
      <c r="M651">
        <f>IF($L651="","",ACTIONS!$A153&amp;"  -  "&amp;LEFT(ACTIONS!$B153,60))</f>
        <v/>
      </c>
      <c r="N651">
        <f>IF($L651="","",IF(ACTIONS!$E153&lt;&gt;"",ACTIONS!$E153,IF(ACTIONS!$D153&lt;&gt;"",ACTIONS!$D153,"-")))</f>
        <v/>
      </c>
      <c r="O651">
        <f>IF($L651="","",ACTIONS!$G153)</f>
        <v/>
      </c>
      <c r="P651">
        <f>IF($L651="","",ACTIONS!$I153)</f>
        <v/>
      </c>
      <c r="Q651">
        <f>IF($L651="","",ACTIONS!$L153)</f>
        <v/>
      </c>
      <c r="R651">
        <f>ACTIONS!$Q153</f>
        <v/>
      </c>
      <c r="S651">
        <f>ACTIONS!$R153</f>
        <v/>
      </c>
      <c r="T651">
        <f>ACTIONS!$P153</f>
        <v/>
      </c>
    </row>
    <row r="652">
      <c r="G652">
        <f>IF(OR(SETUP!$C$145="",$A$4="",$B$4&lt;&gt;"Equipment"),"","Equipment")</f>
        <v/>
      </c>
      <c r="H652">
        <f>IF($G652="","",SETUP!$C$145)</f>
        <v/>
      </c>
      <c r="I652">
        <f>IF($G652="","",$A$4)</f>
        <v/>
      </c>
      <c r="J652">
        <f>IF($G652="","",IF(COUNTIFS(DOC_TYPE,$I652,DOC_EQP,$H652,DOC_SCOPE,"Equipment",DOC_ACTIVE,1)+COUNTIFS(DOC_TYPE,$I652,DOC_SYS,SETUP!$B$145,DOC_SCOPE,"System",DOC_ACTIVE,1)+COUNTIFS(DOC_TYPE,$I652,DOC_SCOPE,"All",DOC_ACTIVE,1)&gt;0,"",IFERROR(IF($E$4&lt;&gt;"",$E$4-$C$4,SETUP!$D$145-$C$4),60000)+ROW()/1000000))</f>
        <v/>
      </c>
    </row>
    <row r="653">
      <c r="G653">
        <f>IF(OR(SETUP!$C$145="",$A$5="",$B$5&lt;&gt;"Equipment"),"","Equipment")</f>
        <v/>
      </c>
      <c r="H653">
        <f>IF($G653="","",SETUP!$C$145)</f>
        <v/>
      </c>
      <c r="I653">
        <f>IF($G653="","",$A$5)</f>
        <v/>
      </c>
      <c r="J653">
        <f>IF($G653="","",IF(COUNTIFS(DOC_TYPE,$I653,DOC_EQP,$H653,DOC_SCOPE,"Equipment",DOC_ACTIVE,1)+COUNTIFS(DOC_TYPE,$I653,DOC_SYS,SETUP!$B$145,DOC_SCOPE,"System",DOC_ACTIVE,1)+COUNTIFS(DOC_TYPE,$I653,DOC_SCOPE,"All",DOC_ACTIVE,1)&gt;0,"",IFERROR(IF($E$5&lt;&gt;"",$E$5-$C$5,SETUP!$D$145-$C$5),60000)+ROW()/1000000))</f>
        <v/>
      </c>
    </row>
    <row r="654">
      <c r="G654">
        <f>IF(OR(SETUP!$C$145="",$A$6="",$B$6&lt;&gt;"Equipment"),"","Equipment")</f>
        <v/>
      </c>
      <c r="H654">
        <f>IF($G654="","",SETUP!$C$145)</f>
        <v/>
      </c>
      <c r="I654">
        <f>IF($G654="","",$A$6)</f>
        <v/>
      </c>
      <c r="J654">
        <f>IF($G654="","",IF(COUNTIFS(DOC_TYPE,$I654,DOC_EQP,$H654,DOC_SCOPE,"Equipment",DOC_ACTIVE,1)+COUNTIFS(DOC_TYPE,$I654,DOC_SYS,SETUP!$B$145,DOC_SCOPE,"System",DOC_ACTIVE,1)+COUNTIFS(DOC_TYPE,$I654,DOC_SCOPE,"All",DOC_ACTIVE,1)&gt;0,"",IFERROR(IF($E$6&lt;&gt;"",$E$6-$C$6,SETUP!$D$145-$C$6),60000)+ROW()/1000000))</f>
        <v/>
      </c>
    </row>
    <row r="655">
      <c r="G655">
        <f>IF(OR(SETUP!$C$145="",$A$7="",$B$7&lt;&gt;"Equipment"),"","Equipment")</f>
        <v/>
      </c>
      <c r="H655">
        <f>IF($G655="","",SETUP!$C$145)</f>
        <v/>
      </c>
      <c r="I655">
        <f>IF($G655="","",$A$7)</f>
        <v/>
      </c>
      <c r="J655">
        <f>IF($G655="","",IF(COUNTIFS(DOC_TYPE,$I655,DOC_EQP,$H655,DOC_SCOPE,"Equipment",DOC_ACTIVE,1)+COUNTIFS(DOC_TYPE,$I655,DOC_SYS,SETUP!$B$145,DOC_SCOPE,"System",DOC_ACTIVE,1)+COUNTIFS(DOC_TYPE,$I655,DOC_SCOPE,"All",DOC_ACTIVE,1)&gt;0,"",IFERROR(IF($E$7&lt;&gt;"",$E$7-$C$7,SETUP!$D$145-$C$7),60000)+ROW()/1000000))</f>
        <v/>
      </c>
    </row>
    <row r="656">
      <c r="G656">
        <f>IF(OR(SETUP!$C$145="",$A$8="",$B$8&lt;&gt;"Equipment"),"","Equipment")</f>
        <v/>
      </c>
      <c r="H656">
        <f>IF($G656="","",SETUP!$C$145)</f>
        <v/>
      </c>
      <c r="I656">
        <f>IF($G656="","",$A$8)</f>
        <v/>
      </c>
      <c r="J656">
        <f>IF($G656="","",IF(COUNTIFS(DOC_TYPE,$I656,DOC_EQP,$H656,DOC_SCOPE,"Equipment",DOC_ACTIVE,1)+COUNTIFS(DOC_TYPE,$I656,DOC_SYS,SETUP!$B$145,DOC_SCOPE,"System",DOC_ACTIVE,1)+COUNTIFS(DOC_TYPE,$I656,DOC_SCOPE,"All",DOC_ACTIVE,1)&gt;0,"",IFERROR(IF($E$8&lt;&gt;"",$E$8-$C$8,SETUP!$D$145-$C$8),60000)+ROW()/1000000))</f>
        <v/>
      </c>
    </row>
    <row r="657">
      <c r="G657">
        <f>IF(OR(SETUP!$C$145="",$A$9="",$B$9&lt;&gt;"Equipment"),"","Equipment")</f>
        <v/>
      </c>
      <c r="H657">
        <f>IF($G657="","",SETUP!$C$145)</f>
        <v/>
      </c>
      <c r="I657">
        <f>IF($G657="","",$A$9)</f>
        <v/>
      </c>
      <c r="J657">
        <f>IF($G657="","",IF(COUNTIFS(DOC_TYPE,$I657,DOC_EQP,$H657,DOC_SCOPE,"Equipment",DOC_ACTIVE,1)+COUNTIFS(DOC_TYPE,$I657,DOC_SYS,SETUP!$B$145,DOC_SCOPE,"System",DOC_ACTIVE,1)+COUNTIFS(DOC_TYPE,$I657,DOC_SCOPE,"All",DOC_ACTIVE,1)&gt;0,"",IFERROR(IF($E$9&lt;&gt;"",$E$9-$C$9,SETUP!$D$145-$C$9),60000)+ROW()/1000000))</f>
        <v/>
      </c>
    </row>
    <row r="658">
      <c r="G658">
        <f>IF(OR(SETUP!$C$145="",$A$10="",$B$10&lt;&gt;"Equipment"),"","Equipment")</f>
        <v/>
      </c>
      <c r="H658">
        <f>IF($G658="","",SETUP!$C$145)</f>
        <v/>
      </c>
      <c r="I658">
        <f>IF($G658="","",$A$10)</f>
        <v/>
      </c>
      <c r="J658">
        <f>IF($G658="","",IF(COUNTIFS(DOC_TYPE,$I658,DOC_EQP,$H658,DOC_SCOPE,"Equipment",DOC_ACTIVE,1)+COUNTIFS(DOC_TYPE,$I658,DOC_SYS,SETUP!$B$145,DOC_SCOPE,"System",DOC_ACTIVE,1)+COUNTIFS(DOC_TYPE,$I658,DOC_SCOPE,"All",DOC_ACTIVE,1)&gt;0,"",IFERROR(IF($E$10&lt;&gt;"",$E$10-$C$10,SETUP!$D$145-$C$10),60000)+ROW()/1000000))</f>
        <v/>
      </c>
    </row>
    <row r="659">
      <c r="G659">
        <f>IF(OR(SETUP!$C$145="",$A$11="",$B$11&lt;&gt;"Equipment"),"","Equipment")</f>
        <v/>
      </c>
      <c r="H659">
        <f>IF($G659="","",SETUP!$C$145)</f>
        <v/>
      </c>
      <c r="I659">
        <f>IF($G659="","",$A$11)</f>
        <v/>
      </c>
      <c r="J659">
        <f>IF($G659="","",IF(COUNTIFS(DOC_TYPE,$I659,DOC_EQP,$H659,DOC_SCOPE,"Equipment",DOC_ACTIVE,1)+COUNTIFS(DOC_TYPE,$I659,DOC_SYS,SETUP!$B$145,DOC_SCOPE,"System",DOC_ACTIVE,1)+COUNTIFS(DOC_TYPE,$I659,DOC_SCOPE,"All",DOC_ACTIVE,1)&gt;0,"",IFERROR(IF($E$11&lt;&gt;"",$E$11-$C$11,SETUP!$D$145-$C$11),60000)+ROW()/1000000))</f>
        <v/>
      </c>
    </row>
    <row r="660">
      <c r="G660">
        <f>IF(OR(SETUP!$C$145="",$A$12="",$B$12&lt;&gt;"Equipment"),"","Equipment")</f>
        <v/>
      </c>
      <c r="H660">
        <f>IF($G660="","",SETUP!$C$145)</f>
        <v/>
      </c>
      <c r="I660">
        <f>IF($G660="","",$A$12)</f>
        <v/>
      </c>
      <c r="J660">
        <f>IF($G660="","",IF(COUNTIFS(DOC_TYPE,$I660,DOC_EQP,$H660,DOC_SCOPE,"Equipment",DOC_ACTIVE,1)+COUNTIFS(DOC_TYPE,$I660,DOC_SYS,SETUP!$B$145,DOC_SCOPE,"System",DOC_ACTIVE,1)+COUNTIFS(DOC_TYPE,$I660,DOC_SCOPE,"All",DOC_ACTIVE,1)&gt;0,"",IFERROR(IF($E$12&lt;&gt;"",$E$12-$C$12,SETUP!$D$145-$C$12),60000)+ROW()/1000000))</f>
        <v/>
      </c>
    </row>
    <row r="661">
      <c r="G661">
        <f>IF(OR(SETUP!$C$145="",$A$13="",$B$13&lt;&gt;"Equipment"),"","Equipment")</f>
        <v/>
      </c>
      <c r="H661">
        <f>IF($G661="","",SETUP!$C$145)</f>
        <v/>
      </c>
      <c r="I661">
        <f>IF($G661="","",$A$13)</f>
        <v/>
      </c>
      <c r="J661">
        <f>IF($G661="","",IF(COUNTIFS(DOC_TYPE,$I661,DOC_EQP,$H661,DOC_SCOPE,"Equipment",DOC_ACTIVE,1)+COUNTIFS(DOC_TYPE,$I661,DOC_SYS,SETUP!$B$145,DOC_SCOPE,"System",DOC_ACTIVE,1)+COUNTIFS(DOC_TYPE,$I661,DOC_SCOPE,"All",DOC_ACTIVE,1)&gt;0,"",IFERROR(IF($E$13&lt;&gt;"",$E$13-$C$13,SETUP!$D$145-$C$13),60000)+ROW()/1000000))</f>
        <v/>
      </c>
    </row>
    <row r="662">
      <c r="G662">
        <f>IF(OR(SETUP!$C$146="",$A$2="",$B$2&lt;&gt;"Equipment"),"","Equipment")</f>
        <v/>
      </c>
      <c r="H662">
        <f>IF($G662="","",SETUP!$C$146)</f>
        <v/>
      </c>
      <c r="I662">
        <f>IF($G662="","",$A$2)</f>
        <v/>
      </c>
      <c r="J662">
        <f>IF($G662="","",IF(COUNTIFS(DOC_TYPE,$I662,DOC_EQP,$H662,DOC_SCOPE,"Equipment",DOC_ACTIVE,1)+COUNTIFS(DOC_TYPE,$I662,DOC_SYS,SETUP!$B$146,DOC_SCOPE,"System",DOC_ACTIVE,1)+COUNTIFS(DOC_TYPE,$I662,DOC_SCOPE,"All",DOC_ACTIVE,1)&gt;0,"",IFERROR(IF($E$2&lt;&gt;"",$E$2-$C$2,SETUP!$D$146-$C$2),60000)+ROW()/1000000))</f>
        <v/>
      </c>
    </row>
    <row r="663">
      <c r="G663">
        <f>IF(OR(SETUP!$C$146="",$A$3="",$B$3&lt;&gt;"Equipment"),"","Equipment")</f>
        <v/>
      </c>
      <c r="H663">
        <f>IF($G663="","",SETUP!$C$146)</f>
        <v/>
      </c>
      <c r="I663">
        <f>IF($G663="","",$A$3)</f>
        <v/>
      </c>
      <c r="J663">
        <f>IF($G663="","",IF(COUNTIFS(DOC_TYPE,$I663,DOC_EQP,$H663,DOC_SCOPE,"Equipment",DOC_ACTIVE,1)+COUNTIFS(DOC_TYPE,$I663,DOC_SYS,SETUP!$B$146,DOC_SCOPE,"System",DOC_ACTIVE,1)+COUNTIFS(DOC_TYPE,$I663,DOC_SCOPE,"All",DOC_ACTIVE,1)&gt;0,"",IFERROR(IF($E$3&lt;&gt;"",$E$3-$C$3,SETUP!$D$146-$C$3),60000)+ROW()/1000000))</f>
        <v/>
      </c>
    </row>
    <row r="664">
      <c r="G664">
        <f>IF(OR(SETUP!$C$146="",$A$4="",$B$4&lt;&gt;"Equipment"),"","Equipment")</f>
        <v/>
      </c>
      <c r="H664">
        <f>IF($G664="","",SETUP!$C$146)</f>
        <v/>
      </c>
      <c r="I664">
        <f>IF($G664="","",$A$4)</f>
        <v/>
      </c>
      <c r="J664">
        <f>IF($G664="","",IF(COUNTIFS(DOC_TYPE,$I664,DOC_EQP,$H664,DOC_SCOPE,"Equipment",DOC_ACTIVE,1)+COUNTIFS(DOC_TYPE,$I664,DOC_SYS,SETUP!$B$146,DOC_SCOPE,"System",DOC_ACTIVE,1)+COUNTIFS(DOC_TYPE,$I664,DOC_SCOPE,"All",DOC_ACTIVE,1)&gt;0,"",IFERROR(IF($E$4&lt;&gt;"",$E$4-$C$4,SETUP!$D$146-$C$4),60000)+ROW()/1000000))</f>
        <v/>
      </c>
    </row>
    <row r="665">
      <c r="G665">
        <f>IF(OR(SETUP!$C$146="",$A$5="",$B$5&lt;&gt;"Equipment"),"","Equipment")</f>
        <v/>
      </c>
      <c r="H665">
        <f>IF($G665="","",SETUP!$C$146)</f>
        <v/>
      </c>
      <c r="I665">
        <f>IF($G665="","",$A$5)</f>
        <v/>
      </c>
      <c r="J665">
        <f>IF($G665="","",IF(COUNTIFS(DOC_TYPE,$I665,DOC_EQP,$H665,DOC_SCOPE,"Equipment",DOC_ACTIVE,1)+COUNTIFS(DOC_TYPE,$I665,DOC_SYS,SETUP!$B$146,DOC_SCOPE,"System",DOC_ACTIVE,1)+COUNTIFS(DOC_TYPE,$I665,DOC_SCOPE,"All",DOC_ACTIVE,1)&gt;0,"",IFERROR(IF($E$5&lt;&gt;"",$E$5-$C$5,SETUP!$D$146-$C$5),60000)+ROW()/1000000))</f>
        <v/>
      </c>
    </row>
    <row r="666">
      <c r="G666">
        <f>IF(OR(SETUP!$C$146="",$A$6="",$B$6&lt;&gt;"Equipment"),"","Equipment")</f>
        <v/>
      </c>
      <c r="H666">
        <f>IF($G666="","",SETUP!$C$146)</f>
        <v/>
      </c>
      <c r="I666">
        <f>IF($G666="","",$A$6)</f>
        <v/>
      </c>
      <c r="J666">
        <f>IF($G666="","",IF(COUNTIFS(DOC_TYPE,$I666,DOC_EQP,$H666,DOC_SCOPE,"Equipment",DOC_ACTIVE,1)+COUNTIFS(DOC_TYPE,$I666,DOC_SYS,SETUP!$B$146,DOC_SCOPE,"System",DOC_ACTIVE,1)+COUNTIFS(DOC_TYPE,$I666,DOC_SCOPE,"All",DOC_ACTIVE,1)&gt;0,"",IFERROR(IF($E$6&lt;&gt;"",$E$6-$C$6,SETUP!$D$146-$C$6),60000)+ROW()/1000000))</f>
        <v/>
      </c>
    </row>
    <row r="667">
      <c r="G667">
        <f>IF(OR(SETUP!$C$146="",$A$7="",$B$7&lt;&gt;"Equipment"),"","Equipment")</f>
        <v/>
      </c>
      <c r="H667">
        <f>IF($G667="","",SETUP!$C$146)</f>
        <v/>
      </c>
      <c r="I667">
        <f>IF($G667="","",$A$7)</f>
        <v/>
      </c>
      <c r="J667">
        <f>IF($G667="","",IF(COUNTIFS(DOC_TYPE,$I667,DOC_EQP,$H667,DOC_SCOPE,"Equipment",DOC_ACTIVE,1)+COUNTIFS(DOC_TYPE,$I667,DOC_SYS,SETUP!$B$146,DOC_SCOPE,"System",DOC_ACTIVE,1)+COUNTIFS(DOC_TYPE,$I667,DOC_SCOPE,"All",DOC_ACTIVE,1)&gt;0,"",IFERROR(IF($E$7&lt;&gt;"",$E$7-$C$7,SETUP!$D$146-$C$7),60000)+ROW()/1000000))</f>
        <v/>
      </c>
    </row>
    <row r="668">
      <c r="G668">
        <f>IF(OR(SETUP!$C$146="",$A$8="",$B$8&lt;&gt;"Equipment"),"","Equipment")</f>
        <v/>
      </c>
      <c r="H668">
        <f>IF($G668="","",SETUP!$C$146)</f>
        <v/>
      </c>
      <c r="I668">
        <f>IF($G668="","",$A$8)</f>
        <v/>
      </c>
      <c r="J668">
        <f>IF($G668="","",IF(COUNTIFS(DOC_TYPE,$I668,DOC_EQP,$H668,DOC_SCOPE,"Equipment",DOC_ACTIVE,1)+COUNTIFS(DOC_TYPE,$I668,DOC_SYS,SETUP!$B$146,DOC_SCOPE,"System",DOC_ACTIVE,1)+COUNTIFS(DOC_TYPE,$I668,DOC_SCOPE,"All",DOC_ACTIVE,1)&gt;0,"",IFERROR(IF($E$8&lt;&gt;"",$E$8-$C$8,SETUP!$D$146-$C$8),60000)+ROW()/1000000))</f>
        <v/>
      </c>
    </row>
    <row r="669">
      <c r="G669">
        <f>IF(OR(SETUP!$C$146="",$A$9="",$B$9&lt;&gt;"Equipment"),"","Equipment")</f>
        <v/>
      </c>
      <c r="H669">
        <f>IF($G669="","",SETUP!$C$146)</f>
        <v/>
      </c>
      <c r="I669">
        <f>IF($G669="","",$A$9)</f>
        <v/>
      </c>
      <c r="J669">
        <f>IF($G669="","",IF(COUNTIFS(DOC_TYPE,$I669,DOC_EQP,$H669,DOC_SCOPE,"Equipment",DOC_ACTIVE,1)+COUNTIFS(DOC_TYPE,$I669,DOC_SYS,SETUP!$B$146,DOC_SCOPE,"System",DOC_ACTIVE,1)+COUNTIFS(DOC_TYPE,$I669,DOC_SCOPE,"All",DOC_ACTIVE,1)&gt;0,"",IFERROR(IF($E$9&lt;&gt;"",$E$9-$C$9,SETUP!$D$146-$C$9),60000)+ROW()/1000000))</f>
        <v/>
      </c>
    </row>
    <row r="670">
      <c r="G670">
        <f>IF(OR(SETUP!$C$146="",$A$10="",$B$10&lt;&gt;"Equipment"),"","Equipment")</f>
        <v/>
      </c>
      <c r="H670">
        <f>IF($G670="","",SETUP!$C$146)</f>
        <v/>
      </c>
      <c r="I670">
        <f>IF($G670="","",$A$10)</f>
        <v/>
      </c>
      <c r="J670">
        <f>IF($G670="","",IF(COUNTIFS(DOC_TYPE,$I670,DOC_EQP,$H670,DOC_SCOPE,"Equipment",DOC_ACTIVE,1)+COUNTIFS(DOC_TYPE,$I670,DOC_SYS,SETUP!$B$146,DOC_SCOPE,"System",DOC_ACTIVE,1)+COUNTIFS(DOC_TYPE,$I670,DOC_SCOPE,"All",DOC_ACTIVE,1)&gt;0,"",IFERROR(IF($E$10&lt;&gt;"",$E$10-$C$10,SETUP!$D$146-$C$10),60000)+ROW()/1000000))</f>
        <v/>
      </c>
    </row>
    <row r="671">
      <c r="G671">
        <f>IF(OR(SETUP!$C$146="",$A$11="",$B$11&lt;&gt;"Equipment"),"","Equipment")</f>
        <v/>
      </c>
      <c r="H671">
        <f>IF($G671="","",SETUP!$C$146)</f>
        <v/>
      </c>
      <c r="I671">
        <f>IF($G671="","",$A$11)</f>
        <v/>
      </c>
      <c r="J671">
        <f>IF($G671="","",IF(COUNTIFS(DOC_TYPE,$I671,DOC_EQP,$H671,DOC_SCOPE,"Equipment",DOC_ACTIVE,1)+COUNTIFS(DOC_TYPE,$I671,DOC_SYS,SETUP!$B$146,DOC_SCOPE,"System",DOC_ACTIVE,1)+COUNTIFS(DOC_TYPE,$I671,DOC_SCOPE,"All",DOC_ACTIVE,1)&gt;0,"",IFERROR(IF($E$11&lt;&gt;"",$E$11-$C$11,SETUP!$D$146-$C$11),60000)+ROW()/1000000))</f>
        <v/>
      </c>
    </row>
    <row r="672">
      <c r="G672">
        <f>IF(OR(SETUP!$C$146="",$A$12="",$B$12&lt;&gt;"Equipment"),"","Equipment")</f>
        <v/>
      </c>
      <c r="H672">
        <f>IF($G672="","",SETUP!$C$146)</f>
        <v/>
      </c>
      <c r="I672">
        <f>IF($G672="","",$A$12)</f>
        <v/>
      </c>
      <c r="J672">
        <f>IF($G672="","",IF(COUNTIFS(DOC_TYPE,$I672,DOC_EQP,$H672,DOC_SCOPE,"Equipment",DOC_ACTIVE,1)+COUNTIFS(DOC_TYPE,$I672,DOC_SYS,SETUP!$B$146,DOC_SCOPE,"System",DOC_ACTIVE,1)+COUNTIFS(DOC_TYPE,$I672,DOC_SCOPE,"All",DOC_ACTIVE,1)&gt;0,"",IFERROR(IF($E$12&lt;&gt;"",$E$12-$C$12,SETUP!$D$146-$C$12),60000)+ROW()/1000000))</f>
        <v/>
      </c>
    </row>
    <row r="673">
      <c r="G673">
        <f>IF(OR(SETUP!$C$146="",$A$13="",$B$13&lt;&gt;"Equipment"),"","Equipment")</f>
        <v/>
      </c>
      <c r="H673">
        <f>IF($G673="","",SETUP!$C$146)</f>
        <v/>
      </c>
      <c r="I673">
        <f>IF($G673="","",$A$13)</f>
        <v/>
      </c>
      <c r="J673">
        <f>IF($G673="","",IF(COUNTIFS(DOC_TYPE,$I673,DOC_EQP,$H673,DOC_SCOPE,"Equipment",DOC_ACTIVE,1)+COUNTIFS(DOC_TYPE,$I673,DOC_SYS,SETUP!$B$146,DOC_SCOPE,"System",DOC_ACTIVE,1)+COUNTIFS(DOC_TYPE,$I673,DOC_SCOPE,"All",DOC_ACTIVE,1)&gt;0,"",IFERROR(IF($E$13&lt;&gt;"",$E$13-$C$13,SETUP!$D$146-$C$13),60000)+ROW()/1000000))</f>
        <v/>
      </c>
    </row>
    <row r="674">
      <c r="G674">
        <f>IF(OR(SETUP!$C$147="",$A$2="",$B$2&lt;&gt;"Equipment"),"","Equipment")</f>
        <v/>
      </c>
      <c r="H674">
        <f>IF($G674="","",SETUP!$C$147)</f>
        <v/>
      </c>
      <c r="I674">
        <f>IF($G674="","",$A$2)</f>
        <v/>
      </c>
      <c r="J674">
        <f>IF($G674="","",IF(COUNTIFS(DOC_TYPE,$I674,DOC_EQP,$H674,DOC_SCOPE,"Equipment",DOC_ACTIVE,1)+COUNTIFS(DOC_TYPE,$I674,DOC_SYS,SETUP!$B$147,DOC_SCOPE,"System",DOC_ACTIVE,1)+COUNTIFS(DOC_TYPE,$I674,DOC_SCOPE,"All",DOC_ACTIVE,1)&gt;0,"",IFERROR(IF($E$2&lt;&gt;"",$E$2-$C$2,SETUP!$D$147-$C$2),60000)+ROW()/1000000))</f>
        <v/>
      </c>
    </row>
    <row r="675">
      <c r="G675">
        <f>IF(OR(SETUP!$C$147="",$A$3="",$B$3&lt;&gt;"Equipment"),"","Equipment")</f>
        <v/>
      </c>
      <c r="H675">
        <f>IF($G675="","",SETUP!$C$147)</f>
        <v/>
      </c>
      <c r="I675">
        <f>IF($G675="","",$A$3)</f>
        <v/>
      </c>
      <c r="J675">
        <f>IF($G675="","",IF(COUNTIFS(DOC_TYPE,$I675,DOC_EQP,$H675,DOC_SCOPE,"Equipment",DOC_ACTIVE,1)+COUNTIFS(DOC_TYPE,$I675,DOC_SYS,SETUP!$B$147,DOC_SCOPE,"System",DOC_ACTIVE,1)+COUNTIFS(DOC_TYPE,$I675,DOC_SCOPE,"All",DOC_ACTIVE,1)&gt;0,"",IFERROR(IF($E$3&lt;&gt;"",$E$3-$C$3,SETUP!$D$147-$C$3),60000)+ROW()/1000000))</f>
        <v/>
      </c>
    </row>
    <row r="676">
      <c r="G676">
        <f>IF(OR(SETUP!$C$147="",$A$4="",$B$4&lt;&gt;"Equipment"),"","Equipment")</f>
        <v/>
      </c>
      <c r="H676">
        <f>IF($G676="","",SETUP!$C$147)</f>
        <v/>
      </c>
      <c r="I676">
        <f>IF($G676="","",$A$4)</f>
        <v/>
      </c>
      <c r="J676">
        <f>IF($G676="","",IF(COUNTIFS(DOC_TYPE,$I676,DOC_EQP,$H676,DOC_SCOPE,"Equipment",DOC_ACTIVE,1)+COUNTIFS(DOC_TYPE,$I676,DOC_SYS,SETUP!$B$147,DOC_SCOPE,"System",DOC_ACTIVE,1)+COUNTIFS(DOC_TYPE,$I676,DOC_SCOPE,"All",DOC_ACTIVE,1)&gt;0,"",IFERROR(IF($E$4&lt;&gt;"",$E$4-$C$4,SETUP!$D$147-$C$4),60000)+ROW()/1000000))</f>
        <v/>
      </c>
    </row>
    <row r="677">
      <c r="G677">
        <f>IF(OR(SETUP!$C$147="",$A$5="",$B$5&lt;&gt;"Equipment"),"","Equipment")</f>
        <v/>
      </c>
      <c r="H677">
        <f>IF($G677="","",SETUP!$C$147)</f>
        <v/>
      </c>
      <c r="I677">
        <f>IF($G677="","",$A$5)</f>
        <v/>
      </c>
      <c r="J677">
        <f>IF($G677="","",IF(COUNTIFS(DOC_TYPE,$I677,DOC_EQP,$H677,DOC_SCOPE,"Equipment",DOC_ACTIVE,1)+COUNTIFS(DOC_TYPE,$I677,DOC_SYS,SETUP!$B$147,DOC_SCOPE,"System",DOC_ACTIVE,1)+COUNTIFS(DOC_TYPE,$I677,DOC_SCOPE,"All",DOC_ACTIVE,1)&gt;0,"",IFERROR(IF($E$5&lt;&gt;"",$E$5-$C$5,SETUP!$D$147-$C$5),60000)+ROW()/1000000))</f>
        <v/>
      </c>
    </row>
    <row r="678">
      <c r="G678">
        <f>IF(OR(SETUP!$C$147="",$A$6="",$B$6&lt;&gt;"Equipment"),"","Equipment")</f>
        <v/>
      </c>
      <c r="H678">
        <f>IF($G678="","",SETUP!$C$147)</f>
        <v/>
      </c>
      <c r="I678">
        <f>IF($G678="","",$A$6)</f>
        <v/>
      </c>
      <c r="J678">
        <f>IF($G678="","",IF(COUNTIFS(DOC_TYPE,$I678,DOC_EQP,$H678,DOC_SCOPE,"Equipment",DOC_ACTIVE,1)+COUNTIFS(DOC_TYPE,$I678,DOC_SYS,SETUP!$B$147,DOC_SCOPE,"System",DOC_ACTIVE,1)+COUNTIFS(DOC_TYPE,$I678,DOC_SCOPE,"All",DOC_ACTIVE,1)&gt;0,"",IFERROR(IF($E$6&lt;&gt;"",$E$6-$C$6,SETUP!$D$147-$C$6),60000)+ROW()/1000000))</f>
        <v/>
      </c>
    </row>
    <row r="679">
      <c r="G679">
        <f>IF(OR(SETUP!$C$147="",$A$7="",$B$7&lt;&gt;"Equipment"),"","Equipment")</f>
        <v/>
      </c>
      <c r="H679">
        <f>IF($G679="","",SETUP!$C$147)</f>
        <v/>
      </c>
      <c r="I679">
        <f>IF($G679="","",$A$7)</f>
        <v/>
      </c>
      <c r="J679">
        <f>IF($G679="","",IF(COUNTIFS(DOC_TYPE,$I679,DOC_EQP,$H679,DOC_SCOPE,"Equipment",DOC_ACTIVE,1)+COUNTIFS(DOC_TYPE,$I679,DOC_SYS,SETUP!$B$147,DOC_SCOPE,"System",DOC_ACTIVE,1)+COUNTIFS(DOC_TYPE,$I679,DOC_SCOPE,"All",DOC_ACTIVE,1)&gt;0,"",IFERROR(IF($E$7&lt;&gt;"",$E$7-$C$7,SETUP!$D$147-$C$7),60000)+ROW()/1000000))</f>
        <v/>
      </c>
    </row>
    <row r="680">
      <c r="G680">
        <f>IF(OR(SETUP!$C$147="",$A$8="",$B$8&lt;&gt;"Equipment"),"","Equipment")</f>
        <v/>
      </c>
      <c r="H680">
        <f>IF($G680="","",SETUP!$C$147)</f>
        <v/>
      </c>
      <c r="I680">
        <f>IF($G680="","",$A$8)</f>
        <v/>
      </c>
      <c r="J680">
        <f>IF($G680="","",IF(COUNTIFS(DOC_TYPE,$I680,DOC_EQP,$H680,DOC_SCOPE,"Equipment",DOC_ACTIVE,1)+COUNTIFS(DOC_TYPE,$I680,DOC_SYS,SETUP!$B$147,DOC_SCOPE,"System",DOC_ACTIVE,1)+COUNTIFS(DOC_TYPE,$I680,DOC_SCOPE,"All",DOC_ACTIVE,1)&gt;0,"",IFERROR(IF($E$8&lt;&gt;"",$E$8-$C$8,SETUP!$D$147-$C$8),60000)+ROW()/1000000))</f>
        <v/>
      </c>
    </row>
    <row r="681">
      <c r="G681">
        <f>IF(OR(SETUP!$C$147="",$A$9="",$B$9&lt;&gt;"Equipment"),"","Equipment")</f>
        <v/>
      </c>
      <c r="H681">
        <f>IF($G681="","",SETUP!$C$147)</f>
        <v/>
      </c>
      <c r="I681">
        <f>IF($G681="","",$A$9)</f>
        <v/>
      </c>
      <c r="J681">
        <f>IF($G681="","",IF(COUNTIFS(DOC_TYPE,$I681,DOC_EQP,$H681,DOC_SCOPE,"Equipment",DOC_ACTIVE,1)+COUNTIFS(DOC_TYPE,$I681,DOC_SYS,SETUP!$B$147,DOC_SCOPE,"System",DOC_ACTIVE,1)+COUNTIFS(DOC_TYPE,$I681,DOC_SCOPE,"All",DOC_ACTIVE,1)&gt;0,"",IFERROR(IF($E$9&lt;&gt;"",$E$9-$C$9,SETUP!$D$147-$C$9),60000)+ROW()/1000000))</f>
        <v/>
      </c>
    </row>
    <row r="682">
      <c r="G682">
        <f>IF(OR(SETUP!$C$147="",$A$10="",$B$10&lt;&gt;"Equipment"),"","Equipment")</f>
        <v/>
      </c>
      <c r="H682">
        <f>IF($G682="","",SETUP!$C$147)</f>
        <v/>
      </c>
      <c r="I682">
        <f>IF($G682="","",$A$10)</f>
        <v/>
      </c>
      <c r="J682">
        <f>IF($G682="","",IF(COUNTIFS(DOC_TYPE,$I682,DOC_EQP,$H682,DOC_SCOPE,"Equipment",DOC_ACTIVE,1)+COUNTIFS(DOC_TYPE,$I682,DOC_SYS,SETUP!$B$147,DOC_SCOPE,"System",DOC_ACTIVE,1)+COUNTIFS(DOC_TYPE,$I682,DOC_SCOPE,"All",DOC_ACTIVE,1)&gt;0,"",IFERROR(IF($E$10&lt;&gt;"",$E$10-$C$10,SETUP!$D$147-$C$10),60000)+ROW()/1000000))</f>
        <v/>
      </c>
    </row>
    <row r="683">
      <c r="G683">
        <f>IF(OR(SETUP!$C$147="",$A$11="",$B$11&lt;&gt;"Equipment"),"","Equipment")</f>
        <v/>
      </c>
      <c r="H683">
        <f>IF($G683="","",SETUP!$C$147)</f>
        <v/>
      </c>
      <c r="I683">
        <f>IF($G683="","",$A$11)</f>
        <v/>
      </c>
      <c r="J683">
        <f>IF($G683="","",IF(COUNTIFS(DOC_TYPE,$I683,DOC_EQP,$H683,DOC_SCOPE,"Equipment",DOC_ACTIVE,1)+COUNTIFS(DOC_TYPE,$I683,DOC_SYS,SETUP!$B$147,DOC_SCOPE,"System",DOC_ACTIVE,1)+COUNTIFS(DOC_TYPE,$I683,DOC_SCOPE,"All",DOC_ACTIVE,1)&gt;0,"",IFERROR(IF($E$11&lt;&gt;"",$E$11-$C$11,SETUP!$D$147-$C$11),60000)+ROW()/1000000))</f>
        <v/>
      </c>
    </row>
    <row r="684">
      <c r="G684">
        <f>IF(OR(SETUP!$C$147="",$A$12="",$B$12&lt;&gt;"Equipment"),"","Equipment")</f>
        <v/>
      </c>
      <c r="H684">
        <f>IF($G684="","",SETUP!$C$147)</f>
        <v/>
      </c>
      <c r="I684">
        <f>IF($G684="","",$A$12)</f>
        <v/>
      </c>
      <c r="J684">
        <f>IF($G684="","",IF(COUNTIFS(DOC_TYPE,$I684,DOC_EQP,$H684,DOC_SCOPE,"Equipment",DOC_ACTIVE,1)+COUNTIFS(DOC_TYPE,$I684,DOC_SYS,SETUP!$B$147,DOC_SCOPE,"System",DOC_ACTIVE,1)+COUNTIFS(DOC_TYPE,$I684,DOC_SCOPE,"All",DOC_ACTIVE,1)&gt;0,"",IFERROR(IF($E$12&lt;&gt;"",$E$12-$C$12,SETUP!$D$147-$C$12),60000)+ROW()/1000000))</f>
        <v/>
      </c>
    </row>
    <row r="685">
      <c r="G685">
        <f>IF(OR(SETUP!$C$147="",$A$13="",$B$13&lt;&gt;"Equipment"),"","Equipment")</f>
        <v/>
      </c>
      <c r="H685">
        <f>IF($G685="","",SETUP!$C$147)</f>
        <v/>
      </c>
      <c r="I685">
        <f>IF($G685="","",$A$13)</f>
        <v/>
      </c>
      <c r="J685">
        <f>IF($G685="","",IF(COUNTIFS(DOC_TYPE,$I685,DOC_EQP,$H685,DOC_SCOPE,"Equipment",DOC_ACTIVE,1)+COUNTIFS(DOC_TYPE,$I685,DOC_SYS,SETUP!$B$147,DOC_SCOPE,"System",DOC_ACTIVE,1)+COUNTIFS(DOC_TYPE,$I685,DOC_SCOPE,"All",DOC_ACTIVE,1)&gt;0,"",IFERROR(IF($E$13&lt;&gt;"",$E$13-$C$13,SETUP!$D$147-$C$13),60000)+ROW()/1000000))</f>
        <v/>
      </c>
    </row>
    <row r="686">
      <c r="G686">
        <f>IF(OR(SETUP!$C$148="",$A$2="",$B$2&lt;&gt;"Equipment"),"","Equipment")</f>
        <v/>
      </c>
      <c r="H686">
        <f>IF($G686="","",SETUP!$C$148)</f>
        <v/>
      </c>
      <c r="I686">
        <f>IF($G686="","",$A$2)</f>
        <v/>
      </c>
      <c r="J686">
        <f>IF($G686="","",IF(COUNTIFS(DOC_TYPE,$I686,DOC_EQP,$H686,DOC_SCOPE,"Equipment",DOC_ACTIVE,1)+COUNTIFS(DOC_TYPE,$I686,DOC_SYS,SETUP!$B$148,DOC_SCOPE,"System",DOC_ACTIVE,1)+COUNTIFS(DOC_TYPE,$I686,DOC_SCOPE,"All",DOC_ACTIVE,1)&gt;0,"",IFERROR(IF($E$2&lt;&gt;"",$E$2-$C$2,SETUP!$D$148-$C$2),60000)+ROW()/1000000))</f>
        <v/>
      </c>
    </row>
    <row r="687">
      <c r="G687">
        <f>IF(OR(SETUP!$C$148="",$A$3="",$B$3&lt;&gt;"Equipment"),"","Equipment")</f>
        <v/>
      </c>
      <c r="H687">
        <f>IF($G687="","",SETUP!$C$148)</f>
        <v/>
      </c>
      <c r="I687">
        <f>IF($G687="","",$A$3)</f>
        <v/>
      </c>
      <c r="J687">
        <f>IF($G687="","",IF(COUNTIFS(DOC_TYPE,$I687,DOC_EQP,$H687,DOC_SCOPE,"Equipment",DOC_ACTIVE,1)+COUNTIFS(DOC_TYPE,$I687,DOC_SYS,SETUP!$B$148,DOC_SCOPE,"System",DOC_ACTIVE,1)+COUNTIFS(DOC_TYPE,$I687,DOC_SCOPE,"All",DOC_ACTIVE,1)&gt;0,"",IFERROR(IF($E$3&lt;&gt;"",$E$3-$C$3,SETUP!$D$148-$C$3),60000)+ROW()/1000000))</f>
        <v/>
      </c>
    </row>
    <row r="688">
      <c r="G688">
        <f>IF(OR(SETUP!$C$148="",$A$4="",$B$4&lt;&gt;"Equipment"),"","Equipment")</f>
        <v/>
      </c>
      <c r="H688">
        <f>IF($G688="","",SETUP!$C$148)</f>
        <v/>
      </c>
      <c r="I688">
        <f>IF($G688="","",$A$4)</f>
        <v/>
      </c>
      <c r="J688">
        <f>IF($G688="","",IF(COUNTIFS(DOC_TYPE,$I688,DOC_EQP,$H688,DOC_SCOPE,"Equipment",DOC_ACTIVE,1)+COUNTIFS(DOC_TYPE,$I688,DOC_SYS,SETUP!$B$148,DOC_SCOPE,"System",DOC_ACTIVE,1)+COUNTIFS(DOC_TYPE,$I688,DOC_SCOPE,"All",DOC_ACTIVE,1)&gt;0,"",IFERROR(IF($E$4&lt;&gt;"",$E$4-$C$4,SETUP!$D$148-$C$4),60000)+ROW()/1000000))</f>
        <v/>
      </c>
    </row>
    <row r="689">
      <c r="G689">
        <f>IF(OR(SETUP!$C$148="",$A$5="",$B$5&lt;&gt;"Equipment"),"","Equipment")</f>
        <v/>
      </c>
      <c r="H689">
        <f>IF($G689="","",SETUP!$C$148)</f>
        <v/>
      </c>
      <c r="I689">
        <f>IF($G689="","",$A$5)</f>
        <v/>
      </c>
      <c r="J689">
        <f>IF($G689="","",IF(COUNTIFS(DOC_TYPE,$I689,DOC_EQP,$H689,DOC_SCOPE,"Equipment",DOC_ACTIVE,1)+COUNTIFS(DOC_TYPE,$I689,DOC_SYS,SETUP!$B$148,DOC_SCOPE,"System",DOC_ACTIVE,1)+COUNTIFS(DOC_TYPE,$I689,DOC_SCOPE,"All",DOC_ACTIVE,1)&gt;0,"",IFERROR(IF($E$5&lt;&gt;"",$E$5-$C$5,SETUP!$D$148-$C$5),60000)+ROW()/1000000))</f>
        <v/>
      </c>
    </row>
    <row r="690">
      <c r="G690">
        <f>IF(OR(SETUP!$C$148="",$A$6="",$B$6&lt;&gt;"Equipment"),"","Equipment")</f>
        <v/>
      </c>
      <c r="H690">
        <f>IF($G690="","",SETUP!$C$148)</f>
        <v/>
      </c>
      <c r="I690">
        <f>IF($G690="","",$A$6)</f>
        <v/>
      </c>
      <c r="J690">
        <f>IF($G690="","",IF(COUNTIFS(DOC_TYPE,$I690,DOC_EQP,$H690,DOC_SCOPE,"Equipment",DOC_ACTIVE,1)+COUNTIFS(DOC_TYPE,$I690,DOC_SYS,SETUP!$B$148,DOC_SCOPE,"System",DOC_ACTIVE,1)+COUNTIFS(DOC_TYPE,$I690,DOC_SCOPE,"All",DOC_ACTIVE,1)&gt;0,"",IFERROR(IF($E$6&lt;&gt;"",$E$6-$C$6,SETUP!$D$148-$C$6),60000)+ROW()/1000000))</f>
        <v/>
      </c>
    </row>
    <row r="691">
      <c r="G691">
        <f>IF(OR(SETUP!$C$148="",$A$7="",$B$7&lt;&gt;"Equipment"),"","Equipment")</f>
        <v/>
      </c>
      <c r="H691">
        <f>IF($G691="","",SETUP!$C$148)</f>
        <v/>
      </c>
      <c r="I691">
        <f>IF($G691="","",$A$7)</f>
        <v/>
      </c>
      <c r="J691">
        <f>IF($G691="","",IF(COUNTIFS(DOC_TYPE,$I691,DOC_EQP,$H691,DOC_SCOPE,"Equipment",DOC_ACTIVE,1)+COUNTIFS(DOC_TYPE,$I691,DOC_SYS,SETUP!$B$148,DOC_SCOPE,"System",DOC_ACTIVE,1)+COUNTIFS(DOC_TYPE,$I691,DOC_SCOPE,"All",DOC_ACTIVE,1)&gt;0,"",IFERROR(IF($E$7&lt;&gt;"",$E$7-$C$7,SETUP!$D$148-$C$7),60000)+ROW()/1000000))</f>
        <v/>
      </c>
    </row>
    <row r="692">
      <c r="G692">
        <f>IF(OR(SETUP!$C$148="",$A$8="",$B$8&lt;&gt;"Equipment"),"","Equipment")</f>
        <v/>
      </c>
      <c r="H692">
        <f>IF($G692="","",SETUP!$C$148)</f>
        <v/>
      </c>
      <c r="I692">
        <f>IF($G692="","",$A$8)</f>
        <v/>
      </c>
      <c r="J692">
        <f>IF($G692="","",IF(COUNTIFS(DOC_TYPE,$I692,DOC_EQP,$H692,DOC_SCOPE,"Equipment",DOC_ACTIVE,1)+COUNTIFS(DOC_TYPE,$I692,DOC_SYS,SETUP!$B$148,DOC_SCOPE,"System",DOC_ACTIVE,1)+COUNTIFS(DOC_TYPE,$I692,DOC_SCOPE,"All",DOC_ACTIVE,1)&gt;0,"",IFERROR(IF($E$8&lt;&gt;"",$E$8-$C$8,SETUP!$D$148-$C$8),60000)+ROW()/1000000))</f>
        <v/>
      </c>
    </row>
    <row r="693">
      <c r="G693">
        <f>IF(OR(SETUP!$C$148="",$A$9="",$B$9&lt;&gt;"Equipment"),"","Equipment")</f>
        <v/>
      </c>
      <c r="H693">
        <f>IF($G693="","",SETUP!$C$148)</f>
        <v/>
      </c>
      <c r="I693">
        <f>IF($G693="","",$A$9)</f>
        <v/>
      </c>
      <c r="J693">
        <f>IF($G693="","",IF(COUNTIFS(DOC_TYPE,$I693,DOC_EQP,$H693,DOC_SCOPE,"Equipment",DOC_ACTIVE,1)+COUNTIFS(DOC_TYPE,$I693,DOC_SYS,SETUP!$B$148,DOC_SCOPE,"System",DOC_ACTIVE,1)+COUNTIFS(DOC_TYPE,$I693,DOC_SCOPE,"All",DOC_ACTIVE,1)&gt;0,"",IFERROR(IF($E$9&lt;&gt;"",$E$9-$C$9,SETUP!$D$148-$C$9),60000)+ROW()/1000000))</f>
        <v/>
      </c>
    </row>
    <row r="694">
      <c r="G694">
        <f>IF(OR(SETUP!$C$148="",$A$10="",$B$10&lt;&gt;"Equipment"),"","Equipment")</f>
        <v/>
      </c>
      <c r="H694">
        <f>IF($G694="","",SETUP!$C$148)</f>
        <v/>
      </c>
      <c r="I694">
        <f>IF($G694="","",$A$10)</f>
        <v/>
      </c>
      <c r="J694">
        <f>IF($G694="","",IF(COUNTIFS(DOC_TYPE,$I694,DOC_EQP,$H694,DOC_SCOPE,"Equipment",DOC_ACTIVE,1)+COUNTIFS(DOC_TYPE,$I694,DOC_SYS,SETUP!$B$148,DOC_SCOPE,"System",DOC_ACTIVE,1)+COUNTIFS(DOC_TYPE,$I694,DOC_SCOPE,"All",DOC_ACTIVE,1)&gt;0,"",IFERROR(IF($E$10&lt;&gt;"",$E$10-$C$10,SETUP!$D$148-$C$10),60000)+ROW()/1000000))</f>
        <v/>
      </c>
    </row>
    <row r="695">
      <c r="G695">
        <f>IF(OR(SETUP!$C$148="",$A$11="",$B$11&lt;&gt;"Equipment"),"","Equipment")</f>
        <v/>
      </c>
      <c r="H695">
        <f>IF($G695="","",SETUP!$C$148)</f>
        <v/>
      </c>
      <c r="I695">
        <f>IF($G695="","",$A$11)</f>
        <v/>
      </c>
      <c r="J695">
        <f>IF($G695="","",IF(COUNTIFS(DOC_TYPE,$I695,DOC_EQP,$H695,DOC_SCOPE,"Equipment",DOC_ACTIVE,1)+COUNTIFS(DOC_TYPE,$I695,DOC_SYS,SETUP!$B$148,DOC_SCOPE,"System",DOC_ACTIVE,1)+COUNTIFS(DOC_TYPE,$I695,DOC_SCOPE,"All",DOC_ACTIVE,1)&gt;0,"",IFERROR(IF($E$11&lt;&gt;"",$E$11-$C$11,SETUP!$D$148-$C$11),60000)+ROW()/1000000))</f>
        <v/>
      </c>
    </row>
    <row r="696">
      <c r="G696">
        <f>IF(OR(SETUP!$C$148="",$A$12="",$B$12&lt;&gt;"Equipment"),"","Equipment")</f>
        <v/>
      </c>
      <c r="H696">
        <f>IF($G696="","",SETUP!$C$148)</f>
        <v/>
      </c>
      <c r="I696">
        <f>IF($G696="","",$A$12)</f>
        <v/>
      </c>
      <c r="J696">
        <f>IF($G696="","",IF(COUNTIFS(DOC_TYPE,$I696,DOC_EQP,$H696,DOC_SCOPE,"Equipment",DOC_ACTIVE,1)+COUNTIFS(DOC_TYPE,$I696,DOC_SYS,SETUP!$B$148,DOC_SCOPE,"System",DOC_ACTIVE,1)+COUNTIFS(DOC_TYPE,$I696,DOC_SCOPE,"All",DOC_ACTIVE,1)&gt;0,"",IFERROR(IF($E$12&lt;&gt;"",$E$12-$C$12,SETUP!$D$148-$C$12),60000)+ROW()/1000000))</f>
        <v/>
      </c>
    </row>
    <row r="697">
      <c r="G697">
        <f>IF(OR(SETUP!$C$148="",$A$13="",$B$13&lt;&gt;"Equipment"),"","Equipment")</f>
        <v/>
      </c>
      <c r="H697">
        <f>IF($G697="","",SETUP!$C$148)</f>
        <v/>
      </c>
      <c r="I697">
        <f>IF($G697="","",$A$13)</f>
        <v/>
      </c>
      <c r="J697">
        <f>IF($G697="","",IF(COUNTIFS(DOC_TYPE,$I697,DOC_EQP,$H697,DOC_SCOPE,"Equipment",DOC_ACTIVE,1)+COUNTIFS(DOC_TYPE,$I697,DOC_SYS,SETUP!$B$148,DOC_SCOPE,"System",DOC_ACTIVE,1)+COUNTIFS(DOC_TYPE,$I697,DOC_SCOPE,"All",DOC_ACTIVE,1)&gt;0,"",IFERROR(IF($E$13&lt;&gt;"",$E$13-$C$13,SETUP!$D$148-$C$13),60000)+ROW()/1000000))</f>
        <v/>
      </c>
    </row>
    <row r="698">
      <c r="G698">
        <f>IF(OR(SETUP!$C$149="",$A$2="",$B$2&lt;&gt;"Equipment"),"","Equipment")</f>
        <v/>
      </c>
      <c r="H698">
        <f>IF($G698="","",SETUP!$C$149)</f>
        <v/>
      </c>
      <c r="I698">
        <f>IF($G698="","",$A$2)</f>
        <v/>
      </c>
      <c r="J698">
        <f>IF($G698="","",IF(COUNTIFS(DOC_TYPE,$I698,DOC_EQP,$H698,DOC_SCOPE,"Equipment",DOC_ACTIVE,1)+COUNTIFS(DOC_TYPE,$I698,DOC_SYS,SETUP!$B$149,DOC_SCOPE,"System",DOC_ACTIVE,1)+COUNTIFS(DOC_TYPE,$I698,DOC_SCOPE,"All",DOC_ACTIVE,1)&gt;0,"",IFERROR(IF($E$2&lt;&gt;"",$E$2-$C$2,SETUP!$D$149-$C$2),60000)+ROW()/1000000))</f>
        <v/>
      </c>
    </row>
    <row r="699">
      <c r="G699">
        <f>IF(OR(SETUP!$C$149="",$A$3="",$B$3&lt;&gt;"Equipment"),"","Equipment")</f>
        <v/>
      </c>
      <c r="H699">
        <f>IF($G699="","",SETUP!$C$149)</f>
        <v/>
      </c>
      <c r="I699">
        <f>IF($G699="","",$A$3)</f>
        <v/>
      </c>
      <c r="J699">
        <f>IF($G699="","",IF(COUNTIFS(DOC_TYPE,$I699,DOC_EQP,$H699,DOC_SCOPE,"Equipment",DOC_ACTIVE,1)+COUNTIFS(DOC_TYPE,$I699,DOC_SYS,SETUP!$B$149,DOC_SCOPE,"System",DOC_ACTIVE,1)+COUNTIFS(DOC_TYPE,$I699,DOC_SCOPE,"All",DOC_ACTIVE,1)&gt;0,"",IFERROR(IF($E$3&lt;&gt;"",$E$3-$C$3,SETUP!$D$149-$C$3),60000)+ROW()/1000000))</f>
        <v/>
      </c>
    </row>
    <row r="700">
      <c r="G700">
        <f>IF(OR(SETUP!$C$149="",$A$4="",$B$4&lt;&gt;"Equipment"),"","Equipment")</f>
        <v/>
      </c>
      <c r="H700">
        <f>IF($G700="","",SETUP!$C$149)</f>
        <v/>
      </c>
      <c r="I700">
        <f>IF($G700="","",$A$4)</f>
        <v/>
      </c>
      <c r="J700">
        <f>IF($G700="","",IF(COUNTIFS(DOC_TYPE,$I700,DOC_EQP,$H700,DOC_SCOPE,"Equipment",DOC_ACTIVE,1)+COUNTIFS(DOC_TYPE,$I700,DOC_SYS,SETUP!$B$149,DOC_SCOPE,"System",DOC_ACTIVE,1)+COUNTIFS(DOC_TYPE,$I700,DOC_SCOPE,"All",DOC_ACTIVE,1)&gt;0,"",IFERROR(IF($E$4&lt;&gt;"",$E$4-$C$4,SETUP!$D$149-$C$4),60000)+ROW()/1000000))</f>
        <v/>
      </c>
    </row>
    <row r="701">
      <c r="G701">
        <f>IF(OR(SETUP!$C$149="",$A$5="",$B$5&lt;&gt;"Equipment"),"","Equipment")</f>
        <v/>
      </c>
      <c r="H701">
        <f>IF($G701="","",SETUP!$C$149)</f>
        <v/>
      </c>
      <c r="I701">
        <f>IF($G701="","",$A$5)</f>
        <v/>
      </c>
      <c r="J701">
        <f>IF($G701="","",IF(COUNTIFS(DOC_TYPE,$I701,DOC_EQP,$H701,DOC_SCOPE,"Equipment",DOC_ACTIVE,1)+COUNTIFS(DOC_TYPE,$I701,DOC_SYS,SETUP!$B$149,DOC_SCOPE,"System",DOC_ACTIVE,1)+COUNTIFS(DOC_TYPE,$I701,DOC_SCOPE,"All",DOC_ACTIVE,1)&gt;0,"",IFERROR(IF($E$5&lt;&gt;"",$E$5-$C$5,SETUP!$D$149-$C$5),60000)+ROW()/1000000))</f>
        <v/>
      </c>
    </row>
    <row r="702">
      <c r="G702">
        <f>IF(OR(SETUP!$C$149="",$A$6="",$B$6&lt;&gt;"Equipment"),"","Equipment")</f>
        <v/>
      </c>
      <c r="H702">
        <f>IF($G702="","",SETUP!$C$149)</f>
        <v/>
      </c>
      <c r="I702">
        <f>IF($G702="","",$A$6)</f>
        <v/>
      </c>
      <c r="J702">
        <f>IF($G702="","",IF(COUNTIFS(DOC_TYPE,$I702,DOC_EQP,$H702,DOC_SCOPE,"Equipment",DOC_ACTIVE,1)+COUNTIFS(DOC_TYPE,$I702,DOC_SYS,SETUP!$B$149,DOC_SCOPE,"System",DOC_ACTIVE,1)+COUNTIFS(DOC_TYPE,$I702,DOC_SCOPE,"All",DOC_ACTIVE,1)&gt;0,"",IFERROR(IF($E$6&lt;&gt;"",$E$6-$C$6,SETUP!$D$149-$C$6),60000)+ROW()/1000000))</f>
        <v/>
      </c>
    </row>
    <row r="703">
      <c r="G703">
        <f>IF(OR(SETUP!$C$149="",$A$7="",$B$7&lt;&gt;"Equipment"),"","Equipment")</f>
        <v/>
      </c>
      <c r="H703">
        <f>IF($G703="","",SETUP!$C$149)</f>
        <v/>
      </c>
      <c r="I703">
        <f>IF($G703="","",$A$7)</f>
        <v/>
      </c>
      <c r="J703">
        <f>IF($G703="","",IF(COUNTIFS(DOC_TYPE,$I703,DOC_EQP,$H703,DOC_SCOPE,"Equipment",DOC_ACTIVE,1)+COUNTIFS(DOC_TYPE,$I703,DOC_SYS,SETUP!$B$149,DOC_SCOPE,"System",DOC_ACTIVE,1)+COUNTIFS(DOC_TYPE,$I703,DOC_SCOPE,"All",DOC_ACTIVE,1)&gt;0,"",IFERROR(IF($E$7&lt;&gt;"",$E$7-$C$7,SETUP!$D$149-$C$7),60000)+ROW()/1000000))</f>
        <v/>
      </c>
    </row>
    <row r="704">
      <c r="G704">
        <f>IF(OR(SETUP!$C$149="",$A$8="",$B$8&lt;&gt;"Equipment"),"","Equipment")</f>
        <v/>
      </c>
      <c r="H704">
        <f>IF($G704="","",SETUP!$C$149)</f>
        <v/>
      </c>
      <c r="I704">
        <f>IF($G704="","",$A$8)</f>
        <v/>
      </c>
      <c r="J704">
        <f>IF($G704="","",IF(COUNTIFS(DOC_TYPE,$I704,DOC_EQP,$H704,DOC_SCOPE,"Equipment",DOC_ACTIVE,1)+COUNTIFS(DOC_TYPE,$I704,DOC_SYS,SETUP!$B$149,DOC_SCOPE,"System",DOC_ACTIVE,1)+COUNTIFS(DOC_TYPE,$I704,DOC_SCOPE,"All",DOC_ACTIVE,1)&gt;0,"",IFERROR(IF($E$8&lt;&gt;"",$E$8-$C$8,SETUP!$D$149-$C$8),60000)+ROW()/1000000))</f>
        <v/>
      </c>
    </row>
    <row r="705">
      <c r="G705">
        <f>IF(OR(SETUP!$C$149="",$A$9="",$B$9&lt;&gt;"Equipment"),"","Equipment")</f>
        <v/>
      </c>
      <c r="H705">
        <f>IF($G705="","",SETUP!$C$149)</f>
        <v/>
      </c>
      <c r="I705">
        <f>IF($G705="","",$A$9)</f>
        <v/>
      </c>
      <c r="J705">
        <f>IF($G705="","",IF(COUNTIFS(DOC_TYPE,$I705,DOC_EQP,$H705,DOC_SCOPE,"Equipment",DOC_ACTIVE,1)+COUNTIFS(DOC_TYPE,$I705,DOC_SYS,SETUP!$B$149,DOC_SCOPE,"System",DOC_ACTIVE,1)+COUNTIFS(DOC_TYPE,$I705,DOC_SCOPE,"All",DOC_ACTIVE,1)&gt;0,"",IFERROR(IF($E$9&lt;&gt;"",$E$9-$C$9,SETUP!$D$149-$C$9),60000)+ROW()/1000000))</f>
        <v/>
      </c>
    </row>
    <row r="706">
      <c r="G706">
        <f>IF(OR(SETUP!$C$149="",$A$10="",$B$10&lt;&gt;"Equipment"),"","Equipment")</f>
        <v/>
      </c>
      <c r="H706">
        <f>IF($G706="","",SETUP!$C$149)</f>
        <v/>
      </c>
      <c r="I706">
        <f>IF($G706="","",$A$10)</f>
        <v/>
      </c>
      <c r="J706">
        <f>IF($G706="","",IF(COUNTIFS(DOC_TYPE,$I706,DOC_EQP,$H706,DOC_SCOPE,"Equipment",DOC_ACTIVE,1)+COUNTIFS(DOC_TYPE,$I706,DOC_SYS,SETUP!$B$149,DOC_SCOPE,"System",DOC_ACTIVE,1)+COUNTIFS(DOC_TYPE,$I706,DOC_SCOPE,"All",DOC_ACTIVE,1)&gt;0,"",IFERROR(IF($E$10&lt;&gt;"",$E$10-$C$10,SETUP!$D$149-$C$10),60000)+ROW()/1000000))</f>
        <v/>
      </c>
    </row>
    <row r="707">
      <c r="G707">
        <f>IF(OR(SETUP!$C$149="",$A$11="",$B$11&lt;&gt;"Equipment"),"","Equipment")</f>
        <v/>
      </c>
      <c r="H707">
        <f>IF($G707="","",SETUP!$C$149)</f>
        <v/>
      </c>
      <c r="I707">
        <f>IF($G707="","",$A$11)</f>
        <v/>
      </c>
      <c r="J707">
        <f>IF($G707="","",IF(COUNTIFS(DOC_TYPE,$I707,DOC_EQP,$H707,DOC_SCOPE,"Equipment",DOC_ACTIVE,1)+COUNTIFS(DOC_TYPE,$I707,DOC_SYS,SETUP!$B$149,DOC_SCOPE,"System",DOC_ACTIVE,1)+COUNTIFS(DOC_TYPE,$I707,DOC_SCOPE,"All",DOC_ACTIVE,1)&gt;0,"",IFERROR(IF($E$11&lt;&gt;"",$E$11-$C$11,SETUP!$D$149-$C$11),60000)+ROW()/1000000))</f>
        <v/>
      </c>
    </row>
    <row r="708">
      <c r="G708">
        <f>IF(OR(SETUP!$C$149="",$A$12="",$B$12&lt;&gt;"Equipment"),"","Equipment")</f>
        <v/>
      </c>
      <c r="H708">
        <f>IF($G708="","",SETUP!$C$149)</f>
        <v/>
      </c>
      <c r="I708">
        <f>IF($G708="","",$A$12)</f>
        <v/>
      </c>
      <c r="J708">
        <f>IF($G708="","",IF(COUNTIFS(DOC_TYPE,$I708,DOC_EQP,$H708,DOC_SCOPE,"Equipment",DOC_ACTIVE,1)+COUNTIFS(DOC_TYPE,$I708,DOC_SYS,SETUP!$B$149,DOC_SCOPE,"System",DOC_ACTIVE,1)+COUNTIFS(DOC_TYPE,$I708,DOC_SCOPE,"All",DOC_ACTIVE,1)&gt;0,"",IFERROR(IF($E$12&lt;&gt;"",$E$12-$C$12,SETUP!$D$149-$C$12),60000)+ROW()/1000000))</f>
        <v/>
      </c>
    </row>
    <row r="709">
      <c r="G709">
        <f>IF(OR(SETUP!$C$149="",$A$13="",$B$13&lt;&gt;"Equipment"),"","Equipment")</f>
        <v/>
      </c>
      <c r="H709">
        <f>IF($G709="","",SETUP!$C$149)</f>
        <v/>
      </c>
      <c r="I709">
        <f>IF($G709="","",$A$13)</f>
        <v/>
      </c>
      <c r="J709">
        <f>IF($G709="","",IF(COUNTIFS(DOC_TYPE,$I709,DOC_EQP,$H709,DOC_SCOPE,"Equipment",DOC_ACTIVE,1)+COUNTIFS(DOC_TYPE,$I709,DOC_SYS,SETUP!$B$149,DOC_SCOPE,"System",DOC_ACTIVE,1)+COUNTIFS(DOC_TYPE,$I709,DOC_SCOPE,"All",DOC_ACTIVE,1)&gt;0,"",IFERROR(IF($E$13&lt;&gt;"",$E$13-$C$13,SETUP!$D$149-$C$13),60000)+ROW()/1000000))</f>
        <v/>
      </c>
    </row>
    <row r="710">
      <c r="G710">
        <f>IF(OR(SETUP!$C$150="",$A$2="",$B$2&lt;&gt;"Equipment"),"","Equipment")</f>
        <v/>
      </c>
      <c r="H710">
        <f>IF($G710="","",SETUP!$C$150)</f>
        <v/>
      </c>
      <c r="I710">
        <f>IF($G710="","",$A$2)</f>
        <v/>
      </c>
      <c r="J710">
        <f>IF($G710="","",IF(COUNTIFS(DOC_TYPE,$I710,DOC_EQP,$H710,DOC_SCOPE,"Equipment",DOC_ACTIVE,1)+COUNTIFS(DOC_TYPE,$I710,DOC_SYS,SETUP!$B$150,DOC_SCOPE,"System",DOC_ACTIVE,1)+COUNTIFS(DOC_TYPE,$I710,DOC_SCOPE,"All",DOC_ACTIVE,1)&gt;0,"",IFERROR(IF($E$2&lt;&gt;"",$E$2-$C$2,SETUP!$D$150-$C$2),60000)+ROW()/1000000))</f>
        <v/>
      </c>
    </row>
    <row r="711">
      <c r="G711">
        <f>IF(OR(SETUP!$C$150="",$A$3="",$B$3&lt;&gt;"Equipment"),"","Equipment")</f>
        <v/>
      </c>
      <c r="H711">
        <f>IF($G711="","",SETUP!$C$150)</f>
        <v/>
      </c>
      <c r="I711">
        <f>IF($G711="","",$A$3)</f>
        <v/>
      </c>
      <c r="J711">
        <f>IF($G711="","",IF(COUNTIFS(DOC_TYPE,$I711,DOC_EQP,$H711,DOC_SCOPE,"Equipment",DOC_ACTIVE,1)+COUNTIFS(DOC_TYPE,$I711,DOC_SYS,SETUP!$B$150,DOC_SCOPE,"System",DOC_ACTIVE,1)+COUNTIFS(DOC_TYPE,$I711,DOC_SCOPE,"All",DOC_ACTIVE,1)&gt;0,"",IFERROR(IF($E$3&lt;&gt;"",$E$3-$C$3,SETUP!$D$150-$C$3),60000)+ROW()/1000000))</f>
        <v/>
      </c>
    </row>
    <row r="712">
      <c r="G712">
        <f>IF(OR(SETUP!$C$150="",$A$4="",$B$4&lt;&gt;"Equipment"),"","Equipment")</f>
        <v/>
      </c>
      <c r="H712">
        <f>IF($G712="","",SETUP!$C$150)</f>
        <v/>
      </c>
      <c r="I712">
        <f>IF($G712="","",$A$4)</f>
        <v/>
      </c>
      <c r="J712">
        <f>IF($G712="","",IF(COUNTIFS(DOC_TYPE,$I712,DOC_EQP,$H712,DOC_SCOPE,"Equipment",DOC_ACTIVE,1)+COUNTIFS(DOC_TYPE,$I712,DOC_SYS,SETUP!$B$150,DOC_SCOPE,"System",DOC_ACTIVE,1)+COUNTIFS(DOC_TYPE,$I712,DOC_SCOPE,"All",DOC_ACTIVE,1)&gt;0,"",IFERROR(IF($E$4&lt;&gt;"",$E$4-$C$4,SETUP!$D$150-$C$4),60000)+ROW()/1000000))</f>
        <v/>
      </c>
    </row>
    <row r="713">
      <c r="G713">
        <f>IF(OR(SETUP!$C$150="",$A$5="",$B$5&lt;&gt;"Equipment"),"","Equipment")</f>
        <v/>
      </c>
      <c r="H713">
        <f>IF($G713="","",SETUP!$C$150)</f>
        <v/>
      </c>
      <c r="I713">
        <f>IF($G713="","",$A$5)</f>
        <v/>
      </c>
      <c r="J713">
        <f>IF($G713="","",IF(COUNTIFS(DOC_TYPE,$I713,DOC_EQP,$H713,DOC_SCOPE,"Equipment",DOC_ACTIVE,1)+COUNTIFS(DOC_TYPE,$I713,DOC_SYS,SETUP!$B$150,DOC_SCOPE,"System",DOC_ACTIVE,1)+COUNTIFS(DOC_TYPE,$I713,DOC_SCOPE,"All",DOC_ACTIVE,1)&gt;0,"",IFERROR(IF($E$5&lt;&gt;"",$E$5-$C$5,SETUP!$D$150-$C$5),60000)+ROW()/1000000))</f>
        <v/>
      </c>
    </row>
    <row r="714">
      <c r="G714">
        <f>IF(OR(SETUP!$C$150="",$A$6="",$B$6&lt;&gt;"Equipment"),"","Equipment")</f>
        <v/>
      </c>
      <c r="H714">
        <f>IF($G714="","",SETUP!$C$150)</f>
        <v/>
      </c>
      <c r="I714">
        <f>IF($G714="","",$A$6)</f>
        <v/>
      </c>
      <c r="J714">
        <f>IF($G714="","",IF(COUNTIFS(DOC_TYPE,$I714,DOC_EQP,$H714,DOC_SCOPE,"Equipment",DOC_ACTIVE,1)+COUNTIFS(DOC_TYPE,$I714,DOC_SYS,SETUP!$B$150,DOC_SCOPE,"System",DOC_ACTIVE,1)+COUNTIFS(DOC_TYPE,$I714,DOC_SCOPE,"All",DOC_ACTIVE,1)&gt;0,"",IFERROR(IF($E$6&lt;&gt;"",$E$6-$C$6,SETUP!$D$150-$C$6),60000)+ROW()/1000000))</f>
        <v/>
      </c>
    </row>
    <row r="715">
      <c r="G715">
        <f>IF(OR(SETUP!$C$150="",$A$7="",$B$7&lt;&gt;"Equipment"),"","Equipment")</f>
        <v/>
      </c>
      <c r="H715">
        <f>IF($G715="","",SETUP!$C$150)</f>
        <v/>
      </c>
      <c r="I715">
        <f>IF($G715="","",$A$7)</f>
        <v/>
      </c>
      <c r="J715">
        <f>IF($G715="","",IF(COUNTIFS(DOC_TYPE,$I715,DOC_EQP,$H715,DOC_SCOPE,"Equipment",DOC_ACTIVE,1)+COUNTIFS(DOC_TYPE,$I715,DOC_SYS,SETUP!$B$150,DOC_SCOPE,"System",DOC_ACTIVE,1)+COUNTIFS(DOC_TYPE,$I715,DOC_SCOPE,"All",DOC_ACTIVE,1)&gt;0,"",IFERROR(IF($E$7&lt;&gt;"",$E$7-$C$7,SETUP!$D$150-$C$7),60000)+ROW()/1000000))</f>
        <v/>
      </c>
    </row>
    <row r="716">
      <c r="G716">
        <f>IF(OR(SETUP!$C$150="",$A$8="",$B$8&lt;&gt;"Equipment"),"","Equipment")</f>
        <v/>
      </c>
      <c r="H716">
        <f>IF($G716="","",SETUP!$C$150)</f>
        <v/>
      </c>
      <c r="I716">
        <f>IF($G716="","",$A$8)</f>
        <v/>
      </c>
      <c r="J716">
        <f>IF($G716="","",IF(COUNTIFS(DOC_TYPE,$I716,DOC_EQP,$H716,DOC_SCOPE,"Equipment",DOC_ACTIVE,1)+COUNTIFS(DOC_TYPE,$I716,DOC_SYS,SETUP!$B$150,DOC_SCOPE,"System",DOC_ACTIVE,1)+COUNTIFS(DOC_TYPE,$I716,DOC_SCOPE,"All",DOC_ACTIVE,1)&gt;0,"",IFERROR(IF($E$8&lt;&gt;"",$E$8-$C$8,SETUP!$D$150-$C$8),60000)+ROW()/1000000))</f>
        <v/>
      </c>
    </row>
    <row r="717">
      <c r="G717">
        <f>IF(OR(SETUP!$C$150="",$A$9="",$B$9&lt;&gt;"Equipment"),"","Equipment")</f>
        <v/>
      </c>
      <c r="H717">
        <f>IF($G717="","",SETUP!$C$150)</f>
        <v/>
      </c>
      <c r="I717">
        <f>IF($G717="","",$A$9)</f>
        <v/>
      </c>
      <c r="J717">
        <f>IF($G717="","",IF(COUNTIFS(DOC_TYPE,$I717,DOC_EQP,$H717,DOC_SCOPE,"Equipment",DOC_ACTIVE,1)+COUNTIFS(DOC_TYPE,$I717,DOC_SYS,SETUP!$B$150,DOC_SCOPE,"System",DOC_ACTIVE,1)+COUNTIFS(DOC_TYPE,$I717,DOC_SCOPE,"All",DOC_ACTIVE,1)&gt;0,"",IFERROR(IF($E$9&lt;&gt;"",$E$9-$C$9,SETUP!$D$150-$C$9),60000)+ROW()/1000000))</f>
        <v/>
      </c>
    </row>
    <row r="718">
      <c r="G718">
        <f>IF(OR(SETUP!$C$150="",$A$10="",$B$10&lt;&gt;"Equipment"),"","Equipment")</f>
        <v/>
      </c>
      <c r="H718">
        <f>IF($G718="","",SETUP!$C$150)</f>
        <v/>
      </c>
      <c r="I718">
        <f>IF($G718="","",$A$10)</f>
        <v/>
      </c>
      <c r="J718">
        <f>IF($G718="","",IF(COUNTIFS(DOC_TYPE,$I718,DOC_EQP,$H718,DOC_SCOPE,"Equipment",DOC_ACTIVE,1)+COUNTIFS(DOC_TYPE,$I718,DOC_SYS,SETUP!$B$150,DOC_SCOPE,"System",DOC_ACTIVE,1)+COUNTIFS(DOC_TYPE,$I718,DOC_SCOPE,"All",DOC_ACTIVE,1)&gt;0,"",IFERROR(IF($E$10&lt;&gt;"",$E$10-$C$10,SETUP!$D$150-$C$10),60000)+ROW()/1000000))</f>
        <v/>
      </c>
    </row>
    <row r="719">
      <c r="G719">
        <f>IF(OR(SETUP!$C$150="",$A$11="",$B$11&lt;&gt;"Equipment"),"","Equipment")</f>
        <v/>
      </c>
      <c r="H719">
        <f>IF($G719="","",SETUP!$C$150)</f>
        <v/>
      </c>
      <c r="I719">
        <f>IF($G719="","",$A$11)</f>
        <v/>
      </c>
      <c r="J719">
        <f>IF($G719="","",IF(COUNTIFS(DOC_TYPE,$I719,DOC_EQP,$H719,DOC_SCOPE,"Equipment",DOC_ACTIVE,1)+COUNTIFS(DOC_TYPE,$I719,DOC_SYS,SETUP!$B$150,DOC_SCOPE,"System",DOC_ACTIVE,1)+COUNTIFS(DOC_TYPE,$I719,DOC_SCOPE,"All",DOC_ACTIVE,1)&gt;0,"",IFERROR(IF($E$11&lt;&gt;"",$E$11-$C$11,SETUP!$D$150-$C$11),60000)+ROW()/1000000))</f>
        <v/>
      </c>
    </row>
    <row r="720">
      <c r="G720">
        <f>IF(OR(SETUP!$C$150="",$A$12="",$B$12&lt;&gt;"Equipment"),"","Equipment")</f>
        <v/>
      </c>
      <c r="H720">
        <f>IF($G720="","",SETUP!$C$150)</f>
        <v/>
      </c>
      <c r="I720">
        <f>IF($G720="","",$A$12)</f>
        <v/>
      </c>
      <c r="J720">
        <f>IF($G720="","",IF(COUNTIFS(DOC_TYPE,$I720,DOC_EQP,$H720,DOC_SCOPE,"Equipment",DOC_ACTIVE,1)+COUNTIFS(DOC_TYPE,$I720,DOC_SYS,SETUP!$B$150,DOC_SCOPE,"System",DOC_ACTIVE,1)+COUNTIFS(DOC_TYPE,$I720,DOC_SCOPE,"All",DOC_ACTIVE,1)&gt;0,"",IFERROR(IF($E$12&lt;&gt;"",$E$12-$C$12,SETUP!$D$150-$C$12),60000)+ROW()/1000000))</f>
        <v/>
      </c>
    </row>
    <row r="721">
      <c r="G721">
        <f>IF(OR(SETUP!$C$150="",$A$13="",$B$13&lt;&gt;"Equipment"),"","Equipment")</f>
        <v/>
      </c>
      <c r="H721">
        <f>IF($G721="","",SETUP!$C$150)</f>
        <v/>
      </c>
      <c r="I721">
        <f>IF($G721="","",$A$13)</f>
        <v/>
      </c>
      <c r="J721">
        <f>IF($G721="","",IF(COUNTIFS(DOC_TYPE,$I721,DOC_EQP,$H721,DOC_SCOPE,"Equipment",DOC_ACTIVE,1)+COUNTIFS(DOC_TYPE,$I721,DOC_SYS,SETUP!$B$150,DOC_SCOPE,"System",DOC_ACTIVE,1)+COUNTIFS(DOC_TYPE,$I721,DOC_SCOPE,"All",DOC_ACTIVE,1)&gt;0,"",IFERROR(IF($E$13&lt;&gt;"",$E$13-$C$13,SETUP!$D$150-$C$13),60000)+ROW()/1000000))</f>
        <v/>
      </c>
    </row>
    <row r="722">
      <c r="G722">
        <f>IF(OR(SETUP!$C$151="",$A$2="",$B$2&lt;&gt;"Equipment"),"","Equipment")</f>
        <v/>
      </c>
      <c r="H722">
        <f>IF($G722="","",SETUP!$C$151)</f>
        <v/>
      </c>
      <c r="I722">
        <f>IF($G722="","",$A$2)</f>
        <v/>
      </c>
      <c r="J722">
        <f>IF($G722="","",IF(COUNTIFS(DOC_TYPE,$I722,DOC_EQP,$H722,DOC_SCOPE,"Equipment",DOC_ACTIVE,1)+COUNTIFS(DOC_TYPE,$I722,DOC_SYS,SETUP!$B$151,DOC_SCOPE,"System",DOC_ACTIVE,1)+COUNTIFS(DOC_TYPE,$I722,DOC_SCOPE,"All",DOC_ACTIVE,1)&gt;0,"",IFERROR(IF($E$2&lt;&gt;"",$E$2-$C$2,SETUP!$D$151-$C$2),60000)+ROW()/1000000))</f>
        <v/>
      </c>
    </row>
    <row r="723">
      <c r="G723">
        <f>IF(OR(SETUP!$C$151="",$A$3="",$B$3&lt;&gt;"Equipment"),"","Equipment")</f>
        <v/>
      </c>
      <c r="H723">
        <f>IF($G723="","",SETUP!$C$151)</f>
        <v/>
      </c>
      <c r="I723">
        <f>IF($G723="","",$A$3)</f>
        <v/>
      </c>
      <c r="J723">
        <f>IF($G723="","",IF(COUNTIFS(DOC_TYPE,$I723,DOC_EQP,$H723,DOC_SCOPE,"Equipment",DOC_ACTIVE,1)+COUNTIFS(DOC_TYPE,$I723,DOC_SYS,SETUP!$B$151,DOC_SCOPE,"System",DOC_ACTIVE,1)+COUNTIFS(DOC_TYPE,$I723,DOC_SCOPE,"All",DOC_ACTIVE,1)&gt;0,"",IFERROR(IF($E$3&lt;&gt;"",$E$3-$C$3,SETUP!$D$151-$C$3),60000)+ROW()/1000000))</f>
        <v/>
      </c>
    </row>
    <row r="724">
      <c r="G724">
        <f>IF(OR(SETUP!$C$151="",$A$4="",$B$4&lt;&gt;"Equipment"),"","Equipment")</f>
        <v/>
      </c>
      <c r="H724">
        <f>IF($G724="","",SETUP!$C$151)</f>
        <v/>
      </c>
      <c r="I724">
        <f>IF($G724="","",$A$4)</f>
        <v/>
      </c>
      <c r="J724">
        <f>IF($G724="","",IF(COUNTIFS(DOC_TYPE,$I724,DOC_EQP,$H724,DOC_SCOPE,"Equipment",DOC_ACTIVE,1)+COUNTIFS(DOC_TYPE,$I724,DOC_SYS,SETUP!$B$151,DOC_SCOPE,"System",DOC_ACTIVE,1)+COUNTIFS(DOC_TYPE,$I724,DOC_SCOPE,"All",DOC_ACTIVE,1)&gt;0,"",IFERROR(IF($E$4&lt;&gt;"",$E$4-$C$4,SETUP!$D$151-$C$4),60000)+ROW()/1000000))</f>
        <v/>
      </c>
    </row>
    <row r="725">
      <c r="G725">
        <f>IF(OR(SETUP!$C$151="",$A$5="",$B$5&lt;&gt;"Equipment"),"","Equipment")</f>
        <v/>
      </c>
      <c r="H725">
        <f>IF($G725="","",SETUP!$C$151)</f>
        <v/>
      </c>
      <c r="I725">
        <f>IF($G725="","",$A$5)</f>
        <v/>
      </c>
      <c r="J725">
        <f>IF($G725="","",IF(COUNTIFS(DOC_TYPE,$I725,DOC_EQP,$H725,DOC_SCOPE,"Equipment",DOC_ACTIVE,1)+COUNTIFS(DOC_TYPE,$I725,DOC_SYS,SETUP!$B$151,DOC_SCOPE,"System",DOC_ACTIVE,1)+COUNTIFS(DOC_TYPE,$I725,DOC_SCOPE,"All",DOC_ACTIVE,1)&gt;0,"",IFERROR(IF($E$5&lt;&gt;"",$E$5-$C$5,SETUP!$D$151-$C$5),60000)+ROW()/1000000))</f>
        <v/>
      </c>
    </row>
    <row r="726">
      <c r="G726">
        <f>IF(OR(SETUP!$C$151="",$A$6="",$B$6&lt;&gt;"Equipment"),"","Equipment")</f>
        <v/>
      </c>
      <c r="H726">
        <f>IF($G726="","",SETUP!$C$151)</f>
        <v/>
      </c>
      <c r="I726">
        <f>IF($G726="","",$A$6)</f>
        <v/>
      </c>
      <c r="J726">
        <f>IF($G726="","",IF(COUNTIFS(DOC_TYPE,$I726,DOC_EQP,$H726,DOC_SCOPE,"Equipment",DOC_ACTIVE,1)+COUNTIFS(DOC_TYPE,$I726,DOC_SYS,SETUP!$B$151,DOC_SCOPE,"System",DOC_ACTIVE,1)+COUNTIFS(DOC_TYPE,$I726,DOC_SCOPE,"All",DOC_ACTIVE,1)&gt;0,"",IFERROR(IF($E$6&lt;&gt;"",$E$6-$C$6,SETUP!$D$151-$C$6),60000)+ROW()/1000000))</f>
        <v/>
      </c>
    </row>
    <row r="727">
      <c r="G727">
        <f>IF(OR(SETUP!$C$151="",$A$7="",$B$7&lt;&gt;"Equipment"),"","Equipment")</f>
        <v/>
      </c>
      <c r="H727">
        <f>IF($G727="","",SETUP!$C$151)</f>
        <v/>
      </c>
      <c r="I727">
        <f>IF($G727="","",$A$7)</f>
        <v/>
      </c>
      <c r="J727">
        <f>IF($G727="","",IF(COUNTIFS(DOC_TYPE,$I727,DOC_EQP,$H727,DOC_SCOPE,"Equipment",DOC_ACTIVE,1)+COUNTIFS(DOC_TYPE,$I727,DOC_SYS,SETUP!$B$151,DOC_SCOPE,"System",DOC_ACTIVE,1)+COUNTIFS(DOC_TYPE,$I727,DOC_SCOPE,"All",DOC_ACTIVE,1)&gt;0,"",IFERROR(IF($E$7&lt;&gt;"",$E$7-$C$7,SETUP!$D$151-$C$7),60000)+ROW()/1000000))</f>
        <v/>
      </c>
    </row>
    <row r="728">
      <c r="G728">
        <f>IF(OR(SETUP!$C$151="",$A$8="",$B$8&lt;&gt;"Equipment"),"","Equipment")</f>
        <v/>
      </c>
      <c r="H728">
        <f>IF($G728="","",SETUP!$C$151)</f>
        <v/>
      </c>
      <c r="I728">
        <f>IF($G728="","",$A$8)</f>
        <v/>
      </c>
      <c r="J728">
        <f>IF($G728="","",IF(COUNTIFS(DOC_TYPE,$I728,DOC_EQP,$H728,DOC_SCOPE,"Equipment",DOC_ACTIVE,1)+COUNTIFS(DOC_TYPE,$I728,DOC_SYS,SETUP!$B$151,DOC_SCOPE,"System",DOC_ACTIVE,1)+COUNTIFS(DOC_TYPE,$I728,DOC_SCOPE,"All",DOC_ACTIVE,1)&gt;0,"",IFERROR(IF($E$8&lt;&gt;"",$E$8-$C$8,SETUP!$D$151-$C$8),60000)+ROW()/1000000))</f>
        <v/>
      </c>
    </row>
    <row r="729">
      <c r="G729">
        <f>IF(OR(SETUP!$C$151="",$A$9="",$B$9&lt;&gt;"Equipment"),"","Equipment")</f>
        <v/>
      </c>
      <c r="H729">
        <f>IF($G729="","",SETUP!$C$151)</f>
        <v/>
      </c>
      <c r="I729">
        <f>IF($G729="","",$A$9)</f>
        <v/>
      </c>
      <c r="J729">
        <f>IF($G729="","",IF(COUNTIFS(DOC_TYPE,$I729,DOC_EQP,$H729,DOC_SCOPE,"Equipment",DOC_ACTIVE,1)+COUNTIFS(DOC_TYPE,$I729,DOC_SYS,SETUP!$B$151,DOC_SCOPE,"System",DOC_ACTIVE,1)+COUNTIFS(DOC_TYPE,$I729,DOC_SCOPE,"All",DOC_ACTIVE,1)&gt;0,"",IFERROR(IF($E$9&lt;&gt;"",$E$9-$C$9,SETUP!$D$151-$C$9),60000)+ROW()/1000000))</f>
        <v/>
      </c>
    </row>
    <row r="730">
      <c r="G730">
        <f>IF(OR(SETUP!$C$151="",$A$10="",$B$10&lt;&gt;"Equipment"),"","Equipment")</f>
        <v/>
      </c>
      <c r="H730">
        <f>IF($G730="","",SETUP!$C$151)</f>
        <v/>
      </c>
      <c r="I730">
        <f>IF($G730="","",$A$10)</f>
        <v/>
      </c>
      <c r="J730">
        <f>IF($G730="","",IF(COUNTIFS(DOC_TYPE,$I730,DOC_EQP,$H730,DOC_SCOPE,"Equipment",DOC_ACTIVE,1)+COUNTIFS(DOC_TYPE,$I730,DOC_SYS,SETUP!$B$151,DOC_SCOPE,"System",DOC_ACTIVE,1)+COUNTIFS(DOC_TYPE,$I730,DOC_SCOPE,"All",DOC_ACTIVE,1)&gt;0,"",IFERROR(IF($E$10&lt;&gt;"",$E$10-$C$10,SETUP!$D$151-$C$10),60000)+ROW()/1000000))</f>
        <v/>
      </c>
    </row>
    <row r="731">
      <c r="G731">
        <f>IF(OR(SETUP!$C$151="",$A$11="",$B$11&lt;&gt;"Equipment"),"","Equipment")</f>
        <v/>
      </c>
      <c r="H731">
        <f>IF($G731="","",SETUP!$C$151)</f>
        <v/>
      </c>
      <c r="I731">
        <f>IF($G731="","",$A$11)</f>
        <v/>
      </c>
      <c r="J731">
        <f>IF($G731="","",IF(COUNTIFS(DOC_TYPE,$I731,DOC_EQP,$H731,DOC_SCOPE,"Equipment",DOC_ACTIVE,1)+COUNTIFS(DOC_TYPE,$I731,DOC_SYS,SETUP!$B$151,DOC_SCOPE,"System",DOC_ACTIVE,1)+COUNTIFS(DOC_TYPE,$I731,DOC_SCOPE,"All",DOC_ACTIVE,1)&gt;0,"",IFERROR(IF($E$11&lt;&gt;"",$E$11-$C$11,SETUP!$D$151-$C$11),60000)+ROW()/1000000))</f>
        <v/>
      </c>
    </row>
    <row r="732">
      <c r="G732">
        <f>IF(OR(SETUP!$C$151="",$A$12="",$B$12&lt;&gt;"Equipment"),"","Equipment")</f>
        <v/>
      </c>
      <c r="H732">
        <f>IF($G732="","",SETUP!$C$151)</f>
        <v/>
      </c>
      <c r="I732">
        <f>IF($G732="","",$A$12)</f>
        <v/>
      </c>
      <c r="J732">
        <f>IF($G732="","",IF(COUNTIFS(DOC_TYPE,$I732,DOC_EQP,$H732,DOC_SCOPE,"Equipment",DOC_ACTIVE,1)+COUNTIFS(DOC_TYPE,$I732,DOC_SYS,SETUP!$B$151,DOC_SCOPE,"System",DOC_ACTIVE,1)+COUNTIFS(DOC_TYPE,$I732,DOC_SCOPE,"All",DOC_ACTIVE,1)&gt;0,"",IFERROR(IF($E$12&lt;&gt;"",$E$12-$C$12,SETUP!$D$151-$C$12),60000)+ROW()/1000000))</f>
        <v/>
      </c>
    </row>
    <row r="733">
      <c r="G733">
        <f>IF(OR(SETUP!$C$151="",$A$13="",$B$13&lt;&gt;"Equipment"),"","Equipment")</f>
        <v/>
      </c>
      <c r="H733">
        <f>IF($G733="","",SETUP!$C$151)</f>
        <v/>
      </c>
      <c r="I733">
        <f>IF($G733="","",$A$13)</f>
        <v/>
      </c>
      <c r="J733">
        <f>IF($G733="","",IF(COUNTIFS(DOC_TYPE,$I733,DOC_EQP,$H733,DOC_SCOPE,"Equipment",DOC_ACTIVE,1)+COUNTIFS(DOC_TYPE,$I733,DOC_SYS,SETUP!$B$151,DOC_SCOPE,"System",DOC_ACTIVE,1)+COUNTIFS(DOC_TYPE,$I733,DOC_SCOPE,"All",DOC_ACTIVE,1)&gt;0,"",IFERROR(IF($E$13&lt;&gt;"",$E$13-$C$13,SETUP!$D$151-$C$13),60000)+ROW()/1000000))</f>
        <v/>
      </c>
    </row>
    <row r="734">
      <c r="G734">
        <f>IF(OR(SETUP!$C$152="",$A$2="",$B$2&lt;&gt;"Equipment"),"","Equipment")</f>
        <v/>
      </c>
      <c r="H734">
        <f>IF($G734="","",SETUP!$C$152)</f>
        <v/>
      </c>
      <c r="I734">
        <f>IF($G734="","",$A$2)</f>
        <v/>
      </c>
      <c r="J734">
        <f>IF($G734="","",IF(COUNTIFS(DOC_TYPE,$I734,DOC_EQP,$H734,DOC_SCOPE,"Equipment",DOC_ACTIVE,1)+COUNTIFS(DOC_TYPE,$I734,DOC_SYS,SETUP!$B$152,DOC_SCOPE,"System",DOC_ACTIVE,1)+COUNTIFS(DOC_TYPE,$I734,DOC_SCOPE,"All",DOC_ACTIVE,1)&gt;0,"",IFERROR(IF($E$2&lt;&gt;"",$E$2-$C$2,SETUP!$D$152-$C$2),60000)+ROW()/1000000))</f>
        <v/>
      </c>
    </row>
    <row r="735">
      <c r="G735">
        <f>IF(OR(SETUP!$C$152="",$A$3="",$B$3&lt;&gt;"Equipment"),"","Equipment")</f>
        <v/>
      </c>
      <c r="H735">
        <f>IF($G735="","",SETUP!$C$152)</f>
        <v/>
      </c>
      <c r="I735">
        <f>IF($G735="","",$A$3)</f>
        <v/>
      </c>
      <c r="J735">
        <f>IF($G735="","",IF(COUNTIFS(DOC_TYPE,$I735,DOC_EQP,$H735,DOC_SCOPE,"Equipment",DOC_ACTIVE,1)+COUNTIFS(DOC_TYPE,$I735,DOC_SYS,SETUP!$B$152,DOC_SCOPE,"System",DOC_ACTIVE,1)+COUNTIFS(DOC_TYPE,$I735,DOC_SCOPE,"All",DOC_ACTIVE,1)&gt;0,"",IFERROR(IF($E$3&lt;&gt;"",$E$3-$C$3,SETUP!$D$152-$C$3),60000)+ROW()/1000000))</f>
        <v/>
      </c>
    </row>
    <row r="736">
      <c r="G736">
        <f>IF(OR(SETUP!$C$152="",$A$4="",$B$4&lt;&gt;"Equipment"),"","Equipment")</f>
        <v/>
      </c>
      <c r="H736">
        <f>IF($G736="","",SETUP!$C$152)</f>
        <v/>
      </c>
      <c r="I736">
        <f>IF($G736="","",$A$4)</f>
        <v/>
      </c>
      <c r="J736">
        <f>IF($G736="","",IF(COUNTIFS(DOC_TYPE,$I736,DOC_EQP,$H736,DOC_SCOPE,"Equipment",DOC_ACTIVE,1)+COUNTIFS(DOC_TYPE,$I736,DOC_SYS,SETUP!$B$152,DOC_SCOPE,"System",DOC_ACTIVE,1)+COUNTIFS(DOC_TYPE,$I736,DOC_SCOPE,"All",DOC_ACTIVE,1)&gt;0,"",IFERROR(IF($E$4&lt;&gt;"",$E$4-$C$4,SETUP!$D$152-$C$4),60000)+ROW()/1000000))</f>
        <v/>
      </c>
    </row>
    <row r="737">
      <c r="G737">
        <f>IF(OR(SETUP!$C$152="",$A$5="",$B$5&lt;&gt;"Equipment"),"","Equipment")</f>
        <v/>
      </c>
      <c r="H737">
        <f>IF($G737="","",SETUP!$C$152)</f>
        <v/>
      </c>
      <c r="I737">
        <f>IF($G737="","",$A$5)</f>
        <v/>
      </c>
      <c r="J737">
        <f>IF($G737="","",IF(COUNTIFS(DOC_TYPE,$I737,DOC_EQP,$H737,DOC_SCOPE,"Equipment",DOC_ACTIVE,1)+COUNTIFS(DOC_TYPE,$I737,DOC_SYS,SETUP!$B$152,DOC_SCOPE,"System",DOC_ACTIVE,1)+COUNTIFS(DOC_TYPE,$I737,DOC_SCOPE,"All",DOC_ACTIVE,1)&gt;0,"",IFERROR(IF($E$5&lt;&gt;"",$E$5-$C$5,SETUP!$D$152-$C$5),60000)+ROW()/1000000))</f>
        <v/>
      </c>
    </row>
    <row r="738">
      <c r="G738">
        <f>IF(OR(SETUP!$C$152="",$A$6="",$B$6&lt;&gt;"Equipment"),"","Equipment")</f>
        <v/>
      </c>
      <c r="H738">
        <f>IF($G738="","",SETUP!$C$152)</f>
        <v/>
      </c>
      <c r="I738">
        <f>IF($G738="","",$A$6)</f>
        <v/>
      </c>
      <c r="J738">
        <f>IF($G738="","",IF(COUNTIFS(DOC_TYPE,$I738,DOC_EQP,$H738,DOC_SCOPE,"Equipment",DOC_ACTIVE,1)+COUNTIFS(DOC_TYPE,$I738,DOC_SYS,SETUP!$B$152,DOC_SCOPE,"System",DOC_ACTIVE,1)+COUNTIFS(DOC_TYPE,$I738,DOC_SCOPE,"All",DOC_ACTIVE,1)&gt;0,"",IFERROR(IF($E$6&lt;&gt;"",$E$6-$C$6,SETUP!$D$152-$C$6),60000)+ROW()/1000000))</f>
        <v/>
      </c>
    </row>
    <row r="739">
      <c r="G739">
        <f>IF(OR(SETUP!$C$152="",$A$7="",$B$7&lt;&gt;"Equipment"),"","Equipment")</f>
        <v/>
      </c>
      <c r="H739">
        <f>IF($G739="","",SETUP!$C$152)</f>
        <v/>
      </c>
      <c r="I739">
        <f>IF($G739="","",$A$7)</f>
        <v/>
      </c>
      <c r="J739">
        <f>IF($G739="","",IF(COUNTIFS(DOC_TYPE,$I739,DOC_EQP,$H739,DOC_SCOPE,"Equipment",DOC_ACTIVE,1)+COUNTIFS(DOC_TYPE,$I739,DOC_SYS,SETUP!$B$152,DOC_SCOPE,"System",DOC_ACTIVE,1)+COUNTIFS(DOC_TYPE,$I739,DOC_SCOPE,"All",DOC_ACTIVE,1)&gt;0,"",IFERROR(IF($E$7&lt;&gt;"",$E$7-$C$7,SETUP!$D$152-$C$7),60000)+ROW()/1000000))</f>
        <v/>
      </c>
    </row>
    <row r="740">
      <c r="G740">
        <f>IF(OR(SETUP!$C$152="",$A$8="",$B$8&lt;&gt;"Equipment"),"","Equipment")</f>
        <v/>
      </c>
      <c r="H740">
        <f>IF($G740="","",SETUP!$C$152)</f>
        <v/>
      </c>
      <c r="I740">
        <f>IF($G740="","",$A$8)</f>
        <v/>
      </c>
      <c r="J740">
        <f>IF($G740="","",IF(COUNTIFS(DOC_TYPE,$I740,DOC_EQP,$H740,DOC_SCOPE,"Equipment",DOC_ACTIVE,1)+COUNTIFS(DOC_TYPE,$I740,DOC_SYS,SETUP!$B$152,DOC_SCOPE,"System",DOC_ACTIVE,1)+COUNTIFS(DOC_TYPE,$I740,DOC_SCOPE,"All",DOC_ACTIVE,1)&gt;0,"",IFERROR(IF($E$8&lt;&gt;"",$E$8-$C$8,SETUP!$D$152-$C$8),60000)+ROW()/1000000))</f>
        <v/>
      </c>
    </row>
    <row r="741">
      <c r="G741">
        <f>IF(OR(SETUP!$C$152="",$A$9="",$B$9&lt;&gt;"Equipment"),"","Equipment")</f>
        <v/>
      </c>
      <c r="H741">
        <f>IF($G741="","",SETUP!$C$152)</f>
        <v/>
      </c>
      <c r="I741">
        <f>IF($G741="","",$A$9)</f>
        <v/>
      </c>
      <c r="J741">
        <f>IF($G741="","",IF(COUNTIFS(DOC_TYPE,$I741,DOC_EQP,$H741,DOC_SCOPE,"Equipment",DOC_ACTIVE,1)+COUNTIFS(DOC_TYPE,$I741,DOC_SYS,SETUP!$B$152,DOC_SCOPE,"System",DOC_ACTIVE,1)+COUNTIFS(DOC_TYPE,$I741,DOC_SCOPE,"All",DOC_ACTIVE,1)&gt;0,"",IFERROR(IF($E$9&lt;&gt;"",$E$9-$C$9,SETUP!$D$152-$C$9),60000)+ROW()/1000000))</f>
        <v/>
      </c>
    </row>
    <row r="742">
      <c r="G742">
        <f>IF(OR(SETUP!$C$152="",$A$10="",$B$10&lt;&gt;"Equipment"),"","Equipment")</f>
        <v/>
      </c>
      <c r="H742">
        <f>IF($G742="","",SETUP!$C$152)</f>
        <v/>
      </c>
      <c r="I742">
        <f>IF($G742="","",$A$10)</f>
        <v/>
      </c>
      <c r="J742">
        <f>IF($G742="","",IF(COUNTIFS(DOC_TYPE,$I742,DOC_EQP,$H742,DOC_SCOPE,"Equipment",DOC_ACTIVE,1)+COUNTIFS(DOC_TYPE,$I742,DOC_SYS,SETUP!$B$152,DOC_SCOPE,"System",DOC_ACTIVE,1)+COUNTIFS(DOC_TYPE,$I742,DOC_SCOPE,"All",DOC_ACTIVE,1)&gt;0,"",IFERROR(IF($E$10&lt;&gt;"",$E$10-$C$10,SETUP!$D$152-$C$10),60000)+ROW()/1000000))</f>
        <v/>
      </c>
    </row>
    <row r="743">
      <c r="G743">
        <f>IF(OR(SETUP!$C$152="",$A$11="",$B$11&lt;&gt;"Equipment"),"","Equipment")</f>
        <v/>
      </c>
      <c r="H743">
        <f>IF($G743="","",SETUP!$C$152)</f>
        <v/>
      </c>
      <c r="I743">
        <f>IF($G743="","",$A$11)</f>
        <v/>
      </c>
      <c r="J743">
        <f>IF($G743="","",IF(COUNTIFS(DOC_TYPE,$I743,DOC_EQP,$H743,DOC_SCOPE,"Equipment",DOC_ACTIVE,1)+COUNTIFS(DOC_TYPE,$I743,DOC_SYS,SETUP!$B$152,DOC_SCOPE,"System",DOC_ACTIVE,1)+COUNTIFS(DOC_TYPE,$I743,DOC_SCOPE,"All",DOC_ACTIVE,1)&gt;0,"",IFERROR(IF($E$11&lt;&gt;"",$E$11-$C$11,SETUP!$D$152-$C$11),60000)+ROW()/1000000))</f>
        <v/>
      </c>
    </row>
    <row r="744">
      <c r="G744">
        <f>IF(OR(SETUP!$C$152="",$A$12="",$B$12&lt;&gt;"Equipment"),"","Equipment")</f>
        <v/>
      </c>
      <c r="H744">
        <f>IF($G744="","",SETUP!$C$152)</f>
        <v/>
      </c>
      <c r="I744">
        <f>IF($G744="","",$A$12)</f>
        <v/>
      </c>
      <c r="J744">
        <f>IF($G744="","",IF(COUNTIFS(DOC_TYPE,$I744,DOC_EQP,$H744,DOC_SCOPE,"Equipment",DOC_ACTIVE,1)+COUNTIFS(DOC_TYPE,$I744,DOC_SYS,SETUP!$B$152,DOC_SCOPE,"System",DOC_ACTIVE,1)+COUNTIFS(DOC_TYPE,$I744,DOC_SCOPE,"All",DOC_ACTIVE,1)&gt;0,"",IFERROR(IF($E$12&lt;&gt;"",$E$12-$C$12,SETUP!$D$152-$C$12),60000)+ROW()/1000000))</f>
        <v/>
      </c>
    </row>
    <row r="745">
      <c r="G745">
        <f>IF(OR(SETUP!$C$152="",$A$13="",$B$13&lt;&gt;"Equipment"),"","Equipment")</f>
        <v/>
      </c>
      <c r="H745">
        <f>IF($G745="","",SETUP!$C$152)</f>
        <v/>
      </c>
      <c r="I745">
        <f>IF($G745="","",$A$13)</f>
        <v/>
      </c>
      <c r="J745">
        <f>IF($G745="","",IF(COUNTIFS(DOC_TYPE,$I745,DOC_EQP,$H745,DOC_SCOPE,"Equipment",DOC_ACTIVE,1)+COUNTIFS(DOC_TYPE,$I745,DOC_SYS,SETUP!$B$152,DOC_SCOPE,"System",DOC_ACTIVE,1)+COUNTIFS(DOC_TYPE,$I745,DOC_SCOPE,"All",DOC_ACTIVE,1)&gt;0,"",IFERROR(IF($E$13&lt;&gt;"",$E$13-$C$13,SETUP!$D$152-$C$13),60000)+ROW()/1000000))</f>
        <v/>
      </c>
    </row>
    <row r="746">
      <c r="G746">
        <f>IF(OR(SETUP!$C$153="",$A$2="",$B$2&lt;&gt;"Equipment"),"","Equipment")</f>
        <v/>
      </c>
      <c r="H746">
        <f>IF($G746="","",SETUP!$C$153)</f>
        <v/>
      </c>
      <c r="I746">
        <f>IF($G746="","",$A$2)</f>
        <v/>
      </c>
      <c r="J746">
        <f>IF($G746="","",IF(COUNTIFS(DOC_TYPE,$I746,DOC_EQP,$H746,DOC_SCOPE,"Equipment",DOC_ACTIVE,1)+COUNTIFS(DOC_TYPE,$I746,DOC_SYS,SETUP!$B$153,DOC_SCOPE,"System",DOC_ACTIVE,1)+COUNTIFS(DOC_TYPE,$I746,DOC_SCOPE,"All",DOC_ACTIVE,1)&gt;0,"",IFERROR(IF($E$2&lt;&gt;"",$E$2-$C$2,SETUP!$D$153-$C$2),60000)+ROW()/1000000))</f>
        <v/>
      </c>
    </row>
    <row r="747">
      <c r="G747">
        <f>IF(OR(SETUP!$C$153="",$A$3="",$B$3&lt;&gt;"Equipment"),"","Equipment")</f>
        <v/>
      </c>
      <c r="H747">
        <f>IF($G747="","",SETUP!$C$153)</f>
        <v/>
      </c>
      <c r="I747">
        <f>IF($G747="","",$A$3)</f>
        <v/>
      </c>
      <c r="J747">
        <f>IF($G747="","",IF(COUNTIFS(DOC_TYPE,$I747,DOC_EQP,$H747,DOC_SCOPE,"Equipment",DOC_ACTIVE,1)+COUNTIFS(DOC_TYPE,$I747,DOC_SYS,SETUP!$B$153,DOC_SCOPE,"System",DOC_ACTIVE,1)+COUNTIFS(DOC_TYPE,$I747,DOC_SCOPE,"All",DOC_ACTIVE,1)&gt;0,"",IFERROR(IF($E$3&lt;&gt;"",$E$3-$C$3,SETUP!$D$153-$C$3),60000)+ROW()/1000000))</f>
        <v/>
      </c>
    </row>
    <row r="748">
      <c r="G748">
        <f>IF(OR(SETUP!$C$153="",$A$4="",$B$4&lt;&gt;"Equipment"),"","Equipment")</f>
        <v/>
      </c>
      <c r="H748">
        <f>IF($G748="","",SETUP!$C$153)</f>
        <v/>
      </c>
      <c r="I748">
        <f>IF($G748="","",$A$4)</f>
        <v/>
      </c>
      <c r="J748">
        <f>IF($G748="","",IF(COUNTIFS(DOC_TYPE,$I748,DOC_EQP,$H748,DOC_SCOPE,"Equipment",DOC_ACTIVE,1)+COUNTIFS(DOC_TYPE,$I748,DOC_SYS,SETUP!$B$153,DOC_SCOPE,"System",DOC_ACTIVE,1)+COUNTIFS(DOC_TYPE,$I748,DOC_SCOPE,"All",DOC_ACTIVE,1)&gt;0,"",IFERROR(IF($E$4&lt;&gt;"",$E$4-$C$4,SETUP!$D$153-$C$4),60000)+ROW()/1000000))</f>
        <v/>
      </c>
    </row>
    <row r="749">
      <c r="G749">
        <f>IF(OR(SETUP!$C$153="",$A$5="",$B$5&lt;&gt;"Equipment"),"","Equipment")</f>
        <v/>
      </c>
      <c r="H749">
        <f>IF($G749="","",SETUP!$C$153)</f>
        <v/>
      </c>
      <c r="I749">
        <f>IF($G749="","",$A$5)</f>
        <v/>
      </c>
      <c r="J749">
        <f>IF($G749="","",IF(COUNTIFS(DOC_TYPE,$I749,DOC_EQP,$H749,DOC_SCOPE,"Equipment",DOC_ACTIVE,1)+COUNTIFS(DOC_TYPE,$I749,DOC_SYS,SETUP!$B$153,DOC_SCOPE,"System",DOC_ACTIVE,1)+COUNTIFS(DOC_TYPE,$I749,DOC_SCOPE,"All",DOC_ACTIVE,1)&gt;0,"",IFERROR(IF($E$5&lt;&gt;"",$E$5-$C$5,SETUP!$D$153-$C$5),60000)+ROW()/1000000))</f>
        <v/>
      </c>
    </row>
    <row r="750">
      <c r="G750">
        <f>IF(OR(SETUP!$C$153="",$A$6="",$B$6&lt;&gt;"Equipment"),"","Equipment")</f>
        <v/>
      </c>
      <c r="H750">
        <f>IF($G750="","",SETUP!$C$153)</f>
        <v/>
      </c>
      <c r="I750">
        <f>IF($G750="","",$A$6)</f>
        <v/>
      </c>
      <c r="J750">
        <f>IF($G750="","",IF(COUNTIFS(DOC_TYPE,$I750,DOC_EQP,$H750,DOC_SCOPE,"Equipment",DOC_ACTIVE,1)+COUNTIFS(DOC_TYPE,$I750,DOC_SYS,SETUP!$B$153,DOC_SCOPE,"System",DOC_ACTIVE,1)+COUNTIFS(DOC_TYPE,$I750,DOC_SCOPE,"All",DOC_ACTIVE,1)&gt;0,"",IFERROR(IF($E$6&lt;&gt;"",$E$6-$C$6,SETUP!$D$153-$C$6),60000)+ROW()/1000000))</f>
        <v/>
      </c>
    </row>
    <row r="751">
      <c r="G751">
        <f>IF(OR(SETUP!$C$153="",$A$7="",$B$7&lt;&gt;"Equipment"),"","Equipment")</f>
        <v/>
      </c>
      <c r="H751">
        <f>IF($G751="","",SETUP!$C$153)</f>
        <v/>
      </c>
      <c r="I751">
        <f>IF($G751="","",$A$7)</f>
        <v/>
      </c>
      <c r="J751">
        <f>IF($G751="","",IF(COUNTIFS(DOC_TYPE,$I751,DOC_EQP,$H751,DOC_SCOPE,"Equipment",DOC_ACTIVE,1)+COUNTIFS(DOC_TYPE,$I751,DOC_SYS,SETUP!$B$153,DOC_SCOPE,"System",DOC_ACTIVE,1)+COUNTIFS(DOC_TYPE,$I751,DOC_SCOPE,"All",DOC_ACTIVE,1)&gt;0,"",IFERROR(IF($E$7&lt;&gt;"",$E$7-$C$7,SETUP!$D$153-$C$7),60000)+ROW()/1000000))</f>
        <v/>
      </c>
    </row>
    <row r="752">
      <c r="G752">
        <f>IF(OR(SETUP!$C$153="",$A$8="",$B$8&lt;&gt;"Equipment"),"","Equipment")</f>
        <v/>
      </c>
      <c r="H752">
        <f>IF($G752="","",SETUP!$C$153)</f>
        <v/>
      </c>
      <c r="I752">
        <f>IF($G752="","",$A$8)</f>
        <v/>
      </c>
      <c r="J752">
        <f>IF($G752="","",IF(COUNTIFS(DOC_TYPE,$I752,DOC_EQP,$H752,DOC_SCOPE,"Equipment",DOC_ACTIVE,1)+COUNTIFS(DOC_TYPE,$I752,DOC_SYS,SETUP!$B$153,DOC_SCOPE,"System",DOC_ACTIVE,1)+COUNTIFS(DOC_TYPE,$I752,DOC_SCOPE,"All",DOC_ACTIVE,1)&gt;0,"",IFERROR(IF($E$8&lt;&gt;"",$E$8-$C$8,SETUP!$D$153-$C$8),60000)+ROW()/1000000))</f>
        <v/>
      </c>
    </row>
    <row r="753">
      <c r="G753">
        <f>IF(OR(SETUP!$C$153="",$A$9="",$B$9&lt;&gt;"Equipment"),"","Equipment")</f>
        <v/>
      </c>
      <c r="H753">
        <f>IF($G753="","",SETUP!$C$153)</f>
        <v/>
      </c>
      <c r="I753">
        <f>IF($G753="","",$A$9)</f>
        <v/>
      </c>
      <c r="J753">
        <f>IF($G753="","",IF(COUNTIFS(DOC_TYPE,$I753,DOC_EQP,$H753,DOC_SCOPE,"Equipment",DOC_ACTIVE,1)+COUNTIFS(DOC_TYPE,$I753,DOC_SYS,SETUP!$B$153,DOC_SCOPE,"System",DOC_ACTIVE,1)+COUNTIFS(DOC_TYPE,$I753,DOC_SCOPE,"All",DOC_ACTIVE,1)&gt;0,"",IFERROR(IF($E$9&lt;&gt;"",$E$9-$C$9,SETUP!$D$153-$C$9),60000)+ROW()/1000000))</f>
        <v/>
      </c>
    </row>
    <row r="754">
      <c r="G754">
        <f>IF(OR(SETUP!$C$153="",$A$10="",$B$10&lt;&gt;"Equipment"),"","Equipment")</f>
        <v/>
      </c>
      <c r="H754">
        <f>IF($G754="","",SETUP!$C$153)</f>
        <v/>
      </c>
      <c r="I754">
        <f>IF($G754="","",$A$10)</f>
        <v/>
      </c>
      <c r="J754">
        <f>IF($G754="","",IF(COUNTIFS(DOC_TYPE,$I754,DOC_EQP,$H754,DOC_SCOPE,"Equipment",DOC_ACTIVE,1)+COUNTIFS(DOC_TYPE,$I754,DOC_SYS,SETUP!$B$153,DOC_SCOPE,"System",DOC_ACTIVE,1)+COUNTIFS(DOC_TYPE,$I754,DOC_SCOPE,"All",DOC_ACTIVE,1)&gt;0,"",IFERROR(IF($E$10&lt;&gt;"",$E$10-$C$10,SETUP!$D$153-$C$10),60000)+ROW()/1000000))</f>
        <v/>
      </c>
    </row>
    <row r="755">
      <c r="G755">
        <f>IF(OR(SETUP!$C$153="",$A$11="",$B$11&lt;&gt;"Equipment"),"","Equipment")</f>
        <v/>
      </c>
      <c r="H755">
        <f>IF($G755="","",SETUP!$C$153)</f>
        <v/>
      </c>
      <c r="I755">
        <f>IF($G755="","",$A$11)</f>
        <v/>
      </c>
      <c r="J755">
        <f>IF($G755="","",IF(COUNTIFS(DOC_TYPE,$I755,DOC_EQP,$H755,DOC_SCOPE,"Equipment",DOC_ACTIVE,1)+COUNTIFS(DOC_TYPE,$I755,DOC_SYS,SETUP!$B$153,DOC_SCOPE,"System",DOC_ACTIVE,1)+COUNTIFS(DOC_TYPE,$I755,DOC_SCOPE,"All",DOC_ACTIVE,1)&gt;0,"",IFERROR(IF($E$11&lt;&gt;"",$E$11-$C$11,SETUP!$D$153-$C$11),60000)+ROW()/1000000))</f>
        <v/>
      </c>
    </row>
    <row r="756">
      <c r="G756">
        <f>IF(OR(SETUP!$C$153="",$A$12="",$B$12&lt;&gt;"Equipment"),"","Equipment")</f>
        <v/>
      </c>
      <c r="H756">
        <f>IF($G756="","",SETUP!$C$153)</f>
        <v/>
      </c>
      <c r="I756">
        <f>IF($G756="","",$A$12)</f>
        <v/>
      </c>
      <c r="J756">
        <f>IF($G756="","",IF(COUNTIFS(DOC_TYPE,$I756,DOC_EQP,$H756,DOC_SCOPE,"Equipment",DOC_ACTIVE,1)+COUNTIFS(DOC_TYPE,$I756,DOC_SYS,SETUP!$B$153,DOC_SCOPE,"System",DOC_ACTIVE,1)+COUNTIFS(DOC_TYPE,$I756,DOC_SCOPE,"All",DOC_ACTIVE,1)&gt;0,"",IFERROR(IF($E$12&lt;&gt;"",$E$12-$C$12,SETUP!$D$153-$C$12),60000)+ROW()/1000000))</f>
        <v/>
      </c>
    </row>
    <row r="757">
      <c r="G757">
        <f>IF(OR(SETUP!$C$153="",$A$13="",$B$13&lt;&gt;"Equipment"),"","Equipment")</f>
        <v/>
      </c>
      <c r="H757">
        <f>IF($G757="","",SETUP!$C$153)</f>
        <v/>
      </c>
      <c r="I757">
        <f>IF($G757="","",$A$13)</f>
        <v/>
      </c>
      <c r="J757">
        <f>IF($G757="","",IF(COUNTIFS(DOC_TYPE,$I757,DOC_EQP,$H757,DOC_SCOPE,"Equipment",DOC_ACTIVE,1)+COUNTIFS(DOC_TYPE,$I757,DOC_SYS,SETUP!$B$153,DOC_SCOPE,"System",DOC_ACTIVE,1)+COUNTIFS(DOC_TYPE,$I757,DOC_SCOPE,"All",DOC_ACTIVE,1)&gt;0,"",IFERROR(IF($E$13&lt;&gt;"",$E$13-$C$13,SETUP!$D$153-$C$13),60000)+ROW()/1000000))</f>
        <v/>
      </c>
    </row>
    <row r="758">
      <c r="G758">
        <f>IF(OR(SETUP!$C$154="",$A$2="",$B$2&lt;&gt;"Equipment"),"","Equipment")</f>
        <v/>
      </c>
      <c r="H758">
        <f>IF($G758="","",SETUP!$C$154)</f>
        <v/>
      </c>
      <c r="I758">
        <f>IF($G758="","",$A$2)</f>
        <v/>
      </c>
      <c r="J758">
        <f>IF($G758="","",IF(COUNTIFS(DOC_TYPE,$I758,DOC_EQP,$H758,DOC_SCOPE,"Equipment",DOC_ACTIVE,1)+COUNTIFS(DOC_TYPE,$I758,DOC_SYS,SETUP!$B$154,DOC_SCOPE,"System",DOC_ACTIVE,1)+COUNTIFS(DOC_TYPE,$I758,DOC_SCOPE,"All",DOC_ACTIVE,1)&gt;0,"",IFERROR(IF($E$2&lt;&gt;"",$E$2-$C$2,SETUP!$D$154-$C$2),60000)+ROW()/1000000))</f>
        <v/>
      </c>
    </row>
    <row r="759">
      <c r="G759">
        <f>IF(OR(SETUP!$C$154="",$A$3="",$B$3&lt;&gt;"Equipment"),"","Equipment")</f>
        <v/>
      </c>
      <c r="H759">
        <f>IF($G759="","",SETUP!$C$154)</f>
        <v/>
      </c>
      <c r="I759">
        <f>IF($G759="","",$A$3)</f>
        <v/>
      </c>
      <c r="J759">
        <f>IF($G759="","",IF(COUNTIFS(DOC_TYPE,$I759,DOC_EQP,$H759,DOC_SCOPE,"Equipment",DOC_ACTIVE,1)+COUNTIFS(DOC_TYPE,$I759,DOC_SYS,SETUP!$B$154,DOC_SCOPE,"System",DOC_ACTIVE,1)+COUNTIFS(DOC_TYPE,$I759,DOC_SCOPE,"All",DOC_ACTIVE,1)&gt;0,"",IFERROR(IF($E$3&lt;&gt;"",$E$3-$C$3,SETUP!$D$154-$C$3),60000)+ROW()/1000000))</f>
        <v/>
      </c>
    </row>
    <row r="760">
      <c r="G760">
        <f>IF(OR(SETUP!$C$154="",$A$4="",$B$4&lt;&gt;"Equipment"),"","Equipment")</f>
        <v/>
      </c>
      <c r="H760">
        <f>IF($G760="","",SETUP!$C$154)</f>
        <v/>
      </c>
      <c r="I760">
        <f>IF($G760="","",$A$4)</f>
        <v/>
      </c>
      <c r="J760">
        <f>IF($G760="","",IF(COUNTIFS(DOC_TYPE,$I760,DOC_EQP,$H760,DOC_SCOPE,"Equipment",DOC_ACTIVE,1)+COUNTIFS(DOC_TYPE,$I760,DOC_SYS,SETUP!$B$154,DOC_SCOPE,"System",DOC_ACTIVE,1)+COUNTIFS(DOC_TYPE,$I760,DOC_SCOPE,"All",DOC_ACTIVE,1)&gt;0,"",IFERROR(IF($E$4&lt;&gt;"",$E$4-$C$4,SETUP!$D$154-$C$4),60000)+ROW()/1000000))</f>
        <v/>
      </c>
    </row>
    <row r="761">
      <c r="G761">
        <f>IF(OR(SETUP!$C$154="",$A$5="",$B$5&lt;&gt;"Equipment"),"","Equipment")</f>
        <v/>
      </c>
      <c r="H761">
        <f>IF($G761="","",SETUP!$C$154)</f>
        <v/>
      </c>
      <c r="I761">
        <f>IF($G761="","",$A$5)</f>
        <v/>
      </c>
      <c r="J761">
        <f>IF($G761="","",IF(COUNTIFS(DOC_TYPE,$I761,DOC_EQP,$H761,DOC_SCOPE,"Equipment",DOC_ACTIVE,1)+COUNTIFS(DOC_TYPE,$I761,DOC_SYS,SETUP!$B$154,DOC_SCOPE,"System",DOC_ACTIVE,1)+COUNTIFS(DOC_TYPE,$I761,DOC_SCOPE,"All",DOC_ACTIVE,1)&gt;0,"",IFERROR(IF($E$5&lt;&gt;"",$E$5-$C$5,SETUP!$D$154-$C$5),60000)+ROW()/1000000))</f>
        <v/>
      </c>
    </row>
    <row r="762">
      <c r="G762">
        <f>IF(OR(SETUP!$C$154="",$A$6="",$B$6&lt;&gt;"Equipment"),"","Equipment")</f>
        <v/>
      </c>
      <c r="H762">
        <f>IF($G762="","",SETUP!$C$154)</f>
        <v/>
      </c>
      <c r="I762">
        <f>IF($G762="","",$A$6)</f>
        <v/>
      </c>
      <c r="J762">
        <f>IF($G762="","",IF(COUNTIFS(DOC_TYPE,$I762,DOC_EQP,$H762,DOC_SCOPE,"Equipment",DOC_ACTIVE,1)+COUNTIFS(DOC_TYPE,$I762,DOC_SYS,SETUP!$B$154,DOC_SCOPE,"System",DOC_ACTIVE,1)+COUNTIFS(DOC_TYPE,$I762,DOC_SCOPE,"All",DOC_ACTIVE,1)&gt;0,"",IFERROR(IF($E$6&lt;&gt;"",$E$6-$C$6,SETUP!$D$154-$C$6),60000)+ROW()/1000000))</f>
        <v/>
      </c>
    </row>
    <row r="763">
      <c r="G763">
        <f>IF(OR(SETUP!$C$154="",$A$7="",$B$7&lt;&gt;"Equipment"),"","Equipment")</f>
        <v/>
      </c>
      <c r="H763">
        <f>IF($G763="","",SETUP!$C$154)</f>
        <v/>
      </c>
      <c r="I763">
        <f>IF($G763="","",$A$7)</f>
        <v/>
      </c>
      <c r="J763">
        <f>IF($G763="","",IF(COUNTIFS(DOC_TYPE,$I763,DOC_EQP,$H763,DOC_SCOPE,"Equipment",DOC_ACTIVE,1)+COUNTIFS(DOC_TYPE,$I763,DOC_SYS,SETUP!$B$154,DOC_SCOPE,"System",DOC_ACTIVE,1)+COUNTIFS(DOC_TYPE,$I763,DOC_SCOPE,"All",DOC_ACTIVE,1)&gt;0,"",IFERROR(IF($E$7&lt;&gt;"",$E$7-$C$7,SETUP!$D$154-$C$7),60000)+ROW()/1000000))</f>
        <v/>
      </c>
    </row>
    <row r="764">
      <c r="G764">
        <f>IF(OR(SETUP!$C$154="",$A$8="",$B$8&lt;&gt;"Equipment"),"","Equipment")</f>
        <v/>
      </c>
      <c r="H764">
        <f>IF($G764="","",SETUP!$C$154)</f>
        <v/>
      </c>
      <c r="I764">
        <f>IF($G764="","",$A$8)</f>
        <v/>
      </c>
      <c r="J764">
        <f>IF($G764="","",IF(COUNTIFS(DOC_TYPE,$I764,DOC_EQP,$H764,DOC_SCOPE,"Equipment",DOC_ACTIVE,1)+COUNTIFS(DOC_TYPE,$I764,DOC_SYS,SETUP!$B$154,DOC_SCOPE,"System",DOC_ACTIVE,1)+COUNTIFS(DOC_TYPE,$I764,DOC_SCOPE,"All",DOC_ACTIVE,1)&gt;0,"",IFERROR(IF($E$8&lt;&gt;"",$E$8-$C$8,SETUP!$D$154-$C$8),60000)+ROW()/1000000))</f>
        <v/>
      </c>
    </row>
    <row r="765">
      <c r="G765">
        <f>IF(OR(SETUP!$C$154="",$A$9="",$B$9&lt;&gt;"Equipment"),"","Equipment")</f>
        <v/>
      </c>
      <c r="H765">
        <f>IF($G765="","",SETUP!$C$154)</f>
        <v/>
      </c>
      <c r="I765">
        <f>IF($G765="","",$A$9)</f>
        <v/>
      </c>
      <c r="J765">
        <f>IF($G765="","",IF(COUNTIFS(DOC_TYPE,$I765,DOC_EQP,$H765,DOC_SCOPE,"Equipment",DOC_ACTIVE,1)+COUNTIFS(DOC_TYPE,$I765,DOC_SYS,SETUP!$B$154,DOC_SCOPE,"System",DOC_ACTIVE,1)+COUNTIFS(DOC_TYPE,$I765,DOC_SCOPE,"All",DOC_ACTIVE,1)&gt;0,"",IFERROR(IF($E$9&lt;&gt;"",$E$9-$C$9,SETUP!$D$154-$C$9),60000)+ROW()/1000000))</f>
        <v/>
      </c>
    </row>
    <row r="766">
      <c r="G766">
        <f>IF(OR(SETUP!$C$154="",$A$10="",$B$10&lt;&gt;"Equipment"),"","Equipment")</f>
        <v/>
      </c>
      <c r="H766">
        <f>IF($G766="","",SETUP!$C$154)</f>
        <v/>
      </c>
      <c r="I766">
        <f>IF($G766="","",$A$10)</f>
        <v/>
      </c>
      <c r="J766">
        <f>IF($G766="","",IF(COUNTIFS(DOC_TYPE,$I766,DOC_EQP,$H766,DOC_SCOPE,"Equipment",DOC_ACTIVE,1)+COUNTIFS(DOC_TYPE,$I766,DOC_SYS,SETUP!$B$154,DOC_SCOPE,"System",DOC_ACTIVE,1)+COUNTIFS(DOC_TYPE,$I766,DOC_SCOPE,"All",DOC_ACTIVE,1)&gt;0,"",IFERROR(IF($E$10&lt;&gt;"",$E$10-$C$10,SETUP!$D$154-$C$10),60000)+ROW()/1000000))</f>
        <v/>
      </c>
    </row>
    <row r="767">
      <c r="G767">
        <f>IF(OR(SETUP!$C$154="",$A$11="",$B$11&lt;&gt;"Equipment"),"","Equipment")</f>
        <v/>
      </c>
      <c r="H767">
        <f>IF($G767="","",SETUP!$C$154)</f>
        <v/>
      </c>
      <c r="I767">
        <f>IF($G767="","",$A$11)</f>
        <v/>
      </c>
      <c r="J767">
        <f>IF($G767="","",IF(COUNTIFS(DOC_TYPE,$I767,DOC_EQP,$H767,DOC_SCOPE,"Equipment",DOC_ACTIVE,1)+COUNTIFS(DOC_TYPE,$I767,DOC_SYS,SETUP!$B$154,DOC_SCOPE,"System",DOC_ACTIVE,1)+COUNTIFS(DOC_TYPE,$I767,DOC_SCOPE,"All",DOC_ACTIVE,1)&gt;0,"",IFERROR(IF($E$11&lt;&gt;"",$E$11-$C$11,SETUP!$D$154-$C$11),60000)+ROW()/1000000))</f>
        <v/>
      </c>
    </row>
    <row r="768">
      <c r="G768">
        <f>IF(OR(SETUP!$C$154="",$A$12="",$B$12&lt;&gt;"Equipment"),"","Equipment")</f>
        <v/>
      </c>
      <c r="H768">
        <f>IF($G768="","",SETUP!$C$154)</f>
        <v/>
      </c>
      <c r="I768">
        <f>IF($G768="","",$A$12)</f>
        <v/>
      </c>
      <c r="J768">
        <f>IF($G768="","",IF(COUNTIFS(DOC_TYPE,$I768,DOC_EQP,$H768,DOC_SCOPE,"Equipment",DOC_ACTIVE,1)+COUNTIFS(DOC_TYPE,$I768,DOC_SYS,SETUP!$B$154,DOC_SCOPE,"System",DOC_ACTIVE,1)+COUNTIFS(DOC_TYPE,$I768,DOC_SCOPE,"All",DOC_ACTIVE,1)&gt;0,"",IFERROR(IF($E$12&lt;&gt;"",$E$12-$C$12,SETUP!$D$154-$C$12),60000)+ROW()/1000000))</f>
        <v/>
      </c>
    </row>
    <row r="769">
      <c r="G769">
        <f>IF(OR(SETUP!$C$154="",$A$13="",$B$13&lt;&gt;"Equipment"),"","Equipment")</f>
        <v/>
      </c>
      <c r="H769">
        <f>IF($G769="","",SETUP!$C$154)</f>
        <v/>
      </c>
      <c r="I769">
        <f>IF($G769="","",$A$13)</f>
        <v/>
      </c>
      <c r="J769">
        <f>IF($G769="","",IF(COUNTIFS(DOC_TYPE,$I769,DOC_EQP,$H769,DOC_SCOPE,"Equipment",DOC_ACTIVE,1)+COUNTIFS(DOC_TYPE,$I769,DOC_SYS,SETUP!$B$154,DOC_SCOPE,"System",DOC_ACTIVE,1)+COUNTIFS(DOC_TYPE,$I769,DOC_SCOPE,"All",DOC_ACTIVE,1)&gt;0,"",IFERROR(IF($E$13&lt;&gt;"",$E$13-$C$13,SETUP!$D$154-$C$13),60000)+ROW()/1000000))</f>
        <v/>
      </c>
    </row>
    <row r="770">
      <c r="G770">
        <f>IF(OR(SETUP!$C$155="",$A$2="",$B$2&lt;&gt;"Equipment"),"","Equipment")</f>
        <v/>
      </c>
      <c r="H770">
        <f>IF($G770="","",SETUP!$C$155)</f>
        <v/>
      </c>
      <c r="I770">
        <f>IF($G770="","",$A$2)</f>
        <v/>
      </c>
      <c r="J770">
        <f>IF($G770="","",IF(COUNTIFS(DOC_TYPE,$I770,DOC_EQP,$H770,DOC_SCOPE,"Equipment",DOC_ACTIVE,1)+COUNTIFS(DOC_TYPE,$I770,DOC_SYS,SETUP!$B$155,DOC_SCOPE,"System",DOC_ACTIVE,1)+COUNTIFS(DOC_TYPE,$I770,DOC_SCOPE,"All",DOC_ACTIVE,1)&gt;0,"",IFERROR(IF($E$2&lt;&gt;"",$E$2-$C$2,SETUP!$D$155-$C$2),60000)+ROW()/1000000))</f>
        <v/>
      </c>
    </row>
    <row r="771">
      <c r="G771">
        <f>IF(OR(SETUP!$C$155="",$A$3="",$B$3&lt;&gt;"Equipment"),"","Equipment")</f>
        <v/>
      </c>
      <c r="H771">
        <f>IF($G771="","",SETUP!$C$155)</f>
        <v/>
      </c>
      <c r="I771">
        <f>IF($G771="","",$A$3)</f>
        <v/>
      </c>
      <c r="J771">
        <f>IF($G771="","",IF(COUNTIFS(DOC_TYPE,$I771,DOC_EQP,$H771,DOC_SCOPE,"Equipment",DOC_ACTIVE,1)+COUNTIFS(DOC_TYPE,$I771,DOC_SYS,SETUP!$B$155,DOC_SCOPE,"System",DOC_ACTIVE,1)+COUNTIFS(DOC_TYPE,$I771,DOC_SCOPE,"All",DOC_ACTIVE,1)&gt;0,"",IFERROR(IF($E$3&lt;&gt;"",$E$3-$C$3,SETUP!$D$155-$C$3),60000)+ROW()/1000000))</f>
        <v/>
      </c>
    </row>
    <row r="772">
      <c r="G772">
        <f>IF(OR(SETUP!$C$155="",$A$4="",$B$4&lt;&gt;"Equipment"),"","Equipment")</f>
        <v/>
      </c>
      <c r="H772">
        <f>IF($G772="","",SETUP!$C$155)</f>
        <v/>
      </c>
      <c r="I772">
        <f>IF($G772="","",$A$4)</f>
        <v/>
      </c>
      <c r="J772">
        <f>IF($G772="","",IF(COUNTIFS(DOC_TYPE,$I772,DOC_EQP,$H772,DOC_SCOPE,"Equipment",DOC_ACTIVE,1)+COUNTIFS(DOC_TYPE,$I772,DOC_SYS,SETUP!$B$155,DOC_SCOPE,"System",DOC_ACTIVE,1)+COUNTIFS(DOC_TYPE,$I772,DOC_SCOPE,"All",DOC_ACTIVE,1)&gt;0,"",IFERROR(IF($E$4&lt;&gt;"",$E$4-$C$4,SETUP!$D$155-$C$4),60000)+ROW()/1000000))</f>
        <v/>
      </c>
    </row>
    <row r="773">
      <c r="G773">
        <f>IF(OR(SETUP!$C$155="",$A$5="",$B$5&lt;&gt;"Equipment"),"","Equipment")</f>
        <v/>
      </c>
      <c r="H773">
        <f>IF($G773="","",SETUP!$C$155)</f>
        <v/>
      </c>
      <c r="I773">
        <f>IF($G773="","",$A$5)</f>
        <v/>
      </c>
      <c r="J773">
        <f>IF($G773="","",IF(COUNTIFS(DOC_TYPE,$I773,DOC_EQP,$H773,DOC_SCOPE,"Equipment",DOC_ACTIVE,1)+COUNTIFS(DOC_TYPE,$I773,DOC_SYS,SETUP!$B$155,DOC_SCOPE,"System",DOC_ACTIVE,1)+COUNTIFS(DOC_TYPE,$I773,DOC_SCOPE,"All",DOC_ACTIVE,1)&gt;0,"",IFERROR(IF($E$5&lt;&gt;"",$E$5-$C$5,SETUP!$D$155-$C$5),60000)+ROW()/1000000))</f>
        <v/>
      </c>
    </row>
    <row r="774">
      <c r="G774">
        <f>IF(OR(SETUP!$C$155="",$A$6="",$B$6&lt;&gt;"Equipment"),"","Equipment")</f>
        <v/>
      </c>
      <c r="H774">
        <f>IF($G774="","",SETUP!$C$155)</f>
        <v/>
      </c>
      <c r="I774">
        <f>IF($G774="","",$A$6)</f>
        <v/>
      </c>
      <c r="J774">
        <f>IF($G774="","",IF(COUNTIFS(DOC_TYPE,$I774,DOC_EQP,$H774,DOC_SCOPE,"Equipment",DOC_ACTIVE,1)+COUNTIFS(DOC_TYPE,$I774,DOC_SYS,SETUP!$B$155,DOC_SCOPE,"System",DOC_ACTIVE,1)+COUNTIFS(DOC_TYPE,$I774,DOC_SCOPE,"All",DOC_ACTIVE,1)&gt;0,"",IFERROR(IF($E$6&lt;&gt;"",$E$6-$C$6,SETUP!$D$155-$C$6),60000)+ROW()/1000000))</f>
        <v/>
      </c>
    </row>
    <row r="775">
      <c r="G775">
        <f>IF(OR(SETUP!$C$155="",$A$7="",$B$7&lt;&gt;"Equipment"),"","Equipment")</f>
        <v/>
      </c>
      <c r="H775">
        <f>IF($G775="","",SETUP!$C$155)</f>
        <v/>
      </c>
      <c r="I775">
        <f>IF($G775="","",$A$7)</f>
        <v/>
      </c>
      <c r="J775">
        <f>IF($G775="","",IF(COUNTIFS(DOC_TYPE,$I775,DOC_EQP,$H775,DOC_SCOPE,"Equipment",DOC_ACTIVE,1)+COUNTIFS(DOC_TYPE,$I775,DOC_SYS,SETUP!$B$155,DOC_SCOPE,"System",DOC_ACTIVE,1)+COUNTIFS(DOC_TYPE,$I775,DOC_SCOPE,"All",DOC_ACTIVE,1)&gt;0,"",IFERROR(IF($E$7&lt;&gt;"",$E$7-$C$7,SETUP!$D$155-$C$7),60000)+ROW()/1000000))</f>
        <v/>
      </c>
    </row>
    <row r="776">
      <c r="G776">
        <f>IF(OR(SETUP!$C$155="",$A$8="",$B$8&lt;&gt;"Equipment"),"","Equipment")</f>
        <v/>
      </c>
      <c r="H776">
        <f>IF($G776="","",SETUP!$C$155)</f>
        <v/>
      </c>
      <c r="I776">
        <f>IF($G776="","",$A$8)</f>
        <v/>
      </c>
      <c r="J776">
        <f>IF($G776="","",IF(COUNTIFS(DOC_TYPE,$I776,DOC_EQP,$H776,DOC_SCOPE,"Equipment",DOC_ACTIVE,1)+COUNTIFS(DOC_TYPE,$I776,DOC_SYS,SETUP!$B$155,DOC_SCOPE,"System",DOC_ACTIVE,1)+COUNTIFS(DOC_TYPE,$I776,DOC_SCOPE,"All",DOC_ACTIVE,1)&gt;0,"",IFERROR(IF($E$8&lt;&gt;"",$E$8-$C$8,SETUP!$D$155-$C$8),60000)+ROW()/1000000))</f>
        <v/>
      </c>
    </row>
    <row r="777">
      <c r="G777">
        <f>IF(OR(SETUP!$C$155="",$A$9="",$B$9&lt;&gt;"Equipment"),"","Equipment")</f>
        <v/>
      </c>
      <c r="H777">
        <f>IF($G777="","",SETUP!$C$155)</f>
        <v/>
      </c>
      <c r="I777">
        <f>IF($G777="","",$A$9)</f>
        <v/>
      </c>
      <c r="J777">
        <f>IF($G777="","",IF(COUNTIFS(DOC_TYPE,$I777,DOC_EQP,$H777,DOC_SCOPE,"Equipment",DOC_ACTIVE,1)+COUNTIFS(DOC_TYPE,$I777,DOC_SYS,SETUP!$B$155,DOC_SCOPE,"System",DOC_ACTIVE,1)+COUNTIFS(DOC_TYPE,$I777,DOC_SCOPE,"All",DOC_ACTIVE,1)&gt;0,"",IFERROR(IF($E$9&lt;&gt;"",$E$9-$C$9,SETUP!$D$155-$C$9),60000)+ROW()/1000000))</f>
        <v/>
      </c>
    </row>
    <row r="778">
      <c r="G778">
        <f>IF(OR(SETUP!$C$155="",$A$10="",$B$10&lt;&gt;"Equipment"),"","Equipment")</f>
        <v/>
      </c>
      <c r="H778">
        <f>IF($G778="","",SETUP!$C$155)</f>
        <v/>
      </c>
      <c r="I778">
        <f>IF($G778="","",$A$10)</f>
        <v/>
      </c>
      <c r="J778">
        <f>IF($G778="","",IF(COUNTIFS(DOC_TYPE,$I778,DOC_EQP,$H778,DOC_SCOPE,"Equipment",DOC_ACTIVE,1)+COUNTIFS(DOC_TYPE,$I778,DOC_SYS,SETUP!$B$155,DOC_SCOPE,"System",DOC_ACTIVE,1)+COUNTIFS(DOC_TYPE,$I778,DOC_SCOPE,"All",DOC_ACTIVE,1)&gt;0,"",IFERROR(IF($E$10&lt;&gt;"",$E$10-$C$10,SETUP!$D$155-$C$10),60000)+ROW()/1000000))</f>
        <v/>
      </c>
    </row>
    <row r="779">
      <c r="G779">
        <f>IF(OR(SETUP!$C$155="",$A$11="",$B$11&lt;&gt;"Equipment"),"","Equipment")</f>
        <v/>
      </c>
      <c r="H779">
        <f>IF($G779="","",SETUP!$C$155)</f>
        <v/>
      </c>
      <c r="I779">
        <f>IF($G779="","",$A$11)</f>
        <v/>
      </c>
      <c r="J779">
        <f>IF($G779="","",IF(COUNTIFS(DOC_TYPE,$I779,DOC_EQP,$H779,DOC_SCOPE,"Equipment",DOC_ACTIVE,1)+COUNTIFS(DOC_TYPE,$I779,DOC_SYS,SETUP!$B$155,DOC_SCOPE,"System",DOC_ACTIVE,1)+COUNTIFS(DOC_TYPE,$I779,DOC_SCOPE,"All",DOC_ACTIVE,1)&gt;0,"",IFERROR(IF($E$11&lt;&gt;"",$E$11-$C$11,SETUP!$D$155-$C$11),60000)+ROW()/1000000))</f>
        <v/>
      </c>
    </row>
    <row r="780">
      <c r="G780">
        <f>IF(OR(SETUP!$C$155="",$A$12="",$B$12&lt;&gt;"Equipment"),"","Equipment")</f>
        <v/>
      </c>
      <c r="H780">
        <f>IF($G780="","",SETUP!$C$155)</f>
        <v/>
      </c>
      <c r="I780">
        <f>IF($G780="","",$A$12)</f>
        <v/>
      </c>
      <c r="J780">
        <f>IF($G780="","",IF(COUNTIFS(DOC_TYPE,$I780,DOC_EQP,$H780,DOC_SCOPE,"Equipment",DOC_ACTIVE,1)+COUNTIFS(DOC_TYPE,$I780,DOC_SYS,SETUP!$B$155,DOC_SCOPE,"System",DOC_ACTIVE,1)+COUNTIFS(DOC_TYPE,$I780,DOC_SCOPE,"All",DOC_ACTIVE,1)&gt;0,"",IFERROR(IF($E$12&lt;&gt;"",$E$12-$C$12,SETUP!$D$155-$C$12),60000)+ROW()/1000000))</f>
        <v/>
      </c>
    </row>
    <row r="781">
      <c r="G781">
        <f>IF(OR(SETUP!$C$155="",$A$13="",$B$13&lt;&gt;"Equipment"),"","Equipment")</f>
        <v/>
      </c>
      <c r="H781">
        <f>IF($G781="","",SETUP!$C$155)</f>
        <v/>
      </c>
      <c r="I781">
        <f>IF($G781="","",$A$13)</f>
        <v/>
      </c>
      <c r="J781">
        <f>IF($G781="","",IF(COUNTIFS(DOC_TYPE,$I781,DOC_EQP,$H781,DOC_SCOPE,"Equipment",DOC_ACTIVE,1)+COUNTIFS(DOC_TYPE,$I781,DOC_SYS,SETUP!$B$155,DOC_SCOPE,"System",DOC_ACTIVE,1)+COUNTIFS(DOC_TYPE,$I781,DOC_SCOPE,"All",DOC_ACTIVE,1)&gt;0,"",IFERROR(IF($E$13&lt;&gt;"",$E$13-$C$13,SETUP!$D$155-$C$13),60000)+ROW()/1000000))</f>
        <v/>
      </c>
    </row>
    <row r="782">
      <c r="G782">
        <f>IF(OR(SETUP!$C$156="",$A$2="",$B$2&lt;&gt;"Equipment"),"","Equipment")</f>
        <v/>
      </c>
      <c r="H782">
        <f>IF($G782="","",SETUP!$C$156)</f>
        <v/>
      </c>
      <c r="I782">
        <f>IF($G782="","",$A$2)</f>
        <v/>
      </c>
      <c r="J782">
        <f>IF($G782="","",IF(COUNTIFS(DOC_TYPE,$I782,DOC_EQP,$H782,DOC_SCOPE,"Equipment",DOC_ACTIVE,1)+COUNTIFS(DOC_TYPE,$I782,DOC_SYS,SETUP!$B$156,DOC_SCOPE,"System",DOC_ACTIVE,1)+COUNTIFS(DOC_TYPE,$I782,DOC_SCOPE,"All",DOC_ACTIVE,1)&gt;0,"",IFERROR(IF($E$2&lt;&gt;"",$E$2-$C$2,SETUP!$D$156-$C$2),60000)+ROW()/1000000))</f>
        <v/>
      </c>
    </row>
    <row r="783">
      <c r="G783">
        <f>IF(OR(SETUP!$C$156="",$A$3="",$B$3&lt;&gt;"Equipment"),"","Equipment")</f>
        <v/>
      </c>
      <c r="H783">
        <f>IF($G783="","",SETUP!$C$156)</f>
        <v/>
      </c>
      <c r="I783">
        <f>IF($G783="","",$A$3)</f>
        <v/>
      </c>
      <c r="J783">
        <f>IF($G783="","",IF(COUNTIFS(DOC_TYPE,$I783,DOC_EQP,$H783,DOC_SCOPE,"Equipment",DOC_ACTIVE,1)+COUNTIFS(DOC_TYPE,$I783,DOC_SYS,SETUP!$B$156,DOC_SCOPE,"System",DOC_ACTIVE,1)+COUNTIFS(DOC_TYPE,$I783,DOC_SCOPE,"All",DOC_ACTIVE,1)&gt;0,"",IFERROR(IF($E$3&lt;&gt;"",$E$3-$C$3,SETUP!$D$156-$C$3),60000)+ROW()/1000000))</f>
        <v/>
      </c>
    </row>
    <row r="784">
      <c r="G784">
        <f>IF(OR(SETUP!$C$156="",$A$4="",$B$4&lt;&gt;"Equipment"),"","Equipment")</f>
        <v/>
      </c>
      <c r="H784">
        <f>IF($G784="","",SETUP!$C$156)</f>
        <v/>
      </c>
      <c r="I784">
        <f>IF($G784="","",$A$4)</f>
        <v/>
      </c>
      <c r="J784">
        <f>IF($G784="","",IF(COUNTIFS(DOC_TYPE,$I784,DOC_EQP,$H784,DOC_SCOPE,"Equipment",DOC_ACTIVE,1)+COUNTIFS(DOC_TYPE,$I784,DOC_SYS,SETUP!$B$156,DOC_SCOPE,"System",DOC_ACTIVE,1)+COUNTIFS(DOC_TYPE,$I784,DOC_SCOPE,"All",DOC_ACTIVE,1)&gt;0,"",IFERROR(IF($E$4&lt;&gt;"",$E$4-$C$4,SETUP!$D$156-$C$4),60000)+ROW()/1000000))</f>
        <v/>
      </c>
    </row>
    <row r="785">
      <c r="G785">
        <f>IF(OR(SETUP!$C$156="",$A$5="",$B$5&lt;&gt;"Equipment"),"","Equipment")</f>
        <v/>
      </c>
      <c r="H785">
        <f>IF($G785="","",SETUP!$C$156)</f>
        <v/>
      </c>
      <c r="I785">
        <f>IF($G785="","",$A$5)</f>
        <v/>
      </c>
      <c r="J785">
        <f>IF($G785="","",IF(COUNTIFS(DOC_TYPE,$I785,DOC_EQP,$H785,DOC_SCOPE,"Equipment",DOC_ACTIVE,1)+COUNTIFS(DOC_TYPE,$I785,DOC_SYS,SETUP!$B$156,DOC_SCOPE,"System",DOC_ACTIVE,1)+COUNTIFS(DOC_TYPE,$I785,DOC_SCOPE,"All",DOC_ACTIVE,1)&gt;0,"",IFERROR(IF($E$5&lt;&gt;"",$E$5-$C$5,SETUP!$D$156-$C$5),60000)+ROW()/1000000))</f>
        <v/>
      </c>
    </row>
    <row r="786">
      <c r="G786">
        <f>IF(OR(SETUP!$C$156="",$A$6="",$B$6&lt;&gt;"Equipment"),"","Equipment")</f>
        <v/>
      </c>
      <c r="H786">
        <f>IF($G786="","",SETUP!$C$156)</f>
        <v/>
      </c>
      <c r="I786">
        <f>IF($G786="","",$A$6)</f>
        <v/>
      </c>
      <c r="J786">
        <f>IF($G786="","",IF(COUNTIFS(DOC_TYPE,$I786,DOC_EQP,$H786,DOC_SCOPE,"Equipment",DOC_ACTIVE,1)+COUNTIFS(DOC_TYPE,$I786,DOC_SYS,SETUP!$B$156,DOC_SCOPE,"System",DOC_ACTIVE,1)+COUNTIFS(DOC_TYPE,$I786,DOC_SCOPE,"All",DOC_ACTIVE,1)&gt;0,"",IFERROR(IF($E$6&lt;&gt;"",$E$6-$C$6,SETUP!$D$156-$C$6),60000)+ROW()/1000000))</f>
        <v/>
      </c>
    </row>
    <row r="787">
      <c r="G787">
        <f>IF(OR(SETUP!$C$156="",$A$7="",$B$7&lt;&gt;"Equipment"),"","Equipment")</f>
        <v/>
      </c>
      <c r="H787">
        <f>IF($G787="","",SETUP!$C$156)</f>
        <v/>
      </c>
      <c r="I787">
        <f>IF($G787="","",$A$7)</f>
        <v/>
      </c>
      <c r="J787">
        <f>IF($G787="","",IF(COUNTIFS(DOC_TYPE,$I787,DOC_EQP,$H787,DOC_SCOPE,"Equipment",DOC_ACTIVE,1)+COUNTIFS(DOC_TYPE,$I787,DOC_SYS,SETUP!$B$156,DOC_SCOPE,"System",DOC_ACTIVE,1)+COUNTIFS(DOC_TYPE,$I787,DOC_SCOPE,"All",DOC_ACTIVE,1)&gt;0,"",IFERROR(IF($E$7&lt;&gt;"",$E$7-$C$7,SETUP!$D$156-$C$7),60000)+ROW()/1000000))</f>
        <v/>
      </c>
    </row>
    <row r="788">
      <c r="G788">
        <f>IF(OR(SETUP!$C$156="",$A$8="",$B$8&lt;&gt;"Equipment"),"","Equipment")</f>
        <v/>
      </c>
      <c r="H788">
        <f>IF($G788="","",SETUP!$C$156)</f>
        <v/>
      </c>
      <c r="I788">
        <f>IF($G788="","",$A$8)</f>
        <v/>
      </c>
      <c r="J788">
        <f>IF($G788="","",IF(COUNTIFS(DOC_TYPE,$I788,DOC_EQP,$H788,DOC_SCOPE,"Equipment",DOC_ACTIVE,1)+COUNTIFS(DOC_TYPE,$I788,DOC_SYS,SETUP!$B$156,DOC_SCOPE,"System",DOC_ACTIVE,1)+COUNTIFS(DOC_TYPE,$I788,DOC_SCOPE,"All",DOC_ACTIVE,1)&gt;0,"",IFERROR(IF($E$8&lt;&gt;"",$E$8-$C$8,SETUP!$D$156-$C$8),60000)+ROW()/1000000))</f>
        <v/>
      </c>
    </row>
    <row r="789">
      <c r="G789">
        <f>IF(OR(SETUP!$C$156="",$A$9="",$B$9&lt;&gt;"Equipment"),"","Equipment")</f>
        <v/>
      </c>
      <c r="H789">
        <f>IF($G789="","",SETUP!$C$156)</f>
        <v/>
      </c>
      <c r="I789">
        <f>IF($G789="","",$A$9)</f>
        <v/>
      </c>
      <c r="J789">
        <f>IF($G789="","",IF(COUNTIFS(DOC_TYPE,$I789,DOC_EQP,$H789,DOC_SCOPE,"Equipment",DOC_ACTIVE,1)+COUNTIFS(DOC_TYPE,$I789,DOC_SYS,SETUP!$B$156,DOC_SCOPE,"System",DOC_ACTIVE,1)+COUNTIFS(DOC_TYPE,$I789,DOC_SCOPE,"All",DOC_ACTIVE,1)&gt;0,"",IFERROR(IF($E$9&lt;&gt;"",$E$9-$C$9,SETUP!$D$156-$C$9),60000)+ROW()/1000000))</f>
        <v/>
      </c>
    </row>
    <row r="790">
      <c r="G790">
        <f>IF(OR(SETUP!$C$156="",$A$10="",$B$10&lt;&gt;"Equipment"),"","Equipment")</f>
        <v/>
      </c>
      <c r="H790">
        <f>IF($G790="","",SETUP!$C$156)</f>
        <v/>
      </c>
      <c r="I790">
        <f>IF($G790="","",$A$10)</f>
        <v/>
      </c>
      <c r="J790">
        <f>IF($G790="","",IF(COUNTIFS(DOC_TYPE,$I790,DOC_EQP,$H790,DOC_SCOPE,"Equipment",DOC_ACTIVE,1)+COUNTIFS(DOC_TYPE,$I790,DOC_SYS,SETUP!$B$156,DOC_SCOPE,"System",DOC_ACTIVE,1)+COUNTIFS(DOC_TYPE,$I790,DOC_SCOPE,"All",DOC_ACTIVE,1)&gt;0,"",IFERROR(IF($E$10&lt;&gt;"",$E$10-$C$10,SETUP!$D$156-$C$10),60000)+ROW()/1000000))</f>
        <v/>
      </c>
    </row>
    <row r="791">
      <c r="G791">
        <f>IF(OR(SETUP!$C$156="",$A$11="",$B$11&lt;&gt;"Equipment"),"","Equipment")</f>
        <v/>
      </c>
      <c r="H791">
        <f>IF($G791="","",SETUP!$C$156)</f>
        <v/>
      </c>
      <c r="I791">
        <f>IF($G791="","",$A$11)</f>
        <v/>
      </c>
      <c r="J791">
        <f>IF($G791="","",IF(COUNTIFS(DOC_TYPE,$I791,DOC_EQP,$H791,DOC_SCOPE,"Equipment",DOC_ACTIVE,1)+COUNTIFS(DOC_TYPE,$I791,DOC_SYS,SETUP!$B$156,DOC_SCOPE,"System",DOC_ACTIVE,1)+COUNTIFS(DOC_TYPE,$I791,DOC_SCOPE,"All",DOC_ACTIVE,1)&gt;0,"",IFERROR(IF($E$11&lt;&gt;"",$E$11-$C$11,SETUP!$D$156-$C$11),60000)+ROW()/1000000))</f>
        <v/>
      </c>
    </row>
    <row r="792">
      <c r="G792">
        <f>IF(OR(SETUP!$C$156="",$A$12="",$B$12&lt;&gt;"Equipment"),"","Equipment")</f>
        <v/>
      </c>
      <c r="H792">
        <f>IF($G792="","",SETUP!$C$156)</f>
        <v/>
      </c>
      <c r="I792">
        <f>IF($G792="","",$A$12)</f>
        <v/>
      </c>
      <c r="J792">
        <f>IF($G792="","",IF(COUNTIFS(DOC_TYPE,$I792,DOC_EQP,$H792,DOC_SCOPE,"Equipment",DOC_ACTIVE,1)+COUNTIFS(DOC_TYPE,$I792,DOC_SYS,SETUP!$B$156,DOC_SCOPE,"System",DOC_ACTIVE,1)+COUNTIFS(DOC_TYPE,$I792,DOC_SCOPE,"All",DOC_ACTIVE,1)&gt;0,"",IFERROR(IF($E$12&lt;&gt;"",$E$12-$C$12,SETUP!$D$156-$C$12),60000)+ROW()/1000000))</f>
        <v/>
      </c>
    </row>
    <row r="793">
      <c r="G793">
        <f>IF(OR(SETUP!$C$156="",$A$13="",$B$13&lt;&gt;"Equipment"),"","Equipment")</f>
        <v/>
      </c>
      <c r="H793">
        <f>IF($G793="","",SETUP!$C$156)</f>
        <v/>
      </c>
      <c r="I793">
        <f>IF($G793="","",$A$13)</f>
        <v/>
      </c>
      <c r="J793">
        <f>IF($G793="","",IF(COUNTIFS(DOC_TYPE,$I793,DOC_EQP,$H793,DOC_SCOPE,"Equipment",DOC_ACTIVE,1)+COUNTIFS(DOC_TYPE,$I793,DOC_SYS,SETUP!$B$156,DOC_SCOPE,"System",DOC_ACTIVE,1)+COUNTIFS(DOC_TYPE,$I793,DOC_SCOPE,"All",DOC_ACTIVE,1)&gt;0,"",IFERROR(IF($E$13&lt;&gt;"",$E$13-$C$13,SETUP!$D$156-$C$13),60000)+ROW()/1000000))</f>
        <v/>
      </c>
    </row>
    <row r="794">
      <c r="G794">
        <f>IF(OR(SETUP!$C$157="",$A$2="",$B$2&lt;&gt;"Equipment"),"","Equipment")</f>
        <v/>
      </c>
      <c r="H794">
        <f>IF($G794="","",SETUP!$C$157)</f>
        <v/>
      </c>
      <c r="I794">
        <f>IF($G794="","",$A$2)</f>
        <v/>
      </c>
      <c r="J794">
        <f>IF($G794="","",IF(COUNTIFS(DOC_TYPE,$I794,DOC_EQP,$H794,DOC_SCOPE,"Equipment",DOC_ACTIVE,1)+COUNTIFS(DOC_TYPE,$I794,DOC_SYS,SETUP!$B$157,DOC_SCOPE,"System",DOC_ACTIVE,1)+COUNTIFS(DOC_TYPE,$I794,DOC_SCOPE,"All",DOC_ACTIVE,1)&gt;0,"",IFERROR(IF($E$2&lt;&gt;"",$E$2-$C$2,SETUP!$D$157-$C$2),60000)+ROW()/1000000))</f>
        <v/>
      </c>
    </row>
    <row r="795">
      <c r="G795">
        <f>IF(OR(SETUP!$C$157="",$A$3="",$B$3&lt;&gt;"Equipment"),"","Equipment")</f>
        <v/>
      </c>
      <c r="H795">
        <f>IF($G795="","",SETUP!$C$157)</f>
        <v/>
      </c>
      <c r="I795">
        <f>IF($G795="","",$A$3)</f>
        <v/>
      </c>
      <c r="J795">
        <f>IF($G795="","",IF(COUNTIFS(DOC_TYPE,$I795,DOC_EQP,$H795,DOC_SCOPE,"Equipment",DOC_ACTIVE,1)+COUNTIFS(DOC_TYPE,$I795,DOC_SYS,SETUP!$B$157,DOC_SCOPE,"System",DOC_ACTIVE,1)+COUNTIFS(DOC_TYPE,$I795,DOC_SCOPE,"All",DOC_ACTIVE,1)&gt;0,"",IFERROR(IF($E$3&lt;&gt;"",$E$3-$C$3,SETUP!$D$157-$C$3),60000)+ROW()/1000000))</f>
        <v/>
      </c>
    </row>
    <row r="796">
      <c r="G796">
        <f>IF(OR(SETUP!$C$157="",$A$4="",$B$4&lt;&gt;"Equipment"),"","Equipment")</f>
        <v/>
      </c>
      <c r="H796">
        <f>IF($G796="","",SETUP!$C$157)</f>
        <v/>
      </c>
      <c r="I796">
        <f>IF($G796="","",$A$4)</f>
        <v/>
      </c>
      <c r="J796">
        <f>IF($G796="","",IF(COUNTIFS(DOC_TYPE,$I796,DOC_EQP,$H796,DOC_SCOPE,"Equipment",DOC_ACTIVE,1)+COUNTIFS(DOC_TYPE,$I796,DOC_SYS,SETUP!$B$157,DOC_SCOPE,"System",DOC_ACTIVE,1)+COUNTIFS(DOC_TYPE,$I796,DOC_SCOPE,"All",DOC_ACTIVE,1)&gt;0,"",IFERROR(IF($E$4&lt;&gt;"",$E$4-$C$4,SETUP!$D$157-$C$4),60000)+ROW()/1000000))</f>
        <v/>
      </c>
    </row>
    <row r="797">
      <c r="G797">
        <f>IF(OR(SETUP!$C$157="",$A$5="",$B$5&lt;&gt;"Equipment"),"","Equipment")</f>
        <v/>
      </c>
      <c r="H797">
        <f>IF($G797="","",SETUP!$C$157)</f>
        <v/>
      </c>
      <c r="I797">
        <f>IF($G797="","",$A$5)</f>
        <v/>
      </c>
      <c r="J797">
        <f>IF($G797="","",IF(COUNTIFS(DOC_TYPE,$I797,DOC_EQP,$H797,DOC_SCOPE,"Equipment",DOC_ACTIVE,1)+COUNTIFS(DOC_TYPE,$I797,DOC_SYS,SETUP!$B$157,DOC_SCOPE,"System",DOC_ACTIVE,1)+COUNTIFS(DOC_TYPE,$I797,DOC_SCOPE,"All",DOC_ACTIVE,1)&gt;0,"",IFERROR(IF($E$5&lt;&gt;"",$E$5-$C$5,SETUP!$D$157-$C$5),60000)+ROW()/1000000))</f>
        <v/>
      </c>
    </row>
    <row r="798">
      <c r="G798">
        <f>IF(OR(SETUP!$C$157="",$A$6="",$B$6&lt;&gt;"Equipment"),"","Equipment")</f>
        <v/>
      </c>
      <c r="H798">
        <f>IF($G798="","",SETUP!$C$157)</f>
        <v/>
      </c>
      <c r="I798">
        <f>IF($G798="","",$A$6)</f>
        <v/>
      </c>
      <c r="J798">
        <f>IF($G798="","",IF(COUNTIFS(DOC_TYPE,$I798,DOC_EQP,$H798,DOC_SCOPE,"Equipment",DOC_ACTIVE,1)+COUNTIFS(DOC_TYPE,$I798,DOC_SYS,SETUP!$B$157,DOC_SCOPE,"System",DOC_ACTIVE,1)+COUNTIFS(DOC_TYPE,$I798,DOC_SCOPE,"All",DOC_ACTIVE,1)&gt;0,"",IFERROR(IF($E$6&lt;&gt;"",$E$6-$C$6,SETUP!$D$157-$C$6),60000)+ROW()/1000000))</f>
        <v/>
      </c>
    </row>
    <row r="799">
      <c r="G799">
        <f>IF(OR(SETUP!$C$157="",$A$7="",$B$7&lt;&gt;"Equipment"),"","Equipment")</f>
        <v/>
      </c>
      <c r="H799">
        <f>IF($G799="","",SETUP!$C$157)</f>
        <v/>
      </c>
      <c r="I799">
        <f>IF($G799="","",$A$7)</f>
        <v/>
      </c>
      <c r="J799">
        <f>IF($G799="","",IF(COUNTIFS(DOC_TYPE,$I799,DOC_EQP,$H799,DOC_SCOPE,"Equipment",DOC_ACTIVE,1)+COUNTIFS(DOC_TYPE,$I799,DOC_SYS,SETUP!$B$157,DOC_SCOPE,"System",DOC_ACTIVE,1)+COUNTIFS(DOC_TYPE,$I799,DOC_SCOPE,"All",DOC_ACTIVE,1)&gt;0,"",IFERROR(IF($E$7&lt;&gt;"",$E$7-$C$7,SETUP!$D$157-$C$7),60000)+ROW()/1000000))</f>
        <v/>
      </c>
    </row>
    <row r="800">
      <c r="G800">
        <f>IF(OR(SETUP!$C$157="",$A$8="",$B$8&lt;&gt;"Equipment"),"","Equipment")</f>
        <v/>
      </c>
      <c r="H800">
        <f>IF($G800="","",SETUP!$C$157)</f>
        <v/>
      </c>
      <c r="I800">
        <f>IF($G800="","",$A$8)</f>
        <v/>
      </c>
      <c r="J800">
        <f>IF($G800="","",IF(COUNTIFS(DOC_TYPE,$I800,DOC_EQP,$H800,DOC_SCOPE,"Equipment",DOC_ACTIVE,1)+COUNTIFS(DOC_TYPE,$I800,DOC_SYS,SETUP!$B$157,DOC_SCOPE,"System",DOC_ACTIVE,1)+COUNTIFS(DOC_TYPE,$I800,DOC_SCOPE,"All",DOC_ACTIVE,1)&gt;0,"",IFERROR(IF($E$8&lt;&gt;"",$E$8-$C$8,SETUP!$D$157-$C$8),60000)+ROW()/1000000))</f>
        <v/>
      </c>
    </row>
    <row r="801">
      <c r="G801">
        <f>IF(OR(SETUP!$C$157="",$A$9="",$B$9&lt;&gt;"Equipment"),"","Equipment")</f>
        <v/>
      </c>
      <c r="H801">
        <f>IF($G801="","",SETUP!$C$157)</f>
        <v/>
      </c>
      <c r="I801">
        <f>IF($G801="","",$A$9)</f>
        <v/>
      </c>
      <c r="J801">
        <f>IF($G801="","",IF(COUNTIFS(DOC_TYPE,$I801,DOC_EQP,$H801,DOC_SCOPE,"Equipment",DOC_ACTIVE,1)+COUNTIFS(DOC_TYPE,$I801,DOC_SYS,SETUP!$B$157,DOC_SCOPE,"System",DOC_ACTIVE,1)+COUNTIFS(DOC_TYPE,$I801,DOC_SCOPE,"All",DOC_ACTIVE,1)&gt;0,"",IFERROR(IF($E$9&lt;&gt;"",$E$9-$C$9,SETUP!$D$157-$C$9),60000)+ROW()/1000000))</f>
        <v/>
      </c>
    </row>
    <row r="802">
      <c r="G802">
        <f>IF(OR(SETUP!$C$157="",$A$10="",$B$10&lt;&gt;"Equipment"),"","Equipment")</f>
        <v/>
      </c>
      <c r="H802">
        <f>IF($G802="","",SETUP!$C$157)</f>
        <v/>
      </c>
      <c r="I802">
        <f>IF($G802="","",$A$10)</f>
        <v/>
      </c>
      <c r="J802">
        <f>IF($G802="","",IF(COUNTIFS(DOC_TYPE,$I802,DOC_EQP,$H802,DOC_SCOPE,"Equipment",DOC_ACTIVE,1)+COUNTIFS(DOC_TYPE,$I802,DOC_SYS,SETUP!$B$157,DOC_SCOPE,"System",DOC_ACTIVE,1)+COUNTIFS(DOC_TYPE,$I802,DOC_SCOPE,"All",DOC_ACTIVE,1)&gt;0,"",IFERROR(IF($E$10&lt;&gt;"",$E$10-$C$10,SETUP!$D$157-$C$10),60000)+ROW()/1000000))</f>
        <v/>
      </c>
    </row>
    <row r="803">
      <c r="G803">
        <f>IF(OR(SETUP!$C$157="",$A$11="",$B$11&lt;&gt;"Equipment"),"","Equipment")</f>
        <v/>
      </c>
      <c r="H803">
        <f>IF($G803="","",SETUP!$C$157)</f>
        <v/>
      </c>
      <c r="I803">
        <f>IF($G803="","",$A$11)</f>
        <v/>
      </c>
      <c r="J803">
        <f>IF($G803="","",IF(COUNTIFS(DOC_TYPE,$I803,DOC_EQP,$H803,DOC_SCOPE,"Equipment",DOC_ACTIVE,1)+COUNTIFS(DOC_TYPE,$I803,DOC_SYS,SETUP!$B$157,DOC_SCOPE,"System",DOC_ACTIVE,1)+COUNTIFS(DOC_TYPE,$I803,DOC_SCOPE,"All",DOC_ACTIVE,1)&gt;0,"",IFERROR(IF($E$11&lt;&gt;"",$E$11-$C$11,SETUP!$D$157-$C$11),60000)+ROW()/1000000))</f>
        <v/>
      </c>
    </row>
    <row r="804">
      <c r="G804">
        <f>IF(OR(SETUP!$C$157="",$A$12="",$B$12&lt;&gt;"Equipment"),"","Equipment")</f>
        <v/>
      </c>
      <c r="H804">
        <f>IF($G804="","",SETUP!$C$157)</f>
        <v/>
      </c>
      <c r="I804">
        <f>IF($G804="","",$A$12)</f>
        <v/>
      </c>
      <c r="J804">
        <f>IF($G804="","",IF(COUNTIFS(DOC_TYPE,$I804,DOC_EQP,$H804,DOC_SCOPE,"Equipment",DOC_ACTIVE,1)+COUNTIFS(DOC_TYPE,$I804,DOC_SYS,SETUP!$B$157,DOC_SCOPE,"System",DOC_ACTIVE,1)+COUNTIFS(DOC_TYPE,$I804,DOC_SCOPE,"All",DOC_ACTIVE,1)&gt;0,"",IFERROR(IF($E$12&lt;&gt;"",$E$12-$C$12,SETUP!$D$157-$C$12),60000)+ROW()/1000000))</f>
        <v/>
      </c>
    </row>
    <row r="805">
      <c r="G805">
        <f>IF(OR(SETUP!$C$157="",$A$13="",$B$13&lt;&gt;"Equipment"),"","Equipment")</f>
        <v/>
      </c>
      <c r="H805">
        <f>IF($G805="","",SETUP!$C$157)</f>
        <v/>
      </c>
      <c r="I805">
        <f>IF($G805="","",$A$13)</f>
        <v/>
      </c>
      <c r="J805">
        <f>IF($G805="","",IF(COUNTIFS(DOC_TYPE,$I805,DOC_EQP,$H805,DOC_SCOPE,"Equipment",DOC_ACTIVE,1)+COUNTIFS(DOC_TYPE,$I805,DOC_SYS,SETUP!$B$157,DOC_SCOPE,"System",DOC_ACTIVE,1)+COUNTIFS(DOC_TYPE,$I805,DOC_SCOPE,"All",DOC_ACTIVE,1)&gt;0,"",IFERROR(IF($E$13&lt;&gt;"",$E$13-$C$13,SETUP!$D$157-$C$13),60000)+ROW()/1000000))</f>
        <v/>
      </c>
    </row>
    <row r="806">
      <c r="G806">
        <f>IF(OR(SETUP!$C$158="",$A$2="",$B$2&lt;&gt;"Equipment"),"","Equipment")</f>
        <v/>
      </c>
      <c r="H806">
        <f>IF($G806="","",SETUP!$C$158)</f>
        <v/>
      </c>
      <c r="I806">
        <f>IF($G806="","",$A$2)</f>
        <v/>
      </c>
      <c r="J806">
        <f>IF($G806="","",IF(COUNTIFS(DOC_TYPE,$I806,DOC_EQP,$H806,DOC_SCOPE,"Equipment",DOC_ACTIVE,1)+COUNTIFS(DOC_TYPE,$I806,DOC_SYS,SETUP!$B$158,DOC_SCOPE,"System",DOC_ACTIVE,1)+COUNTIFS(DOC_TYPE,$I806,DOC_SCOPE,"All",DOC_ACTIVE,1)&gt;0,"",IFERROR(IF($E$2&lt;&gt;"",$E$2-$C$2,SETUP!$D$158-$C$2),60000)+ROW()/1000000))</f>
        <v/>
      </c>
    </row>
    <row r="807">
      <c r="G807">
        <f>IF(OR(SETUP!$C$158="",$A$3="",$B$3&lt;&gt;"Equipment"),"","Equipment")</f>
        <v/>
      </c>
      <c r="H807">
        <f>IF($G807="","",SETUP!$C$158)</f>
        <v/>
      </c>
      <c r="I807">
        <f>IF($G807="","",$A$3)</f>
        <v/>
      </c>
      <c r="J807">
        <f>IF($G807="","",IF(COUNTIFS(DOC_TYPE,$I807,DOC_EQP,$H807,DOC_SCOPE,"Equipment",DOC_ACTIVE,1)+COUNTIFS(DOC_TYPE,$I807,DOC_SYS,SETUP!$B$158,DOC_SCOPE,"System",DOC_ACTIVE,1)+COUNTIFS(DOC_TYPE,$I807,DOC_SCOPE,"All",DOC_ACTIVE,1)&gt;0,"",IFERROR(IF($E$3&lt;&gt;"",$E$3-$C$3,SETUP!$D$158-$C$3),60000)+ROW()/1000000))</f>
        <v/>
      </c>
    </row>
    <row r="808">
      <c r="G808">
        <f>IF(OR(SETUP!$C$158="",$A$4="",$B$4&lt;&gt;"Equipment"),"","Equipment")</f>
        <v/>
      </c>
      <c r="H808">
        <f>IF($G808="","",SETUP!$C$158)</f>
        <v/>
      </c>
      <c r="I808">
        <f>IF($G808="","",$A$4)</f>
        <v/>
      </c>
      <c r="J808">
        <f>IF($G808="","",IF(COUNTIFS(DOC_TYPE,$I808,DOC_EQP,$H808,DOC_SCOPE,"Equipment",DOC_ACTIVE,1)+COUNTIFS(DOC_TYPE,$I808,DOC_SYS,SETUP!$B$158,DOC_SCOPE,"System",DOC_ACTIVE,1)+COUNTIFS(DOC_TYPE,$I808,DOC_SCOPE,"All",DOC_ACTIVE,1)&gt;0,"",IFERROR(IF($E$4&lt;&gt;"",$E$4-$C$4,SETUP!$D$158-$C$4),60000)+ROW()/1000000))</f>
        <v/>
      </c>
    </row>
    <row r="809">
      <c r="G809">
        <f>IF(OR(SETUP!$C$158="",$A$5="",$B$5&lt;&gt;"Equipment"),"","Equipment")</f>
        <v/>
      </c>
      <c r="H809">
        <f>IF($G809="","",SETUP!$C$158)</f>
        <v/>
      </c>
      <c r="I809">
        <f>IF($G809="","",$A$5)</f>
        <v/>
      </c>
      <c r="J809">
        <f>IF($G809="","",IF(COUNTIFS(DOC_TYPE,$I809,DOC_EQP,$H809,DOC_SCOPE,"Equipment",DOC_ACTIVE,1)+COUNTIFS(DOC_TYPE,$I809,DOC_SYS,SETUP!$B$158,DOC_SCOPE,"System",DOC_ACTIVE,1)+COUNTIFS(DOC_TYPE,$I809,DOC_SCOPE,"All",DOC_ACTIVE,1)&gt;0,"",IFERROR(IF($E$5&lt;&gt;"",$E$5-$C$5,SETUP!$D$158-$C$5),60000)+ROW()/1000000))</f>
        <v/>
      </c>
    </row>
    <row r="810">
      <c r="G810">
        <f>IF(OR(SETUP!$C$158="",$A$6="",$B$6&lt;&gt;"Equipment"),"","Equipment")</f>
        <v/>
      </c>
      <c r="H810">
        <f>IF($G810="","",SETUP!$C$158)</f>
        <v/>
      </c>
      <c r="I810">
        <f>IF($G810="","",$A$6)</f>
        <v/>
      </c>
      <c r="J810">
        <f>IF($G810="","",IF(COUNTIFS(DOC_TYPE,$I810,DOC_EQP,$H810,DOC_SCOPE,"Equipment",DOC_ACTIVE,1)+COUNTIFS(DOC_TYPE,$I810,DOC_SYS,SETUP!$B$158,DOC_SCOPE,"System",DOC_ACTIVE,1)+COUNTIFS(DOC_TYPE,$I810,DOC_SCOPE,"All",DOC_ACTIVE,1)&gt;0,"",IFERROR(IF($E$6&lt;&gt;"",$E$6-$C$6,SETUP!$D$158-$C$6),60000)+ROW()/1000000))</f>
        <v/>
      </c>
    </row>
    <row r="811">
      <c r="G811">
        <f>IF(OR(SETUP!$C$158="",$A$7="",$B$7&lt;&gt;"Equipment"),"","Equipment")</f>
        <v/>
      </c>
      <c r="H811">
        <f>IF($G811="","",SETUP!$C$158)</f>
        <v/>
      </c>
      <c r="I811">
        <f>IF($G811="","",$A$7)</f>
        <v/>
      </c>
      <c r="J811">
        <f>IF($G811="","",IF(COUNTIFS(DOC_TYPE,$I811,DOC_EQP,$H811,DOC_SCOPE,"Equipment",DOC_ACTIVE,1)+COUNTIFS(DOC_TYPE,$I811,DOC_SYS,SETUP!$B$158,DOC_SCOPE,"System",DOC_ACTIVE,1)+COUNTIFS(DOC_TYPE,$I811,DOC_SCOPE,"All",DOC_ACTIVE,1)&gt;0,"",IFERROR(IF($E$7&lt;&gt;"",$E$7-$C$7,SETUP!$D$158-$C$7),60000)+ROW()/1000000))</f>
        <v/>
      </c>
    </row>
    <row r="812">
      <c r="G812">
        <f>IF(OR(SETUP!$C$158="",$A$8="",$B$8&lt;&gt;"Equipment"),"","Equipment")</f>
        <v/>
      </c>
      <c r="H812">
        <f>IF($G812="","",SETUP!$C$158)</f>
        <v/>
      </c>
      <c r="I812">
        <f>IF($G812="","",$A$8)</f>
        <v/>
      </c>
      <c r="J812">
        <f>IF($G812="","",IF(COUNTIFS(DOC_TYPE,$I812,DOC_EQP,$H812,DOC_SCOPE,"Equipment",DOC_ACTIVE,1)+COUNTIFS(DOC_TYPE,$I812,DOC_SYS,SETUP!$B$158,DOC_SCOPE,"System",DOC_ACTIVE,1)+COUNTIFS(DOC_TYPE,$I812,DOC_SCOPE,"All",DOC_ACTIVE,1)&gt;0,"",IFERROR(IF($E$8&lt;&gt;"",$E$8-$C$8,SETUP!$D$158-$C$8),60000)+ROW()/1000000))</f>
        <v/>
      </c>
    </row>
    <row r="813">
      <c r="G813">
        <f>IF(OR(SETUP!$C$158="",$A$9="",$B$9&lt;&gt;"Equipment"),"","Equipment")</f>
        <v/>
      </c>
      <c r="H813">
        <f>IF($G813="","",SETUP!$C$158)</f>
        <v/>
      </c>
      <c r="I813">
        <f>IF($G813="","",$A$9)</f>
        <v/>
      </c>
      <c r="J813">
        <f>IF($G813="","",IF(COUNTIFS(DOC_TYPE,$I813,DOC_EQP,$H813,DOC_SCOPE,"Equipment",DOC_ACTIVE,1)+COUNTIFS(DOC_TYPE,$I813,DOC_SYS,SETUP!$B$158,DOC_SCOPE,"System",DOC_ACTIVE,1)+COUNTIFS(DOC_TYPE,$I813,DOC_SCOPE,"All",DOC_ACTIVE,1)&gt;0,"",IFERROR(IF($E$9&lt;&gt;"",$E$9-$C$9,SETUP!$D$158-$C$9),60000)+ROW()/1000000))</f>
        <v/>
      </c>
    </row>
    <row r="814">
      <c r="G814">
        <f>IF(OR(SETUP!$C$158="",$A$10="",$B$10&lt;&gt;"Equipment"),"","Equipment")</f>
        <v/>
      </c>
      <c r="H814">
        <f>IF($G814="","",SETUP!$C$158)</f>
        <v/>
      </c>
      <c r="I814">
        <f>IF($G814="","",$A$10)</f>
        <v/>
      </c>
      <c r="J814">
        <f>IF($G814="","",IF(COUNTIFS(DOC_TYPE,$I814,DOC_EQP,$H814,DOC_SCOPE,"Equipment",DOC_ACTIVE,1)+COUNTIFS(DOC_TYPE,$I814,DOC_SYS,SETUP!$B$158,DOC_SCOPE,"System",DOC_ACTIVE,1)+COUNTIFS(DOC_TYPE,$I814,DOC_SCOPE,"All",DOC_ACTIVE,1)&gt;0,"",IFERROR(IF($E$10&lt;&gt;"",$E$10-$C$10,SETUP!$D$158-$C$10),60000)+ROW()/1000000))</f>
        <v/>
      </c>
    </row>
    <row r="815">
      <c r="G815">
        <f>IF(OR(SETUP!$C$158="",$A$11="",$B$11&lt;&gt;"Equipment"),"","Equipment")</f>
        <v/>
      </c>
      <c r="H815">
        <f>IF($G815="","",SETUP!$C$158)</f>
        <v/>
      </c>
      <c r="I815">
        <f>IF($G815="","",$A$11)</f>
        <v/>
      </c>
      <c r="J815">
        <f>IF($G815="","",IF(COUNTIFS(DOC_TYPE,$I815,DOC_EQP,$H815,DOC_SCOPE,"Equipment",DOC_ACTIVE,1)+COUNTIFS(DOC_TYPE,$I815,DOC_SYS,SETUP!$B$158,DOC_SCOPE,"System",DOC_ACTIVE,1)+COUNTIFS(DOC_TYPE,$I815,DOC_SCOPE,"All",DOC_ACTIVE,1)&gt;0,"",IFERROR(IF($E$11&lt;&gt;"",$E$11-$C$11,SETUP!$D$158-$C$11),60000)+ROW()/1000000))</f>
        <v/>
      </c>
    </row>
    <row r="816">
      <c r="G816">
        <f>IF(OR(SETUP!$C$158="",$A$12="",$B$12&lt;&gt;"Equipment"),"","Equipment")</f>
        <v/>
      </c>
      <c r="H816">
        <f>IF($G816="","",SETUP!$C$158)</f>
        <v/>
      </c>
      <c r="I816">
        <f>IF($G816="","",$A$12)</f>
        <v/>
      </c>
      <c r="J816">
        <f>IF($G816="","",IF(COUNTIFS(DOC_TYPE,$I816,DOC_EQP,$H816,DOC_SCOPE,"Equipment",DOC_ACTIVE,1)+COUNTIFS(DOC_TYPE,$I816,DOC_SYS,SETUP!$B$158,DOC_SCOPE,"System",DOC_ACTIVE,1)+COUNTIFS(DOC_TYPE,$I816,DOC_SCOPE,"All",DOC_ACTIVE,1)&gt;0,"",IFERROR(IF($E$12&lt;&gt;"",$E$12-$C$12,SETUP!$D$158-$C$12),60000)+ROW()/1000000))</f>
        <v/>
      </c>
    </row>
    <row r="817">
      <c r="G817">
        <f>IF(OR(SETUP!$C$158="",$A$13="",$B$13&lt;&gt;"Equipment"),"","Equipment")</f>
        <v/>
      </c>
      <c r="H817">
        <f>IF($G817="","",SETUP!$C$158)</f>
        <v/>
      </c>
      <c r="I817">
        <f>IF($G817="","",$A$13)</f>
        <v/>
      </c>
      <c r="J817">
        <f>IF($G817="","",IF(COUNTIFS(DOC_TYPE,$I817,DOC_EQP,$H817,DOC_SCOPE,"Equipment",DOC_ACTIVE,1)+COUNTIFS(DOC_TYPE,$I817,DOC_SYS,SETUP!$B$158,DOC_SCOPE,"System",DOC_ACTIVE,1)+COUNTIFS(DOC_TYPE,$I817,DOC_SCOPE,"All",DOC_ACTIVE,1)&gt;0,"",IFERROR(IF($E$13&lt;&gt;"",$E$13-$C$13,SETUP!$D$158-$C$13),60000)+ROW()/1000000))</f>
        <v/>
      </c>
    </row>
    <row r="818">
      <c r="G818">
        <f>IF(OR(SETUP!$C$159="",$A$2="",$B$2&lt;&gt;"Equipment"),"","Equipment")</f>
        <v/>
      </c>
      <c r="H818">
        <f>IF($G818="","",SETUP!$C$159)</f>
        <v/>
      </c>
      <c r="I818">
        <f>IF($G818="","",$A$2)</f>
        <v/>
      </c>
      <c r="J818">
        <f>IF($G818="","",IF(COUNTIFS(DOC_TYPE,$I818,DOC_EQP,$H818,DOC_SCOPE,"Equipment",DOC_ACTIVE,1)+COUNTIFS(DOC_TYPE,$I818,DOC_SYS,SETUP!$B$159,DOC_SCOPE,"System",DOC_ACTIVE,1)+COUNTIFS(DOC_TYPE,$I818,DOC_SCOPE,"All",DOC_ACTIVE,1)&gt;0,"",IFERROR(IF($E$2&lt;&gt;"",$E$2-$C$2,SETUP!$D$159-$C$2),60000)+ROW()/1000000))</f>
        <v/>
      </c>
    </row>
    <row r="819">
      <c r="G819">
        <f>IF(OR(SETUP!$C$159="",$A$3="",$B$3&lt;&gt;"Equipment"),"","Equipment")</f>
        <v/>
      </c>
      <c r="H819">
        <f>IF($G819="","",SETUP!$C$159)</f>
        <v/>
      </c>
      <c r="I819">
        <f>IF($G819="","",$A$3)</f>
        <v/>
      </c>
      <c r="J819">
        <f>IF($G819="","",IF(COUNTIFS(DOC_TYPE,$I819,DOC_EQP,$H819,DOC_SCOPE,"Equipment",DOC_ACTIVE,1)+COUNTIFS(DOC_TYPE,$I819,DOC_SYS,SETUP!$B$159,DOC_SCOPE,"System",DOC_ACTIVE,1)+COUNTIFS(DOC_TYPE,$I819,DOC_SCOPE,"All",DOC_ACTIVE,1)&gt;0,"",IFERROR(IF($E$3&lt;&gt;"",$E$3-$C$3,SETUP!$D$159-$C$3),60000)+ROW()/1000000))</f>
        <v/>
      </c>
    </row>
    <row r="820">
      <c r="G820">
        <f>IF(OR(SETUP!$C$159="",$A$4="",$B$4&lt;&gt;"Equipment"),"","Equipment")</f>
        <v/>
      </c>
      <c r="H820">
        <f>IF($G820="","",SETUP!$C$159)</f>
        <v/>
      </c>
      <c r="I820">
        <f>IF($G820="","",$A$4)</f>
        <v/>
      </c>
      <c r="J820">
        <f>IF($G820="","",IF(COUNTIFS(DOC_TYPE,$I820,DOC_EQP,$H820,DOC_SCOPE,"Equipment",DOC_ACTIVE,1)+COUNTIFS(DOC_TYPE,$I820,DOC_SYS,SETUP!$B$159,DOC_SCOPE,"System",DOC_ACTIVE,1)+COUNTIFS(DOC_TYPE,$I820,DOC_SCOPE,"All",DOC_ACTIVE,1)&gt;0,"",IFERROR(IF($E$4&lt;&gt;"",$E$4-$C$4,SETUP!$D$159-$C$4),60000)+ROW()/1000000))</f>
        <v/>
      </c>
    </row>
    <row r="821">
      <c r="G821">
        <f>IF(OR(SETUP!$C$159="",$A$5="",$B$5&lt;&gt;"Equipment"),"","Equipment")</f>
        <v/>
      </c>
      <c r="H821">
        <f>IF($G821="","",SETUP!$C$159)</f>
        <v/>
      </c>
      <c r="I821">
        <f>IF($G821="","",$A$5)</f>
        <v/>
      </c>
      <c r="J821">
        <f>IF($G821="","",IF(COUNTIFS(DOC_TYPE,$I821,DOC_EQP,$H821,DOC_SCOPE,"Equipment",DOC_ACTIVE,1)+COUNTIFS(DOC_TYPE,$I821,DOC_SYS,SETUP!$B$159,DOC_SCOPE,"System",DOC_ACTIVE,1)+COUNTIFS(DOC_TYPE,$I821,DOC_SCOPE,"All",DOC_ACTIVE,1)&gt;0,"",IFERROR(IF($E$5&lt;&gt;"",$E$5-$C$5,SETUP!$D$159-$C$5),60000)+ROW()/1000000))</f>
        <v/>
      </c>
    </row>
    <row r="822">
      <c r="G822">
        <f>IF(OR(SETUP!$C$159="",$A$6="",$B$6&lt;&gt;"Equipment"),"","Equipment")</f>
        <v/>
      </c>
      <c r="H822">
        <f>IF($G822="","",SETUP!$C$159)</f>
        <v/>
      </c>
      <c r="I822">
        <f>IF($G822="","",$A$6)</f>
        <v/>
      </c>
      <c r="J822">
        <f>IF($G822="","",IF(COUNTIFS(DOC_TYPE,$I822,DOC_EQP,$H822,DOC_SCOPE,"Equipment",DOC_ACTIVE,1)+COUNTIFS(DOC_TYPE,$I822,DOC_SYS,SETUP!$B$159,DOC_SCOPE,"System",DOC_ACTIVE,1)+COUNTIFS(DOC_TYPE,$I822,DOC_SCOPE,"All",DOC_ACTIVE,1)&gt;0,"",IFERROR(IF($E$6&lt;&gt;"",$E$6-$C$6,SETUP!$D$159-$C$6),60000)+ROW()/1000000))</f>
        <v/>
      </c>
    </row>
    <row r="823">
      <c r="G823">
        <f>IF(OR(SETUP!$C$159="",$A$7="",$B$7&lt;&gt;"Equipment"),"","Equipment")</f>
        <v/>
      </c>
      <c r="H823">
        <f>IF($G823="","",SETUP!$C$159)</f>
        <v/>
      </c>
      <c r="I823">
        <f>IF($G823="","",$A$7)</f>
        <v/>
      </c>
      <c r="J823">
        <f>IF($G823="","",IF(COUNTIFS(DOC_TYPE,$I823,DOC_EQP,$H823,DOC_SCOPE,"Equipment",DOC_ACTIVE,1)+COUNTIFS(DOC_TYPE,$I823,DOC_SYS,SETUP!$B$159,DOC_SCOPE,"System",DOC_ACTIVE,1)+COUNTIFS(DOC_TYPE,$I823,DOC_SCOPE,"All",DOC_ACTIVE,1)&gt;0,"",IFERROR(IF($E$7&lt;&gt;"",$E$7-$C$7,SETUP!$D$159-$C$7),60000)+ROW()/1000000))</f>
        <v/>
      </c>
    </row>
    <row r="824">
      <c r="G824">
        <f>IF(OR(SETUP!$C$159="",$A$8="",$B$8&lt;&gt;"Equipment"),"","Equipment")</f>
        <v/>
      </c>
      <c r="H824">
        <f>IF($G824="","",SETUP!$C$159)</f>
        <v/>
      </c>
      <c r="I824">
        <f>IF($G824="","",$A$8)</f>
        <v/>
      </c>
      <c r="J824">
        <f>IF($G824="","",IF(COUNTIFS(DOC_TYPE,$I824,DOC_EQP,$H824,DOC_SCOPE,"Equipment",DOC_ACTIVE,1)+COUNTIFS(DOC_TYPE,$I824,DOC_SYS,SETUP!$B$159,DOC_SCOPE,"System",DOC_ACTIVE,1)+COUNTIFS(DOC_TYPE,$I824,DOC_SCOPE,"All",DOC_ACTIVE,1)&gt;0,"",IFERROR(IF($E$8&lt;&gt;"",$E$8-$C$8,SETUP!$D$159-$C$8),60000)+ROW()/1000000))</f>
        <v/>
      </c>
    </row>
    <row r="825">
      <c r="G825">
        <f>IF(OR(SETUP!$C$159="",$A$9="",$B$9&lt;&gt;"Equipment"),"","Equipment")</f>
        <v/>
      </c>
      <c r="H825">
        <f>IF($G825="","",SETUP!$C$159)</f>
        <v/>
      </c>
      <c r="I825">
        <f>IF($G825="","",$A$9)</f>
        <v/>
      </c>
      <c r="J825">
        <f>IF($G825="","",IF(COUNTIFS(DOC_TYPE,$I825,DOC_EQP,$H825,DOC_SCOPE,"Equipment",DOC_ACTIVE,1)+COUNTIFS(DOC_TYPE,$I825,DOC_SYS,SETUP!$B$159,DOC_SCOPE,"System",DOC_ACTIVE,1)+COUNTIFS(DOC_TYPE,$I825,DOC_SCOPE,"All",DOC_ACTIVE,1)&gt;0,"",IFERROR(IF($E$9&lt;&gt;"",$E$9-$C$9,SETUP!$D$159-$C$9),60000)+ROW()/1000000))</f>
        <v/>
      </c>
    </row>
    <row r="826">
      <c r="G826">
        <f>IF(OR(SETUP!$C$159="",$A$10="",$B$10&lt;&gt;"Equipment"),"","Equipment")</f>
        <v/>
      </c>
      <c r="H826">
        <f>IF($G826="","",SETUP!$C$159)</f>
        <v/>
      </c>
      <c r="I826">
        <f>IF($G826="","",$A$10)</f>
        <v/>
      </c>
      <c r="J826">
        <f>IF($G826="","",IF(COUNTIFS(DOC_TYPE,$I826,DOC_EQP,$H826,DOC_SCOPE,"Equipment",DOC_ACTIVE,1)+COUNTIFS(DOC_TYPE,$I826,DOC_SYS,SETUP!$B$159,DOC_SCOPE,"System",DOC_ACTIVE,1)+COUNTIFS(DOC_TYPE,$I826,DOC_SCOPE,"All",DOC_ACTIVE,1)&gt;0,"",IFERROR(IF($E$10&lt;&gt;"",$E$10-$C$10,SETUP!$D$159-$C$10),60000)+ROW()/1000000))</f>
        <v/>
      </c>
    </row>
    <row r="827">
      <c r="G827">
        <f>IF(OR(SETUP!$C$159="",$A$11="",$B$11&lt;&gt;"Equipment"),"","Equipment")</f>
        <v/>
      </c>
      <c r="H827">
        <f>IF($G827="","",SETUP!$C$159)</f>
        <v/>
      </c>
      <c r="I827">
        <f>IF($G827="","",$A$11)</f>
        <v/>
      </c>
      <c r="J827">
        <f>IF($G827="","",IF(COUNTIFS(DOC_TYPE,$I827,DOC_EQP,$H827,DOC_SCOPE,"Equipment",DOC_ACTIVE,1)+COUNTIFS(DOC_TYPE,$I827,DOC_SYS,SETUP!$B$159,DOC_SCOPE,"System",DOC_ACTIVE,1)+COUNTIFS(DOC_TYPE,$I827,DOC_SCOPE,"All",DOC_ACTIVE,1)&gt;0,"",IFERROR(IF($E$11&lt;&gt;"",$E$11-$C$11,SETUP!$D$159-$C$11),60000)+ROW()/1000000))</f>
        <v/>
      </c>
    </row>
    <row r="828">
      <c r="G828">
        <f>IF(OR(SETUP!$C$159="",$A$12="",$B$12&lt;&gt;"Equipment"),"","Equipment")</f>
        <v/>
      </c>
      <c r="H828">
        <f>IF($G828="","",SETUP!$C$159)</f>
        <v/>
      </c>
      <c r="I828">
        <f>IF($G828="","",$A$12)</f>
        <v/>
      </c>
      <c r="J828">
        <f>IF($G828="","",IF(COUNTIFS(DOC_TYPE,$I828,DOC_EQP,$H828,DOC_SCOPE,"Equipment",DOC_ACTIVE,1)+COUNTIFS(DOC_TYPE,$I828,DOC_SYS,SETUP!$B$159,DOC_SCOPE,"System",DOC_ACTIVE,1)+COUNTIFS(DOC_TYPE,$I828,DOC_SCOPE,"All",DOC_ACTIVE,1)&gt;0,"",IFERROR(IF($E$12&lt;&gt;"",$E$12-$C$12,SETUP!$D$159-$C$12),60000)+ROW()/1000000))</f>
        <v/>
      </c>
    </row>
    <row r="829">
      <c r="G829">
        <f>IF(OR(SETUP!$C$159="",$A$13="",$B$13&lt;&gt;"Equipment"),"","Equipment")</f>
        <v/>
      </c>
      <c r="H829">
        <f>IF($G829="","",SETUP!$C$159)</f>
        <v/>
      </c>
      <c r="I829">
        <f>IF($G829="","",$A$13)</f>
        <v/>
      </c>
      <c r="J829">
        <f>IF($G829="","",IF(COUNTIFS(DOC_TYPE,$I829,DOC_EQP,$H829,DOC_SCOPE,"Equipment",DOC_ACTIVE,1)+COUNTIFS(DOC_TYPE,$I829,DOC_SYS,SETUP!$B$159,DOC_SCOPE,"System",DOC_ACTIVE,1)+COUNTIFS(DOC_TYPE,$I829,DOC_SCOPE,"All",DOC_ACTIVE,1)&gt;0,"",IFERROR(IF($E$13&lt;&gt;"",$E$13-$C$13,SETUP!$D$159-$C$13),60000)+ROW()/1000000))</f>
        <v/>
      </c>
    </row>
    <row r="830">
      <c r="G830">
        <f>IF(OR(SETUP!$C$160="",$A$2="",$B$2&lt;&gt;"Equipment"),"","Equipment")</f>
        <v/>
      </c>
      <c r="H830">
        <f>IF($G830="","",SETUP!$C$160)</f>
        <v/>
      </c>
      <c r="I830">
        <f>IF($G830="","",$A$2)</f>
        <v/>
      </c>
      <c r="J830">
        <f>IF($G830="","",IF(COUNTIFS(DOC_TYPE,$I830,DOC_EQP,$H830,DOC_SCOPE,"Equipment",DOC_ACTIVE,1)+COUNTIFS(DOC_TYPE,$I830,DOC_SYS,SETUP!$B$160,DOC_SCOPE,"System",DOC_ACTIVE,1)+COUNTIFS(DOC_TYPE,$I830,DOC_SCOPE,"All",DOC_ACTIVE,1)&gt;0,"",IFERROR(IF($E$2&lt;&gt;"",$E$2-$C$2,SETUP!$D$160-$C$2),60000)+ROW()/1000000))</f>
        <v/>
      </c>
    </row>
    <row r="831">
      <c r="G831">
        <f>IF(OR(SETUP!$C$160="",$A$3="",$B$3&lt;&gt;"Equipment"),"","Equipment")</f>
        <v/>
      </c>
      <c r="H831">
        <f>IF($G831="","",SETUP!$C$160)</f>
        <v/>
      </c>
      <c r="I831">
        <f>IF($G831="","",$A$3)</f>
        <v/>
      </c>
      <c r="J831">
        <f>IF($G831="","",IF(COUNTIFS(DOC_TYPE,$I831,DOC_EQP,$H831,DOC_SCOPE,"Equipment",DOC_ACTIVE,1)+COUNTIFS(DOC_TYPE,$I831,DOC_SYS,SETUP!$B$160,DOC_SCOPE,"System",DOC_ACTIVE,1)+COUNTIFS(DOC_TYPE,$I831,DOC_SCOPE,"All",DOC_ACTIVE,1)&gt;0,"",IFERROR(IF($E$3&lt;&gt;"",$E$3-$C$3,SETUP!$D$160-$C$3),60000)+ROW()/1000000))</f>
        <v/>
      </c>
    </row>
    <row r="832">
      <c r="G832">
        <f>IF(OR(SETUP!$C$160="",$A$4="",$B$4&lt;&gt;"Equipment"),"","Equipment")</f>
        <v/>
      </c>
      <c r="H832">
        <f>IF($G832="","",SETUP!$C$160)</f>
        <v/>
      </c>
      <c r="I832">
        <f>IF($G832="","",$A$4)</f>
        <v/>
      </c>
      <c r="J832">
        <f>IF($G832="","",IF(COUNTIFS(DOC_TYPE,$I832,DOC_EQP,$H832,DOC_SCOPE,"Equipment",DOC_ACTIVE,1)+COUNTIFS(DOC_TYPE,$I832,DOC_SYS,SETUP!$B$160,DOC_SCOPE,"System",DOC_ACTIVE,1)+COUNTIFS(DOC_TYPE,$I832,DOC_SCOPE,"All",DOC_ACTIVE,1)&gt;0,"",IFERROR(IF($E$4&lt;&gt;"",$E$4-$C$4,SETUP!$D$160-$C$4),60000)+ROW()/1000000))</f>
        <v/>
      </c>
    </row>
    <row r="833">
      <c r="G833">
        <f>IF(OR(SETUP!$C$160="",$A$5="",$B$5&lt;&gt;"Equipment"),"","Equipment")</f>
        <v/>
      </c>
      <c r="H833">
        <f>IF($G833="","",SETUP!$C$160)</f>
        <v/>
      </c>
      <c r="I833">
        <f>IF($G833="","",$A$5)</f>
        <v/>
      </c>
      <c r="J833">
        <f>IF($G833="","",IF(COUNTIFS(DOC_TYPE,$I833,DOC_EQP,$H833,DOC_SCOPE,"Equipment",DOC_ACTIVE,1)+COUNTIFS(DOC_TYPE,$I833,DOC_SYS,SETUP!$B$160,DOC_SCOPE,"System",DOC_ACTIVE,1)+COUNTIFS(DOC_TYPE,$I833,DOC_SCOPE,"All",DOC_ACTIVE,1)&gt;0,"",IFERROR(IF($E$5&lt;&gt;"",$E$5-$C$5,SETUP!$D$160-$C$5),60000)+ROW()/1000000))</f>
        <v/>
      </c>
    </row>
    <row r="834">
      <c r="G834">
        <f>IF(OR(SETUP!$C$160="",$A$6="",$B$6&lt;&gt;"Equipment"),"","Equipment")</f>
        <v/>
      </c>
      <c r="H834">
        <f>IF($G834="","",SETUP!$C$160)</f>
        <v/>
      </c>
      <c r="I834">
        <f>IF($G834="","",$A$6)</f>
        <v/>
      </c>
      <c r="J834">
        <f>IF($G834="","",IF(COUNTIFS(DOC_TYPE,$I834,DOC_EQP,$H834,DOC_SCOPE,"Equipment",DOC_ACTIVE,1)+COUNTIFS(DOC_TYPE,$I834,DOC_SYS,SETUP!$B$160,DOC_SCOPE,"System",DOC_ACTIVE,1)+COUNTIFS(DOC_TYPE,$I834,DOC_SCOPE,"All",DOC_ACTIVE,1)&gt;0,"",IFERROR(IF($E$6&lt;&gt;"",$E$6-$C$6,SETUP!$D$160-$C$6),60000)+ROW()/1000000))</f>
        <v/>
      </c>
    </row>
    <row r="835">
      <c r="G835">
        <f>IF(OR(SETUP!$C$160="",$A$7="",$B$7&lt;&gt;"Equipment"),"","Equipment")</f>
        <v/>
      </c>
      <c r="H835">
        <f>IF($G835="","",SETUP!$C$160)</f>
        <v/>
      </c>
      <c r="I835">
        <f>IF($G835="","",$A$7)</f>
        <v/>
      </c>
      <c r="J835">
        <f>IF($G835="","",IF(COUNTIFS(DOC_TYPE,$I835,DOC_EQP,$H835,DOC_SCOPE,"Equipment",DOC_ACTIVE,1)+COUNTIFS(DOC_TYPE,$I835,DOC_SYS,SETUP!$B$160,DOC_SCOPE,"System",DOC_ACTIVE,1)+COUNTIFS(DOC_TYPE,$I835,DOC_SCOPE,"All",DOC_ACTIVE,1)&gt;0,"",IFERROR(IF($E$7&lt;&gt;"",$E$7-$C$7,SETUP!$D$160-$C$7),60000)+ROW()/1000000))</f>
        <v/>
      </c>
    </row>
    <row r="836">
      <c r="G836">
        <f>IF(OR(SETUP!$C$160="",$A$8="",$B$8&lt;&gt;"Equipment"),"","Equipment")</f>
        <v/>
      </c>
      <c r="H836">
        <f>IF($G836="","",SETUP!$C$160)</f>
        <v/>
      </c>
      <c r="I836">
        <f>IF($G836="","",$A$8)</f>
        <v/>
      </c>
      <c r="J836">
        <f>IF($G836="","",IF(COUNTIFS(DOC_TYPE,$I836,DOC_EQP,$H836,DOC_SCOPE,"Equipment",DOC_ACTIVE,1)+COUNTIFS(DOC_TYPE,$I836,DOC_SYS,SETUP!$B$160,DOC_SCOPE,"System",DOC_ACTIVE,1)+COUNTIFS(DOC_TYPE,$I836,DOC_SCOPE,"All",DOC_ACTIVE,1)&gt;0,"",IFERROR(IF($E$8&lt;&gt;"",$E$8-$C$8,SETUP!$D$160-$C$8),60000)+ROW()/1000000))</f>
        <v/>
      </c>
    </row>
    <row r="837">
      <c r="G837">
        <f>IF(OR(SETUP!$C$160="",$A$9="",$B$9&lt;&gt;"Equipment"),"","Equipment")</f>
        <v/>
      </c>
      <c r="H837">
        <f>IF($G837="","",SETUP!$C$160)</f>
        <v/>
      </c>
      <c r="I837">
        <f>IF($G837="","",$A$9)</f>
        <v/>
      </c>
      <c r="J837">
        <f>IF($G837="","",IF(COUNTIFS(DOC_TYPE,$I837,DOC_EQP,$H837,DOC_SCOPE,"Equipment",DOC_ACTIVE,1)+COUNTIFS(DOC_TYPE,$I837,DOC_SYS,SETUP!$B$160,DOC_SCOPE,"System",DOC_ACTIVE,1)+COUNTIFS(DOC_TYPE,$I837,DOC_SCOPE,"All",DOC_ACTIVE,1)&gt;0,"",IFERROR(IF($E$9&lt;&gt;"",$E$9-$C$9,SETUP!$D$160-$C$9),60000)+ROW()/1000000))</f>
        <v/>
      </c>
    </row>
    <row r="838">
      <c r="G838">
        <f>IF(OR(SETUP!$C$160="",$A$10="",$B$10&lt;&gt;"Equipment"),"","Equipment")</f>
        <v/>
      </c>
      <c r="H838">
        <f>IF($G838="","",SETUP!$C$160)</f>
        <v/>
      </c>
      <c r="I838">
        <f>IF($G838="","",$A$10)</f>
        <v/>
      </c>
      <c r="J838">
        <f>IF($G838="","",IF(COUNTIFS(DOC_TYPE,$I838,DOC_EQP,$H838,DOC_SCOPE,"Equipment",DOC_ACTIVE,1)+COUNTIFS(DOC_TYPE,$I838,DOC_SYS,SETUP!$B$160,DOC_SCOPE,"System",DOC_ACTIVE,1)+COUNTIFS(DOC_TYPE,$I838,DOC_SCOPE,"All",DOC_ACTIVE,1)&gt;0,"",IFERROR(IF($E$10&lt;&gt;"",$E$10-$C$10,SETUP!$D$160-$C$10),60000)+ROW()/1000000))</f>
        <v/>
      </c>
    </row>
    <row r="839">
      <c r="G839">
        <f>IF(OR(SETUP!$C$160="",$A$11="",$B$11&lt;&gt;"Equipment"),"","Equipment")</f>
        <v/>
      </c>
      <c r="H839">
        <f>IF($G839="","",SETUP!$C$160)</f>
        <v/>
      </c>
      <c r="I839">
        <f>IF($G839="","",$A$11)</f>
        <v/>
      </c>
      <c r="J839">
        <f>IF($G839="","",IF(COUNTIFS(DOC_TYPE,$I839,DOC_EQP,$H839,DOC_SCOPE,"Equipment",DOC_ACTIVE,1)+COUNTIFS(DOC_TYPE,$I839,DOC_SYS,SETUP!$B$160,DOC_SCOPE,"System",DOC_ACTIVE,1)+COUNTIFS(DOC_TYPE,$I839,DOC_SCOPE,"All",DOC_ACTIVE,1)&gt;0,"",IFERROR(IF($E$11&lt;&gt;"",$E$11-$C$11,SETUP!$D$160-$C$11),60000)+ROW()/1000000))</f>
        <v/>
      </c>
    </row>
    <row r="840">
      <c r="G840">
        <f>IF(OR(SETUP!$C$160="",$A$12="",$B$12&lt;&gt;"Equipment"),"","Equipment")</f>
        <v/>
      </c>
      <c r="H840">
        <f>IF($G840="","",SETUP!$C$160)</f>
        <v/>
      </c>
      <c r="I840">
        <f>IF($G840="","",$A$12)</f>
        <v/>
      </c>
      <c r="J840">
        <f>IF($G840="","",IF(COUNTIFS(DOC_TYPE,$I840,DOC_EQP,$H840,DOC_SCOPE,"Equipment",DOC_ACTIVE,1)+COUNTIFS(DOC_TYPE,$I840,DOC_SYS,SETUP!$B$160,DOC_SCOPE,"System",DOC_ACTIVE,1)+COUNTIFS(DOC_TYPE,$I840,DOC_SCOPE,"All",DOC_ACTIVE,1)&gt;0,"",IFERROR(IF($E$12&lt;&gt;"",$E$12-$C$12,SETUP!$D$160-$C$12),60000)+ROW()/1000000))</f>
        <v/>
      </c>
    </row>
    <row r="841">
      <c r="G841">
        <f>IF(OR(SETUP!$C$160="",$A$13="",$B$13&lt;&gt;"Equipment"),"","Equipment")</f>
        <v/>
      </c>
      <c r="H841">
        <f>IF($G841="","",SETUP!$C$160)</f>
        <v/>
      </c>
      <c r="I841">
        <f>IF($G841="","",$A$13)</f>
        <v/>
      </c>
      <c r="J841">
        <f>IF($G841="","",IF(COUNTIFS(DOC_TYPE,$I841,DOC_EQP,$H841,DOC_SCOPE,"Equipment",DOC_ACTIVE,1)+COUNTIFS(DOC_TYPE,$I841,DOC_SYS,SETUP!$B$160,DOC_SCOPE,"System",DOC_ACTIVE,1)+COUNTIFS(DOC_TYPE,$I841,DOC_SCOPE,"All",DOC_ACTIVE,1)&gt;0,"",IFERROR(IF($E$13&lt;&gt;"",$E$13-$C$13,SETUP!$D$160-$C$13),60000)+ROW()/1000000))</f>
        <v/>
      </c>
    </row>
    <row r="842">
      <c r="G842">
        <f>IF(OR(SETUP!$C$161="",$A$2="",$B$2&lt;&gt;"Equipment"),"","Equipment")</f>
        <v/>
      </c>
      <c r="H842">
        <f>IF($G842="","",SETUP!$C$161)</f>
        <v/>
      </c>
      <c r="I842">
        <f>IF($G842="","",$A$2)</f>
        <v/>
      </c>
      <c r="J842">
        <f>IF($G842="","",IF(COUNTIFS(DOC_TYPE,$I842,DOC_EQP,$H842,DOC_SCOPE,"Equipment",DOC_ACTIVE,1)+COUNTIFS(DOC_TYPE,$I842,DOC_SYS,SETUP!$B$161,DOC_SCOPE,"System",DOC_ACTIVE,1)+COUNTIFS(DOC_TYPE,$I842,DOC_SCOPE,"All",DOC_ACTIVE,1)&gt;0,"",IFERROR(IF($E$2&lt;&gt;"",$E$2-$C$2,SETUP!$D$161-$C$2),60000)+ROW()/1000000))</f>
        <v/>
      </c>
    </row>
    <row r="843">
      <c r="G843">
        <f>IF(OR(SETUP!$C$161="",$A$3="",$B$3&lt;&gt;"Equipment"),"","Equipment")</f>
        <v/>
      </c>
      <c r="H843">
        <f>IF($G843="","",SETUP!$C$161)</f>
        <v/>
      </c>
      <c r="I843">
        <f>IF($G843="","",$A$3)</f>
        <v/>
      </c>
      <c r="J843">
        <f>IF($G843="","",IF(COUNTIFS(DOC_TYPE,$I843,DOC_EQP,$H843,DOC_SCOPE,"Equipment",DOC_ACTIVE,1)+COUNTIFS(DOC_TYPE,$I843,DOC_SYS,SETUP!$B$161,DOC_SCOPE,"System",DOC_ACTIVE,1)+COUNTIFS(DOC_TYPE,$I843,DOC_SCOPE,"All",DOC_ACTIVE,1)&gt;0,"",IFERROR(IF($E$3&lt;&gt;"",$E$3-$C$3,SETUP!$D$161-$C$3),60000)+ROW()/1000000))</f>
        <v/>
      </c>
    </row>
    <row r="844">
      <c r="G844">
        <f>IF(OR(SETUP!$C$161="",$A$4="",$B$4&lt;&gt;"Equipment"),"","Equipment")</f>
        <v/>
      </c>
      <c r="H844">
        <f>IF($G844="","",SETUP!$C$161)</f>
        <v/>
      </c>
      <c r="I844">
        <f>IF($G844="","",$A$4)</f>
        <v/>
      </c>
      <c r="J844">
        <f>IF($G844="","",IF(COUNTIFS(DOC_TYPE,$I844,DOC_EQP,$H844,DOC_SCOPE,"Equipment",DOC_ACTIVE,1)+COUNTIFS(DOC_TYPE,$I844,DOC_SYS,SETUP!$B$161,DOC_SCOPE,"System",DOC_ACTIVE,1)+COUNTIFS(DOC_TYPE,$I844,DOC_SCOPE,"All",DOC_ACTIVE,1)&gt;0,"",IFERROR(IF($E$4&lt;&gt;"",$E$4-$C$4,SETUP!$D$161-$C$4),60000)+ROW()/1000000))</f>
        <v/>
      </c>
    </row>
    <row r="845">
      <c r="G845">
        <f>IF(OR(SETUP!$C$161="",$A$5="",$B$5&lt;&gt;"Equipment"),"","Equipment")</f>
        <v/>
      </c>
      <c r="H845">
        <f>IF($G845="","",SETUP!$C$161)</f>
        <v/>
      </c>
      <c r="I845">
        <f>IF($G845="","",$A$5)</f>
        <v/>
      </c>
      <c r="J845">
        <f>IF($G845="","",IF(COUNTIFS(DOC_TYPE,$I845,DOC_EQP,$H845,DOC_SCOPE,"Equipment",DOC_ACTIVE,1)+COUNTIFS(DOC_TYPE,$I845,DOC_SYS,SETUP!$B$161,DOC_SCOPE,"System",DOC_ACTIVE,1)+COUNTIFS(DOC_TYPE,$I845,DOC_SCOPE,"All",DOC_ACTIVE,1)&gt;0,"",IFERROR(IF($E$5&lt;&gt;"",$E$5-$C$5,SETUP!$D$161-$C$5),60000)+ROW()/1000000))</f>
        <v/>
      </c>
    </row>
    <row r="846">
      <c r="G846">
        <f>IF(OR(SETUP!$C$161="",$A$6="",$B$6&lt;&gt;"Equipment"),"","Equipment")</f>
        <v/>
      </c>
      <c r="H846">
        <f>IF($G846="","",SETUP!$C$161)</f>
        <v/>
      </c>
      <c r="I846">
        <f>IF($G846="","",$A$6)</f>
        <v/>
      </c>
      <c r="J846">
        <f>IF($G846="","",IF(COUNTIFS(DOC_TYPE,$I846,DOC_EQP,$H846,DOC_SCOPE,"Equipment",DOC_ACTIVE,1)+COUNTIFS(DOC_TYPE,$I846,DOC_SYS,SETUP!$B$161,DOC_SCOPE,"System",DOC_ACTIVE,1)+COUNTIFS(DOC_TYPE,$I846,DOC_SCOPE,"All",DOC_ACTIVE,1)&gt;0,"",IFERROR(IF($E$6&lt;&gt;"",$E$6-$C$6,SETUP!$D$161-$C$6),60000)+ROW()/1000000))</f>
        <v/>
      </c>
    </row>
    <row r="847">
      <c r="G847">
        <f>IF(OR(SETUP!$C$161="",$A$7="",$B$7&lt;&gt;"Equipment"),"","Equipment")</f>
        <v/>
      </c>
      <c r="H847">
        <f>IF($G847="","",SETUP!$C$161)</f>
        <v/>
      </c>
      <c r="I847">
        <f>IF($G847="","",$A$7)</f>
        <v/>
      </c>
      <c r="J847">
        <f>IF($G847="","",IF(COUNTIFS(DOC_TYPE,$I847,DOC_EQP,$H847,DOC_SCOPE,"Equipment",DOC_ACTIVE,1)+COUNTIFS(DOC_TYPE,$I847,DOC_SYS,SETUP!$B$161,DOC_SCOPE,"System",DOC_ACTIVE,1)+COUNTIFS(DOC_TYPE,$I847,DOC_SCOPE,"All",DOC_ACTIVE,1)&gt;0,"",IFERROR(IF($E$7&lt;&gt;"",$E$7-$C$7,SETUP!$D$161-$C$7),60000)+ROW()/1000000))</f>
        <v/>
      </c>
    </row>
    <row r="848">
      <c r="G848">
        <f>IF(OR(SETUP!$C$161="",$A$8="",$B$8&lt;&gt;"Equipment"),"","Equipment")</f>
        <v/>
      </c>
      <c r="H848">
        <f>IF($G848="","",SETUP!$C$161)</f>
        <v/>
      </c>
      <c r="I848">
        <f>IF($G848="","",$A$8)</f>
        <v/>
      </c>
      <c r="J848">
        <f>IF($G848="","",IF(COUNTIFS(DOC_TYPE,$I848,DOC_EQP,$H848,DOC_SCOPE,"Equipment",DOC_ACTIVE,1)+COUNTIFS(DOC_TYPE,$I848,DOC_SYS,SETUP!$B$161,DOC_SCOPE,"System",DOC_ACTIVE,1)+COUNTIFS(DOC_TYPE,$I848,DOC_SCOPE,"All",DOC_ACTIVE,1)&gt;0,"",IFERROR(IF($E$8&lt;&gt;"",$E$8-$C$8,SETUP!$D$161-$C$8),60000)+ROW()/1000000))</f>
        <v/>
      </c>
    </row>
    <row r="849">
      <c r="G849">
        <f>IF(OR(SETUP!$C$161="",$A$9="",$B$9&lt;&gt;"Equipment"),"","Equipment")</f>
        <v/>
      </c>
      <c r="H849">
        <f>IF($G849="","",SETUP!$C$161)</f>
        <v/>
      </c>
      <c r="I849">
        <f>IF($G849="","",$A$9)</f>
        <v/>
      </c>
      <c r="J849">
        <f>IF($G849="","",IF(COUNTIFS(DOC_TYPE,$I849,DOC_EQP,$H849,DOC_SCOPE,"Equipment",DOC_ACTIVE,1)+COUNTIFS(DOC_TYPE,$I849,DOC_SYS,SETUP!$B$161,DOC_SCOPE,"System",DOC_ACTIVE,1)+COUNTIFS(DOC_TYPE,$I849,DOC_SCOPE,"All",DOC_ACTIVE,1)&gt;0,"",IFERROR(IF($E$9&lt;&gt;"",$E$9-$C$9,SETUP!$D$161-$C$9),60000)+ROW()/1000000))</f>
        <v/>
      </c>
    </row>
    <row r="850">
      <c r="G850">
        <f>IF(OR(SETUP!$C$161="",$A$10="",$B$10&lt;&gt;"Equipment"),"","Equipment")</f>
        <v/>
      </c>
      <c r="H850">
        <f>IF($G850="","",SETUP!$C$161)</f>
        <v/>
      </c>
      <c r="I850">
        <f>IF($G850="","",$A$10)</f>
        <v/>
      </c>
      <c r="J850">
        <f>IF($G850="","",IF(COUNTIFS(DOC_TYPE,$I850,DOC_EQP,$H850,DOC_SCOPE,"Equipment",DOC_ACTIVE,1)+COUNTIFS(DOC_TYPE,$I850,DOC_SYS,SETUP!$B$161,DOC_SCOPE,"System",DOC_ACTIVE,1)+COUNTIFS(DOC_TYPE,$I850,DOC_SCOPE,"All",DOC_ACTIVE,1)&gt;0,"",IFERROR(IF($E$10&lt;&gt;"",$E$10-$C$10,SETUP!$D$161-$C$10),60000)+ROW()/1000000))</f>
        <v/>
      </c>
    </row>
    <row r="851">
      <c r="G851">
        <f>IF(OR(SETUP!$C$161="",$A$11="",$B$11&lt;&gt;"Equipment"),"","Equipment")</f>
        <v/>
      </c>
      <c r="H851">
        <f>IF($G851="","",SETUP!$C$161)</f>
        <v/>
      </c>
      <c r="I851">
        <f>IF($G851="","",$A$11)</f>
        <v/>
      </c>
      <c r="J851">
        <f>IF($G851="","",IF(COUNTIFS(DOC_TYPE,$I851,DOC_EQP,$H851,DOC_SCOPE,"Equipment",DOC_ACTIVE,1)+COUNTIFS(DOC_TYPE,$I851,DOC_SYS,SETUP!$B$161,DOC_SCOPE,"System",DOC_ACTIVE,1)+COUNTIFS(DOC_TYPE,$I851,DOC_SCOPE,"All",DOC_ACTIVE,1)&gt;0,"",IFERROR(IF($E$11&lt;&gt;"",$E$11-$C$11,SETUP!$D$161-$C$11),60000)+ROW()/1000000))</f>
        <v/>
      </c>
    </row>
    <row r="852">
      <c r="G852">
        <f>IF(OR(SETUP!$C$161="",$A$12="",$B$12&lt;&gt;"Equipment"),"","Equipment")</f>
        <v/>
      </c>
      <c r="H852">
        <f>IF($G852="","",SETUP!$C$161)</f>
        <v/>
      </c>
      <c r="I852">
        <f>IF($G852="","",$A$12)</f>
        <v/>
      </c>
      <c r="J852">
        <f>IF($G852="","",IF(COUNTIFS(DOC_TYPE,$I852,DOC_EQP,$H852,DOC_SCOPE,"Equipment",DOC_ACTIVE,1)+COUNTIFS(DOC_TYPE,$I852,DOC_SYS,SETUP!$B$161,DOC_SCOPE,"System",DOC_ACTIVE,1)+COUNTIFS(DOC_TYPE,$I852,DOC_SCOPE,"All",DOC_ACTIVE,1)&gt;0,"",IFERROR(IF($E$12&lt;&gt;"",$E$12-$C$12,SETUP!$D$161-$C$12),60000)+ROW()/1000000))</f>
        <v/>
      </c>
    </row>
    <row r="853">
      <c r="G853">
        <f>IF(OR(SETUP!$C$161="",$A$13="",$B$13&lt;&gt;"Equipment"),"","Equipment")</f>
        <v/>
      </c>
      <c r="H853">
        <f>IF($G853="","",SETUP!$C$161)</f>
        <v/>
      </c>
      <c r="I853">
        <f>IF($G853="","",$A$13)</f>
        <v/>
      </c>
      <c r="J853">
        <f>IF($G853="","",IF(COUNTIFS(DOC_TYPE,$I853,DOC_EQP,$H853,DOC_SCOPE,"Equipment",DOC_ACTIVE,1)+COUNTIFS(DOC_TYPE,$I853,DOC_SYS,SETUP!$B$161,DOC_SCOPE,"System",DOC_ACTIVE,1)+COUNTIFS(DOC_TYPE,$I853,DOC_SCOPE,"All",DOC_ACTIVE,1)&gt;0,"",IFERROR(IF($E$13&lt;&gt;"",$E$13-$C$13,SETUP!$D$161-$C$13),60000)+ROW()/1000000))</f>
        <v/>
      </c>
    </row>
    <row r="854">
      <c r="G854">
        <f>IF(OR(SETUP!$C$162="",$A$2="",$B$2&lt;&gt;"Equipment"),"","Equipment")</f>
        <v/>
      </c>
      <c r="H854">
        <f>IF($G854="","",SETUP!$C$162)</f>
        <v/>
      </c>
      <c r="I854">
        <f>IF($G854="","",$A$2)</f>
        <v/>
      </c>
      <c r="J854">
        <f>IF($G854="","",IF(COUNTIFS(DOC_TYPE,$I854,DOC_EQP,$H854,DOC_SCOPE,"Equipment",DOC_ACTIVE,1)+COUNTIFS(DOC_TYPE,$I854,DOC_SYS,SETUP!$B$162,DOC_SCOPE,"System",DOC_ACTIVE,1)+COUNTIFS(DOC_TYPE,$I854,DOC_SCOPE,"All",DOC_ACTIVE,1)&gt;0,"",IFERROR(IF($E$2&lt;&gt;"",$E$2-$C$2,SETUP!$D$162-$C$2),60000)+ROW()/1000000))</f>
        <v/>
      </c>
    </row>
    <row r="855">
      <c r="G855">
        <f>IF(OR(SETUP!$C$162="",$A$3="",$B$3&lt;&gt;"Equipment"),"","Equipment")</f>
        <v/>
      </c>
      <c r="H855">
        <f>IF($G855="","",SETUP!$C$162)</f>
        <v/>
      </c>
      <c r="I855">
        <f>IF($G855="","",$A$3)</f>
        <v/>
      </c>
      <c r="J855">
        <f>IF($G855="","",IF(COUNTIFS(DOC_TYPE,$I855,DOC_EQP,$H855,DOC_SCOPE,"Equipment",DOC_ACTIVE,1)+COUNTIFS(DOC_TYPE,$I855,DOC_SYS,SETUP!$B$162,DOC_SCOPE,"System",DOC_ACTIVE,1)+COUNTIFS(DOC_TYPE,$I855,DOC_SCOPE,"All",DOC_ACTIVE,1)&gt;0,"",IFERROR(IF($E$3&lt;&gt;"",$E$3-$C$3,SETUP!$D$162-$C$3),60000)+ROW()/1000000))</f>
        <v/>
      </c>
    </row>
    <row r="856">
      <c r="G856">
        <f>IF(OR(SETUP!$C$162="",$A$4="",$B$4&lt;&gt;"Equipment"),"","Equipment")</f>
        <v/>
      </c>
      <c r="H856">
        <f>IF($G856="","",SETUP!$C$162)</f>
        <v/>
      </c>
      <c r="I856">
        <f>IF($G856="","",$A$4)</f>
        <v/>
      </c>
      <c r="J856">
        <f>IF($G856="","",IF(COUNTIFS(DOC_TYPE,$I856,DOC_EQP,$H856,DOC_SCOPE,"Equipment",DOC_ACTIVE,1)+COUNTIFS(DOC_TYPE,$I856,DOC_SYS,SETUP!$B$162,DOC_SCOPE,"System",DOC_ACTIVE,1)+COUNTIFS(DOC_TYPE,$I856,DOC_SCOPE,"All",DOC_ACTIVE,1)&gt;0,"",IFERROR(IF($E$4&lt;&gt;"",$E$4-$C$4,SETUP!$D$162-$C$4),60000)+ROW()/1000000))</f>
        <v/>
      </c>
    </row>
    <row r="857">
      <c r="G857">
        <f>IF(OR(SETUP!$C$162="",$A$5="",$B$5&lt;&gt;"Equipment"),"","Equipment")</f>
        <v/>
      </c>
      <c r="H857">
        <f>IF($G857="","",SETUP!$C$162)</f>
        <v/>
      </c>
      <c r="I857">
        <f>IF($G857="","",$A$5)</f>
        <v/>
      </c>
      <c r="J857">
        <f>IF($G857="","",IF(COUNTIFS(DOC_TYPE,$I857,DOC_EQP,$H857,DOC_SCOPE,"Equipment",DOC_ACTIVE,1)+COUNTIFS(DOC_TYPE,$I857,DOC_SYS,SETUP!$B$162,DOC_SCOPE,"System",DOC_ACTIVE,1)+COUNTIFS(DOC_TYPE,$I857,DOC_SCOPE,"All",DOC_ACTIVE,1)&gt;0,"",IFERROR(IF($E$5&lt;&gt;"",$E$5-$C$5,SETUP!$D$162-$C$5),60000)+ROW()/1000000))</f>
        <v/>
      </c>
    </row>
    <row r="858">
      <c r="G858">
        <f>IF(OR(SETUP!$C$162="",$A$6="",$B$6&lt;&gt;"Equipment"),"","Equipment")</f>
        <v/>
      </c>
      <c r="H858">
        <f>IF($G858="","",SETUP!$C$162)</f>
        <v/>
      </c>
      <c r="I858">
        <f>IF($G858="","",$A$6)</f>
        <v/>
      </c>
      <c r="J858">
        <f>IF($G858="","",IF(COUNTIFS(DOC_TYPE,$I858,DOC_EQP,$H858,DOC_SCOPE,"Equipment",DOC_ACTIVE,1)+COUNTIFS(DOC_TYPE,$I858,DOC_SYS,SETUP!$B$162,DOC_SCOPE,"System",DOC_ACTIVE,1)+COUNTIFS(DOC_TYPE,$I858,DOC_SCOPE,"All",DOC_ACTIVE,1)&gt;0,"",IFERROR(IF($E$6&lt;&gt;"",$E$6-$C$6,SETUP!$D$162-$C$6),60000)+ROW()/1000000))</f>
        <v/>
      </c>
    </row>
    <row r="859">
      <c r="G859">
        <f>IF(OR(SETUP!$C$162="",$A$7="",$B$7&lt;&gt;"Equipment"),"","Equipment")</f>
        <v/>
      </c>
      <c r="H859">
        <f>IF($G859="","",SETUP!$C$162)</f>
        <v/>
      </c>
      <c r="I859">
        <f>IF($G859="","",$A$7)</f>
        <v/>
      </c>
      <c r="J859">
        <f>IF($G859="","",IF(COUNTIFS(DOC_TYPE,$I859,DOC_EQP,$H859,DOC_SCOPE,"Equipment",DOC_ACTIVE,1)+COUNTIFS(DOC_TYPE,$I859,DOC_SYS,SETUP!$B$162,DOC_SCOPE,"System",DOC_ACTIVE,1)+COUNTIFS(DOC_TYPE,$I859,DOC_SCOPE,"All",DOC_ACTIVE,1)&gt;0,"",IFERROR(IF($E$7&lt;&gt;"",$E$7-$C$7,SETUP!$D$162-$C$7),60000)+ROW()/1000000))</f>
        <v/>
      </c>
    </row>
    <row r="860">
      <c r="G860">
        <f>IF(OR(SETUP!$C$162="",$A$8="",$B$8&lt;&gt;"Equipment"),"","Equipment")</f>
        <v/>
      </c>
      <c r="H860">
        <f>IF($G860="","",SETUP!$C$162)</f>
        <v/>
      </c>
      <c r="I860">
        <f>IF($G860="","",$A$8)</f>
        <v/>
      </c>
      <c r="J860">
        <f>IF($G860="","",IF(COUNTIFS(DOC_TYPE,$I860,DOC_EQP,$H860,DOC_SCOPE,"Equipment",DOC_ACTIVE,1)+COUNTIFS(DOC_TYPE,$I860,DOC_SYS,SETUP!$B$162,DOC_SCOPE,"System",DOC_ACTIVE,1)+COUNTIFS(DOC_TYPE,$I860,DOC_SCOPE,"All",DOC_ACTIVE,1)&gt;0,"",IFERROR(IF($E$8&lt;&gt;"",$E$8-$C$8,SETUP!$D$162-$C$8),60000)+ROW()/1000000))</f>
        <v/>
      </c>
    </row>
    <row r="861">
      <c r="G861">
        <f>IF(OR(SETUP!$C$162="",$A$9="",$B$9&lt;&gt;"Equipment"),"","Equipment")</f>
        <v/>
      </c>
      <c r="H861">
        <f>IF($G861="","",SETUP!$C$162)</f>
        <v/>
      </c>
      <c r="I861">
        <f>IF($G861="","",$A$9)</f>
        <v/>
      </c>
      <c r="J861">
        <f>IF($G861="","",IF(COUNTIFS(DOC_TYPE,$I861,DOC_EQP,$H861,DOC_SCOPE,"Equipment",DOC_ACTIVE,1)+COUNTIFS(DOC_TYPE,$I861,DOC_SYS,SETUP!$B$162,DOC_SCOPE,"System",DOC_ACTIVE,1)+COUNTIFS(DOC_TYPE,$I861,DOC_SCOPE,"All",DOC_ACTIVE,1)&gt;0,"",IFERROR(IF($E$9&lt;&gt;"",$E$9-$C$9,SETUP!$D$162-$C$9),60000)+ROW()/1000000))</f>
        <v/>
      </c>
    </row>
    <row r="862">
      <c r="G862">
        <f>IF(OR(SETUP!$C$162="",$A$10="",$B$10&lt;&gt;"Equipment"),"","Equipment")</f>
        <v/>
      </c>
      <c r="H862">
        <f>IF($G862="","",SETUP!$C$162)</f>
        <v/>
      </c>
      <c r="I862">
        <f>IF($G862="","",$A$10)</f>
        <v/>
      </c>
      <c r="J862">
        <f>IF($G862="","",IF(COUNTIFS(DOC_TYPE,$I862,DOC_EQP,$H862,DOC_SCOPE,"Equipment",DOC_ACTIVE,1)+COUNTIFS(DOC_TYPE,$I862,DOC_SYS,SETUP!$B$162,DOC_SCOPE,"System",DOC_ACTIVE,1)+COUNTIFS(DOC_TYPE,$I862,DOC_SCOPE,"All",DOC_ACTIVE,1)&gt;0,"",IFERROR(IF($E$10&lt;&gt;"",$E$10-$C$10,SETUP!$D$162-$C$10),60000)+ROW()/1000000))</f>
        <v/>
      </c>
    </row>
    <row r="863">
      <c r="G863">
        <f>IF(OR(SETUP!$C$162="",$A$11="",$B$11&lt;&gt;"Equipment"),"","Equipment")</f>
        <v/>
      </c>
      <c r="H863">
        <f>IF($G863="","",SETUP!$C$162)</f>
        <v/>
      </c>
      <c r="I863">
        <f>IF($G863="","",$A$11)</f>
        <v/>
      </c>
      <c r="J863">
        <f>IF($G863="","",IF(COUNTIFS(DOC_TYPE,$I863,DOC_EQP,$H863,DOC_SCOPE,"Equipment",DOC_ACTIVE,1)+COUNTIFS(DOC_TYPE,$I863,DOC_SYS,SETUP!$B$162,DOC_SCOPE,"System",DOC_ACTIVE,1)+COUNTIFS(DOC_TYPE,$I863,DOC_SCOPE,"All",DOC_ACTIVE,1)&gt;0,"",IFERROR(IF($E$11&lt;&gt;"",$E$11-$C$11,SETUP!$D$162-$C$11),60000)+ROW()/1000000))</f>
        <v/>
      </c>
    </row>
    <row r="864">
      <c r="G864">
        <f>IF(OR(SETUP!$C$162="",$A$12="",$B$12&lt;&gt;"Equipment"),"","Equipment")</f>
        <v/>
      </c>
      <c r="H864">
        <f>IF($G864="","",SETUP!$C$162)</f>
        <v/>
      </c>
      <c r="I864">
        <f>IF($G864="","",$A$12)</f>
        <v/>
      </c>
      <c r="J864">
        <f>IF($G864="","",IF(COUNTIFS(DOC_TYPE,$I864,DOC_EQP,$H864,DOC_SCOPE,"Equipment",DOC_ACTIVE,1)+COUNTIFS(DOC_TYPE,$I864,DOC_SYS,SETUP!$B$162,DOC_SCOPE,"System",DOC_ACTIVE,1)+COUNTIFS(DOC_TYPE,$I864,DOC_SCOPE,"All",DOC_ACTIVE,1)&gt;0,"",IFERROR(IF($E$12&lt;&gt;"",$E$12-$C$12,SETUP!$D$162-$C$12),60000)+ROW()/1000000))</f>
        <v/>
      </c>
    </row>
    <row r="865">
      <c r="G865">
        <f>IF(OR(SETUP!$C$162="",$A$13="",$B$13&lt;&gt;"Equipment"),"","Equipment")</f>
        <v/>
      </c>
      <c r="H865">
        <f>IF($G865="","",SETUP!$C$162)</f>
        <v/>
      </c>
      <c r="I865">
        <f>IF($G865="","",$A$13)</f>
        <v/>
      </c>
      <c r="J865">
        <f>IF($G865="","",IF(COUNTIFS(DOC_TYPE,$I865,DOC_EQP,$H865,DOC_SCOPE,"Equipment",DOC_ACTIVE,1)+COUNTIFS(DOC_TYPE,$I865,DOC_SYS,SETUP!$B$162,DOC_SCOPE,"System",DOC_ACTIVE,1)+COUNTIFS(DOC_TYPE,$I865,DOC_SCOPE,"All",DOC_ACTIVE,1)&gt;0,"",IFERROR(IF($E$13&lt;&gt;"",$E$13-$C$13,SETUP!$D$162-$C$13),60000)+ROW()/1000000))</f>
        <v/>
      </c>
    </row>
    <row r="866">
      <c r="G866">
        <f>IF(OR(SETUP!$C$163="",$A$2="",$B$2&lt;&gt;"Equipment"),"","Equipment")</f>
        <v/>
      </c>
      <c r="H866">
        <f>IF($G866="","",SETUP!$C$163)</f>
        <v/>
      </c>
      <c r="I866">
        <f>IF($G866="","",$A$2)</f>
        <v/>
      </c>
      <c r="J866">
        <f>IF($G866="","",IF(COUNTIFS(DOC_TYPE,$I866,DOC_EQP,$H866,DOC_SCOPE,"Equipment",DOC_ACTIVE,1)+COUNTIFS(DOC_TYPE,$I866,DOC_SYS,SETUP!$B$163,DOC_SCOPE,"System",DOC_ACTIVE,1)+COUNTIFS(DOC_TYPE,$I866,DOC_SCOPE,"All",DOC_ACTIVE,1)&gt;0,"",IFERROR(IF($E$2&lt;&gt;"",$E$2-$C$2,SETUP!$D$163-$C$2),60000)+ROW()/1000000))</f>
        <v/>
      </c>
    </row>
    <row r="867">
      <c r="G867">
        <f>IF(OR(SETUP!$C$163="",$A$3="",$B$3&lt;&gt;"Equipment"),"","Equipment")</f>
        <v/>
      </c>
      <c r="H867">
        <f>IF($G867="","",SETUP!$C$163)</f>
        <v/>
      </c>
      <c r="I867">
        <f>IF($G867="","",$A$3)</f>
        <v/>
      </c>
      <c r="J867">
        <f>IF($G867="","",IF(COUNTIFS(DOC_TYPE,$I867,DOC_EQP,$H867,DOC_SCOPE,"Equipment",DOC_ACTIVE,1)+COUNTIFS(DOC_TYPE,$I867,DOC_SYS,SETUP!$B$163,DOC_SCOPE,"System",DOC_ACTIVE,1)+COUNTIFS(DOC_TYPE,$I867,DOC_SCOPE,"All",DOC_ACTIVE,1)&gt;0,"",IFERROR(IF($E$3&lt;&gt;"",$E$3-$C$3,SETUP!$D$163-$C$3),60000)+ROW()/1000000))</f>
        <v/>
      </c>
    </row>
    <row r="868">
      <c r="G868">
        <f>IF(OR(SETUP!$C$163="",$A$4="",$B$4&lt;&gt;"Equipment"),"","Equipment")</f>
        <v/>
      </c>
      <c r="H868">
        <f>IF($G868="","",SETUP!$C$163)</f>
        <v/>
      </c>
      <c r="I868">
        <f>IF($G868="","",$A$4)</f>
        <v/>
      </c>
      <c r="J868">
        <f>IF($G868="","",IF(COUNTIFS(DOC_TYPE,$I868,DOC_EQP,$H868,DOC_SCOPE,"Equipment",DOC_ACTIVE,1)+COUNTIFS(DOC_TYPE,$I868,DOC_SYS,SETUP!$B$163,DOC_SCOPE,"System",DOC_ACTIVE,1)+COUNTIFS(DOC_TYPE,$I868,DOC_SCOPE,"All",DOC_ACTIVE,1)&gt;0,"",IFERROR(IF($E$4&lt;&gt;"",$E$4-$C$4,SETUP!$D$163-$C$4),60000)+ROW()/1000000))</f>
        <v/>
      </c>
    </row>
    <row r="869">
      <c r="G869">
        <f>IF(OR(SETUP!$C$163="",$A$5="",$B$5&lt;&gt;"Equipment"),"","Equipment")</f>
        <v/>
      </c>
      <c r="H869">
        <f>IF($G869="","",SETUP!$C$163)</f>
        <v/>
      </c>
      <c r="I869">
        <f>IF($G869="","",$A$5)</f>
        <v/>
      </c>
      <c r="J869">
        <f>IF($G869="","",IF(COUNTIFS(DOC_TYPE,$I869,DOC_EQP,$H869,DOC_SCOPE,"Equipment",DOC_ACTIVE,1)+COUNTIFS(DOC_TYPE,$I869,DOC_SYS,SETUP!$B$163,DOC_SCOPE,"System",DOC_ACTIVE,1)+COUNTIFS(DOC_TYPE,$I869,DOC_SCOPE,"All",DOC_ACTIVE,1)&gt;0,"",IFERROR(IF($E$5&lt;&gt;"",$E$5-$C$5,SETUP!$D$163-$C$5),60000)+ROW()/1000000))</f>
        <v/>
      </c>
    </row>
    <row r="870">
      <c r="G870">
        <f>IF(OR(SETUP!$C$163="",$A$6="",$B$6&lt;&gt;"Equipment"),"","Equipment")</f>
        <v/>
      </c>
      <c r="H870">
        <f>IF($G870="","",SETUP!$C$163)</f>
        <v/>
      </c>
      <c r="I870">
        <f>IF($G870="","",$A$6)</f>
        <v/>
      </c>
      <c r="J870">
        <f>IF($G870="","",IF(COUNTIFS(DOC_TYPE,$I870,DOC_EQP,$H870,DOC_SCOPE,"Equipment",DOC_ACTIVE,1)+COUNTIFS(DOC_TYPE,$I870,DOC_SYS,SETUP!$B$163,DOC_SCOPE,"System",DOC_ACTIVE,1)+COUNTIFS(DOC_TYPE,$I870,DOC_SCOPE,"All",DOC_ACTIVE,1)&gt;0,"",IFERROR(IF($E$6&lt;&gt;"",$E$6-$C$6,SETUP!$D$163-$C$6),60000)+ROW()/1000000))</f>
        <v/>
      </c>
    </row>
    <row r="871">
      <c r="G871">
        <f>IF(OR(SETUP!$C$163="",$A$7="",$B$7&lt;&gt;"Equipment"),"","Equipment")</f>
        <v/>
      </c>
      <c r="H871">
        <f>IF($G871="","",SETUP!$C$163)</f>
        <v/>
      </c>
      <c r="I871">
        <f>IF($G871="","",$A$7)</f>
        <v/>
      </c>
      <c r="J871">
        <f>IF($G871="","",IF(COUNTIFS(DOC_TYPE,$I871,DOC_EQP,$H871,DOC_SCOPE,"Equipment",DOC_ACTIVE,1)+COUNTIFS(DOC_TYPE,$I871,DOC_SYS,SETUP!$B$163,DOC_SCOPE,"System",DOC_ACTIVE,1)+COUNTIFS(DOC_TYPE,$I871,DOC_SCOPE,"All",DOC_ACTIVE,1)&gt;0,"",IFERROR(IF($E$7&lt;&gt;"",$E$7-$C$7,SETUP!$D$163-$C$7),60000)+ROW()/1000000))</f>
        <v/>
      </c>
    </row>
    <row r="872">
      <c r="G872">
        <f>IF(OR(SETUP!$C$163="",$A$8="",$B$8&lt;&gt;"Equipment"),"","Equipment")</f>
        <v/>
      </c>
      <c r="H872">
        <f>IF($G872="","",SETUP!$C$163)</f>
        <v/>
      </c>
      <c r="I872">
        <f>IF($G872="","",$A$8)</f>
        <v/>
      </c>
      <c r="J872">
        <f>IF($G872="","",IF(COUNTIFS(DOC_TYPE,$I872,DOC_EQP,$H872,DOC_SCOPE,"Equipment",DOC_ACTIVE,1)+COUNTIFS(DOC_TYPE,$I872,DOC_SYS,SETUP!$B$163,DOC_SCOPE,"System",DOC_ACTIVE,1)+COUNTIFS(DOC_TYPE,$I872,DOC_SCOPE,"All",DOC_ACTIVE,1)&gt;0,"",IFERROR(IF($E$8&lt;&gt;"",$E$8-$C$8,SETUP!$D$163-$C$8),60000)+ROW()/1000000))</f>
        <v/>
      </c>
    </row>
    <row r="873">
      <c r="G873">
        <f>IF(OR(SETUP!$C$163="",$A$9="",$B$9&lt;&gt;"Equipment"),"","Equipment")</f>
        <v/>
      </c>
      <c r="H873">
        <f>IF($G873="","",SETUP!$C$163)</f>
        <v/>
      </c>
      <c r="I873">
        <f>IF($G873="","",$A$9)</f>
        <v/>
      </c>
      <c r="J873">
        <f>IF($G873="","",IF(COUNTIFS(DOC_TYPE,$I873,DOC_EQP,$H873,DOC_SCOPE,"Equipment",DOC_ACTIVE,1)+COUNTIFS(DOC_TYPE,$I873,DOC_SYS,SETUP!$B$163,DOC_SCOPE,"System",DOC_ACTIVE,1)+COUNTIFS(DOC_TYPE,$I873,DOC_SCOPE,"All",DOC_ACTIVE,1)&gt;0,"",IFERROR(IF($E$9&lt;&gt;"",$E$9-$C$9,SETUP!$D$163-$C$9),60000)+ROW()/1000000))</f>
        <v/>
      </c>
    </row>
    <row r="874">
      <c r="G874">
        <f>IF(OR(SETUP!$C$163="",$A$10="",$B$10&lt;&gt;"Equipment"),"","Equipment")</f>
        <v/>
      </c>
      <c r="H874">
        <f>IF($G874="","",SETUP!$C$163)</f>
        <v/>
      </c>
      <c r="I874">
        <f>IF($G874="","",$A$10)</f>
        <v/>
      </c>
      <c r="J874">
        <f>IF($G874="","",IF(COUNTIFS(DOC_TYPE,$I874,DOC_EQP,$H874,DOC_SCOPE,"Equipment",DOC_ACTIVE,1)+COUNTIFS(DOC_TYPE,$I874,DOC_SYS,SETUP!$B$163,DOC_SCOPE,"System",DOC_ACTIVE,1)+COUNTIFS(DOC_TYPE,$I874,DOC_SCOPE,"All",DOC_ACTIVE,1)&gt;0,"",IFERROR(IF($E$10&lt;&gt;"",$E$10-$C$10,SETUP!$D$163-$C$10),60000)+ROW()/1000000))</f>
        <v/>
      </c>
    </row>
    <row r="875">
      <c r="G875">
        <f>IF(OR(SETUP!$C$163="",$A$11="",$B$11&lt;&gt;"Equipment"),"","Equipment")</f>
        <v/>
      </c>
      <c r="H875">
        <f>IF($G875="","",SETUP!$C$163)</f>
        <v/>
      </c>
      <c r="I875">
        <f>IF($G875="","",$A$11)</f>
        <v/>
      </c>
      <c r="J875">
        <f>IF($G875="","",IF(COUNTIFS(DOC_TYPE,$I875,DOC_EQP,$H875,DOC_SCOPE,"Equipment",DOC_ACTIVE,1)+COUNTIFS(DOC_TYPE,$I875,DOC_SYS,SETUP!$B$163,DOC_SCOPE,"System",DOC_ACTIVE,1)+COUNTIFS(DOC_TYPE,$I875,DOC_SCOPE,"All",DOC_ACTIVE,1)&gt;0,"",IFERROR(IF($E$11&lt;&gt;"",$E$11-$C$11,SETUP!$D$163-$C$11),60000)+ROW()/1000000))</f>
        <v/>
      </c>
    </row>
    <row r="876">
      <c r="G876">
        <f>IF(OR(SETUP!$C$163="",$A$12="",$B$12&lt;&gt;"Equipment"),"","Equipment")</f>
        <v/>
      </c>
      <c r="H876">
        <f>IF($G876="","",SETUP!$C$163)</f>
        <v/>
      </c>
      <c r="I876">
        <f>IF($G876="","",$A$12)</f>
        <v/>
      </c>
      <c r="J876">
        <f>IF($G876="","",IF(COUNTIFS(DOC_TYPE,$I876,DOC_EQP,$H876,DOC_SCOPE,"Equipment",DOC_ACTIVE,1)+COUNTIFS(DOC_TYPE,$I876,DOC_SYS,SETUP!$B$163,DOC_SCOPE,"System",DOC_ACTIVE,1)+COUNTIFS(DOC_TYPE,$I876,DOC_SCOPE,"All",DOC_ACTIVE,1)&gt;0,"",IFERROR(IF($E$12&lt;&gt;"",$E$12-$C$12,SETUP!$D$163-$C$12),60000)+ROW()/1000000))</f>
        <v/>
      </c>
    </row>
    <row r="877">
      <c r="G877">
        <f>IF(OR(SETUP!$C$163="",$A$13="",$B$13&lt;&gt;"Equipment"),"","Equipment")</f>
        <v/>
      </c>
      <c r="H877">
        <f>IF($G877="","",SETUP!$C$163)</f>
        <v/>
      </c>
      <c r="I877">
        <f>IF($G877="","",$A$13)</f>
        <v/>
      </c>
      <c r="J877">
        <f>IF($G877="","",IF(COUNTIFS(DOC_TYPE,$I877,DOC_EQP,$H877,DOC_SCOPE,"Equipment",DOC_ACTIVE,1)+COUNTIFS(DOC_TYPE,$I877,DOC_SYS,SETUP!$B$163,DOC_SCOPE,"System",DOC_ACTIVE,1)+COUNTIFS(DOC_TYPE,$I877,DOC_SCOPE,"All",DOC_ACTIVE,1)&gt;0,"",IFERROR(IF($E$13&lt;&gt;"",$E$13-$C$13,SETUP!$D$163-$C$13),60000)+ROW()/1000000))</f>
        <v/>
      </c>
    </row>
    <row r="878">
      <c r="G878">
        <f>IF(OR(SETUP!$C$164="",$A$2="",$B$2&lt;&gt;"Equipment"),"","Equipment")</f>
        <v/>
      </c>
      <c r="H878">
        <f>IF($G878="","",SETUP!$C$164)</f>
        <v/>
      </c>
      <c r="I878">
        <f>IF($G878="","",$A$2)</f>
        <v/>
      </c>
      <c r="J878">
        <f>IF($G878="","",IF(COUNTIFS(DOC_TYPE,$I878,DOC_EQP,$H878,DOC_SCOPE,"Equipment",DOC_ACTIVE,1)+COUNTIFS(DOC_TYPE,$I878,DOC_SYS,SETUP!$B$164,DOC_SCOPE,"System",DOC_ACTIVE,1)+COUNTIFS(DOC_TYPE,$I878,DOC_SCOPE,"All",DOC_ACTIVE,1)&gt;0,"",IFERROR(IF($E$2&lt;&gt;"",$E$2-$C$2,SETUP!$D$164-$C$2),60000)+ROW()/1000000))</f>
        <v/>
      </c>
    </row>
    <row r="879">
      <c r="G879">
        <f>IF(OR(SETUP!$C$164="",$A$3="",$B$3&lt;&gt;"Equipment"),"","Equipment")</f>
        <v/>
      </c>
      <c r="H879">
        <f>IF($G879="","",SETUP!$C$164)</f>
        <v/>
      </c>
      <c r="I879">
        <f>IF($G879="","",$A$3)</f>
        <v/>
      </c>
      <c r="J879">
        <f>IF($G879="","",IF(COUNTIFS(DOC_TYPE,$I879,DOC_EQP,$H879,DOC_SCOPE,"Equipment",DOC_ACTIVE,1)+COUNTIFS(DOC_TYPE,$I879,DOC_SYS,SETUP!$B$164,DOC_SCOPE,"System",DOC_ACTIVE,1)+COUNTIFS(DOC_TYPE,$I879,DOC_SCOPE,"All",DOC_ACTIVE,1)&gt;0,"",IFERROR(IF($E$3&lt;&gt;"",$E$3-$C$3,SETUP!$D$164-$C$3),60000)+ROW()/1000000))</f>
        <v/>
      </c>
    </row>
    <row r="880">
      <c r="G880">
        <f>IF(OR(SETUP!$C$164="",$A$4="",$B$4&lt;&gt;"Equipment"),"","Equipment")</f>
        <v/>
      </c>
      <c r="H880">
        <f>IF($G880="","",SETUP!$C$164)</f>
        <v/>
      </c>
      <c r="I880">
        <f>IF($G880="","",$A$4)</f>
        <v/>
      </c>
      <c r="J880">
        <f>IF($G880="","",IF(COUNTIFS(DOC_TYPE,$I880,DOC_EQP,$H880,DOC_SCOPE,"Equipment",DOC_ACTIVE,1)+COUNTIFS(DOC_TYPE,$I880,DOC_SYS,SETUP!$B$164,DOC_SCOPE,"System",DOC_ACTIVE,1)+COUNTIFS(DOC_TYPE,$I880,DOC_SCOPE,"All",DOC_ACTIVE,1)&gt;0,"",IFERROR(IF($E$4&lt;&gt;"",$E$4-$C$4,SETUP!$D$164-$C$4),60000)+ROW()/1000000))</f>
        <v/>
      </c>
    </row>
    <row r="881">
      <c r="G881">
        <f>IF(OR(SETUP!$C$164="",$A$5="",$B$5&lt;&gt;"Equipment"),"","Equipment")</f>
        <v/>
      </c>
      <c r="H881">
        <f>IF($G881="","",SETUP!$C$164)</f>
        <v/>
      </c>
      <c r="I881">
        <f>IF($G881="","",$A$5)</f>
        <v/>
      </c>
      <c r="J881">
        <f>IF($G881="","",IF(COUNTIFS(DOC_TYPE,$I881,DOC_EQP,$H881,DOC_SCOPE,"Equipment",DOC_ACTIVE,1)+COUNTIFS(DOC_TYPE,$I881,DOC_SYS,SETUP!$B$164,DOC_SCOPE,"System",DOC_ACTIVE,1)+COUNTIFS(DOC_TYPE,$I881,DOC_SCOPE,"All",DOC_ACTIVE,1)&gt;0,"",IFERROR(IF($E$5&lt;&gt;"",$E$5-$C$5,SETUP!$D$164-$C$5),60000)+ROW()/1000000))</f>
        <v/>
      </c>
    </row>
    <row r="882">
      <c r="G882">
        <f>IF(OR(SETUP!$C$164="",$A$6="",$B$6&lt;&gt;"Equipment"),"","Equipment")</f>
        <v/>
      </c>
      <c r="H882">
        <f>IF($G882="","",SETUP!$C$164)</f>
        <v/>
      </c>
      <c r="I882">
        <f>IF($G882="","",$A$6)</f>
        <v/>
      </c>
      <c r="J882">
        <f>IF($G882="","",IF(COUNTIFS(DOC_TYPE,$I882,DOC_EQP,$H882,DOC_SCOPE,"Equipment",DOC_ACTIVE,1)+COUNTIFS(DOC_TYPE,$I882,DOC_SYS,SETUP!$B$164,DOC_SCOPE,"System",DOC_ACTIVE,1)+COUNTIFS(DOC_TYPE,$I882,DOC_SCOPE,"All",DOC_ACTIVE,1)&gt;0,"",IFERROR(IF($E$6&lt;&gt;"",$E$6-$C$6,SETUP!$D$164-$C$6),60000)+ROW()/1000000))</f>
        <v/>
      </c>
    </row>
    <row r="883">
      <c r="G883">
        <f>IF(OR(SETUP!$C$164="",$A$7="",$B$7&lt;&gt;"Equipment"),"","Equipment")</f>
        <v/>
      </c>
      <c r="H883">
        <f>IF($G883="","",SETUP!$C$164)</f>
        <v/>
      </c>
      <c r="I883">
        <f>IF($G883="","",$A$7)</f>
        <v/>
      </c>
      <c r="J883">
        <f>IF($G883="","",IF(COUNTIFS(DOC_TYPE,$I883,DOC_EQP,$H883,DOC_SCOPE,"Equipment",DOC_ACTIVE,1)+COUNTIFS(DOC_TYPE,$I883,DOC_SYS,SETUP!$B$164,DOC_SCOPE,"System",DOC_ACTIVE,1)+COUNTIFS(DOC_TYPE,$I883,DOC_SCOPE,"All",DOC_ACTIVE,1)&gt;0,"",IFERROR(IF($E$7&lt;&gt;"",$E$7-$C$7,SETUP!$D$164-$C$7),60000)+ROW()/1000000))</f>
        <v/>
      </c>
    </row>
    <row r="884">
      <c r="G884">
        <f>IF(OR(SETUP!$C$164="",$A$8="",$B$8&lt;&gt;"Equipment"),"","Equipment")</f>
        <v/>
      </c>
      <c r="H884">
        <f>IF($G884="","",SETUP!$C$164)</f>
        <v/>
      </c>
      <c r="I884">
        <f>IF($G884="","",$A$8)</f>
        <v/>
      </c>
      <c r="J884">
        <f>IF($G884="","",IF(COUNTIFS(DOC_TYPE,$I884,DOC_EQP,$H884,DOC_SCOPE,"Equipment",DOC_ACTIVE,1)+COUNTIFS(DOC_TYPE,$I884,DOC_SYS,SETUP!$B$164,DOC_SCOPE,"System",DOC_ACTIVE,1)+COUNTIFS(DOC_TYPE,$I884,DOC_SCOPE,"All",DOC_ACTIVE,1)&gt;0,"",IFERROR(IF($E$8&lt;&gt;"",$E$8-$C$8,SETUP!$D$164-$C$8),60000)+ROW()/1000000))</f>
        <v/>
      </c>
    </row>
    <row r="885">
      <c r="G885">
        <f>IF(OR(SETUP!$C$164="",$A$9="",$B$9&lt;&gt;"Equipment"),"","Equipment")</f>
        <v/>
      </c>
      <c r="H885">
        <f>IF($G885="","",SETUP!$C$164)</f>
        <v/>
      </c>
      <c r="I885">
        <f>IF($G885="","",$A$9)</f>
        <v/>
      </c>
      <c r="J885">
        <f>IF($G885="","",IF(COUNTIFS(DOC_TYPE,$I885,DOC_EQP,$H885,DOC_SCOPE,"Equipment",DOC_ACTIVE,1)+COUNTIFS(DOC_TYPE,$I885,DOC_SYS,SETUP!$B$164,DOC_SCOPE,"System",DOC_ACTIVE,1)+COUNTIFS(DOC_TYPE,$I885,DOC_SCOPE,"All",DOC_ACTIVE,1)&gt;0,"",IFERROR(IF($E$9&lt;&gt;"",$E$9-$C$9,SETUP!$D$164-$C$9),60000)+ROW()/1000000))</f>
        <v/>
      </c>
    </row>
    <row r="886">
      <c r="G886">
        <f>IF(OR(SETUP!$C$164="",$A$10="",$B$10&lt;&gt;"Equipment"),"","Equipment")</f>
        <v/>
      </c>
      <c r="H886">
        <f>IF($G886="","",SETUP!$C$164)</f>
        <v/>
      </c>
      <c r="I886">
        <f>IF($G886="","",$A$10)</f>
        <v/>
      </c>
      <c r="J886">
        <f>IF($G886="","",IF(COUNTIFS(DOC_TYPE,$I886,DOC_EQP,$H886,DOC_SCOPE,"Equipment",DOC_ACTIVE,1)+COUNTIFS(DOC_TYPE,$I886,DOC_SYS,SETUP!$B$164,DOC_SCOPE,"System",DOC_ACTIVE,1)+COUNTIFS(DOC_TYPE,$I886,DOC_SCOPE,"All",DOC_ACTIVE,1)&gt;0,"",IFERROR(IF($E$10&lt;&gt;"",$E$10-$C$10,SETUP!$D$164-$C$10),60000)+ROW()/1000000))</f>
        <v/>
      </c>
    </row>
    <row r="887">
      <c r="G887">
        <f>IF(OR(SETUP!$C$164="",$A$11="",$B$11&lt;&gt;"Equipment"),"","Equipment")</f>
        <v/>
      </c>
      <c r="H887">
        <f>IF($G887="","",SETUP!$C$164)</f>
        <v/>
      </c>
      <c r="I887">
        <f>IF($G887="","",$A$11)</f>
        <v/>
      </c>
      <c r="J887">
        <f>IF($G887="","",IF(COUNTIFS(DOC_TYPE,$I887,DOC_EQP,$H887,DOC_SCOPE,"Equipment",DOC_ACTIVE,1)+COUNTIFS(DOC_TYPE,$I887,DOC_SYS,SETUP!$B$164,DOC_SCOPE,"System",DOC_ACTIVE,1)+COUNTIFS(DOC_TYPE,$I887,DOC_SCOPE,"All",DOC_ACTIVE,1)&gt;0,"",IFERROR(IF($E$11&lt;&gt;"",$E$11-$C$11,SETUP!$D$164-$C$11),60000)+ROW()/1000000))</f>
        <v/>
      </c>
    </row>
    <row r="888">
      <c r="G888">
        <f>IF(OR(SETUP!$C$164="",$A$12="",$B$12&lt;&gt;"Equipment"),"","Equipment")</f>
        <v/>
      </c>
      <c r="H888">
        <f>IF($G888="","",SETUP!$C$164)</f>
        <v/>
      </c>
      <c r="I888">
        <f>IF($G888="","",$A$12)</f>
        <v/>
      </c>
      <c r="J888">
        <f>IF($G888="","",IF(COUNTIFS(DOC_TYPE,$I888,DOC_EQP,$H888,DOC_SCOPE,"Equipment",DOC_ACTIVE,1)+COUNTIFS(DOC_TYPE,$I888,DOC_SYS,SETUP!$B$164,DOC_SCOPE,"System",DOC_ACTIVE,1)+COUNTIFS(DOC_TYPE,$I888,DOC_SCOPE,"All",DOC_ACTIVE,1)&gt;0,"",IFERROR(IF($E$12&lt;&gt;"",$E$12-$C$12,SETUP!$D$164-$C$12),60000)+ROW()/1000000))</f>
        <v/>
      </c>
    </row>
    <row r="889">
      <c r="G889">
        <f>IF(OR(SETUP!$C$164="",$A$13="",$B$13&lt;&gt;"Equipment"),"","Equipment")</f>
        <v/>
      </c>
      <c r="H889">
        <f>IF($G889="","",SETUP!$C$164)</f>
        <v/>
      </c>
      <c r="I889">
        <f>IF($G889="","",$A$13)</f>
        <v/>
      </c>
      <c r="J889">
        <f>IF($G889="","",IF(COUNTIFS(DOC_TYPE,$I889,DOC_EQP,$H889,DOC_SCOPE,"Equipment",DOC_ACTIVE,1)+COUNTIFS(DOC_TYPE,$I889,DOC_SYS,SETUP!$B$164,DOC_SCOPE,"System",DOC_ACTIVE,1)+COUNTIFS(DOC_TYPE,$I889,DOC_SCOPE,"All",DOC_ACTIVE,1)&gt;0,"",IFERROR(IF($E$13&lt;&gt;"",$E$13-$C$13,SETUP!$D$164-$C$13),60000)+ROW()/1000000))</f>
        <v/>
      </c>
    </row>
    <row r="890">
      <c r="G890">
        <f>IF(OR(SETUP!$C$165="",$A$2="",$B$2&lt;&gt;"Equipment"),"","Equipment")</f>
        <v/>
      </c>
      <c r="H890">
        <f>IF($G890="","",SETUP!$C$165)</f>
        <v/>
      </c>
      <c r="I890">
        <f>IF($G890="","",$A$2)</f>
        <v/>
      </c>
      <c r="J890">
        <f>IF($G890="","",IF(COUNTIFS(DOC_TYPE,$I890,DOC_EQP,$H890,DOC_SCOPE,"Equipment",DOC_ACTIVE,1)+COUNTIFS(DOC_TYPE,$I890,DOC_SYS,SETUP!$B$165,DOC_SCOPE,"System",DOC_ACTIVE,1)+COUNTIFS(DOC_TYPE,$I890,DOC_SCOPE,"All",DOC_ACTIVE,1)&gt;0,"",IFERROR(IF($E$2&lt;&gt;"",$E$2-$C$2,SETUP!$D$165-$C$2),60000)+ROW()/1000000))</f>
        <v/>
      </c>
    </row>
    <row r="891">
      <c r="G891">
        <f>IF(OR(SETUP!$C$165="",$A$3="",$B$3&lt;&gt;"Equipment"),"","Equipment")</f>
        <v/>
      </c>
      <c r="H891">
        <f>IF($G891="","",SETUP!$C$165)</f>
        <v/>
      </c>
      <c r="I891">
        <f>IF($G891="","",$A$3)</f>
        <v/>
      </c>
      <c r="J891">
        <f>IF($G891="","",IF(COUNTIFS(DOC_TYPE,$I891,DOC_EQP,$H891,DOC_SCOPE,"Equipment",DOC_ACTIVE,1)+COUNTIFS(DOC_TYPE,$I891,DOC_SYS,SETUP!$B$165,DOC_SCOPE,"System",DOC_ACTIVE,1)+COUNTIFS(DOC_TYPE,$I891,DOC_SCOPE,"All",DOC_ACTIVE,1)&gt;0,"",IFERROR(IF($E$3&lt;&gt;"",$E$3-$C$3,SETUP!$D$165-$C$3),60000)+ROW()/1000000))</f>
        <v/>
      </c>
    </row>
    <row r="892">
      <c r="G892">
        <f>IF(OR(SETUP!$C$165="",$A$4="",$B$4&lt;&gt;"Equipment"),"","Equipment")</f>
        <v/>
      </c>
      <c r="H892">
        <f>IF($G892="","",SETUP!$C$165)</f>
        <v/>
      </c>
      <c r="I892">
        <f>IF($G892="","",$A$4)</f>
        <v/>
      </c>
      <c r="J892">
        <f>IF($G892="","",IF(COUNTIFS(DOC_TYPE,$I892,DOC_EQP,$H892,DOC_SCOPE,"Equipment",DOC_ACTIVE,1)+COUNTIFS(DOC_TYPE,$I892,DOC_SYS,SETUP!$B$165,DOC_SCOPE,"System",DOC_ACTIVE,1)+COUNTIFS(DOC_TYPE,$I892,DOC_SCOPE,"All",DOC_ACTIVE,1)&gt;0,"",IFERROR(IF($E$4&lt;&gt;"",$E$4-$C$4,SETUP!$D$165-$C$4),60000)+ROW()/1000000))</f>
        <v/>
      </c>
    </row>
    <row r="893">
      <c r="G893">
        <f>IF(OR(SETUP!$C$165="",$A$5="",$B$5&lt;&gt;"Equipment"),"","Equipment")</f>
        <v/>
      </c>
      <c r="H893">
        <f>IF($G893="","",SETUP!$C$165)</f>
        <v/>
      </c>
      <c r="I893">
        <f>IF($G893="","",$A$5)</f>
        <v/>
      </c>
      <c r="J893">
        <f>IF($G893="","",IF(COUNTIFS(DOC_TYPE,$I893,DOC_EQP,$H893,DOC_SCOPE,"Equipment",DOC_ACTIVE,1)+COUNTIFS(DOC_TYPE,$I893,DOC_SYS,SETUP!$B$165,DOC_SCOPE,"System",DOC_ACTIVE,1)+COUNTIFS(DOC_TYPE,$I893,DOC_SCOPE,"All",DOC_ACTIVE,1)&gt;0,"",IFERROR(IF($E$5&lt;&gt;"",$E$5-$C$5,SETUP!$D$165-$C$5),60000)+ROW()/1000000))</f>
        <v/>
      </c>
    </row>
    <row r="894">
      <c r="G894">
        <f>IF(OR(SETUP!$C$165="",$A$6="",$B$6&lt;&gt;"Equipment"),"","Equipment")</f>
        <v/>
      </c>
      <c r="H894">
        <f>IF($G894="","",SETUP!$C$165)</f>
        <v/>
      </c>
      <c r="I894">
        <f>IF($G894="","",$A$6)</f>
        <v/>
      </c>
      <c r="J894">
        <f>IF($G894="","",IF(COUNTIFS(DOC_TYPE,$I894,DOC_EQP,$H894,DOC_SCOPE,"Equipment",DOC_ACTIVE,1)+COUNTIFS(DOC_TYPE,$I894,DOC_SYS,SETUP!$B$165,DOC_SCOPE,"System",DOC_ACTIVE,1)+COUNTIFS(DOC_TYPE,$I894,DOC_SCOPE,"All",DOC_ACTIVE,1)&gt;0,"",IFERROR(IF($E$6&lt;&gt;"",$E$6-$C$6,SETUP!$D$165-$C$6),60000)+ROW()/1000000))</f>
        <v/>
      </c>
    </row>
    <row r="895">
      <c r="G895">
        <f>IF(OR(SETUP!$C$165="",$A$7="",$B$7&lt;&gt;"Equipment"),"","Equipment")</f>
        <v/>
      </c>
      <c r="H895">
        <f>IF($G895="","",SETUP!$C$165)</f>
        <v/>
      </c>
      <c r="I895">
        <f>IF($G895="","",$A$7)</f>
        <v/>
      </c>
      <c r="J895">
        <f>IF($G895="","",IF(COUNTIFS(DOC_TYPE,$I895,DOC_EQP,$H895,DOC_SCOPE,"Equipment",DOC_ACTIVE,1)+COUNTIFS(DOC_TYPE,$I895,DOC_SYS,SETUP!$B$165,DOC_SCOPE,"System",DOC_ACTIVE,1)+COUNTIFS(DOC_TYPE,$I895,DOC_SCOPE,"All",DOC_ACTIVE,1)&gt;0,"",IFERROR(IF($E$7&lt;&gt;"",$E$7-$C$7,SETUP!$D$165-$C$7),60000)+ROW()/1000000))</f>
        <v/>
      </c>
    </row>
    <row r="896">
      <c r="G896">
        <f>IF(OR(SETUP!$C$165="",$A$8="",$B$8&lt;&gt;"Equipment"),"","Equipment")</f>
        <v/>
      </c>
      <c r="H896">
        <f>IF($G896="","",SETUP!$C$165)</f>
        <v/>
      </c>
      <c r="I896">
        <f>IF($G896="","",$A$8)</f>
        <v/>
      </c>
      <c r="J896">
        <f>IF($G896="","",IF(COUNTIFS(DOC_TYPE,$I896,DOC_EQP,$H896,DOC_SCOPE,"Equipment",DOC_ACTIVE,1)+COUNTIFS(DOC_TYPE,$I896,DOC_SYS,SETUP!$B$165,DOC_SCOPE,"System",DOC_ACTIVE,1)+COUNTIFS(DOC_TYPE,$I896,DOC_SCOPE,"All",DOC_ACTIVE,1)&gt;0,"",IFERROR(IF($E$8&lt;&gt;"",$E$8-$C$8,SETUP!$D$165-$C$8),60000)+ROW()/1000000))</f>
        <v/>
      </c>
    </row>
    <row r="897">
      <c r="G897">
        <f>IF(OR(SETUP!$C$165="",$A$9="",$B$9&lt;&gt;"Equipment"),"","Equipment")</f>
        <v/>
      </c>
      <c r="H897">
        <f>IF($G897="","",SETUP!$C$165)</f>
        <v/>
      </c>
      <c r="I897">
        <f>IF($G897="","",$A$9)</f>
        <v/>
      </c>
      <c r="J897">
        <f>IF($G897="","",IF(COUNTIFS(DOC_TYPE,$I897,DOC_EQP,$H897,DOC_SCOPE,"Equipment",DOC_ACTIVE,1)+COUNTIFS(DOC_TYPE,$I897,DOC_SYS,SETUP!$B$165,DOC_SCOPE,"System",DOC_ACTIVE,1)+COUNTIFS(DOC_TYPE,$I897,DOC_SCOPE,"All",DOC_ACTIVE,1)&gt;0,"",IFERROR(IF($E$9&lt;&gt;"",$E$9-$C$9,SETUP!$D$165-$C$9),60000)+ROW()/1000000))</f>
        <v/>
      </c>
    </row>
    <row r="898">
      <c r="G898">
        <f>IF(OR(SETUP!$C$165="",$A$10="",$B$10&lt;&gt;"Equipment"),"","Equipment")</f>
        <v/>
      </c>
      <c r="H898">
        <f>IF($G898="","",SETUP!$C$165)</f>
        <v/>
      </c>
      <c r="I898">
        <f>IF($G898="","",$A$10)</f>
        <v/>
      </c>
      <c r="J898">
        <f>IF($G898="","",IF(COUNTIFS(DOC_TYPE,$I898,DOC_EQP,$H898,DOC_SCOPE,"Equipment",DOC_ACTIVE,1)+COUNTIFS(DOC_TYPE,$I898,DOC_SYS,SETUP!$B$165,DOC_SCOPE,"System",DOC_ACTIVE,1)+COUNTIFS(DOC_TYPE,$I898,DOC_SCOPE,"All",DOC_ACTIVE,1)&gt;0,"",IFERROR(IF($E$10&lt;&gt;"",$E$10-$C$10,SETUP!$D$165-$C$10),60000)+ROW()/1000000))</f>
        <v/>
      </c>
    </row>
    <row r="899">
      <c r="G899">
        <f>IF(OR(SETUP!$C$165="",$A$11="",$B$11&lt;&gt;"Equipment"),"","Equipment")</f>
        <v/>
      </c>
      <c r="H899">
        <f>IF($G899="","",SETUP!$C$165)</f>
        <v/>
      </c>
      <c r="I899">
        <f>IF($G899="","",$A$11)</f>
        <v/>
      </c>
      <c r="J899">
        <f>IF($G899="","",IF(COUNTIFS(DOC_TYPE,$I899,DOC_EQP,$H899,DOC_SCOPE,"Equipment",DOC_ACTIVE,1)+COUNTIFS(DOC_TYPE,$I899,DOC_SYS,SETUP!$B$165,DOC_SCOPE,"System",DOC_ACTIVE,1)+COUNTIFS(DOC_TYPE,$I899,DOC_SCOPE,"All",DOC_ACTIVE,1)&gt;0,"",IFERROR(IF($E$11&lt;&gt;"",$E$11-$C$11,SETUP!$D$165-$C$11),60000)+ROW()/1000000))</f>
        <v/>
      </c>
    </row>
    <row r="900">
      <c r="G900">
        <f>IF(OR(SETUP!$C$165="",$A$12="",$B$12&lt;&gt;"Equipment"),"","Equipment")</f>
        <v/>
      </c>
      <c r="H900">
        <f>IF($G900="","",SETUP!$C$165)</f>
        <v/>
      </c>
      <c r="I900">
        <f>IF($G900="","",$A$12)</f>
        <v/>
      </c>
      <c r="J900">
        <f>IF($G900="","",IF(COUNTIFS(DOC_TYPE,$I900,DOC_EQP,$H900,DOC_SCOPE,"Equipment",DOC_ACTIVE,1)+COUNTIFS(DOC_TYPE,$I900,DOC_SYS,SETUP!$B$165,DOC_SCOPE,"System",DOC_ACTIVE,1)+COUNTIFS(DOC_TYPE,$I900,DOC_SCOPE,"All",DOC_ACTIVE,1)&gt;0,"",IFERROR(IF($E$12&lt;&gt;"",$E$12-$C$12,SETUP!$D$165-$C$12),60000)+ROW()/1000000))</f>
        <v/>
      </c>
    </row>
    <row r="901">
      <c r="G901">
        <f>IF(OR(SETUP!$C$165="",$A$13="",$B$13&lt;&gt;"Equipment"),"","Equipment")</f>
        <v/>
      </c>
      <c r="H901">
        <f>IF($G901="","",SETUP!$C$165)</f>
        <v/>
      </c>
      <c r="I901">
        <f>IF($G901="","",$A$13)</f>
        <v/>
      </c>
      <c r="J901">
        <f>IF($G901="","",IF(COUNTIFS(DOC_TYPE,$I901,DOC_EQP,$H901,DOC_SCOPE,"Equipment",DOC_ACTIVE,1)+COUNTIFS(DOC_TYPE,$I901,DOC_SYS,SETUP!$B$165,DOC_SCOPE,"System",DOC_ACTIVE,1)+COUNTIFS(DOC_TYPE,$I901,DOC_SCOPE,"All",DOC_ACTIVE,1)&gt;0,"",IFERROR(IF($E$13&lt;&gt;"",$E$13-$C$13,SETUP!$D$165-$C$13),60000)+ROW()/1000000))</f>
        <v/>
      </c>
    </row>
    <row r="902">
      <c r="G902">
        <f>IF(OR(SETUP!$C$166="",$A$2="",$B$2&lt;&gt;"Equipment"),"","Equipment")</f>
        <v/>
      </c>
      <c r="H902">
        <f>IF($G902="","",SETUP!$C$166)</f>
        <v/>
      </c>
      <c r="I902">
        <f>IF($G902="","",$A$2)</f>
        <v/>
      </c>
      <c r="J902">
        <f>IF($G902="","",IF(COUNTIFS(DOC_TYPE,$I902,DOC_EQP,$H902,DOC_SCOPE,"Equipment",DOC_ACTIVE,1)+COUNTIFS(DOC_TYPE,$I902,DOC_SYS,SETUP!$B$166,DOC_SCOPE,"System",DOC_ACTIVE,1)+COUNTIFS(DOC_TYPE,$I902,DOC_SCOPE,"All",DOC_ACTIVE,1)&gt;0,"",IFERROR(IF($E$2&lt;&gt;"",$E$2-$C$2,SETUP!$D$166-$C$2),60000)+ROW()/1000000))</f>
        <v/>
      </c>
    </row>
    <row r="903">
      <c r="G903">
        <f>IF(OR(SETUP!$C$166="",$A$3="",$B$3&lt;&gt;"Equipment"),"","Equipment")</f>
        <v/>
      </c>
      <c r="H903">
        <f>IF($G903="","",SETUP!$C$166)</f>
        <v/>
      </c>
      <c r="I903">
        <f>IF($G903="","",$A$3)</f>
        <v/>
      </c>
      <c r="J903">
        <f>IF($G903="","",IF(COUNTIFS(DOC_TYPE,$I903,DOC_EQP,$H903,DOC_SCOPE,"Equipment",DOC_ACTIVE,1)+COUNTIFS(DOC_TYPE,$I903,DOC_SYS,SETUP!$B$166,DOC_SCOPE,"System",DOC_ACTIVE,1)+COUNTIFS(DOC_TYPE,$I903,DOC_SCOPE,"All",DOC_ACTIVE,1)&gt;0,"",IFERROR(IF($E$3&lt;&gt;"",$E$3-$C$3,SETUP!$D$166-$C$3),60000)+ROW()/1000000))</f>
        <v/>
      </c>
    </row>
    <row r="904">
      <c r="G904">
        <f>IF(OR(SETUP!$C$166="",$A$4="",$B$4&lt;&gt;"Equipment"),"","Equipment")</f>
        <v/>
      </c>
      <c r="H904">
        <f>IF($G904="","",SETUP!$C$166)</f>
        <v/>
      </c>
      <c r="I904">
        <f>IF($G904="","",$A$4)</f>
        <v/>
      </c>
      <c r="J904">
        <f>IF($G904="","",IF(COUNTIFS(DOC_TYPE,$I904,DOC_EQP,$H904,DOC_SCOPE,"Equipment",DOC_ACTIVE,1)+COUNTIFS(DOC_TYPE,$I904,DOC_SYS,SETUP!$B$166,DOC_SCOPE,"System",DOC_ACTIVE,1)+COUNTIFS(DOC_TYPE,$I904,DOC_SCOPE,"All",DOC_ACTIVE,1)&gt;0,"",IFERROR(IF($E$4&lt;&gt;"",$E$4-$C$4,SETUP!$D$166-$C$4),60000)+ROW()/1000000))</f>
        <v/>
      </c>
    </row>
    <row r="905">
      <c r="G905">
        <f>IF(OR(SETUP!$C$166="",$A$5="",$B$5&lt;&gt;"Equipment"),"","Equipment")</f>
        <v/>
      </c>
      <c r="H905">
        <f>IF($G905="","",SETUP!$C$166)</f>
        <v/>
      </c>
      <c r="I905">
        <f>IF($G905="","",$A$5)</f>
        <v/>
      </c>
      <c r="J905">
        <f>IF($G905="","",IF(COUNTIFS(DOC_TYPE,$I905,DOC_EQP,$H905,DOC_SCOPE,"Equipment",DOC_ACTIVE,1)+COUNTIFS(DOC_TYPE,$I905,DOC_SYS,SETUP!$B$166,DOC_SCOPE,"System",DOC_ACTIVE,1)+COUNTIFS(DOC_TYPE,$I905,DOC_SCOPE,"All",DOC_ACTIVE,1)&gt;0,"",IFERROR(IF($E$5&lt;&gt;"",$E$5-$C$5,SETUP!$D$166-$C$5),60000)+ROW()/1000000))</f>
        <v/>
      </c>
    </row>
    <row r="906">
      <c r="G906">
        <f>IF(OR(SETUP!$C$166="",$A$6="",$B$6&lt;&gt;"Equipment"),"","Equipment")</f>
        <v/>
      </c>
      <c r="H906">
        <f>IF($G906="","",SETUP!$C$166)</f>
        <v/>
      </c>
      <c r="I906">
        <f>IF($G906="","",$A$6)</f>
        <v/>
      </c>
      <c r="J906">
        <f>IF($G906="","",IF(COUNTIFS(DOC_TYPE,$I906,DOC_EQP,$H906,DOC_SCOPE,"Equipment",DOC_ACTIVE,1)+COUNTIFS(DOC_TYPE,$I906,DOC_SYS,SETUP!$B$166,DOC_SCOPE,"System",DOC_ACTIVE,1)+COUNTIFS(DOC_TYPE,$I906,DOC_SCOPE,"All",DOC_ACTIVE,1)&gt;0,"",IFERROR(IF($E$6&lt;&gt;"",$E$6-$C$6,SETUP!$D$166-$C$6),60000)+ROW()/1000000))</f>
        <v/>
      </c>
    </row>
    <row r="907">
      <c r="G907">
        <f>IF(OR(SETUP!$C$166="",$A$7="",$B$7&lt;&gt;"Equipment"),"","Equipment")</f>
        <v/>
      </c>
      <c r="H907">
        <f>IF($G907="","",SETUP!$C$166)</f>
        <v/>
      </c>
      <c r="I907">
        <f>IF($G907="","",$A$7)</f>
        <v/>
      </c>
      <c r="J907">
        <f>IF($G907="","",IF(COUNTIFS(DOC_TYPE,$I907,DOC_EQP,$H907,DOC_SCOPE,"Equipment",DOC_ACTIVE,1)+COUNTIFS(DOC_TYPE,$I907,DOC_SYS,SETUP!$B$166,DOC_SCOPE,"System",DOC_ACTIVE,1)+COUNTIFS(DOC_TYPE,$I907,DOC_SCOPE,"All",DOC_ACTIVE,1)&gt;0,"",IFERROR(IF($E$7&lt;&gt;"",$E$7-$C$7,SETUP!$D$166-$C$7),60000)+ROW()/1000000))</f>
        <v/>
      </c>
    </row>
    <row r="908">
      <c r="G908">
        <f>IF(OR(SETUP!$C$166="",$A$8="",$B$8&lt;&gt;"Equipment"),"","Equipment")</f>
        <v/>
      </c>
      <c r="H908">
        <f>IF($G908="","",SETUP!$C$166)</f>
        <v/>
      </c>
      <c r="I908">
        <f>IF($G908="","",$A$8)</f>
        <v/>
      </c>
      <c r="J908">
        <f>IF($G908="","",IF(COUNTIFS(DOC_TYPE,$I908,DOC_EQP,$H908,DOC_SCOPE,"Equipment",DOC_ACTIVE,1)+COUNTIFS(DOC_TYPE,$I908,DOC_SYS,SETUP!$B$166,DOC_SCOPE,"System",DOC_ACTIVE,1)+COUNTIFS(DOC_TYPE,$I908,DOC_SCOPE,"All",DOC_ACTIVE,1)&gt;0,"",IFERROR(IF($E$8&lt;&gt;"",$E$8-$C$8,SETUP!$D$166-$C$8),60000)+ROW()/1000000))</f>
        <v/>
      </c>
    </row>
    <row r="909">
      <c r="G909">
        <f>IF(OR(SETUP!$C$166="",$A$9="",$B$9&lt;&gt;"Equipment"),"","Equipment")</f>
        <v/>
      </c>
      <c r="H909">
        <f>IF($G909="","",SETUP!$C$166)</f>
        <v/>
      </c>
      <c r="I909">
        <f>IF($G909="","",$A$9)</f>
        <v/>
      </c>
      <c r="J909">
        <f>IF($G909="","",IF(COUNTIFS(DOC_TYPE,$I909,DOC_EQP,$H909,DOC_SCOPE,"Equipment",DOC_ACTIVE,1)+COUNTIFS(DOC_TYPE,$I909,DOC_SYS,SETUP!$B$166,DOC_SCOPE,"System",DOC_ACTIVE,1)+COUNTIFS(DOC_TYPE,$I909,DOC_SCOPE,"All",DOC_ACTIVE,1)&gt;0,"",IFERROR(IF($E$9&lt;&gt;"",$E$9-$C$9,SETUP!$D$166-$C$9),60000)+ROW()/1000000))</f>
        <v/>
      </c>
    </row>
    <row r="910">
      <c r="G910">
        <f>IF(OR(SETUP!$C$166="",$A$10="",$B$10&lt;&gt;"Equipment"),"","Equipment")</f>
        <v/>
      </c>
      <c r="H910">
        <f>IF($G910="","",SETUP!$C$166)</f>
        <v/>
      </c>
      <c r="I910">
        <f>IF($G910="","",$A$10)</f>
        <v/>
      </c>
      <c r="J910">
        <f>IF($G910="","",IF(COUNTIFS(DOC_TYPE,$I910,DOC_EQP,$H910,DOC_SCOPE,"Equipment",DOC_ACTIVE,1)+COUNTIFS(DOC_TYPE,$I910,DOC_SYS,SETUP!$B$166,DOC_SCOPE,"System",DOC_ACTIVE,1)+COUNTIFS(DOC_TYPE,$I910,DOC_SCOPE,"All",DOC_ACTIVE,1)&gt;0,"",IFERROR(IF($E$10&lt;&gt;"",$E$10-$C$10,SETUP!$D$166-$C$10),60000)+ROW()/1000000))</f>
        <v/>
      </c>
    </row>
    <row r="911">
      <c r="G911">
        <f>IF(OR(SETUP!$C$166="",$A$11="",$B$11&lt;&gt;"Equipment"),"","Equipment")</f>
        <v/>
      </c>
      <c r="H911">
        <f>IF($G911="","",SETUP!$C$166)</f>
        <v/>
      </c>
      <c r="I911">
        <f>IF($G911="","",$A$11)</f>
        <v/>
      </c>
      <c r="J911">
        <f>IF($G911="","",IF(COUNTIFS(DOC_TYPE,$I911,DOC_EQP,$H911,DOC_SCOPE,"Equipment",DOC_ACTIVE,1)+COUNTIFS(DOC_TYPE,$I911,DOC_SYS,SETUP!$B$166,DOC_SCOPE,"System",DOC_ACTIVE,1)+COUNTIFS(DOC_TYPE,$I911,DOC_SCOPE,"All",DOC_ACTIVE,1)&gt;0,"",IFERROR(IF($E$11&lt;&gt;"",$E$11-$C$11,SETUP!$D$166-$C$11),60000)+ROW()/1000000))</f>
        <v/>
      </c>
    </row>
    <row r="912">
      <c r="G912">
        <f>IF(OR(SETUP!$C$166="",$A$12="",$B$12&lt;&gt;"Equipment"),"","Equipment")</f>
        <v/>
      </c>
      <c r="H912">
        <f>IF($G912="","",SETUP!$C$166)</f>
        <v/>
      </c>
      <c r="I912">
        <f>IF($G912="","",$A$12)</f>
        <v/>
      </c>
      <c r="J912">
        <f>IF($G912="","",IF(COUNTIFS(DOC_TYPE,$I912,DOC_EQP,$H912,DOC_SCOPE,"Equipment",DOC_ACTIVE,1)+COUNTIFS(DOC_TYPE,$I912,DOC_SYS,SETUP!$B$166,DOC_SCOPE,"System",DOC_ACTIVE,1)+COUNTIFS(DOC_TYPE,$I912,DOC_SCOPE,"All",DOC_ACTIVE,1)&gt;0,"",IFERROR(IF($E$12&lt;&gt;"",$E$12-$C$12,SETUP!$D$166-$C$12),60000)+ROW()/1000000))</f>
        <v/>
      </c>
    </row>
    <row r="913">
      <c r="G913">
        <f>IF(OR(SETUP!$C$166="",$A$13="",$B$13&lt;&gt;"Equipment"),"","Equipment")</f>
        <v/>
      </c>
      <c r="H913">
        <f>IF($G913="","",SETUP!$C$166)</f>
        <v/>
      </c>
      <c r="I913">
        <f>IF($G913="","",$A$13)</f>
        <v/>
      </c>
      <c r="J913">
        <f>IF($G913="","",IF(COUNTIFS(DOC_TYPE,$I913,DOC_EQP,$H913,DOC_SCOPE,"Equipment",DOC_ACTIVE,1)+COUNTIFS(DOC_TYPE,$I913,DOC_SYS,SETUP!$B$166,DOC_SCOPE,"System",DOC_ACTIVE,1)+COUNTIFS(DOC_TYPE,$I913,DOC_SCOPE,"All",DOC_ACTIVE,1)&gt;0,"",IFERROR(IF($E$13&lt;&gt;"",$E$13-$C$13,SETUP!$D$166-$C$13),60000)+ROW()/1000000))</f>
        <v/>
      </c>
    </row>
    <row r="914">
      <c r="G914">
        <f>IF(OR(SETUP!$C$167="",$A$2="",$B$2&lt;&gt;"Equipment"),"","Equipment")</f>
        <v/>
      </c>
      <c r="H914">
        <f>IF($G914="","",SETUP!$C$167)</f>
        <v/>
      </c>
      <c r="I914">
        <f>IF($G914="","",$A$2)</f>
        <v/>
      </c>
      <c r="J914">
        <f>IF($G914="","",IF(COUNTIFS(DOC_TYPE,$I914,DOC_EQP,$H914,DOC_SCOPE,"Equipment",DOC_ACTIVE,1)+COUNTIFS(DOC_TYPE,$I914,DOC_SYS,SETUP!$B$167,DOC_SCOPE,"System",DOC_ACTIVE,1)+COUNTIFS(DOC_TYPE,$I914,DOC_SCOPE,"All",DOC_ACTIVE,1)&gt;0,"",IFERROR(IF($E$2&lt;&gt;"",$E$2-$C$2,SETUP!$D$167-$C$2),60000)+ROW()/1000000))</f>
        <v/>
      </c>
    </row>
    <row r="915">
      <c r="G915">
        <f>IF(OR(SETUP!$C$167="",$A$3="",$B$3&lt;&gt;"Equipment"),"","Equipment")</f>
        <v/>
      </c>
      <c r="H915">
        <f>IF($G915="","",SETUP!$C$167)</f>
        <v/>
      </c>
      <c r="I915">
        <f>IF($G915="","",$A$3)</f>
        <v/>
      </c>
      <c r="J915">
        <f>IF($G915="","",IF(COUNTIFS(DOC_TYPE,$I915,DOC_EQP,$H915,DOC_SCOPE,"Equipment",DOC_ACTIVE,1)+COUNTIFS(DOC_TYPE,$I915,DOC_SYS,SETUP!$B$167,DOC_SCOPE,"System",DOC_ACTIVE,1)+COUNTIFS(DOC_TYPE,$I915,DOC_SCOPE,"All",DOC_ACTIVE,1)&gt;0,"",IFERROR(IF($E$3&lt;&gt;"",$E$3-$C$3,SETUP!$D$167-$C$3),60000)+ROW()/1000000))</f>
        <v/>
      </c>
    </row>
    <row r="916">
      <c r="G916">
        <f>IF(OR(SETUP!$C$167="",$A$4="",$B$4&lt;&gt;"Equipment"),"","Equipment")</f>
        <v/>
      </c>
      <c r="H916">
        <f>IF($G916="","",SETUP!$C$167)</f>
        <v/>
      </c>
      <c r="I916">
        <f>IF($G916="","",$A$4)</f>
        <v/>
      </c>
      <c r="J916">
        <f>IF($G916="","",IF(COUNTIFS(DOC_TYPE,$I916,DOC_EQP,$H916,DOC_SCOPE,"Equipment",DOC_ACTIVE,1)+COUNTIFS(DOC_TYPE,$I916,DOC_SYS,SETUP!$B$167,DOC_SCOPE,"System",DOC_ACTIVE,1)+COUNTIFS(DOC_TYPE,$I916,DOC_SCOPE,"All",DOC_ACTIVE,1)&gt;0,"",IFERROR(IF($E$4&lt;&gt;"",$E$4-$C$4,SETUP!$D$167-$C$4),60000)+ROW()/1000000))</f>
        <v/>
      </c>
    </row>
    <row r="917">
      <c r="G917">
        <f>IF(OR(SETUP!$C$167="",$A$5="",$B$5&lt;&gt;"Equipment"),"","Equipment")</f>
        <v/>
      </c>
      <c r="H917">
        <f>IF($G917="","",SETUP!$C$167)</f>
        <v/>
      </c>
      <c r="I917">
        <f>IF($G917="","",$A$5)</f>
        <v/>
      </c>
      <c r="J917">
        <f>IF($G917="","",IF(COUNTIFS(DOC_TYPE,$I917,DOC_EQP,$H917,DOC_SCOPE,"Equipment",DOC_ACTIVE,1)+COUNTIFS(DOC_TYPE,$I917,DOC_SYS,SETUP!$B$167,DOC_SCOPE,"System",DOC_ACTIVE,1)+COUNTIFS(DOC_TYPE,$I917,DOC_SCOPE,"All",DOC_ACTIVE,1)&gt;0,"",IFERROR(IF($E$5&lt;&gt;"",$E$5-$C$5,SETUP!$D$167-$C$5),60000)+ROW()/1000000))</f>
        <v/>
      </c>
    </row>
    <row r="918">
      <c r="G918">
        <f>IF(OR(SETUP!$C$167="",$A$6="",$B$6&lt;&gt;"Equipment"),"","Equipment")</f>
        <v/>
      </c>
      <c r="H918">
        <f>IF($G918="","",SETUP!$C$167)</f>
        <v/>
      </c>
      <c r="I918">
        <f>IF($G918="","",$A$6)</f>
        <v/>
      </c>
      <c r="J918">
        <f>IF($G918="","",IF(COUNTIFS(DOC_TYPE,$I918,DOC_EQP,$H918,DOC_SCOPE,"Equipment",DOC_ACTIVE,1)+COUNTIFS(DOC_TYPE,$I918,DOC_SYS,SETUP!$B$167,DOC_SCOPE,"System",DOC_ACTIVE,1)+COUNTIFS(DOC_TYPE,$I918,DOC_SCOPE,"All",DOC_ACTIVE,1)&gt;0,"",IFERROR(IF($E$6&lt;&gt;"",$E$6-$C$6,SETUP!$D$167-$C$6),60000)+ROW()/1000000))</f>
        <v/>
      </c>
    </row>
    <row r="919">
      <c r="G919">
        <f>IF(OR(SETUP!$C$167="",$A$7="",$B$7&lt;&gt;"Equipment"),"","Equipment")</f>
        <v/>
      </c>
      <c r="H919">
        <f>IF($G919="","",SETUP!$C$167)</f>
        <v/>
      </c>
      <c r="I919">
        <f>IF($G919="","",$A$7)</f>
        <v/>
      </c>
      <c r="J919">
        <f>IF($G919="","",IF(COUNTIFS(DOC_TYPE,$I919,DOC_EQP,$H919,DOC_SCOPE,"Equipment",DOC_ACTIVE,1)+COUNTIFS(DOC_TYPE,$I919,DOC_SYS,SETUP!$B$167,DOC_SCOPE,"System",DOC_ACTIVE,1)+COUNTIFS(DOC_TYPE,$I919,DOC_SCOPE,"All",DOC_ACTIVE,1)&gt;0,"",IFERROR(IF($E$7&lt;&gt;"",$E$7-$C$7,SETUP!$D$167-$C$7),60000)+ROW()/1000000))</f>
        <v/>
      </c>
    </row>
    <row r="920">
      <c r="G920">
        <f>IF(OR(SETUP!$C$167="",$A$8="",$B$8&lt;&gt;"Equipment"),"","Equipment")</f>
        <v/>
      </c>
      <c r="H920">
        <f>IF($G920="","",SETUP!$C$167)</f>
        <v/>
      </c>
      <c r="I920">
        <f>IF($G920="","",$A$8)</f>
        <v/>
      </c>
      <c r="J920">
        <f>IF($G920="","",IF(COUNTIFS(DOC_TYPE,$I920,DOC_EQP,$H920,DOC_SCOPE,"Equipment",DOC_ACTIVE,1)+COUNTIFS(DOC_TYPE,$I920,DOC_SYS,SETUP!$B$167,DOC_SCOPE,"System",DOC_ACTIVE,1)+COUNTIFS(DOC_TYPE,$I920,DOC_SCOPE,"All",DOC_ACTIVE,1)&gt;0,"",IFERROR(IF($E$8&lt;&gt;"",$E$8-$C$8,SETUP!$D$167-$C$8),60000)+ROW()/1000000))</f>
        <v/>
      </c>
    </row>
    <row r="921">
      <c r="G921">
        <f>IF(OR(SETUP!$C$167="",$A$9="",$B$9&lt;&gt;"Equipment"),"","Equipment")</f>
        <v/>
      </c>
      <c r="H921">
        <f>IF($G921="","",SETUP!$C$167)</f>
        <v/>
      </c>
      <c r="I921">
        <f>IF($G921="","",$A$9)</f>
        <v/>
      </c>
      <c r="J921">
        <f>IF($G921="","",IF(COUNTIFS(DOC_TYPE,$I921,DOC_EQP,$H921,DOC_SCOPE,"Equipment",DOC_ACTIVE,1)+COUNTIFS(DOC_TYPE,$I921,DOC_SYS,SETUP!$B$167,DOC_SCOPE,"System",DOC_ACTIVE,1)+COUNTIFS(DOC_TYPE,$I921,DOC_SCOPE,"All",DOC_ACTIVE,1)&gt;0,"",IFERROR(IF($E$9&lt;&gt;"",$E$9-$C$9,SETUP!$D$167-$C$9),60000)+ROW()/1000000))</f>
        <v/>
      </c>
    </row>
    <row r="922">
      <c r="G922">
        <f>IF(OR(SETUP!$C$167="",$A$10="",$B$10&lt;&gt;"Equipment"),"","Equipment")</f>
        <v/>
      </c>
      <c r="H922">
        <f>IF($G922="","",SETUP!$C$167)</f>
        <v/>
      </c>
      <c r="I922">
        <f>IF($G922="","",$A$10)</f>
        <v/>
      </c>
      <c r="J922">
        <f>IF($G922="","",IF(COUNTIFS(DOC_TYPE,$I922,DOC_EQP,$H922,DOC_SCOPE,"Equipment",DOC_ACTIVE,1)+COUNTIFS(DOC_TYPE,$I922,DOC_SYS,SETUP!$B$167,DOC_SCOPE,"System",DOC_ACTIVE,1)+COUNTIFS(DOC_TYPE,$I922,DOC_SCOPE,"All",DOC_ACTIVE,1)&gt;0,"",IFERROR(IF($E$10&lt;&gt;"",$E$10-$C$10,SETUP!$D$167-$C$10),60000)+ROW()/1000000))</f>
        <v/>
      </c>
    </row>
    <row r="923">
      <c r="G923">
        <f>IF(OR(SETUP!$C$167="",$A$11="",$B$11&lt;&gt;"Equipment"),"","Equipment")</f>
        <v/>
      </c>
      <c r="H923">
        <f>IF($G923="","",SETUP!$C$167)</f>
        <v/>
      </c>
      <c r="I923">
        <f>IF($G923="","",$A$11)</f>
        <v/>
      </c>
      <c r="J923">
        <f>IF($G923="","",IF(COUNTIFS(DOC_TYPE,$I923,DOC_EQP,$H923,DOC_SCOPE,"Equipment",DOC_ACTIVE,1)+COUNTIFS(DOC_TYPE,$I923,DOC_SYS,SETUP!$B$167,DOC_SCOPE,"System",DOC_ACTIVE,1)+COUNTIFS(DOC_TYPE,$I923,DOC_SCOPE,"All",DOC_ACTIVE,1)&gt;0,"",IFERROR(IF($E$11&lt;&gt;"",$E$11-$C$11,SETUP!$D$167-$C$11),60000)+ROW()/1000000))</f>
        <v/>
      </c>
    </row>
    <row r="924">
      <c r="G924">
        <f>IF(OR(SETUP!$C$167="",$A$12="",$B$12&lt;&gt;"Equipment"),"","Equipment")</f>
        <v/>
      </c>
      <c r="H924">
        <f>IF($G924="","",SETUP!$C$167)</f>
        <v/>
      </c>
      <c r="I924">
        <f>IF($G924="","",$A$12)</f>
        <v/>
      </c>
      <c r="J924">
        <f>IF($G924="","",IF(COUNTIFS(DOC_TYPE,$I924,DOC_EQP,$H924,DOC_SCOPE,"Equipment",DOC_ACTIVE,1)+COUNTIFS(DOC_TYPE,$I924,DOC_SYS,SETUP!$B$167,DOC_SCOPE,"System",DOC_ACTIVE,1)+COUNTIFS(DOC_TYPE,$I924,DOC_SCOPE,"All",DOC_ACTIVE,1)&gt;0,"",IFERROR(IF($E$12&lt;&gt;"",$E$12-$C$12,SETUP!$D$167-$C$12),60000)+ROW()/1000000))</f>
        <v/>
      </c>
    </row>
    <row r="925">
      <c r="G925">
        <f>IF(OR(SETUP!$C$167="",$A$13="",$B$13&lt;&gt;"Equipment"),"","Equipment")</f>
        <v/>
      </c>
      <c r="H925">
        <f>IF($G925="","",SETUP!$C$167)</f>
        <v/>
      </c>
      <c r="I925">
        <f>IF($G925="","",$A$13)</f>
        <v/>
      </c>
      <c r="J925">
        <f>IF($G925="","",IF(COUNTIFS(DOC_TYPE,$I925,DOC_EQP,$H925,DOC_SCOPE,"Equipment",DOC_ACTIVE,1)+COUNTIFS(DOC_TYPE,$I925,DOC_SYS,SETUP!$B$167,DOC_SCOPE,"System",DOC_ACTIVE,1)+COUNTIFS(DOC_TYPE,$I925,DOC_SCOPE,"All",DOC_ACTIVE,1)&gt;0,"",IFERROR(IF($E$13&lt;&gt;"",$E$13-$C$13,SETUP!$D$167-$C$13),60000)+ROW()/1000000))</f>
        <v/>
      </c>
    </row>
    <row r="926">
      <c r="G926">
        <f>IF(OR(SETUP!$C$168="",$A$2="",$B$2&lt;&gt;"Equipment"),"","Equipment")</f>
        <v/>
      </c>
      <c r="H926">
        <f>IF($G926="","",SETUP!$C$168)</f>
        <v/>
      </c>
      <c r="I926">
        <f>IF($G926="","",$A$2)</f>
        <v/>
      </c>
      <c r="J926">
        <f>IF($G926="","",IF(COUNTIFS(DOC_TYPE,$I926,DOC_EQP,$H926,DOC_SCOPE,"Equipment",DOC_ACTIVE,1)+COUNTIFS(DOC_TYPE,$I926,DOC_SYS,SETUP!$B$168,DOC_SCOPE,"System",DOC_ACTIVE,1)+COUNTIFS(DOC_TYPE,$I926,DOC_SCOPE,"All",DOC_ACTIVE,1)&gt;0,"",IFERROR(IF($E$2&lt;&gt;"",$E$2-$C$2,SETUP!$D$168-$C$2),60000)+ROW()/1000000))</f>
        <v/>
      </c>
    </row>
    <row r="927">
      <c r="G927">
        <f>IF(OR(SETUP!$C$168="",$A$3="",$B$3&lt;&gt;"Equipment"),"","Equipment")</f>
        <v/>
      </c>
      <c r="H927">
        <f>IF($G927="","",SETUP!$C$168)</f>
        <v/>
      </c>
      <c r="I927">
        <f>IF($G927="","",$A$3)</f>
        <v/>
      </c>
      <c r="J927">
        <f>IF($G927="","",IF(COUNTIFS(DOC_TYPE,$I927,DOC_EQP,$H927,DOC_SCOPE,"Equipment",DOC_ACTIVE,1)+COUNTIFS(DOC_TYPE,$I927,DOC_SYS,SETUP!$B$168,DOC_SCOPE,"System",DOC_ACTIVE,1)+COUNTIFS(DOC_TYPE,$I927,DOC_SCOPE,"All",DOC_ACTIVE,1)&gt;0,"",IFERROR(IF($E$3&lt;&gt;"",$E$3-$C$3,SETUP!$D$168-$C$3),60000)+ROW()/1000000))</f>
        <v/>
      </c>
    </row>
    <row r="928">
      <c r="G928">
        <f>IF(OR(SETUP!$C$168="",$A$4="",$B$4&lt;&gt;"Equipment"),"","Equipment")</f>
        <v/>
      </c>
      <c r="H928">
        <f>IF($G928="","",SETUP!$C$168)</f>
        <v/>
      </c>
      <c r="I928">
        <f>IF($G928="","",$A$4)</f>
        <v/>
      </c>
      <c r="J928">
        <f>IF($G928="","",IF(COUNTIFS(DOC_TYPE,$I928,DOC_EQP,$H928,DOC_SCOPE,"Equipment",DOC_ACTIVE,1)+COUNTIFS(DOC_TYPE,$I928,DOC_SYS,SETUP!$B$168,DOC_SCOPE,"System",DOC_ACTIVE,1)+COUNTIFS(DOC_TYPE,$I928,DOC_SCOPE,"All",DOC_ACTIVE,1)&gt;0,"",IFERROR(IF($E$4&lt;&gt;"",$E$4-$C$4,SETUP!$D$168-$C$4),60000)+ROW()/1000000))</f>
        <v/>
      </c>
    </row>
    <row r="929">
      <c r="G929">
        <f>IF(OR(SETUP!$C$168="",$A$5="",$B$5&lt;&gt;"Equipment"),"","Equipment")</f>
        <v/>
      </c>
      <c r="H929">
        <f>IF($G929="","",SETUP!$C$168)</f>
        <v/>
      </c>
      <c r="I929">
        <f>IF($G929="","",$A$5)</f>
        <v/>
      </c>
      <c r="J929">
        <f>IF($G929="","",IF(COUNTIFS(DOC_TYPE,$I929,DOC_EQP,$H929,DOC_SCOPE,"Equipment",DOC_ACTIVE,1)+COUNTIFS(DOC_TYPE,$I929,DOC_SYS,SETUP!$B$168,DOC_SCOPE,"System",DOC_ACTIVE,1)+COUNTIFS(DOC_TYPE,$I929,DOC_SCOPE,"All",DOC_ACTIVE,1)&gt;0,"",IFERROR(IF($E$5&lt;&gt;"",$E$5-$C$5,SETUP!$D$168-$C$5),60000)+ROW()/1000000))</f>
        <v/>
      </c>
    </row>
    <row r="930">
      <c r="G930">
        <f>IF(OR(SETUP!$C$168="",$A$6="",$B$6&lt;&gt;"Equipment"),"","Equipment")</f>
        <v/>
      </c>
      <c r="H930">
        <f>IF($G930="","",SETUP!$C$168)</f>
        <v/>
      </c>
      <c r="I930">
        <f>IF($G930="","",$A$6)</f>
        <v/>
      </c>
      <c r="J930">
        <f>IF($G930="","",IF(COUNTIFS(DOC_TYPE,$I930,DOC_EQP,$H930,DOC_SCOPE,"Equipment",DOC_ACTIVE,1)+COUNTIFS(DOC_TYPE,$I930,DOC_SYS,SETUP!$B$168,DOC_SCOPE,"System",DOC_ACTIVE,1)+COUNTIFS(DOC_TYPE,$I930,DOC_SCOPE,"All",DOC_ACTIVE,1)&gt;0,"",IFERROR(IF($E$6&lt;&gt;"",$E$6-$C$6,SETUP!$D$168-$C$6),60000)+ROW()/1000000))</f>
        <v/>
      </c>
    </row>
    <row r="931">
      <c r="G931">
        <f>IF(OR(SETUP!$C$168="",$A$7="",$B$7&lt;&gt;"Equipment"),"","Equipment")</f>
        <v/>
      </c>
      <c r="H931">
        <f>IF($G931="","",SETUP!$C$168)</f>
        <v/>
      </c>
      <c r="I931">
        <f>IF($G931="","",$A$7)</f>
        <v/>
      </c>
      <c r="J931">
        <f>IF($G931="","",IF(COUNTIFS(DOC_TYPE,$I931,DOC_EQP,$H931,DOC_SCOPE,"Equipment",DOC_ACTIVE,1)+COUNTIFS(DOC_TYPE,$I931,DOC_SYS,SETUP!$B$168,DOC_SCOPE,"System",DOC_ACTIVE,1)+COUNTIFS(DOC_TYPE,$I931,DOC_SCOPE,"All",DOC_ACTIVE,1)&gt;0,"",IFERROR(IF($E$7&lt;&gt;"",$E$7-$C$7,SETUP!$D$168-$C$7),60000)+ROW()/1000000))</f>
        <v/>
      </c>
    </row>
    <row r="932">
      <c r="G932">
        <f>IF(OR(SETUP!$C$168="",$A$8="",$B$8&lt;&gt;"Equipment"),"","Equipment")</f>
        <v/>
      </c>
      <c r="H932">
        <f>IF($G932="","",SETUP!$C$168)</f>
        <v/>
      </c>
      <c r="I932">
        <f>IF($G932="","",$A$8)</f>
        <v/>
      </c>
      <c r="J932">
        <f>IF($G932="","",IF(COUNTIFS(DOC_TYPE,$I932,DOC_EQP,$H932,DOC_SCOPE,"Equipment",DOC_ACTIVE,1)+COUNTIFS(DOC_TYPE,$I932,DOC_SYS,SETUP!$B$168,DOC_SCOPE,"System",DOC_ACTIVE,1)+COUNTIFS(DOC_TYPE,$I932,DOC_SCOPE,"All",DOC_ACTIVE,1)&gt;0,"",IFERROR(IF($E$8&lt;&gt;"",$E$8-$C$8,SETUP!$D$168-$C$8),60000)+ROW()/1000000))</f>
        <v/>
      </c>
    </row>
    <row r="933">
      <c r="G933">
        <f>IF(OR(SETUP!$C$168="",$A$9="",$B$9&lt;&gt;"Equipment"),"","Equipment")</f>
        <v/>
      </c>
      <c r="H933">
        <f>IF($G933="","",SETUP!$C$168)</f>
        <v/>
      </c>
      <c r="I933">
        <f>IF($G933="","",$A$9)</f>
        <v/>
      </c>
      <c r="J933">
        <f>IF($G933="","",IF(COUNTIFS(DOC_TYPE,$I933,DOC_EQP,$H933,DOC_SCOPE,"Equipment",DOC_ACTIVE,1)+COUNTIFS(DOC_TYPE,$I933,DOC_SYS,SETUP!$B$168,DOC_SCOPE,"System",DOC_ACTIVE,1)+COUNTIFS(DOC_TYPE,$I933,DOC_SCOPE,"All",DOC_ACTIVE,1)&gt;0,"",IFERROR(IF($E$9&lt;&gt;"",$E$9-$C$9,SETUP!$D$168-$C$9),60000)+ROW()/1000000))</f>
        <v/>
      </c>
    </row>
    <row r="934">
      <c r="G934">
        <f>IF(OR(SETUP!$C$168="",$A$10="",$B$10&lt;&gt;"Equipment"),"","Equipment")</f>
        <v/>
      </c>
      <c r="H934">
        <f>IF($G934="","",SETUP!$C$168)</f>
        <v/>
      </c>
      <c r="I934">
        <f>IF($G934="","",$A$10)</f>
        <v/>
      </c>
      <c r="J934">
        <f>IF($G934="","",IF(COUNTIFS(DOC_TYPE,$I934,DOC_EQP,$H934,DOC_SCOPE,"Equipment",DOC_ACTIVE,1)+COUNTIFS(DOC_TYPE,$I934,DOC_SYS,SETUP!$B$168,DOC_SCOPE,"System",DOC_ACTIVE,1)+COUNTIFS(DOC_TYPE,$I934,DOC_SCOPE,"All",DOC_ACTIVE,1)&gt;0,"",IFERROR(IF($E$10&lt;&gt;"",$E$10-$C$10,SETUP!$D$168-$C$10),60000)+ROW()/1000000))</f>
        <v/>
      </c>
    </row>
    <row r="935">
      <c r="G935">
        <f>IF(OR(SETUP!$C$168="",$A$11="",$B$11&lt;&gt;"Equipment"),"","Equipment")</f>
        <v/>
      </c>
      <c r="H935">
        <f>IF($G935="","",SETUP!$C$168)</f>
        <v/>
      </c>
      <c r="I935">
        <f>IF($G935="","",$A$11)</f>
        <v/>
      </c>
      <c r="J935">
        <f>IF($G935="","",IF(COUNTIFS(DOC_TYPE,$I935,DOC_EQP,$H935,DOC_SCOPE,"Equipment",DOC_ACTIVE,1)+COUNTIFS(DOC_TYPE,$I935,DOC_SYS,SETUP!$B$168,DOC_SCOPE,"System",DOC_ACTIVE,1)+COUNTIFS(DOC_TYPE,$I935,DOC_SCOPE,"All",DOC_ACTIVE,1)&gt;0,"",IFERROR(IF($E$11&lt;&gt;"",$E$11-$C$11,SETUP!$D$168-$C$11),60000)+ROW()/1000000))</f>
        <v/>
      </c>
    </row>
    <row r="936">
      <c r="G936">
        <f>IF(OR(SETUP!$C$168="",$A$12="",$B$12&lt;&gt;"Equipment"),"","Equipment")</f>
        <v/>
      </c>
      <c r="H936">
        <f>IF($G936="","",SETUP!$C$168)</f>
        <v/>
      </c>
      <c r="I936">
        <f>IF($G936="","",$A$12)</f>
        <v/>
      </c>
      <c r="J936">
        <f>IF($G936="","",IF(COUNTIFS(DOC_TYPE,$I936,DOC_EQP,$H936,DOC_SCOPE,"Equipment",DOC_ACTIVE,1)+COUNTIFS(DOC_TYPE,$I936,DOC_SYS,SETUP!$B$168,DOC_SCOPE,"System",DOC_ACTIVE,1)+COUNTIFS(DOC_TYPE,$I936,DOC_SCOPE,"All",DOC_ACTIVE,1)&gt;0,"",IFERROR(IF($E$12&lt;&gt;"",$E$12-$C$12,SETUP!$D$168-$C$12),60000)+ROW()/1000000))</f>
        <v/>
      </c>
    </row>
    <row r="937">
      <c r="G937">
        <f>IF(OR(SETUP!$C$168="",$A$13="",$B$13&lt;&gt;"Equipment"),"","Equipment")</f>
        <v/>
      </c>
      <c r="H937">
        <f>IF($G937="","",SETUP!$C$168)</f>
        <v/>
      </c>
      <c r="I937">
        <f>IF($G937="","",$A$13)</f>
        <v/>
      </c>
      <c r="J937">
        <f>IF($G937="","",IF(COUNTIFS(DOC_TYPE,$I937,DOC_EQP,$H937,DOC_SCOPE,"Equipment",DOC_ACTIVE,1)+COUNTIFS(DOC_TYPE,$I937,DOC_SYS,SETUP!$B$168,DOC_SCOPE,"System",DOC_ACTIVE,1)+COUNTIFS(DOC_TYPE,$I937,DOC_SCOPE,"All",DOC_ACTIVE,1)&gt;0,"",IFERROR(IF($E$13&lt;&gt;"",$E$13-$C$13,SETUP!$D$168-$C$13),60000)+ROW()/1000000))</f>
        <v/>
      </c>
    </row>
    <row r="938">
      <c r="G938">
        <f>IF(OR(SETUP!$C$169="",$A$2="",$B$2&lt;&gt;"Equipment"),"","Equipment")</f>
        <v/>
      </c>
      <c r="H938">
        <f>IF($G938="","",SETUP!$C$169)</f>
        <v/>
      </c>
      <c r="I938">
        <f>IF($G938="","",$A$2)</f>
        <v/>
      </c>
      <c r="J938">
        <f>IF($G938="","",IF(COUNTIFS(DOC_TYPE,$I938,DOC_EQP,$H938,DOC_SCOPE,"Equipment",DOC_ACTIVE,1)+COUNTIFS(DOC_TYPE,$I938,DOC_SYS,SETUP!$B$169,DOC_SCOPE,"System",DOC_ACTIVE,1)+COUNTIFS(DOC_TYPE,$I938,DOC_SCOPE,"All",DOC_ACTIVE,1)&gt;0,"",IFERROR(IF($E$2&lt;&gt;"",$E$2-$C$2,SETUP!$D$169-$C$2),60000)+ROW()/1000000))</f>
        <v/>
      </c>
    </row>
    <row r="939">
      <c r="G939">
        <f>IF(OR(SETUP!$C$169="",$A$3="",$B$3&lt;&gt;"Equipment"),"","Equipment")</f>
        <v/>
      </c>
      <c r="H939">
        <f>IF($G939="","",SETUP!$C$169)</f>
        <v/>
      </c>
      <c r="I939">
        <f>IF($G939="","",$A$3)</f>
        <v/>
      </c>
      <c r="J939">
        <f>IF($G939="","",IF(COUNTIFS(DOC_TYPE,$I939,DOC_EQP,$H939,DOC_SCOPE,"Equipment",DOC_ACTIVE,1)+COUNTIFS(DOC_TYPE,$I939,DOC_SYS,SETUP!$B$169,DOC_SCOPE,"System",DOC_ACTIVE,1)+COUNTIFS(DOC_TYPE,$I939,DOC_SCOPE,"All",DOC_ACTIVE,1)&gt;0,"",IFERROR(IF($E$3&lt;&gt;"",$E$3-$C$3,SETUP!$D$169-$C$3),60000)+ROW()/1000000))</f>
        <v/>
      </c>
    </row>
    <row r="940">
      <c r="G940">
        <f>IF(OR(SETUP!$C$169="",$A$4="",$B$4&lt;&gt;"Equipment"),"","Equipment")</f>
        <v/>
      </c>
      <c r="H940">
        <f>IF($G940="","",SETUP!$C$169)</f>
        <v/>
      </c>
      <c r="I940">
        <f>IF($G940="","",$A$4)</f>
        <v/>
      </c>
      <c r="J940">
        <f>IF($G940="","",IF(COUNTIFS(DOC_TYPE,$I940,DOC_EQP,$H940,DOC_SCOPE,"Equipment",DOC_ACTIVE,1)+COUNTIFS(DOC_TYPE,$I940,DOC_SYS,SETUP!$B$169,DOC_SCOPE,"System",DOC_ACTIVE,1)+COUNTIFS(DOC_TYPE,$I940,DOC_SCOPE,"All",DOC_ACTIVE,1)&gt;0,"",IFERROR(IF($E$4&lt;&gt;"",$E$4-$C$4,SETUP!$D$169-$C$4),60000)+ROW()/1000000))</f>
        <v/>
      </c>
    </row>
    <row r="941">
      <c r="G941">
        <f>IF(OR(SETUP!$C$169="",$A$5="",$B$5&lt;&gt;"Equipment"),"","Equipment")</f>
        <v/>
      </c>
      <c r="H941">
        <f>IF($G941="","",SETUP!$C$169)</f>
        <v/>
      </c>
      <c r="I941">
        <f>IF($G941="","",$A$5)</f>
        <v/>
      </c>
      <c r="J941">
        <f>IF($G941="","",IF(COUNTIFS(DOC_TYPE,$I941,DOC_EQP,$H941,DOC_SCOPE,"Equipment",DOC_ACTIVE,1)+COUNTIFS(DOC_TYPE,$I941,DOC_SYS,SETUP!$B$169,DOC_SCOPE,"System",DOC_ACTIVE,1)+COUNTIFS(DOC_TYPE,$I941,DOC_SCOPE,"All",DOC_ACTIVE,1)&gt;0,"",IFERROR(IF($E$5&lt;&gt;"",$E$5-$C$5,SETUP!$D$169-$C$5),60000)+ROW()/1000000))</f>
        <v/>
      </c>
    </row>
    <row r="942">
      <c r="G942">
        <f>IF(OR(SETUP!$C$169="",$A$6="",$B$6&lt;&gt;"Equipment"),"","Equipment")</f>
        <v/>
      </c>
      <c r="H942">
        <f>IF($G942="","",SETUP!$C$169)</f>
        <v/>
      </c>
      <c r="I942">
        <f>IF($G942="","",$A$6)</f>
        <v/>
      </c>
      <c r="J942">
        <f>IF($G942="","",IF(COUNTIFS(DOC_TYPE,$I942,DOC_EQP,$H942,DOC_SCOPE,"Equipment",DOC_ACTIVE,1)+COUNTIFS(DOC_TYPE,$I942,DOC_SYS,SETUP!$B$169,DOC_SCOPE,"System",DOC_ACTIVE,1)+COUNTIFS(DOC_TYPE,$I942,DOC_SCOPE,"All",DOC_ACTIVE,1)&gt;0,"",IFERROR(IF($E$6&lt;&gt;"",$E$6-$C$6,SETUP!$D$169-$C$6),60000)+ROW()/1000000))</f>
        <v/>
      </c>
    </row>
    <row r="943">
      <c r="G943">
        <f>IF(OR(SETUP!$C$169="",$A$7="",$B$7&lt;&gt;"Equipment"),"","Equipment")</f>
        <v/>
      </c>
      <c r="H943">
        <f>IF($G943="","",SETUP!$C$169)</f>
        <v/>
      </c>
      <c r="I943">
        <f>IF($G943="","",$A$7)</f>
        <v/>
      </c>
      <c r="J943">
        <f>IF($G943="","",IF(COUNTIFS(DOC_TYPE,$I943,DOC_EQP,$H943,DOC_SCOPE,"Equipment",DOC_ACTIVE,1)+COUNTIFS(DOC_TYPE,$I943,DOC_SYS,SETUP!$B$169,DOC_SCOPE,"System",DOC_ACTIVE,1)+COUNTIFS(DOC_TYPE,$I943,DOC_SCOPE,"All",DOC_ACTIVE,1)&gt;0,"",IFERROR(IF($E$7&lt;&gt;"",$E$7-$C$7,SETUP!$D$169-$C$7),60000)+ROW()/1000000))</f>
        <v/>
      </c>
    </row>
    <row r="944">
      <c r="G944">
        <f>IF(OR(SETUP!$C$169="",$A$8="",$B$8&lt;&gt;"Equipment"),"","Equipment")</f>
        <v/>
      </c>
      <c r="H944">
        <f>IF($G944="","",SETUP!$C$169)</f>
        <v/>
      </c>
      <c r="I944">
        <f>IF($G944="","",$A$8)</f>
        <v/>
      </c>
      <c r="J944">
        <f>IF($G944="","",IF(COUNTIFS(DOC_TYPE,$I944,DOC_EQP,$H944,DOC_SCOPE,"Equipment",DOC_ACTIVE,1)+COUNTIFS(DOC_TYPE,$I944,DOC_SYS,SETUP!$B$169,DOC_SCOPE,"System",DOC_ACTIVE,1)+COUNTIFS(DOC_TYPE,$I944,DOC_SCOPE,"All",DOC_ACTIVE,1)&gt;0,"",IFERROR(IF($E$8&lt;&gt;"",$E$8-$C$8,SETUP!$D$169-$C$8),60000)+ROW()/1000000))</f>
        <v/>
      </c>
    </row>
    <row r="945">
      <c r="G945">
        <f>IF(OR(SETUP!$C$169="",$A$9="",$B$9&lt;&gt;"Equipment"),"","Equipment")</f>
        <v/>
      </c>
      <c r="H945">
        <f>IF($G945="","",SETUP!$C$169)</f>
        <v/>
      </c>
      <c r="I945">
        <f>IF($G945="","",$A$9)</f>
        <v/>
      </c>
      <c r="J945">
        <f>IF($G945="","",IF(COUNTIFS(DOC_TYPE,$I945,DOC_EQP,$H945,DOC_SCOPE,"Equipment",DOC_ACTIVE,1)+COUNTIFS(DOC_TYPE,$I945,DOC_SYS,SETUP!$B$169,DOC_SCOPE,"System",DOC_ACTIVE,1)+COUNTIFS(DOC_TYPE,$I945,DOC_SCOPE,"All",DOC_ACTIVE,1)&gt;0,"",IFERROR(IF($E$9&lt;&gt;"",$E$9-$C$9,SETUP!$D$169-$C$9),60000)+ROW()/1000000))</f>
        <v/>
      </c>
    </row>
    <row r="946">
      <c r="G946">
        <f>IF(OR(SETUP!$C$169="",$A$10="",$B$10&lt;&gt;"Equipment"),"","Equipment")</f>
        <v/>
      </c>
      <c r="H946">
        <f>IF($G946="","",SETUP!$C$169)</f>
        <v/>
      </c>
      <c r="I946">
        <f>IF($G946="","",$A$10)</f>
        <v/>
      </c>
      <c r="J946">
        <f>IF($G946="","",IF(COUNTIFS(DOC_TYPE,$I946,DOC_EQP,$H946,DOC_SCOPE,"Equipment",DOC_ACTIVE,1)+COUNTIFS(DOC_TYPE,$I946,DOC_SYS,SETUP!$B$169,DOC_SCOPE,"System",DOC_ACTIVE,1)+COUNTIFS(DOC_TYPE,$I946,DOC_SCOPE,"All",DOC_ACTIVE,1)&gt;0,"",IFERROR(IF($E$10&lt;&gt;"",$E$10-$C$10,SETUP!$D$169-$C$10),60000)+ROW()/1000000))</f>
        <v/>
      </c>
    </row>
    <row r="947">
      <c r="G947">
        <f>IF(OR(SETUP!$C$169="",$A$11="",$B$11&lt;&gt;"Equipment"),"","Equipment")</f>
        <v/>
      </c>
      <c r="H947">
        <f>IF($G947="","",SETUP!$C$169)</f>
        <v/>
      </c>
      <c r="I947">
        <f>IF($G947="","",$A$11)</f>
        <v/>
      </c>
      <c r="J947">
        <f>IF($G947="","",IF(COUNTIFS(DOC_TYPE,$I947,DOC_EQP,$H947,DOC_SCOPE,"Equipment",DOC_ACTIVE,1)+COUNTIFS(DOC_TYPE,$I947,DOC_SYS,SETUP!$B$169,DOC_SCOPE,"System",DOC_ACTIVE,1)+COUNTIFS(DOC_TYPE,$I947,DOC_SCOPE,"All",DOC_ACTIVE,1)&gt;0,"",IFERROR(IF($E$11&lt;&gt;"",$E$11-$C$11,SETUP!$D$169-$C$11),60000)+ROW()/1000000))</f>
        <v/>
      </c>
    </row>
    <row r="948">
      <c r="G948">
        <f>IF(OR(SETUP!$C$169="",$A$12="",$B$12&lt;&gt;"Equipment"),"","Equipment")</f>
        <v/>
      </c>
      <c r="H948">
        <f>IF($G948="","",SETUP!$C$169)</f>
        <v/>
      </c>
      <c r="I948">
        <f>IF($G948="","",$A$12)</f>
        <v/>
      </c>
      <c r="J948">
        <f>IF($G948="","",IF(COUNTIFS(DOC_TYPE,$I948,DOC_EQP,$H948,DOC_SCOPE,"Equipment",DOC_ACTIVE,1)+COUNTIFS(DOC_TYPE,$I948,DOC_SYS,SETUP!$B$169,DOC_SCOPE,"System",DOC_ACTIVE,1)+COUNTIFS(DOC_TYPE,$I948,DOC_SCOPE,"All",DOC_ACTIVE,1)&gt;0,"",IFERROR(IF($E$12&lt;&gt;"",$E$12-$C$12,SETUP!$D$169-$C$12),60000)+ROW()/1000000))</f>
        <v/>
      </c>
    </row>
    <row r="949">
      <c r="G949">
        <f>IF(OR(SETUP!$C$169="",$A$13="",$B$13&lt;&gt;"Equipment"),"","Equipment")</f>
        <v/>
      </c>
      <c r="H949">
        <f>IF($G949="","",SETUP!$C$169)</f>
        <v/>
      </c>
      <c r="I949">
        <f>IF($G949="","",$A$13)</f>
        <v/>
      </c>
      <c r="J949">
        <f>IF($G949="","",IF(COUNTIFS(DOC_TYPE,$I949,DOC_EQP,$H949,DOC_SCOPE,"Equipment",DOC_ACTIVE,1)+COUNTIFS(DOC_TYPE,$I949,DOC_SYS,SETUP!$B$169,DOC_SCOPE,"System",DOC_ACTIVE,1)+COUNTIFS(DOC_TYPE,$I949,DOC_SCOPE,"All",DOC_ACTIVE,1)&gt;0,"",IFERROR(IF($E$13&lt;&gt;"",$E$13-$C$13,SETUP!$D$169-$C$13),60000)+ROW()/1000000))</f>
        <v/>
      </c>
    </row>
    <row r="950">
      <c r="G950">
        <f>IF(OR(SETUP!$C$170="",$A$2="",$B$2&lt;&gt;"Equipment"),"","Equipment")</f>
        <v/>
      </c>
      <c r="H950">
        <f>IF($G950="","",SETUP!$C$170)</f>
        <v/>
      </c>
      <c r="I950">
        <f>IF($G950="","",$A$2)</f>
        <v/>
      </c>
      <c r="J950">
        <f>IF($G950="","",IF(COUNTIFS(DOC_TYPE,$I950,DOC_EQP,$H950,DOC_SCOPE,"Equipment",DOC_ACTIVE,1)+COUNTIFS(DOC_TYPE,$I950,DOC_SYS,SETUP!$B$170,DOC_SCOPE,"System",DOC_ACTIVE,1)+COUNTIFS(DOC_TYPE,$I950,DOC_SCOPE,"All",DOC_ACTIVE,1)&gt;0,"",IFERROR(IF($E$2&lt;&gt;"",$E$2-$C$2,SETUP!$D$170-$C$2),60000)+ROW()/1000000))</f>
        <v/>
      </c>
    </row>
    <row r="951">
      <c r="G951">
        <f>IF(OR(SETUP!$C$170="",$A$3="",$B$3&lt;&gt;"Equipment"),"","Equipment")</f>
        <v/>
      </c>
      <c r="H951">
        <f>IF($G951="","",SETUP!$C$170)</f>
        <v/>
      </c>
      <c r="I951">
        <f>IF($G951="","",$A$3)</f>
        <v/>
      </c>
      <c r="J951">
        <f>IF($G951="","",IF(COUNTIFS(DOC_TYPE,$I951,DOC_EQP,$H951,DOC_SCOPE,"Equipment",DOC_ACTIVE,1)+COUNTIFS(DOC_TYPE,$I951,DOC_SYS,SETUP!$B$170,DOC_SCOPE,"System",DOC_ACTIVE,1)+COUNTIFS(DOC_TYPE,$I951,DOC_SCOPE,"All",DOC_ACTIVE,1)&gt;0,"",IFERROR(IF($E$3&lt;&gt;"",$E$3-$C$3,SETUP!$D$170-$C$3),60000)+ROW()/1000000))</f>
        <v/>
      </c>
    </row>
    <row r="952">
      <c r="G952">
        <f>IF(OR(SETUP!$C$170="",$A$4="",$B$4&lt;&gt;"Equipment"),"","Equipment")</f>
        <v/>
      </c>
      <c r="H952">
        <f>IF($G952="","",SETUP!$C$170)</f>
        <v/>
      </c>
      <c r="I952">
        <f>IF($G952="","",$A$4)</f>
        <v/>
      </c>
      <c r="J952">
        <f>IF($G952="","",IF(COUNTIFS(DOC_TYPE,$I952,DOC_EQP,$H952,DOC_SCOPE,"Equipment",DOC_ACTIVE,1)+COUNTIFS(DOC_TYPE,$I952,DOC_SYS,SETUP!$B$170,DOC_SCOPE,"System",DOC_ACTIVE,1)+COUNTIFS(DOC_TYPE,$I952,DOC_SCOPE,"All",DOC_ACTIVE,1)&gt;0,"",IFERROR(IF($E$4&lt;&gt;"",$E$4-$C$4,SETUP!$D$170-$C$4),60000)+ROW()/1000000))</f>
        <v/>
      </c>
    </row>
    <row r="953">
      <c r="G953">
        <f>IF(OR(SETUP!$C$170="",$A$5="",$B$5&lt;&gt;"Equipment"),"","Equipment")</f>
        <v/>
      </c>
      <c r="H953">
        <f>IF($G953="","",SETUP!$C$170)</f>
        <v/>
      </c>
      <c r="I953">
        <f>IF($G953="","",$A$5)</f>
        <v/>
      </c>
      <c r="J953">
        <f>IF($G953="","",IF(COUNTIFS(DOC_TYPE,$I953,DOC_EQP,$H953,DOC_SCOPE,"Equipment",DOC_ACTIVE,1)+COUNTIFS(DOC_TYPE,$I953,DOC_SYS,SETUP!$B$170,DOC_SCOPE,"System",DOC_ACTIVE,1)+COUNTIFS(DOC_TYPE,$I953,DOC_SCOPE,"All",DOC_ACTIVE,1)&gt;0,"",IFERROR(IF($E$5&lt;&gt;"",$E$5-$C$5,SETUP!$D$170-$C$5),60000)+ROW()/1000000))</f>
        <v/>
      </c>
    </row>
    <row r="954">
      <c r="G954">
        <f>IF(OR(SETUP!$C$170="",$A$6="",$B$6&lt;&gt;"Equipment"),"","Equipment")</f>
        <v/>
      </c>
      <c r="H954">
        <f>IF($G954="","",SETUP!$C$170)</f>
        <v/>
      </c>
      <c r="I954">
        <f>IF($G954="","",$A$6)</f>
        <v/>
      </c>
      <c r="J954">
        <f>IF($G954="","",IF(COUNTIFS(DOC_TYPE,$I954,DOC_EQP,$H954,DOC_SCOPE,"Equipment",DOC_ACTIVE,1)+COUNTIFS(DOC_TYPE,$I954,DOC_SYS,SETUP!$B$170,DOC_SCOPE,"System",DOC_ACTIVE,1)+COUNTIFS(DOC_TYPE,$I954,DOC_SCOPE,"All",DOC_ACTIVE,1)&gt;0,"",IFERROR(IF($E$6&lt;&gt;"",$E$6-$C$6,SETUP!$D$170-$C$6),60000)+ROW()/1000000))</f>
        <v/>
      </c>
    </row>
    <row r="955">
      <c r="G955">
        <f>IF(OR(SETUP!$C$170="",$A$7="",$B$7&lt;&gt;"Equipment"),"","Equipment")</f>
        <v/>
      </c>
      <c r="H955">
        <f>IF($G955="","",SETUP!$C$170)</f>
        <v/>
      </c>
      <c r="I955">
        <f>IF($G955="","",$A$7)</f>
        <v/>
      </c>
      <c r="J955">
        <f>IF($G955="","",IF(COUNTIFS(DOC_TYPE,$I955,DOC_EQP,$H955,DOC_SCOPE,"Equipment",DOC_ACTIVE,1)+COUNTIFS(DOC_TYPE,$I955,DOC_SYS,SETUP!$B$170,DOC_SCOPE,"System",DOC_ACTIVE,1)+COUNTIFS(DOC_TYPE,$I955,DOC_SCOPE,"All",DOC_ACTIVE,1)&gt;0,"",IFERROR(IF($E$7&lt;&gt;"",$E$7-$C$7,SETUP!$D$170-$C$7),60000)+ROW()/1000000))</f>
        <v/>
      </c>
    </row>
    <row r="956">
      <c r="G956">
        <f>IF(OR(SETUP!$C$170="",$A$8="",$B$8&lt;&gt;"Equipment"),"","Equipment")</f>
        <v/>
      </c>
      <c r="H956">
        <f>IF($G956="","",SETUP!$C$170)</f>
        <v/>
      </c>
      <c r="I956">
        <f>IF($G956="","",$A$8)</f>
        <v/>
      </c>
      <c r="J956">
        <f>IF($G956="","",IF(COUNTIFS(DOC_TYPE,$I956,DOC_EQP,$H956,DOC_SCOPE,"Equipment",DOC_ACTIVE,1)+COUNTIFS(DOC_TYPE,$I956,DOC_SYS,SETUP!$B$170,DOC_SCOPE,"System",DOC_ACTIVE,1)+COUNTIFS(DOC_TYPE,$I956,DOC_SCOPE,"All",DOC_ACTIVE,1)&gt;0,"",IFERROR(IF($E$8&lt;&gt;"",$E$8-$C$8,SETUP!$D$170-$C$8),60000)+ROW()/1000000))</f>
        <v/>
      </c>
    </row>
    <row r="957">
      <c r="G957">
        <f>IF(OR(SETUP!$C$170="",$A$9="",$B$9&lt;&gt;"Equipment"),"","Equipment")</f>
        <v/>
      </c>
      <c r="H957">
        <f>IF($G957="","",SETUP!$C$170)</f>
        <v/>
      </c>
      <c r="I957">
        <f>IF($G957="","",$A$9)</f>
        <v/>
      </c>
      <c r="J957">
        <f>IF($G957="","",IF(COUNTIFS(DOC_TYPE,$I957,DOC_EQP,$H957,DOC_SCOPE,"Equipment",DOC_ACTIVE,1)+COUNTIFS(DOC_TYPE,$I957,DOC_SYS,SETUP!$B$170,DOC_SCOPE,"System",DOC_ACTIVE,1)+COUNTIFS(DOC_TYPE,$I957,DOC_SCOPE,"All",DOC_ACTIVE,1)&gt;0,"",IFERROR(IF($E$9&lt;&gt;"",$E$9-$C$9,SETUP!$D$170-$C$9),60000)+ROW()/1000000))</f>
        <v/>
      </c>
    </row>
    <row r="958">
      <c r="G958">
        <f>IF(OR(SETUP!$C$170="",$A$10="",$B$10&lt;&gt;"Equipment"),"","Equipment")</f>
        <v/>
      </c>
      <c r="H958">
        <f>IF($G958="","",SETUP!$C$170)</f>
        <v/>
      </c>
      <c r="I958">
        <f>IF($G958="","",$A$10)</f>
        <v/>
      </c>
      <c r="J958">
        <f>IF($G958="","",IF(COUNTIFS(DOC_TYPE,$I958,DOC_EQP,$H958,DOC_SCOPE,"Equipment",DOC_ACTIVE,1)+COUNTIFS(DOC_TYPE,$I958,DOC_SYS,SETUP!$B$170,DOC_SCOPE,"System",DOC_ACTIVE,1)+COUNTIFS(DOC_TYPE,$I958,DOC_SCOPE,"All",DOC_ACTIVE,1)&gt;0,"",IFERROR(IF($E$10&lt;&gt;"",$E$10-$C$10,SETUP!$D$170-$C$10),60000)+ROW()/1000000))</f>
        <v/>
      </c>
    </row>
    <row r="959">
      <c r="G959">
        <f>IF(OR(SETUP!$C$170="",$A$11="",$B$11&lt;&gt;"Equipment"),"","Equipment")</f>
        <v/>
      </c>
      <c r="H959">
        <f>IF($G959="","",SETUP!$C$170)</f>
        <v/>
      </c>
      <c r="I959">
        <f>IF($G959="","",$A$11)</f>
        <v/>
      </c>
      <c r="J959">
        <f>IF($G959="","",IF(COUNTIFS(DOC_TYPE,$I959,DOC_EQP,$H959,DOC_SCOPE,"Equipment",DOC_ACTIVE,1)+COUNTIFS(DOC_TYPE,$I959,DOC_SYS,SETUP!$B$170,DOC_SCOPE,"System",DOC_ACTIVE,1)+COUNTIFS(DOC_TYPE,$I959,DOC_SCOPE,"All",DOC_ACTIVE,1)&gt;0,"",IFERROR(IF($E$11&lt;&gt;"",$E$11-$C$11,SETUP!$D$170-$C$11),60000)+ROW()/1000000))</f>
        <v/>
      </c>
    </row>
    <row r="960">
      <c r="G960">
        <f>IF(OR(SETUP!$C$170="",$A$12="",$B$12&lt;&gt;"Equipment"),"","Equipment")</f>
        <v/>
      </c>
      <c r="H960">
        <f>IF($G960="","",SETUP!$C$170)</f>
        <v/>
      </c>
      <c r="I960">
        <f>IF($G960="","",$A$12)</f>
        <v/>
      </c>
      <c r="J960">
        <f>IF($G960="","",IF(COUNTIFS(DOC_TYPE,$I960,DOC_EQP,$H960,DOC_SCOPE,"Equipment",DOC_ACTIVE,1)+COUNTIFS(DOC_TYPE,$I960,DOC_SYS,SETUP!$B$170,DOC_SCOPE,"System",DOC_ACTIVE,1)+COUNTIFS(DOC_TYPE,$I960,DOC_SCOPE,"All",DOC_ACTIVE,1)&gt;0,"",IFERROR(IF($E$12&lt;&gt;"",$E$12-$C$12,SETUP!$D$170-$C$12),60000)+ROW()/1000000))</f>
        <v/>
      </c>
    </row>
    <row r="961">
      <c r="G961">
        <f>IF(OR(SETUP!$C$170="",$A$13="",$B$13&lt;&gt;"Equipment"),"","Equipment")</f>
        <v/>
      </c>
      <c r="H961">
        <f>IF($G961="","",SETUP!$C$170)</f>
        <v/>
      </c>
      <c r="I961">
        <f>IF($G961="","",$A$13)</f>
        <v/>
      </c>
      <c r="J961">
        <f>IF($G961="","",IF(COUNTIFS(DOC_TYPE,$I961,DOC_EQP,$H961,DOC_SCOPE,"Equipment",DOC_ACTIVE,1)+COUNTIFS(DOC_TYPE,$I961,DOC_SYS,SETUP!$B$170,DOC_SCOPE,"System",DOC_ACTIVE,1)+COUNTIFS(DOC_TYPE,$I961,DOC_SCOPE,"All",DOC_ACTIVE,1)&gt;0,"",IFERROR(IF($E$13&lt;&gt;"",$E$13-$C$13,SETUP!$D$170-$C$13),60000)+ROW()/1000000))</f>
        <v/>
      </c>
    </row>
    <row r="962">
      <c r="G962">
        <f>IF(OR(SETUP!$C$171="",$A$2="",$B$2&lt;&gt;"Equipment"),"","Equipment")</f>
        <v/>
      </c>
      <c r="H962">
        <f>IF($G962="","",SETUP!$C$171)</f>
        <v/>
      </c>
      <c r="I962">
        <f>IF($G962="","",$A$2)</f>
        <v/>
      </c>
      <c r="J962">
        <f>IF($G962="","",IF(COUNTIFS(DOC_TYPE,$I962,DOC_EQP,$H962,DOC_SCOPE,"Equipment",DOC_ACTIVE,1)+COUNTIFS(DOC_TYPE,$I962,DOC_SYS,SETUP!$B$171,DOC_SCOPE,"System",DOC_ACTIVE,1)+COUNTIFS(DOC_TYPE,$I962,DOC_SCOPE,"All",DOC_ACTIVE,1)&gt;0,"",IFERROR(IF($E$2&lt;&gt;"",$E$2-$C$2,SETUP!$D$171-$C$2),60000)+ROW()/1000000))</f>
        <v/>
      </c>
    </row>
    <row r="963">
      <c r="G963">
        <f>IF(OR(SETUP!$C$171="",$A$3="",$B$3&lt;&gt;"Equipment"),"","Equipment")</f>
        <v/>
      </c>
      <c r="H963">
        <f>IF($G963="","",SETUP!$C$171)</f>
        <v/>
      </c>
      <c r="I963">
        <f>IF($G963="","",$A$3)</f>
        <v/>
      </c>
      <c r="J963">
        <f>IF($G963="","",IF(COUNTIFS(DOC_TYPE,$I963,DOC_EQP,$H963,DOC_SCOPE,"Equipment",DOC_ACTIVE,1)+COUNTIFS(DOC_TYPE,$I963,DOC_SYS,SETUP!$B$171,DOC_SCOPE,"System",DOC_ACTIVE,1)+COUNTIFS(DOC_TYPE,$I963,DOC_SCOPE,"All",DOC_ACTIVE,1)&gt;0,"",IFERROR(IF($E$3&lt;&gt;"",$E$3-$C$3,SETUP!$D$171-$C$3),60000)+ROW()/1000000))</f>
        <v/>
      </c>
    </row>
    <row r="964">
      <c r="G964">
        <f>IF(OR(SETUP!$C$171="",$A$4="",$B$4&lt;&gt;"Equipment"),"","Equipment")</f>
        <v/>
      </c>
      <c r="H964">
        <f>IF($G964="","",SETUP!$C$171)</f>
        <v/>
      </c>
      <c r="I964">
        <f>IF($G964="","",$A$4)</f>
        <v/>
      </c>
      <c r="J964">
        <f>IF($G964="","",IF(COUNTIFS(DOC_TYPE,$I964,DOC_EQP,$H964,DOC_SCOPE,"Equipment",DOC_ACTIVE,1)+COUNTIFS(DOC_TYPE,$I964,DOC_SYS,SETUP!$B$171,DOC_SCOPE,"System",DOC_ACTIVE,1)+COUNTIFS(DOC_TYPE,$I964,DOC_SCOPE,"All",DOC_ACTIVE,1)&gt;0,"",IFERROR(IF($E$4&lt;&gt;"",$E$4-$C$4,SETUP!$D$171-$C$4),60000)+ROW()/1000000))</f>
        <v/>
      </c>
    </row>
    <row r="965">
      <c r="G965">
        <f>IF(OR(SETUP!$C$171="",$A$5="",$B$5&lt;&gt;"Equipment"),"","Equipment")</f>
        <v/>
      </c>
      <c r="H965">
        <f>IF($G965="","",SETUP!$C$171)</f>
        <v/>
      </c>
      <c r="I965">
        <f>IF($G965="","",$A$5)</f>
        <v/>
      </c>
      <c r="J965">
        <f>IF($G965="","",IF(COUNTIFS(DOC_TYPE,$I965,DOC_EQP,$H965,DOC_SCOPE,"Equipment",DOC_ACTIVE,1)+COUNTIFS(DOC_TYPE,$I965,DOC_SYS,SETUP!$B$171,DOC_SCOPE,"System",DOC_ACTIVE,1)+COUNTIFS(DOC_TYPE,$I965,DOC_SCOPE,"All",DOC_ACTIVE,1)&gt;0,"",IFERROR(IF($E$5&lt;&gt;"",$E$5-$C$5,SETUP!$D$171-$C$5),60000)+ROW()/1000000))</f>
        <v/>
      </c>
    </row>
    <row r="966">
      <c r="G966">
        <f>IF(OR(SETUP!$C$171="",$A$6="",$B$6&lt;&gt;"Equipment"),"","Equipment")</f>
        <v/>
      </c>
      <c r="H966">
        <f>IF($G966="","",SETUP!$C$171)</f>
        <v/>
      </c>
      <c r="I966">
        <f>IF($G966="","",$A$6)</f>
        <v/>
      </c>
      <c r="J966">
        <f>IF($G966="","",IF(COUNTIFS(DOC_TYPE,$I966,DOC_EQP,$H966,DOC_SCOPE,"Equipment",DOC_ACTIVE,1)+COUNTIFS(DOC_TYPE,$I966,DOC_SYS,SETUP!$B$171,DOC_SCOPE,"System",DOC_ACTIVE,1)+COUNTIFS(DOC_TYPE,$I966,DOC_SCOPE,"All",DOC_ACTIVE,1)&gt;0,"",IFERROR(IF($E$6&lt;&gt;"",$E$6-$C$6,SETUP!$D$171-$C$6),60000)+ROW()/1000000))</f>
        <v/>
      </c>
    </row>
    <row r="967">
      <c r="G967">
        <f>IF(OR(SETUP!$C$171="",$A$7="",$B$7&lt;&gt;"Equipment"),"","Equipment")</f>
        <v/>
      </c>
      <c r="H967">
        <f>IF($G967="","",SETUP!$C$171)</f>
        <v/>
      </c>
      <c r="I967">
        <f>IF($G967="","",$A$7)</f>
        <v/>
      </c>
      <c r="J967">
        <f>IF($G967="","",IF(COUNTIFS(DOC_TYPE,$I967,DOC_EQP,$H967,DOC_SCOPE,"Equipment",DOC_ACTIVE,1)+COUNTIFS(DOC_TYPE,$I967,DOC_SYS,SETUP!$B$171,DOC_SCOPE,"System",DOC_ACTIVE,1)+COUNTIFS(DOC_TYPE,$I967,DOC_SCOPE,"All",DOC_ACTIVE,1)&gt;0,"",IFERROR(IF($E$7&lt;&gt;"",$E$7-$C$7,SETUP!$D$171-$C$7),60000)+ROW()/1000000))</f>
        <v/>
      </c>
    </row>
    <row r="968">
      <c r="G968">
        <f>IF(OR(SETUP!$C$171="",$A$8="",$B$8&lt;&gt;"Equipment"),"","Equipment")</f>
        <v/>
      </c>
      <c r="H968">
        <f>IF($G968="","",SETUP!$C$171)</f>
        <v/>
      </c>
      <c r="I968">
        <f>IF($G968="","",$A$8)</f>
        <v/>
      </c>
      <c r="J968">
        <f>IF($G968="","",IF(COUNTIFS(DOC_TYPE,$I968,DOC_EQP,$H968,DOC_SCOPE,"Equipment",DOC_ACTIVE,1)+COUNTIFS(DOC_TYPE,$I968,DOC_SYS,SETUP!$B$171,DOC_SCOPE,"System",DOC_ACTIVE,1)+COUNTIFS(DOC_TYPE,$I968,DOC_SCOPE,"All",DOC_ACTIVE,1)&gt;0,"",IFERROR(IF($E$8&lt;&gt;"",$E$8-$C$8,SETUP!$D$171-$C$8),60000)+ROW()/1000000))</f>
        <v/>
      </c>
    </row>
    <row r="969">
      <c r="G969">
        <f>IF(OR(SETUP!$C$171="",$A$9="",$B$9&lt;&gt;"Equipment"),"","Equipment")</f>
        <v/>
      </c>
      <c r="H969">
        <f>IF($G969="","",SETUP!$C$171)</f>
        <v/>
      </c>
      <c r="I969">
        <f>IF($G969="","",$A$9)</f>
        <v/>
      </c>
      <c r="J969">
        <f>IF($G969="","",IF(COUNTIFS(DOC_TYPE,$I969,DOC_EQP,$H969,DOC_SCOPE,"Equipment",DOC_ACTIVE,1)+COUNTIFS(DOC_TYPE,$I969,DOC_SYS,SETUP!$B$171,DOC_SCOPE,"System",DOC_ACTIVE,1)+COUNTIFS(DOC_TYPE,$I969,DOC_SCOPE,"All",DOC_ACTIVE,1)&gt;0,"",IFERROR(IF($E$9&lt;&gt;"",$E$9-$C$9,SETUP!$D$171-$C$9),60000)+ROW()/1000000))</f>
        <v/>
      </c>
    </row>
    <row r="970">
      <c r="G970">
        <f>IF(OR(SETUP!$C$171="",$A$10="",$B$10&lt;&gt;"Equipment"),"","Equipment")</f>
        <v/>
      </c>
      <c r="H970">
        <f>IF($G970="","",SETUP!$C$171)</f>
        <v/>
      </c>
      <c r="I970">
        <f>IF($G970="","",$A$10)</f>
        <v/>
      </c>
      <c r="J970">
        <f>IF($G970="","",IF(COUNTIFS(DOC_TYPE,$I970,DOC_EQP,$H970,DOC_SCOPE,"Equipment",DOC_ACTIVE,1)+COUNTIFS(DOC_TYPE,$I970,DOC_SYS,SETUP!$B$171,DOC_SCOPE,"System",DOC_ACTIVE,1)+COUNTIFS(DOC_TYPE,$I970,DOC_SCOPE,"All",DOC_ACTIVE,1)&gt;0,"",IFERROR(IF($E$10&lt;&gt;"",$E$10-$C$10,SETUP!$D$171-$C$10),60000)+ROW()/1000000))</f>
        <v/>
      </c>
    </row>
    <row r="971">
      <c r="G971">
        <f>IF(OR(SETUP!$C$171="",$A$11="",$B$11&lt;&gt;"Equipment"),"","Equipment")</f>
        <v/>
      </c>
      <c r="H971">
        <f>IF($G971="","",SETUP!$C$171)</f>
        <v/>
      </c>
      <c r="I971">
        <f>IF($G971="","",$A$11)</f>
        <v/>
      </c>
      <c r="J971">
        <f>IF($G971="","",IF(COUNTIFS(DOC_TYPE,$I971,DOC_EQP,$H971,DOC_SCOPE,"Equipment",DOC_ACTIVE,1)+COUNTIFS(DOC_TYPE,$I971,DOC_SYS,SETUP!$B$171,DOC_SCOPE,"System",DOC_ACTIVE,1)+COUNTIFS(DOC_TYPE,$I971,DOC_SCOPE,"All",DOC_ACTIVE,1)&gt;0,"",IFERROR(IF($E$11&lt;&gt;"",$E$11-$C$11,SETUP!$D$171-$C$11),60000)+ROW()/1000000))</f>
        <v/>
      </c>
    </row>
    <row r="972">
      <c r="G972">
        <f>IF(OR(SETUP!$C$171="",$A$12="",$B$12&lt;&gt;"Equipment"),"","Equipment")</f>
        <v/>
      </c>
      <c r="H972">
        <f>IF($G972="","",SETUP!$C$171)</f>
        <v/>
      </c>
      <c r="I972">
        <f>IF($G972="","",$A$12)</f>
        <v/>
      </c>
      <c r="J972">
        <f>IF($G972="","",IF(COUNTIFS(DOC_TYPE,$I972,DOC_EQP,$H972,DOC_SCOPE,"Equipment",DOC_ACTIVE,1)+COUNTIFS(DOC_TYPE,$I972,DOC_SYS,SETUP!$B$171,DOC_SCOPE,"System",DOC_ACTIVE,1)+COUNTIFS(DOC_TYPE,$I972,DOC_SCOPE,"All",DOC_ACTIVE,1)&gt;0,"",IFERROR(IF($E$12&lt;&gt;"",$E$12-$C$12,SETUP!$D$171-$C$12),60000)+ROW()/1000000))</f>
        <v/>
      </c>
    </row>
    <row r="973">
      <c r="G973">
        <f>IF(OR(SETUP!$C$171="",$A$13="",$B$13&lt;&gt;"Equipment"),"","Equipment")</f>
        <v/>
      </c>
      <c r="H973">
        <f>IF($G973="","",SETUP!$C$171)</f>
        <v/>
      </c>
      <c r="I973">
        <f>IF($G973="","",$A$13)</f>
        <v/>
      </c>
      <c r="J973">
        <f>IF($G973="","",IF(COUNTIFS(DOC_TYPE,$I973,DOC_EQP,$H973,DOC_SCOPE,"Equipment",DOC_ACTIVE,1)+COUNTIFS(DOC_TYPE,$I973,DOC_SYS,SETUP!$B$171,DOC_SCOPE,"System",DOC_ACTIVE,1)+COUNTIFS(DOC_TYPE,$I973,DOC_SCOPE,"All",DOC_ACTIVE,1)&gt;0,"",IFERROR(IF($E$13&lt;&gt;"",$E$13-$C$13,SETUP!$D$171-$C$13),60000)+ROW()/1000000))</f>
        <v/>
      </c>
    </row>
    <row r="974">
      <c r="G974">
        <f>IF(OR(SETUP!$C$172="",$A$2="",$B$2&lt;&gt;"Equipment"),"","Equipment")</f>
        <v/>
      </c>
      <c r="H974">
        <f>IF($G974="","",SETUP!$C$172)</f>
        <v/>
      </c>
      <c r="I974">
        <f>IF($G974="","",$A$2)</f>
        <v/>
      </c>
      <c r="J974">
        <f>IF($G974="","",IF(COUNTIFS(DOC_TYPE,$I974,DOC_EQP,$H974,DOC_SCOPE,"Equipment",DOC_ACTIVE,1)+COUNTIFS(DOC_TYPE,$I974,DOC_SYS,SETUP!$B$172,DOC_SCOPE,"System",DOC_ACTIVE,1)+COUNTIFS(DOC_TYPE,$I974,DOC_SCOPE,"All",DOC_ACTIVE,1)&gt;0,"",IFERROR(IF($E$2&lt;&gt;"",$E$2-$C$2,SETUP!$D$172-$C$2),60000)+ROW()/1000000))</f>
        <v/>
      </c>
    </row>
    <row r="975">
      <c r="G975">
        <f>IF(OR(SETUP!$C$172="",$A$3="",$B$3&lt;&gt;"Equipment"),"","Equipment")</f>
        <v/>
      </c>
      <c r="H975">
        <f>IF($G975="","",SETUP!$C$172)</f>
        <v/>
      </c>
      <c r="I975">
        <f>IF($G975="","",$A$3)</f>
        <v/>
      </c>
      <c r="J975">
        <f>IF($G975="","",IF(COUNTIFS(DOC_TYPE,$I975,DOC_EQP,$H975,DOC_SCOPE,"Equipment",DOC_ACTIVE,1)+COUNTIFS(DOC_TYPE,$I975,DOC_SYS,SETUP!$B$172,DOC_SCOPE,"System",DOC_ACTIVE,1)+COUNTIFS(DOC_TYPE,$I975,DOC_SCOPE,"All",DOC_ACTIVE,1)&gt;0,"",IFERROR(IF($E$3&lt;&gt;"",$E$3-$C$3,SETUP!$D$172-$C$3),60000)+ROW()/1000000))</f>
        <v/>
      </c>
    </row>
    <row r="976">
      <c r="G976">
        <f>IF(OR(SETUP!$C$172="",$A$4="",$B$4&lt;&gt;"Equipment"),"","Equipment")</f>
        <v/>
      </c>
      <c r="H976">
        <f>IF($G976="","",SETUP!$C$172)</f>
        <v/>
      </c>
      <c r="I976">
        <f>IF($G976="","",$A$4)</f>
        <v/>
      </c>
      <c r="J976">
        <f>IF($G976="","",IF(COUNTIFS(DOC_TYPE,$I976,DOC_EQP,$H976,DOC_SCOPE,"Equipment",DOC_ACTIVE,1)+COUNTIFS(DOC_TYPE,$I976,DOC_SYS,SETUP!$B$172,DOC_SCOPE,"System",DOC_ACTIVE,1)+COUNTIFS(DOC_TYPE,$I976,DOC_SCOPE,"All",DOC_ACTIVE,1)&gt;0,"",IFERROR(IF($E$4&lt;&gt;"",$E$4-$C$4,SETUP!$D$172-$C$4),60000)+ROW()/1000000))</f>
        <v/>
      </c>
    </row>
    <row r="977">
      <c r="G977">
        <f>IF(OR(SETUP!$C$172="",$A$5="",$B$5&lt;&gt;"Equipment"),"","Equipment")</f>
        <v/>
      </c>
      <c r="H977">
        <f>IF($G977="","",SETUP!$C$172)</f>
        <v/>
      </c>
      <c r="I977">
        <f>IF($G977="","",$A$5)</f>
        <v/>
      </c>
      <c r="J977">
        <f>IF($G977="","",IF(COUNTIFS(DOC_TYPE,$I977,DOC_EQP,$H977,DOC_SCOPE,"Equipment",DOC_ACTIVE,1)+COUNTIFS(DOC_TYPE,$I977,DOC_SYS,SETUP!$B$172,DOC_SCOPE,"System",DOC_ACTIVE,1)+COUNTIFS(DOC_TYPE,$I977,DOC_SCOPE,"All",DOC_ACTIVE,1)&gt;0,"",IFERROR(IF($E$5&lt;&gt;"",$E$5-$C$5,SETUP!$D$172-$C$5),60000)+ROW()/1000000))</f>
        <v/>
      </c>
    </row>
    <row r="978">
      <c r="G978">
        <f>IF(OR(SETUP!$C$172="",$A$6="",$B$6&lt;&gt;"Equipment"),"","Equipment")</f>
        <v/>
      </c>
      <c r="H978">
        <f>IF($G978="","",SETUP!$C$172)</f>
        <v/>
      </c>
      <c r="I978">
        <f>IF($G978="","",$A$6)</f>
        <v/>
      </c>
      <c r="J978">
        <f>IF($G978="","",IF(COUNTIFS(DOC_TYPE,$I978,DOC_EQP,$H978,DOC_SCOPE,"Equipment",DOC_ACTIVE,1)+COUNTIFS(DOC_TYPE,$I978,DOC_SYS,SETUP!$B$172,DOC_SCOPE,"System",DOC_ACTIVE,1)+COUNTIFS(DOC_TYPE,$I978,DOC_SCOPE,"All",DOC_ACTIVE,1)&gt;0,"",IFERROR(IF($E$6&lt;&gt;"",$E$6-$C$6,SETUP!$D$172-$C$6),60000)+ROW()/1000000))</f>
        <v/>
      </c>
    </row>
    <row r="979">
      <c r="G979">
        <f>IF(OR(SETUP!$C$172="",$A$7="",$B$7&lt;&gt;"Equipment"),"","Equipment")</f>
        <v/>
      </c>
      <c r="H979">
        <f>IF($G979="","",SETUP!$C$172)</f>
        <v/>
      </c>
      <c r="I979">
        <f>IF($G979="","",$A$7)</f>
        <v/>
      </c>
      <c r="J979">
        <f>IF($G979="","",IF(COUNTIFS(DOC_TYPE,$I979,DOC_EQP,$H979,DOC_SCOPE,"Equipment",DOC_ACTIVE,1)+COUNTIFS(DOC_TYPE,$I979,DOC_SYS,SETUP!$B$172,DOC_SCOPE,"System",DOC_ACTIVE,1)+COUNTIFS(DOC_TYPE,$I979,DOC_SCOPE,"All",DOC_ACTIVE,1)&gt;0,"",IFERROR(IF($E$7&lt;&gt;"",$E$7-$C$7,SETUP!$D$172-$C$7),60000)+ROW()/1000000))</f>
        <v/>
      </c>
    </row>
    <row r="980">
      <c r="G980">
        <f>IF(OR(SETUP!$C$172="",$A$8="",$B$8&lt;&gt;"Equipment"),"","Equipment")</f>
        <v/>
      </c>
      <c r="H980">
        <f>IF($G980="","",SETUP!$C$172)</f>
        <v/>
      </c>
      <c r="I980">
        <f>IF($G980="","",$A$8)</f>
        <v/>
      </c>
      <c r="J980">
        <f>IF($G980="","",IF(COUNTIFS(DOC_TYPE,$I980,DOC_EQP,$H980,DOC_SCOPE,"Equipment",DOC_ACTIVE,1)+COUNTIFS(DOC_TYPE,$I980,DOC_SYS,SETUP!$B$172,DOC_SCOPE,"System",DOC_ACTIVE,1)+COUNTIFS(DOC_TYPE,$I980,DOC_SCOPE,"All",DOC_ACTIVE,1)&gt;0,"",IFERROR(IF($E$8&lt;&gt;"",$E$8-$C$8,SETUP!$D$172-$C$8),60000)+ROW()/1000000))</f>
        <v/>
      </c>
    </row>
    <row r="981">
      <c r="G981">
        <f>IF(OR(SETUP!$C$172="",$A$9="",$B$9&lt;&gt;"Equipment"),"","Equipment")</f>
        <v/>
      </c>
      <c r="H981">
        <f>IF($G981="","",SETUP!$C$172)</f>
        <v/>
      </c>
      <c r="I981">
        <f>IF($G981="","",$A$9)</f>
        <v/>
      </c>
      <c r="J981">
        <f>IF($G981="","",IF(COUNTIFS(DOC_TYPE,$I981,DOC_EQP,$H981,DOC_SCOPE,"Equipment",DOC_ACTIVE,1)+COUNTIFS(DOC_TYPE,$I981,DOC_SYS,SETUP!$B$172,DOC_SCOPE,"System",DOC_ACTIVE,1)+COUNTIFS(DOC_TYPE,$I981,DOC_SCOPE,"All",DOC_ACTIVE,1)&gt;0,"",IFERROR(IF($E$9&lt;&gt;"",$E$9-$C$9,SETUP!$D$172-$C$9),60000)+ROW()/1000000))</f>
        <v/>
      </c>
    </row>
    <row r="982">
      <c r="G982">
        <f>IF(OR(SETUP!$C$172="",$A$10="",$B$10&lt;&gt;"Equipment"),"","Equipment")</f>
        <v/>
      </c>
      <c r="H982">
        <f>IF($G982="","",SETUP!$C$172)</f>
        <v/>
      </c>
      <c r="I982">
        <f>IF($G982="","",$A$10)</f>
        <v/>
      </c>
      <c r="J982">
        <f>IF($G982="","",IF(COUNTIFS(DOC_TYPE,$I982,DOC_EQP,$H982,DOC_SCOPE,"Equipment",DOC_ACTIVE,1)+COUNTIFS(DOC_TYPE,$I982,DOC_SYS,SETUP!$B$172,DOC_SCOPE,"System",DOC_ACTIVE,1)+COUNTIFS(DOC_TYPE,$I982,DOC_SCOPE,"All",DOC_ACTIVE,1)&gt;0,"",IFERROR(IF($E$10&lt;&gt;"",$E$10-$C$10,SETUP!$D$172-$C$10),60000)+ROW()/1000000))</f>
        <v/>
      </c>
    </row>
    <row r="983">
      <c r="G983">
        <f>IF(OR(SETUP!$C$172="",$A$11="",$B$11&lt;&gt;"Equipment"),"","Equipment")</f>
        <v/>
      </c>
      <c r="H983">
        <f>IF($G983="","",SETUP!$C$172)</f>
        <v/>
      </c>
      <c r="I983">
        <f>IF($G983="","",$A$11)</f>
        <v/>
      </c>
      <c r="J983">
        <f>IF($G983="","",IF(COUNTIFS(DOC_TYPE,$I983,DOC_EQP,$H983,DOC_SCOPE,"Equipment",DOC_ACTIVE,1)+COUNTIFS(DOC_TYPE,$I983,DOC_SYS,SETUP!$B$172,DOC_SCOPE,"System",DOC_ACTIVE,1)+COUNTIFS(DOC_TYPE,$I983,DOC_SCOPE,"All",DOC_ACTIVE,1)&gt;0,"",IFERROR(IF($E$11&lt;&gt;"",$E$11-$C$11,SETUP!$D$172-$C$11),60000)+ROW()/1000000))</f>
        <v/>
      </c>
    </row>
    <row r="984">
      <c r="G984">
        <f>IF(OR(SETUP!$C$172="",$A$12="",$B$12&lt;&gt;"Equipment"),"","Equipment")</f>
        <v/>
      </c>
      <c r="H984">
        <f>IF($G984="","",SETUP!$C$172)</f>
        <v/>
      </c>
      <c r="I984">
        <f>IF($G984="","",$A$12)</f>
        <v/>
      </c>
      <c r="J984">
        <f>IF($G984="","",IF(COUNTIFS(DOC_TYPE,$I984,DOC_EQP,$H984,DOC_SCOPE,"Equipment",DOC_ACTIVE,1)+COUNTIFS(DOC_TYPE,$I984,DOC_SYS,SETUP!$B$172,DOC_SCOPE,"System",DOC_ACTIVE,1)+COUNTIFS(DOC_TYPE,$I984,DOC_SCOPE,"All",DOC_ACTIVE,1)&gt;0,"",IFERROR(IF($E$12&lt;&gt;"",$E$12-$C$12,SETUP!$D$172-$C$12),60000)+ROW()/1000000))</f>
        <v/>
      </c>
    </row>
    <row r="985">
      <c r="G985">
        <f>IF(OR(SETUP!$C$172="",$A$13="",$B$13&lt;&gt;"Equipment"),"","Equipment")</f>
        <v/>
      </c>
      <c r="H985">
        <f>IF($G985="","",SETUP!$C$172)</f>
        <v/>
      </c>
      <c r="I985">
        <f>IF($G985="","",$A$13)</f>
        <v/>
      </c>
      <c r="J985">
        <f>IF($G985="","",IF(COUNTIFS(DOC_TYPE,$I985,DOC_EQP,$H985,DOC_SCOPE,"Equipment",DOC_ACTIVE,1)+COUNTIFS(DOC_TYPE,$I985,DOC_SYS,SETUP!$B$172,DOC_SCOPE,"System",DOC_ACTIVE,1)+COUNTIFS(DOC_TYPE,$I985,DOC_SCOPE,"All",DOC_ACTIVE,1)&gt;0,"",IFERROR(IF($E$13&lt;&gt;"",$E$13-$C$13,SETUP!$D$172-$C$13),60000)+ROW()/1000000))</f>
        <v/>
      </c>
    </row>
    <row r="986">
      <c r="G986">
        <f>IF(OR(SETUP!$C$173="",$A$2="",$B$2&lt;&gt;"Equipment"),"","Equipment")</f>
        <v/>
      </c>
      <c r="H986">
        <f>IF($G986="","",SETUP!$C$173)</f>
        <v/>
      </c>
      <c r="I986">
        <f>IF($G986="","",$A$2)</f>
        <v/>
      </c>
      <c r="J986">
        <f>IF($G986="","",IF(COUNTIFS(DOC_TYPE,$I986,DOC_EQP,$H986,DOC_SCOPE,"Equipment",DOC_ACTIVE,1)+COUNTIFS(DOC_TYPE,$I986,DOC_SYS,SETUP!$B$173,DOC_SCOPE,"System",DOC_ACTIVE,1)+COUNTIFS(DOC_TYPE,$I986,DOC_SCOPE,"All",DOC_ACTIVE,1)&gt;0,"",IFERROR(IF($E$2&lt;&gt;"",$E$2-$C$2,SETUP!$D$173-$C$2),60000)+ROW()/1000000))</f>
        <v/>
      </c>
    </row>
    <row r="987">
      <c r="G987">
        <f>IF(OR(SETUP!$C$173="",$A$3="",$B$3&lt;&gt;"Equipment"),"","Equipment")</f>
        <v/>
      </c>
      <c r="H987">
        <f>IF($G987="","",SETUP!$C$173)</f>
        <v/>
      </c>
      <c r="I987">
        <f>IF($G987="","",$A$3)</f>
        <v/>
      </c>
      <c r="J987">
        <f>IF($G987="","",IF(COUNTIFS(DOC_TYPE,$I987,DOC_EQP,$H987,DOC_SCOPE,"Equipment",DOC_ACTIVE,1)+COUNTIFS(DOC_TYPE,$I987,DOC_SYS,SETUP!$B$173,DOC_SCOPE,"System",DOC_ACTIVE,1)+COUNTIFS(DOC_TYPE,$I987,DOC_SCOPE,"All",DOC_ACTIVE,1)&gt;0,"",IFERROR(IF($E$3&lt;&gt;"",$E$3-$C$3,SETUP!$D$173-$C$3),60000)+ROW()/1000000))</f>
        <v/>
      </c>
    </row>
    <row r="988">
      <c r="G988">
        <f>IF(OR(SETUP!$C$173="",$A$4="",$B$4&lt;&gt;"Equipment"),"","Equipment")</f>
        <v/>
      </c>
      <c r="H988">
        <f>IF($G988="","",SETUP!$C$173)</f>
        <v/>
      </c>
      <c r="I988">
        <f>IF($G988="","",$A$4)</f>
        <v/>
      </c>
      <c r="J988">
        <f>IF($G988="","",IF(COUNTIFS(DOC_TYPE,$I988,DOC_EQP,$H988,DOC_SCOPE,"Equipment",DOC_ACTIVE,1)+COUNTIFS(DOC_TYPE,$I988,DOC_SYS,SETUP!$B$173,DOC_SCOPE,"System",DOC_ACTIVE,1)+COUNTIFS(DOC_TYPE,$I988,DOC_SCOPE,"All",DOC_ACTIVE,1)&gt;0,"",IFERROR(IF($E$4&lt;&gt;"",$E$4-$C$4,SETUP!$D$173-$C$4),60000)+ROW()/1000000))</f>
        <v/>
      </c>
    </row>
    <row r="989">
      <c r="G989">
        <f>IF(OR(SETUP!$C$173="",$A$5="",$B$5&lt;&gt;"Equipment"),"","Equipment")</f>
        <v/>
      </c>
      <c r="H989">
        <f>IF($G989="","",SETUP!$C$173)</f>
        <v/>
      </c>
      <c r="I989">
        <f>IF($G989="","",$A$5)</f>
        <v/>
      </c>
      <c r="J989">
        <f>IF($G989="","",IF(COUNTIFS(DOC_TYPE,$I989,DOC_EQP,$H989,DOC_SCOPE,"Equipment",DOC_ACTIVE,1)+COUNTIFS(DOC_TYPE,$I989,DOC_SYS,SETUP!$B$173,DOC_SCOPE,"System",DOC_ACTIVE,1)+COUNTIFS(DOC_TYPE,$I989,DOC_SCOPE,"All",DOC_ACTIVE,1)&gt;0,"",IFERROR(IF($E$5&lt;&gt;"",$E$5-$C$5,SETUP!$D$173-$C$5),60000)+ROW()/1000000))</f>
        <v/>
      </c>
    </row>
    <row r="990">
      <c r="G990">
        <f>IF(OR(SETUP!$C$173="",$A$6="",$B$6&lt;&gt;"Equipment"),"","Equipment")</f>
        <v/>
      </c>
      <c r="H990">
        <f>IF($G990="","",SETUP!$C$173)</f>
        <v/>
      </c>
      <c r="I990">
        <f>IF($G990="","",$A$6)</f>
        <v/>
      </c>
      <c r="J990">
        <f>IF($G990="","",IF(COUNTIFS(DOC_TYPE,$I990,DOC_EQP,$H990,DOC_SCOPE,"Equipment",DOC_ACTIVE,1)+COUNTIFS(DOC_TYPE,$I990,DOC_SYS,SETUP!$B$173,DOC_SCOPE,"System",DOC_ACTIVE,1)+COUNTIFS(DOC_TYPE,$I990,DOC_SCOPE,"All",DOC_ACTIVE,1)&gt;0,"",IFERROR(IF($E$6&lt;&gt;"",$E$6-$C$6,SETUP!$D$173-$C$6),60000)+ROW()/1000000))</f>
        <v/>
      </c>
    </row>
    <row r="991">
      <c r="G991">
        <f>IF(OR(SETUP!$C$173="",$A$7="",$B$7&lt;&gt;"Equipment"),"","Equipment")</f>
        <v/>
      </c>
      <c r="H991">
        <f>IF($G991="","",SETUP!$C$173)</f>
        <v/>
      </c>
      <c r="I991">
        <f>IF($G991="","",$A$7)</f>
        <v/>
      </c>
      <c r="J991">
        <f>IF($G991="","",IF(COUNTIFS(DOC_TYPE,$I991,DOC_EQP,$H991,DOC_SCOPE,"Equipment",DOC_ACTIVE,1)+COUNTIFS(DOC_TYPE,$I991,DOC_SYS,SETUP!$B$173,DOC_SCOPE,"System",DOC_ACTIVE,1)+COUNTIFS(DOC_TYPE,$I991,DOC_SCOPE,"All",DOC_ACTIVE,1)&gt;0,"",IFERROR(IF($E$7&lt;&gt;"",$E$7-$C$7,SETUP!$D$173-$C$7),60000)+ROW()/1000000))</f>
        <v/>
      </c>
    </row>
    <row r="992">
      <c r="G992">
        <f>IF(OR(SETUP!$C$173="",$A$8="",$B$8&lt;&gt;"Equipment"),"","Equipment")</f>
        <v/>
      </c>
      <c r="H992">
        <f>IF($G992="","",SETUP!$C$173)</f>
        <v/>
      </c>
      <c r="I992">
        <f>IF($G992="","",$A$8)</f>
        <v/>
      </c>
      <c r="J992">
        <f>IF($G992="","",IF(COUNTIFS(DOC_TYPE,$I992,DOC_EQP,$H992,DOC_SCOPE,"Equipment",DOC_ACTIVE,1)+COUNTIFS(DOC_TYPE,$I992,DOC_SYS,SETUP!$B$173,DOC_SCOPE,"System",DOC_ACTIVE,1)+COUNTIFS(DOC_TYPE,$I992,DOC_SCOPE,"All",DOC_ACTIVE,1)&gt;0,"",IFERROR(IF($E$8&lt;&gt;"",$E$8-$C$8,SETUP!$D$173-$C$8),60000)+ROW()/1000000))</f>
        <v/>
      </c>
    </row>
    <row r="993">
      <c r="G993">
        <f>IF(OR(SETUP!$C$173="",$A$9="",$B$9&lt;&gt;"Equipment"),"","Equipment")</f>
        <v/>
      </c>
      <c r="H993">
        <f>IF($G993="","",SETUP!$C$173)</f>
        <v/>
      </c>
      <c r="I993">
        <f>IF($G993="","",$A$9)</f>
        <v/>
      </c>
      <c r="J993">
        <f>IF($G993="","",IF(COUNTIFS(DOC_TYPE,$I993,DOC_EQP,$H993,DOC_SCOPE,"Equipment",DOC_ACTIVE,1)+COUNTIFS(DOC_TYPE,$I993,DOC_SYS,SETUP!$B$173,DOC_SCOPE,"System",DOC_ACTIVE,1)+COUNTIFS(DOC_TYPE,$I993,DOC_SCOPE,"All",DOC_ACTIVE,1)&gt;0,"",IFERROR(IF($E$9&lt;&gt;"",$E$9-$C$9,SETUP!$D$173-$C$9),60000)+ROW()/1000000))</f>
        <v/>
      </c>
    </row>
    <row r="994">
      <c r="G994">
        <f>IF(OR(SETUP!$C$173="",$A$10="",$B$10&lt;&gt;"Equipment"),"","Equipment")</f>
        <v/>
      </c>
      <c r="H994">
        <f>IF($G994="","",SETUP!$C$173)</f>
        <v/>
      </c>
      <c r="I994">
        <f>IF($G994="","",$A$10)</f>
        <v/>
      </c>
      <c r="J994">
        <f>IF($G994="","",IF(COUNTIFS(DOC_TYPE,$I994,DOC_EQP,$H994,DOC_SCOPE,"Equipment",DOC_ACTIVE,1)+COUNTIFS(DOC_TYPE,$I994,DOC_SYS,SETUP!$B$173,DOC_SCOPE,"System",DOC_ACTIVE,1)+COUNTIFS(DOC_TYPE,$I994,DOC_SCOPE,"All",DOC_ACTIVE,1)&gt;0,"",IFERROR(IF($E$10&lt;&gt;"",$E$10-$C$10,SETUP!$D$173-$C$10),60000)+ROW()/1000000))</f>
        <v/>
      </c>
    </row>
    <row r="995">
      <c r="G995">
        <f>IF(OR(SETUP!$C$173="",$A$11="",$B$11&lt;&gt;"Equipment"),"","Equipment")</f>
        <v/>
      </c>
      <c r="H995">
        <f>IF($G995="","",SETUP!$C$173)</f>
        <v/>
      </c>
      <c r="I995">
        <f>IF($G995="","",$A$11)</f>
        <v/>
      </c>
      <c r="J995">
        <f>IF($G995="","",IF(COUNTIFS(DOC_TYPE,$I995,DOC_EQP,$H995,DOC_SCOPE,"Equipment",DOC_ACTIVE,1)+COUNTIFS(DOC_TYPE,$I995,DOC_SYS,SETUP!$B$173,DOC_SCOPE,"System",DOC_ACTIVE,1)+COUNTIFS(DOC_TYPE,$I995,DOC_SCOPE,"All",DOC_ACTIVE,1)&gt;0,"",IFERROR(IF($E$11&lt;&gt;"",$E$11-$C$11,SETUP!$D$173-$C$11),60000)+ROW()/1000000))</f>
        <v/>
      </c>
    </row>
    <row r="996">
      <c r="G996">
        <f>IF(OR(SETUP!$C$173="",$A$12="",$B$12&lt;&gt;"Equipment"),"","Equipment")</f>
        <v/>
      </c>
      <c r="H996">
        <f>IF($G996="","",SETUP!$C$173)</f>
        <v/>
      </c>
      <c r="I996">
        <f>IF($G996="","",$A$12)</f>
        <v/>
      </c>
      <c r="J996">
        <f>IF($G996="","",IF(COUNTIFS(DOC_TYPE,$I996,DOC_EQP,$H996,DOC_SCOPE,"Equipment",DOC_ACTIVE,1)+COUNTIFS(DOC_TYPE,$I996,DOC_SYS,SETUP!$B$173,DOC_SCOPE,"System",DOC_ACTIVE,1)+COUNTIFS(DOC_TYPE,$I996,DOC_SCOPE,"All",DOC_ACTIVE,1)&gt;0,"",IFERROR(IF($E$12&lt;&gt;"",$E$12-$C$12,SETUP!$D$173-$C$12),60000)+ROW()/1000000))</f>
        <v/>
      </c>
    </row>
    <row r="997">
      <c r="G997">
        <f>IF(OR(SETUP!$C$173="",$A$13="",$B$13&lt;&gt;"Equipment"),"","Equipment")</f>
        <v/>
      </c>
      <c r="H997">
        <f>IF($G997="","",SETUP!$C$173)</f>
        <v/>
      </c>
      <c r="I997">
        <f>IF($G997="","",$A$13)</f>
        <v/>
      </c>
      <c r="J997">
        <f>IF($G997="","",IF(COUNTIFS(DOC_TYPE,$I997,DOC_EQP,$H997,DOC_SCOPE,"Equipment",DOC_ACTIVE,1)+COUNTIFS(DOC_TYPE,$I997,DOC_SYS,SETUP!$B$173,DOC_SCOPE,"System",DOC_ACTIVE,1)+COUNTIFS(DOC_TYPE,$I997,DOC_SCOPE,"All",DOC_ACTIVE,1)&gt;0,"",IFERROR(IF($E$13&lt;&gt;"",$E$13-$C$13,SETUP!$D$173-$C$13),60000)+ROW()/1000000))</f>
        <v/>
      </c>
    </row>
    <row r="998">
      <c r="G998">
        <f>IF(OR(SETUP!$C$174="",$A$2="",$B$2&lt;&gt;"Equipment"),"","Equipment")</f>
        <v/>
      </c>
      <c r="H998">
        <f>IF($G998="","",SETUP!$C$174)</f>
        <v/>
      </c>
      <c r="I998">
        <f>IF($G998="","",$A$2)</f>
        <v/>
      </c>
      <c r="J998">
        <f>IF($G998="","",IF(COUNTIFS(DOC_TYPE,$I998,DOC_EQP,$H998,DOC_SCOPE,"Equipment",DOC_ACTIVE,1)+COUNTIFS(DOC_TYPE,$I998,DOC_SYS,SETUP!$B$174,DOC_SCOPE,"System",DOC_ACTIVE,1)+COUNTIFS(DOC_TYPE,$I998,DOC_SCOPE,"All",DOC_ACTIVE,1)&gt;0,"",IFERROR(IF($E$2&lt;&gt;"",$E$2-$C$2,SETUP!$D$174-$C$2),60000)+ROW()/1000000))</f>
        <v/>
      </c>
    </row>
    <row r="999">
      <c r="G999">
        <f>IF(OR(SETUP!$C$174="",$A$3="",$B$3&lt;&gt;"Equipment"),"","Equipment")</f>
        <v/>
      </c>
      <c r="H999">
        <f>IF($G999="","",SETUP!$C$174)</f>
        <v/>
      </c>
      <c r="I999">
        <f>IF($G999="","",$A$3)</f>
        <v/>
      </c>
      <c r="J999">
        <f>IF($G999="","",IF(COUNTIFS(DOC_TYPE,$I999,DOC_EQP,$H999,DOC_SCOPE,"Equipment",DOC_ACTIVE,1)+COUNTIFS(DOC_TYPE,$I999,DOC_SYS,SETUP!$B$174,DOC_SCOPE,"System",DOC_ACTIVE,1)+COUNTIFS(DOC_TYPE,$I999,DOC_SCOPE,"All",DOC_ACTIVE,1)&gt;0,"",IFERROR(IF($E$3&lt;&gt;"",$E$3-$C$3,SETUP!$D$174-$C$3),60000)+ROW()/1000000))</f>
        <v/>
      </c>
    </row>
    <row r="1000">
      <c r="G1000">
        <f>IF(OR(SETUP!$C$174="",$A$4="",$B$4&lt;&gt;"Equipment"),"","Equipment")</f>
        <v/>
      </c>
      <c r="H1000">
        <f>IF($G1000="","",SETUP!$C$174)</f>
        <v/>
      </c>
      <c r="I1000">
        <f>IF($G1000="","",$A$4)</f>
        <v/>
      </c>
      <c r="J1000">
        <f>IF($G1000="","",IF(COUNTIFS(DOC_TYPE,$I1000,DOC_EQP,$H1000,DOC_SCOPE,"Equipment",DOC_ACTIVE,1)+COUNTIFS(DOC_TYPE,$I1000,DOC_SYS,SETUP!$B$174,DOC_SCOPE,"System",DOC_ACTIVE,1)+COUNTIFS(DOC_TYPE,$I1000,DOC_SCOPE,"All",DOC_ACTIVE,1)&gt;0,"",IFERROR(IF($E$4&lt;&gt;"",$E$4-$C$4,SETUP!$D$174-$C$4),60000)+ROW()/1000000))</f>
        <v/>
      </c>
    </row>
    <row r="1001">
      <c r="G1001">
        <f>IF(OR(SETUP!$C$174="",$A$5="",$B$5&lt;&gt;"Equipment"),"","Equipment")</f>
        <v/>
      </c>
      <c r="H1001">
        <f>IF($G1001="","",SETUP!$C$174)</f>
        <v/>
      </c>
      <c r="I1001">
        <f>IF($G1001="","",$A$5)</f>
        <v/>
      </c>
      <c r="J1001">
        <f>IF($G1001="","",IF(COUNTIFS(DOC_TYPE,$I1001,DOC_EQP,$H1001,DOC_SCOPE,"Equipment",DOC_ACTIVE,1)+COUNTIFS(DOC_TYPE,$I1001,DOC_SYS,SETUP!$B$174,DOC_SCOPE,"System",DOC_ACTIVE,1)+COUNTIFS(DOC_TYPE,$I1001,DOC_SCOPE,"All",DOC_ACTIVE,1)&gt;0,"",IFERROR(IF($E$5&lt;&gt;"",$E$5-$C$5,SETUP!$D$174-$C$5),60000)+ROW()/1000000))</f>
        <v/>
      </c>
    </row>
    <row r="1002">
      <c r="G1002">
        <f>IF(OR(SETUP!$C$174="",$A$6="",$B$6&lt;&gt;"Equipment"),"","Equipment")</f>
        <v/>
      </c>
      <c r="H1002">
        <f>IF($G1002="","",SETUP!$C$174)</f>
        <v/>
      </c>
      <c r="I1002">
        <f>IF($G1002="","",$A$6)</f>
        <v/>
      </c>
      <c r="J1002">
        <f>IF($G1002="","",IF(COUNTIFS(DOC_TYPE,$I1002,DOC_EQP,$H1002,DOC_SCOPE,"Equipment",DOC_ACTIVE,1)+COUNTIFS(DOC_TYPE,$I1002,DOC_SYS,SETUP!$B$174,DOC_SCOPE,"System",DOC_ACTIVE,1)+COUNTIFS(DOC_TYPE,$I1002,DOC_SCOPE,"All",DOC_ACTIVE,1)&gt;0,"",IFERROR(IF($E$6&lt;&gt;"",$E$6-$C$6,SETUP!$D$174-$C$6),60000)+ROW()/1000000))</f>
        <v/>
      </c>
    </row>
    <row r="1003">
      <c r="G1003">
        <f>IF(OR(SETUP!$C$174="",$A$7="",$B$7&lt;&gt;"Equipment"),"","Equipment")</f>
        <v/>
      </c>
      <c r="H1003">
        <f>IF($G1003="","",SETUP!$C$174)</f>
        <v/>
      </c>
      <c r="I1003">
        <f>IF($G1003="","",$A$7)</f>
        <v/>
      </c>
      <c r="J1003">
        <f>IF($G1003="","",IF(COUNTIFS(DOC_TYPE,$I1003,DOC_EQP,$H1003,DOC_SCOPE,"Equipment",DOC_ACTIVE,1)+COUNTIFS(DOC_TYPE,$I1003,DOC_SYS,SETUP!$B$174,DOC_SCOPE,"System",DOC_ACTIVE,1)+COUNTIFS(DOC_TYPE,$I1003,DOC_SCOPE,"All",DOC_ACTIVE,1)&gt;0,"",IFERROR(IF($E$7&lt;&gt;"",$E$7-$C$7,SETUP!$D$174-$C$7),60000)+ROW()/1000000))</f>
        <v/>
      </c>
    </row>
    <row r="1004">
      <c r="G1004">
        <f>IF(OR(SETUP!$C$174="",$A$8="",$B$8&lt;&gt;"Equipment"),"","Equipment")</f>
        <v/>
      </c>
      <c r="H1004">
        <f>IF($G1004="","",SETUP!$C$174)</f>
        <v/>
      </c>
      <c r="I1004">
        <f>IF($G1004="","",$A$8)</f>
        <v/>
      </c>
      <c r="J1004">
        <f>IF($G1004="","",IF(COUNTIFS(DOC_TYPE,$I1004,DOC_EQP,$H1004,DOC_SCOPE,"Equipment",DOC_ACTIVE,1)+COUNTIFS(DOC_TYPE,$I1004,DOC_SYS,SETUP!$B$174,DOC_SCOPE,"System",DOC_ACTIVE,1)+COUNTIFS(DOC_TYPE,$I1004,DOC_SCOPE,"All",DOC_ACTIVE,1)&gt;0,"",IFERROR(IF($E$8&lt;&gt;"",$E$8-$C$8,SETUP!$D$174-$C$8),60000)+ROW()/1000000))</f>
        <v/>
      </c>
    </row>
    <row r="1005">
      <c r="G1005">
        <f>IF(OR(SETUP!$C$174="",$A$9="",$B$9&lt;&gt;"Equipment"),"","Equipment")</f>
        <v/>
      </c>
      <c r="H1005">
        <f>IF($G1005="","",SETUP!$C$174)</f>
        <v/>
      </c>
      <c r="I1005">
        <f>IF($G1005="","",$A$9)</f>
        <v/>
      </c>
      <c r="J1005">
        <f>IF($G1005="","",IF(COUNTIFS(DOC_TYPE,$I1005,DOC_EQP,$H1005,DOC_SCOPE,"Equipment",DOC_ACTIVE,1)+COUNTIFS(DOC_TYPE,$I1005,DOC_SYS,SETUP!$B$174,DOC_SCOPE,"System",DOC_ACTIVE,1)+COUNTIFS(DOC_TYPE,$I1005,DOC_SCOPE,"All",DOC_ACTIVE,1)&gt;0,"",IFERROR(IF($E$9&lt;&gt;"",$E$9-$C$9,SETUP!$D$174-$C$9),60000)+ROW()/1000000))</f>
        <v/>
      </c>
    </row>
    <row r="1006">
      <c r="G1006">
        <f>IF(OR(SETUP!$C$174="",$A$10="",$B$10&lt;&gt;"Equipment"),"","Equipment")</f>
        <v/>
      </c>
      <c r="H1006">
        <f>IF($G1006="","",SETUP!$C$174)</f>
        <v/>
      </c>
      <c r="I1006">
        <f>IF($G1006="","",$A$10)</f>
        <v/>
      </c>
      <c r="J1006">
        <f>IF($G1006="","",IF(COUNTIFS(DOC_TYPE,$I1006,DOC_EQP,$H1006,DOC_SCOPE,"Equipment",DOC_ACTIVE,1)+COUNTIFS(DOC_TYPE,$I1006,DOC_SYS,SETUP!$B$174,DOC_SCOPE,"System",DOC_ACTIVE,1)+COUNTIFS(DOC_TYPE,$I1006,DOC_SCOPE,"All",DOC_ACTIVE,1)&gt;0,"",IFERROR(IF($E$10&lt;&gt;"",$E$10-$C$10,SETUP!$D$174-$C$10),60000)+ROW()/1000000))</f>
        <v/>
      </c>
    </row>
    <row r="1007">
      <c r="G1007">
        <f>IF(OR(SETUP!$C$174="",$A$11="",$B$11&lt;&gt;"Equipment"),"","Equipment")</f>
        <v/>
      </c>
      <c r="H1007">
        <f>IF($G1007="","",SETUP!$C$174)</f>
        <v/>
      </c>
      <c r="I1007">
        <f>IF($G1007="","",$A$11)</f>
        <v/>
      </c>
      <c r="J1007">
        <f>IF($G1007="","",IF(COUNTIFS(DOC_TYPE,$I1007,DOC_EQP,$H1007,DOC_SCOPE,"Equipment",DOC_ACTIVE,1)+COUNTIFS(DOC_TYPE,$I1007,DOC_SYS,SETUP!$B$174,DOC_SCOPE,"System",DOC_ACTIVE,1)+COUNTIFS(DOC_TYPE,$I1007,DOC_SCOPE,"All",DOC_ACTIVE,1)&gt;0,"",IFERROR(IF($E$11&lt;&gt;"",$E$11-$C$11,SETUP!$D$174-$C$11),60000)+ROW()/1000000))</f>
        <v/>
      </c>
    </row>
    <row r="1008">
      <c r="G1008">
        <f>IF(OR(SETUP!$C$174="",$A$12="",$B$12&lt;&gt;"Equipment"),"","Equipment")</f>
        <v/>
      </c>
      <c r="H1008">
        <f>IF($G1008="","",SETUP!$C$174)</f>
        <v/>
      </c>
      <c r="I1008">
        <f>IF($G1008="","",$A$12)</f>
        <v/>
      </c>
      <c r="J1008">
        <f>IF($G1008="","",IF(COUNTIFS(DOC_TYPE,$I1008,DOC_EQP,$H1008,DOC_SCOPE,"Equipment",DOC_ACTIVE,1)+COUNTIFS(DOC_TYPE,$I1008,DOC_SYS,SETUP!$B$174,DOC_SCOPE,"System",DOC_ACTIVE,1)+COUNTIFS(DOC_TYPE,$I1008,DOC_SCOPE,"All",DOC_ACTIVE,1)&gt;0,"",IFERROR(IF($E$12&lt;&gt;"",$E$12-$C$12,SETUP!$D$174-$C$12),60000)+ROW()/1000000))</f>
        <v/>
      </c>
    </row>
    <row r="1009">
      <c r="G1009">
        <f>IF(OR(SETUP!$C$174="",$A$13="",$B$13&lt;&gt;"Equipment"),"","Equipment")</f>
        <v/>
      </c>
      <c r="H1009">
        <f>IF($G1009="","",SETUP!$C$174)</f>
        <v/>
      </c>
      <c r="I1009">
        <f>IF($G1009="","",$A$13)</f>
        <v/>
      </c>
      <c r="J1009">
        <f>IF($G1009="","",IF(COUNTIFS(DOC_TYPE,$I1009,DOC_EQP,$H1009,DOC_SCOPE,"Equipment",DOC_ACTIVE,1)+COUNTIFS(DOC_TYPE,$I1009,DOC_SYS,SETUP!$B$174,DOC_SCOPE,"System",DOC_ACTIVE,1)+COUNTIFS(DOC_TYPE,$I1009,DOC_SCOPE,"All",DOC_ACTIVE,1)&gt;0,"",IFERROR(IF($E$13&lt;&gt;"",$E$13-$C$13,SETUP!$D$174-$C$13),60000)+ROW()/1000000))</f>
        <v/>
      </c>
    </row>
    <row r="1010">
      <c r="G1010">
        <f>IF(OR(SETUP!$C$175="",$A$2="",$B$2&lt;&gt;"Equipment"),"","Equipment")</f>
        <v/>
      </c>
      <c r="H1010">
        <f>IF($G1010="","",SETUP!$C$175)</f>
        <v/>
      </c>
      <c r="I1010">
        <f>IF($G1010="","",$A$2)</f>
        <v/>
      </c>
      <c r="J1010">
        <f>IF($G1010="","",IF(COUNTIFS(DOC_TYPE,$I1010,DOC_EQP,$H1010,DOC_SCOPE,"Equipment",DOC_ACTIVE,1)+COUNTIFS(DOC_TYPE,$I1010,DOC_SYS,SETUP!$B$175,DOC_SCOPE,"System",DOC_ACTIVE,1)+COUNTIFS(DOC_TYPE,$I1010,DOC_SCOPE,"All",DOC_ACTIVE,1)&gt;0,"",IFERROR(IF($E$2&lt;&gt;"",$E$2-$C$2,SETUP!$D$175-$C$2),60000)+ROW()/1000000))</f>
        <v/>
      </c>
    </row>
    <row r="1011">
      <c r="G1011">
        <f>IF(OR(SETUP!$C$175="",$A$3="",$B$3&lt;&gt;"Equipment"),"","Equipment")</f>
        <v/>
      </c>
      <c r="H1011">
        <f>IF($G1011="","",SETUP!$C$175)</f>
        <v/>
      </c>
      <c r="I1011">
        <f>IF($G1011="","",$A$3)</f>
        <v/>
      </c>
      <c r="J1011">
        <f>IF($G1011="","",IF(COUNTIFS(DOC_TYPE,$I1011,DOC_EQP,$H1011,DOC_SCOPE,"Equipment",DOC_ACTIVE,1)+COUNTIFS(DOC_TYPE,$I1011,DOC_SYS,SETUP!$B$175,DOC_SCOPE,"System",DOC_ACTIVE,1)+COUNTIFS(DOC_TYPE,$I1011,DOC_SCOPE,"All",DOC_ACTIVE,1)&gt;0,"",IFERROR(IF($E$3&lt;&gt;"",$E$3-$C$3,SETUP!$D$175-$C$3),60000)+ROW()/1000000))</f>
        <v/>
      </c>
    </row>
    <row r="1012">
      <c r="G1012">
        <f>IF(OR(SETUP!$C$175="",$A$4="",$B$4&lt;&gt;"Equipment"),"","Equipment")</f>
        <v/>
      </c>
      <c r="H1012">
        <f>IF($G1012="","",SETUP!$C$175)</f>
        <v/>
      </c>
      <c r="I1012">
        <f>IF($G1012="","",$A$4)</f>
        <v/>
      </c>
      <c r="J1012">
        <f>IF($G1012="","",IF(COUNTIFS(DOC_TYPE,$I1012,DOC_EQP,$H1012,DOC_SCOPE,"Equipment",DOC_ACTIVE,1)+COUNTIFS(DOC_TYPE,$I1012,DOC_SYS,SETUP!$B$175,DOC_SCOPE,"System",DOC_ACTIVE,1)+COUNTIFS(DOC_TYPE,$I1012,DOC_SCOPE,"All",DOC_ACTIVE,1)&gt;0,"",IFERROR(IF($E$4&lt;&gt;"",$E$4-$C$4,SETUP!$D$175-$C$4),60000)+ROW()/1000000))</f>
        <v/>
      </c>
    </row>
    <row r="1013">
      <c r="G1013">
        <f>IF(OR(SETUP!$C$175="",$A$5="",$B$5&lt;&gt;"Equipment"),"","Equipment")</f>
        <v/>
      </c>
      <c r="H1013">
        <f>IF($G1013="","",SETUP!$C$175)</f>
        <v/>
      </c>
      <c r="I1013">
        <f>IF($G1013="","",$A$5)</f>
        <v/>
      </c>
      <c r="J1013">
        <f>IF($G1013="","",IF(COUNTIFS(DOC_TYPE,$I1013,DOC_EQP,$H1013,DOC_SCOPE,"Equipment",DOC_ACTIVE,1)+COUNTIFS(DOC_TYPE,$I1013,DOC_SYS,SETUP!$B$175,DOC_SCOPE,"System",DOC_ACTIVE,1)+COUNTIFS(DOC_TYPE,$I1013,DOC_SCOPE,"All",DOC_ACTIVE,1)&gt;0,"",IFERROR(IF($E$5&lt;&gt;"",$E$5-$C$5,SETUP!$D$175-$C$5),60000)+ROW()/1000000))</f>
        <v/>
      </c>
    </row>
    <row r="1014">
      <c r="G1014">
        <f>IF(OR(SETUP!$C$175="",$A$6="",$B$6&lt;&gt;"Equipment"),"","Equipment")</f>
        <v/>
      </c>
      <c r="H1014">
        <f>IF($G1014="","",SETUP!$C$175)</f>
        <v/>
      </c>
      <c r="I1014">
        <f>IF($G1014="","",$A$6)</f>
        <v/>
      </c>
      <c r="J1014">
        <f>IF($G1014="","",IF(COUNTIFS(DOC_TYPE,$I1014,DOC_EQP,$H1014,DOC_SCOPE,"Equipment",DOC_ACTIVE,1)+COUNTIFS(DOC_TYPE,$I1014,DOC_SYS,SETUP!$B$175,DOC_SCOPE,"System",DOC_ACTIVE,1)+COUNTIFS(DOC_TYPE,$I1014,DOC_SCOPE,"All",DOC_ACTIVE,1)&gt;0,"",IFERROR(IF($E$6&lt;&gt;"",$E$6-$C$6,SETUP!$D$175-$C$6),60000)+ROW()/1000000))</f>
        <v/>
      </c>
    </row>
    <row r="1015">
      <c r="G1015">
        <f>IF(OR(SETUP!$C$175="",$A$7="",$B$7&lt;&gt;"Equipment"),"","Equipment")</f>
        <v/>
      </c>
      <c r="H1015">
        <f>IF($G1015="","",SETUP!$C$175)</f>
        <v/>
      </c>
      <c r="I1015">
        <f>IF($G1015="","",$A$7)</f>
        <v/>
      </c>
      <c r="J1015">
        <f>IF($G1015="","",IF(COUNTIFS(DOC_TYPE,$I1015,DOC_EQP,$H1015,DOC_SCOPE,"Equipment",DOC_ACTIVE,1)+COUNTIFS(DOC_TYPE,$I1015,DOC_SYS,SETUP!$B$175,DOC_SCOPE,"System",DOC_ACTIVE,1)+COUNTIFS(DOC_TYPE,$I1015,DOC_SCOPE,"All",DOC_ACTIVE,1)&gt;0,"",IFERROR(IF($E$7&lt;&gt;"",$E$7-$C$7,SETUP!$D$175-$C$7),60000)+ROW()/1000000))</f>
        <v/>
      </c>
    </row>
    <row r="1016">
      <c r="G1016">
        <f>IF(OR(SETUP!$C$175="",$A$8="",$B$8&lt;&gt;"Equipment"),"","Equipment")</f>
        <v/>
      </c>
      <c r="H1016">
        <f>IF($G1016="","",SETUP!$C$175)</f>
        <v/>
      </c>
      <c r="I1016">
        <f>IF($G1016="","",$A$8)</f>
        <v/>
      </c>
      <c r="J1016">
        <f>IF($G1016="","",IF(COUNTIFS(DOC_TYPE,$I1016,DOC_EQP,$H1016,DOC_SCOPE,"Equipment",DOC_ACTIVE,1)+COUNTIFS(DOC_TYPE,$I1016,DOC_SYS,SETUP!$B$175,DOC_SCOPE,"System",DOC_ACTIVE,1)+COUNTIFS(DOC_TYPE,$I1016,DOC_SCOPE,"All",DOC_ACTIVE,1)&gt;0,"",IFERROR(IF($E$8&lt;&gt;"",$E$8-$C$8,SETUP!$D$175-$C$8),60000)+ROW()/1000000))</f>
        <v/>
      </c>
    </row>
    <row r="1017">
      <c r="G1017">
        <f>IF(OR(SETUP!$C$175="",$A$9="",$B$9&lt;&gt;"Equipment"),"","Equipment")</f>
        <v/>
      </c>
      <c r="H1017">
        <f>IF($G1017="","",SETUP!$C$175)</f>
        <v/>
      </c>
      <c r="I1017">
        <f>IF($G1017="","",$A$9)</f>
        <v/>
      </c>
      <c r="J1017">
        <f>IF($G1017="","",IF(COUNTIFS(DOC_TYPE,$I1017,DOC_EQP,$H1017,DOC_SCOPE,"Equipment",DOC_ACTIVE,1)+COUNTIFS(DOC_TYPE,$I1017,DOC_SYS,SETUP!$B$175,DOC_SCOPE,"System",DOC_ACTIVE,1)+COUNTIFS(DOC_TYPE,$I1017,DOC_SCOPE,"All",DOC_ACTIVE,1)&gt;0,"",IFERROR(IF($E$9&lt;&gt;"",$E$9-$C$9,SETUP!$D$175-$C$9),60000)+ROW()/1000000))</f>
        <v/>
      </c>
    </row>
    <row r="1018">
      <c r="G1018">
        <f>IF(OR(SETUP!$C$175="",$A$10="",$B$10&lt;&gt;"Equipment"),"","Equipment")</f>
        <v/>
      </c>
      <c r="H1018">
        <f>IF($G1018="","",SETUP!$C$175)</f>
        <v/>
      </c>
      <c r="I1018">
        <f>IF($G1018="","",$A$10)</f>
        <v/>
      </c>
      <c r="J1018">
        <f>IF($G1018="","",IF(COUNTIFS(DOC_TYPE,$I1018,DOC_EQP,$H1018,DOC_SCOPE,"Equipment",DOC_ACTIVE,1)+COUNTIFS(DOC_TYPE,$I1018,DOC_SYS,SETUP!$B$175,DOC_SCOPE,"System",DOC_ACTIVE,1)+COUNTIFS(DOC_TYPE,$I1018,DOC_SCOPE,"All",DOC_ACTIVE,1)&gt;0,"",IFERROR(IF($E$10&lt;&gt;"",$E$10-$C$10,SETUP!$D$175-$C$10),60000)+ROW()/1000000))</f>
        <v/>
      </c>
    </row>
    <row r="1019">
      <c r="G1019">
        <f>IF(OR(SETUP!$C$175="",$A$11="",$B$11&lt;&gt;"Equipment"),"","Equipment")</f>
        <v/>
      </c>
      <c r="H1019">
        <f>IF($G1019="","",SETUP!$C$175)</f>
        <v/>
      </c>
      <c r="I1019">
        <f>IF($G1019="","",$A$11)</f>
        <v/>
      </c>
      <c r="J1019">
        <f>IF($G1019="","",IF(COUNTIFS(DOC_TYPE,$I1019,DOC_EQP,$H1019,DOC_SCOPE,"Equipment",DOC_ACTIVE,1)+COUNTIFS(DOC_TYPE,$I1019,DOC_SYS,SETUP!$B$175,DOC_SCOPE,"System",DOC_ACTIVE,1)+COUNTIFS(DOC_TYPE,$I1019,DOC_SCOPE,"All",DOC_ACTIVE,1)&gt;0,"",IFERROR(IF($E$11&lt;&gt;"",$E$11-$C$11,SETUP!$D$175-$C$11),60000)+ROW()/1000000))</f>
        <v/>
      </c>
    </row>
    <row r="1020">
      <c r="G1020">
        <f>IF(OR(SETUP!$C$175="",$A$12="",$B$12&lt;&gt;"Equipment"),"","Equipment")</f>
        <v/>
      </c>
      <c r="H1020">
        <f>IF($G1020="","",SETUP!$C$175)</f>
        <v/>
      </c>
      <c r="I1020">
        <f>IF($G1020="","",$A$12)</f>
        <v/>
      </c>
      <c r="J1020">
        <f>IF($G1020="","",IF(COUNTIFS(DOC_TYPE,$I1020,DOC_EQP,$H1020,DOC_SCOPE,"Equipment",DOC_ACTIVE,1)+COUNTIFS(DOC_TYPE,$I1020,DOC_SYS,SETUP!$B$175,DOC_SCOPE,"System",DOC_ACTIVE,1)+COUNTIFS(DOC_TYPE,$I1020,DOC_SCOPE,"All",DOC_ACTIVE,1)&gt;0,"",IFERROR(IF($E$12&lt;&gt;"",$E$12-$C$12,SETUP!$D$175-$C$12),60000)+ROW()/1000000))</f>
        <v/>
      </c>
    </row>
    <row r="1021">
      <c r="G1021">
        <f>IF(OR(SETUP!$C$175="",$A$13="",$B$13&lt;&gt;"Equipment"),"","Equipment")</f>
        <v/>
      </c>
      <c r="H1021">
        <f>IF($G1021="","",SETUP!$C$175)</f>
        <v/>
      </c>
      <c r="I1021">
        <f>IF($G1021="","",$A$13)</f>
        <v/>
      </c>
      <c r="J1021">
        <f>IF($G1021="","",IF(COUNTIFS(DOC_TYPE,$I1021,DOC_EQP,$H1021,DOC_SCOPE,"Equipment",DOC_ACTIVE,1)+COUNTIFS(DOC_TYPE,$I1021,DOC_SYS,SETUP!$B$175,DOC_SCOPE,"System",DOC_ACTIVE,1)+COUNTIFS(DOC_TYPE,$I1021,DOC_SCOPE,"All",DOC_ACTIVE,1)&gt;0,"",IFERROR(IF($E$13&lt;&gt;"",$E$13-$C$13,SETUP!$D$175-$C$13),60000)+ROW()/1000000))</f>
        <v/>
      </c>
    </row>
    <row r="1022">
      <c r="G1022">
        <f>IF(OR(SETUP!$C$176="",$A$2="",$B$2&lt;&gt;"Equipment"),"","Equipment")</f>
        <v/>
      </c>
      <c r="H1022">
        <f>IF($G1022="","",SETUP!$C$176)</f>
        <v/>
      </c>
      <c r="I1022">
        <f>IF($G1022="","",$A$2)</f>
        <v/>
      </c>
      <c r="J1022">
        <f>IF($G1022="","",IF(COUNTIFS(DOC_TYPE,$I1022,DOC_EQP,$H1022,DOC_SCOPE,"Equipment",DOC_ACTIVE,1)+COUNTIFS(DOC_TYPE,$I1022,DOC_SYS,SETUP!$B$176,DOC_SCOPE,"System",DOC_ACTIVE,1)+COUNTIFS(DOC_TYPE,$I1022,DOC_SCOPE,"All",DOC_ACTIVE,1)&gt;0,"",IFERROR(IF($E$2&lt;&gt;"",$E$2-$C$2,SETUP!$D$176-$C$2),60000)+ROW()/1000000))</f>
        <v/>
      </c>
    </row>
    <row r="1023">
      <c r="G1023">
        <f>IF(OR(SETUP!$C$176="",$A$3="",$B$3&lt;&gt;"Equipment"),"","Equipment")</f>
        <v/>
      </c>
      <c r="H1023">
        <f>IF($G1023="","",SETUP!$C$176)</f>
        <v/>
      </c>
      <c r="I1023">
        <f>IF($G1023="","",$A$3)</f>
        <v/>
      </c>
      <c r="J1023">
        <f>IF($G1023="","",IF(COUNTIFS(DOC_TYPE,$I1023,DOC_EQP,$H1023,DOC_SCOPE,"Equipment",DOC_ACTIVE,1)+COUNTIFS(DOC_TYPE,$I1023,DOC_SYS,SETUP!$B$176,DOC_SCOPE,"System",DOC_ACTIVE,1)+COUNTIFS(DOC_TYPE,$I1023,DOC_SCOPE,"All",DOC_ACTIVE,1)&gt;0,"",IFERROR(IF($E$3&lt;&gt;"",$E$3-$C$3,SETUP!$D$176-$C$3),60000)+ROW()/1000000))</f>
        <v/>
      </c>
    </row>
    <row r="1024">
      <c r="G1024">
        <f>IF(OR(SETUP!$C$176="",$A$4="",$B$4&lt;&gt;"Equipment"),"","Equipment")</f>
        <v/>
      </c>
      <c r="H1024">
        <f>IF($G1024="","",SETUP!$C$176)</f>
        <v/>
      </c>
      <c r="I1024">
        <f>IF($G1024="","",$A$4)</f>
        <v/>
      </c>
      <c r="J1024">
        <f>IF($G1024="","",IF(COUNTIFS(DOC_TYPE,$I1024,DOC_EQP,$H1024,DOC_SCOPE,"Equipment",DOC_ACTIVE,1)+COUNTIFS(DOC_TYPE,$I1024,DOC_SYS,SETUP!$B$176,DOC_SCOPE,"System",DOC_ACTIVE,1)+COUNTIFS(DOC_TYPE,$I1024,DOC_SCOPE,"All",DOC_ACTIVE,1)&gt;0,"",IFERROR(IF($E$4&lt;&gt;"",$E$4-$C$4,SETUP!$D$176-$C$4),60000)+ROW()/1000000))</f>
        <v/>
      </c>
    </row>
    <row r="1025">
      <c r="G1025">
        <f>IF(OR(SETUP!$C$176="",$A$5="",$B$5&lt;&gt;"Equipment"),"","Equipment")</f>
        <v/>
      </c>
      <c r="H1025">
        <f>IF($G1025="","",SETUP!$C$176)</f>
        <v/>
      </c>
      <c r="I1025">
        <f>IF($G1025="","",$A$5)</f>
        <v/>
      </c>
      <c r="J1025">
        <f>IF($G1025="","",IF(COUNTIFS(DOC_TYPE,$I1025,DOC_EQP,$H1025,DOC_SCOPE,"Equipment",DOC_ACTIVE,1)+COUNTIFS(DOC_TYPE,$I1025,DOC_SYS,SETUP!$B$176,DOC_SCOPE,"System",DOC_ACTIVE,1)+COUNTIFS(DOC_TYPE,$I1025,DOC_SCOPE,"All",DOC_ACTIVE,1)&gt;0,"",IFERROR(IF($E$5&lt;&gt;"",$E$5-$C$5,SETUP!$D$176-$C$5),60000)+ROW()/1000000))</f>
        <v/>
      </c>
    </row>
    <row r="1026">
      <c r="G1026">
        <f>IF(OR(SETUP!$C$176="",$A$6="",$B$6&lt;&gt;"Equipment"),"","Equipment")</f>
        <v/>
      </c>
      <c r="H1026">
        <f>IF($G1026="","",SETUP!$C$176)</f>
        <v/>
      </c>
      <c r="I1026">
        <f>IF($G1026="","",$A$6)</f>
        <v/>
      </c>
      <c r="J1026">
        <f>IF($G1026="","",IF(COUNTIFS(DOC_TYPE,$I1026,DOC_EQP,$H1026,DOC_SCOPE,"Equipment",DOC_ACTIVE,1)+COUNTIFS(DOC_TYPE,$I1026,DOC_SYS,SETUP!$B$176,DOC_SCOPE,"System",DOC_ACTIVE,1)+COUNTIFS(DOC_TYPE,$I1026,DOC_SCOPE,"All",DOC_ACTIVE,1)&gt;0,"",IFERROR(IF($E$6&lt;&gt;"",$E$6-$C$6,SETUP!$D$176-$C$6),60000)+ROW()/1000000))</f>
        <v/>
      </c>
    </row>
    <row r="1027">
      <c r="G1027">
        <f>IF(OR(SETUP!$C$176="",$A$7="",$B$7&lt;&gt;"Equipment"),"","Equipment")</f>
        <v/>
      </c>
      <c r="H1027">
        <f>IF($G1027="","",SETUP!$C$176)</f>
        <v/>
      </c>
      <c r="I1027">
        <f>IF($G1027="","",$A$7)</f>
        <v/>
      </c>
      <c r="J1027">
        <f>IF($G1027="","",IF(COUNTIFS(DOC_TYPE,$I1027,DOC_EQP,$H1027,DOC_SCOPE,"Equipment",DOC_ACTIVE,1)+COUNTIFS(DOC_TYPE,$I1027,DOC_SYS,SETUP!$B$176,DOC_SCOPE,"System",DOC_ACTIVE,1)+COUNTIFS(DOC_TYPE,$I1027,DOC_SCOPE,"All",DOC_ACTIVE,1)&gt;0,"",IFERROR(IF($E$7&lt;&gt;"",$E$7-$C$7,SETUP!$D$176-$C$7),60000)+ROW()/1000000))</f>
        <v/>
      </c>
    </row>
    <row r="1028">
      <c r="G1028">
        <f>IF(OR(SETUP!$C$176="",$A$8="",$B$8&lt;&gt;"Equipment"),"","Equipment")</f>
        <v/>
      </c>
      <c r="H1028">
        <f>IF($G1028="","",SETUP!$C$176)</f>
        <v/>
      </c>
      <c r="I1028">
        <f>IF($G1028="","",$A$8)</f>
        <v/>
      </c>
      <c r="J1028">
        <f>IF($G1028="","",IF(COUNTIFS(DOC_TYPE,$I1028,DOC_EQP,$H1028,DOC_SCOPE,"Equipment",DOC_ACTIVE,1)+COUNTIFS(DOC_TYPE,$I1028,DOC_SYS,SETUP!$B$176,DOC_SCOPE,"System",DOC_ACTIVE,1)+COUNTIFS(DOC_TYPE,$I1028,DOC_SCOPE,"All",DOC_ACTIVE,1)&gt;0,"",IFERROR(IF($E$8&lt;&gt;"",$E$8-$C$8,SETUP!$D$176-$C$8),60000)+ROW()/1000000))</f>
        <v/>
      </c>
    </row>
    <row r="1029">
      <c r="G1029">
        <f>IF(OR(SETUP!$C$176="",$A$9="",$B$9&lt;&gt;"Equipment"),"","Equipment")</f>
        <v/>
      </c>
      <c r="H1029">
        <f>IF($G1029="","",SETUP!$C$176)</f>
        <v/>
      </c>
      <c r="I1029">
        <f>IF($G1029="","",$A$9)</f>
        <v/>
      </c>
      <c r="J1029">
        <f>IF($G1029="","",IF(COUNTIFS(DOC_TYPE,$I1029,DOC_EQP,$H1029,DOC_SCOPE,"Equipment",DOC_ACTIVE,1)+COUNTIFS(DOC_TYPE,$I1029,DOC_SYS,SETUP!$B$176,DOC_SCOPE,"System",DOC_ACTIVE,1)+COUNTIFS(DOC_TYPE,$I1029,DOC_SCOPE,"All",DOC_ACTIVE,1)&gt;0,"",IFERROR(IF($E$9&lt;&gt;"",$E$9-$C$9,SETUP!$D$176-$C$9),60000)+ROW()/1000000))</f>
        <v/>
      </c>
    </row>
    <row r="1030">
      <c r="G1030">
        <f>IF(OR(SETUP!$C$176="",$A$10="",$B$10&lt;&gt;"Equipment"),"","Equipment")</f>
        <v/>
      </c>
      <c r="H1030">
        <f>IF($G1030="","",SETUP!$C$176)</f>
        <v/>
      </c>
      <c r="I1030">
        <f>IF($G1030="","",$A$10)</f>
        <v/>
      </c>
      <c r="J1030">
        <f>IF($G1030="","",IF(COUNTIFS(DOC_TYPE,$I1030,DOC_EQP,$H1030,DOC_SCOPE,"Equipment",DOC_ACTIVE,1)+COUNTIFS(DOC_TYPE,$I1030,DOC_SYS,SETUP!$B$176,DOC_SCOPE,"System",DOC_ACTIVE,1)+COUNTIFS(DOC_TYPE,$I1030,DOC_SCOPE,"All",DOC_ACTIVE,1)&gt;0,"",IFERROR(IF($E$10&lt;&gt;"",$E$10-$C$10,SETUP!$D$176-$C$10),60000)+ROW()/1000000))</f>
        <v/>
      </c>
    </row>
    <row r="1031">
      <c r="G1031">
        <f>IF(OR(SETUP!$C$176="",$A$11="",$B$11&lt;&gt;"Equipment"),"","Equipment")</f>
        <v/>
      </c>
      <c r="H1031">
        <f>IF($G1031="","",SETUP!$C$176)</f>
        <v/>
      </c>
      <c r="I1031">
        <f>IF($G1031="","",$A$11)</f>
        <v/>
      </c>
      <c r="J1031">
        <f>IF($G1031="","",IF(COUNTIFS(DOC_TYPE,$I1031,DOC_EQP,$H1031,DOC_SCOPE,"Equipment",DOC_ACTIVE,1)+COUNTIFS(DOC_TYPE,$I1031,DOC_SYS,SETUP!$B$176,DOC_SCOPE,"System",DOC_ACTIVE,1)+COUNTIFS(DOC_TYPE,$I1031,DOC_SCOPE,"All",DOC_ACTIVE,1)&gt;0,"",IFERROR(IF($E$11&lt;&gt;"",$E$11-$C$11,SETUP!$D$176-$C$11),60000)+ROW()/1000000))</f>
        <v/>
      </c>
    </row>
    <row r="1032">
      <c r="G1032">
        <f>IF(OR(SETUP!$C$176="",$A$12="",$B$12&lt;&gt;"Equipment"),"","Equipment")</f>
        <v/>
      </c>
      <c r="H1032">
        <f>IF($G1032="","",SETUP!$C$176)</f>
        <v/>
      </c>
      <c r="I1032">
        <f>IF($G1032="","",$A$12)</f>
        <v/>
      </c>
      <c r="J1032">
        <f>IF($G1032="","",IF(COUNTIFS(DOC_TYPE,$I1032,DOC_EQP,$H1032,DOC_SCOPE,"Equipment",DOC_ACTIVE,1)+COUNTIFS(DOC_TYPE,$I1032,DOC_SYS,SETUP!$B$176,DOC_SCOPE,"System",DOC_ACTIVE,1)+COUNTIFS(DOC_TYPE,$I1032,DOC_SCOPE,"All",DOC_ACTIVE,1)&gt;0,"",IFERROR(IF($E$12&lt;&gt;"",$E$12-$C$12,SETUP!$D$176-$C$12),60000)+ROW()/1000000))</f>
        <v/>
      </c>
    </row>
    <row r="1033">
      <c r="G1033">
        <f>IF(OR(SETUP!$C$176="",$A$13="",$B$13&lt;&gt;"Equipment"),"","Equipment")</f>
        <v/>
      </c>
      <c r="H1033">
        <f>IF($G1033="","",SETUP!$C$176)</f>
        <v/>
      </c>
      <c r="I1033">
        <f>IF($G1033="","",$A$13)</f>
        <v/>
      </c>
      <c r="J1033">
        <f>IF($G1033="","",IF(COUNTIFS(DOC_TYPE,$I1033,DOC_EQP,$H1033,DOC_SCOPE,"Equipment",DOC_ACTIVE,1)+COUNTIFS(DOC_TYPE,$I1033,DOC_SYS,SETUP!$B$176,DOC_SCOPE,"System",DOC_ACTIVE,1)+COUNTIFS(DOC_TYPE,$I1033,DOC_SCOPE,"All",DOC_ACTIVE,1)&gt;0,"",IFERROR(IF($E$13&lt;&gt;"",$E$13-$C$13,SETUP!$D$176-$C$13),60000)+ROW()/1000000))</f>
        <v/>
      </c>
    </row>
    <row r="1034">
      <c r="G1034">
        <f>IF(OR(SETUP!$C$177="",$A$2="",$B$2&lt;&gt;"Equipment"),"","Equipment")</f>
        <v/>
      </c>
      <c r="H1034">
        <f>IF($G1034="","",SETUP!$C$177)</f>
        <v/>
      </c>
      <c r="I1034">
        <f>IF($G1034="","",$A$2)</f>
        <v/>
      </c>
      <c r="J1034">
        <f>IF($G1034="","",IF(COUNTIFS(DOC_TYPE,$I1034,DOC_EQP,$H1034,DOC_SCOPE,"Equipment",DOC_ACTIVE,1)+COUNTIFS(DOC_TYPE,$I1034,DOC_SYS,SETUP!$B$177,DOC_SCOPE,"System",DOC_ACTIVE,1)+COUNTIFS(DOC_TYPE,$I1034,DOC_SCOPE,"All",DOC_ACTIVE,1)&gt;0,"",IFERROR(IF($E$2&lt;&gt;"",$E$2-$C$2,SETUP!$D$177-$C$2),60000)+ROW()/1000000))</f>
        <v/>
      </c>
    </row>
    <row r="1035">
      <c r="G1035">
        <f>IF(OR(SETUP!$C$177="",$A$3="",$B$3&lt;&gt;"Equipment"),"","Equipment")</f>
        <v/>
      </c>
      <c r="H1035">
        <f>IF($G1035="","",SETUP!$C$177)</f>
        <v/>
      </c>
      <c r="I1035">
        <f>IF($G1035="","",$A$3)</f>
        <v/>
      </c>
      <c r="J1035">
        <f>IF($G1035="","",IF(COUNTIFS(DOC_TYPE,$I1035,DOC_EQP,$H1035,DOC_SCOPE,"Equipment",DOC_ACTIVE,1)+COUNTIFS(DOC_TYPE,$I1035,DOC_SYS,SETUP!$B$177,DOC_SCOPE,"System",DOC_ACTIVE,1)+COUNTIFS(DOC_TYPE,$I1035,DOC_SCOPE,"All",DOC_ACTIVE,1)&gt;0,"",IFERROR(IF($E$3&lt;&gt;"",$E$3-$C$3,SETUP!$D$177-$C$3),60000)+ROW()/1000000))</f>
        <v/>
      </c>
    </row>
    <row r="1036">
      <c r="G1036">
        <f>IF(OR(SETUP!$C$177="",$A$4="",$B$4&lt;&gt;"Equipment"),"","Equipment")</f>
        <v/>
      </c>
      <c r="H1036">
        <f>IF($G1036="","",SETUP!$C$177)</f>
        <v/>
      </c>
      <c r="I1036">
        <f>IF($G1036="","",$A$4)</f>
        <v/>
      </c>
      <c r="J1036">
        <f>IF($G1036="","",IF(COUNTIFS(DOC_TYPE,$I1036,DOC_EQP,$H1036,DOC_SCOPE,"Equipment",DOC_ACTIVE,1)+COUNTIFS(DOC_TYPE,$I1036,DOC_SYS,SETUP!$B$177,DOC_SCOPE,"System",DOC_ACTIVE,1)+COUNTIFS(DOC_TYPE,$I1036,DOC_SCOPE,"All",DOC_ACTIVE,1)&gt;0,"",IFERROR(IF($E$4&lt;&gt;"",$E$4-$C$4,SETUP!$D$177-$C$4),60000)+ROW()/1000000))</f>
        <v/>
      </c>
    </row>
    <row r="1037">
      <c r="G1037">
        <f>IF(OR(SETUP!$C$177="",$A$5="",$B$5&lt;&gt;"Equipment"),"","Equipment")</f>
        <v/>
      </c>
      <c r="H1037">
        <f>IF($G1037="","",SETUP!$C$177)</f>
        <v/>
      </c>
      <c r="I1037">
        <f>IF($G1037="","",$A$5)</f>
        <v/>
      </c>
      <c r="J1037">
        <f>IF($G1037="","",IF(COUNTIFS(DOC_TYPE,$I1037,DOC_EQP,$H1037,DOC_SCOPE,"Equipment",DOC_ACTIVE,1)+COUNTIFS(DOC_TYPE,$I1037,DOC_SYS,SETUP!$B$177,DOC_SCOPE,"System",DOC_ACTIVE,1)+COUNTIFS(DOC_TYPE,$I1037,DOC_SCOPE,"All",DOC_ACTIVE,1)&gt;0,"",IFERROR(IF($E$5&lt;&gt;"",$E$5-$C$5,SETUP!$D$177-$C$5),60000)+ROW()/1000000))</f>
        <v/>
      </c>
    </row>
    <row r="1038">
      <c r="G1038">
        <f>IF(OR(SETUP!$C$177="",$A$6="",$B$6&lt;&gt;"Equipment"),"","Equipment")</f>
        <v/>
      </c>
      <c r="H1038">
        <f>IF($G1038="","",SETUP!$C$177)</f>
        <v/>
      </c>
      <c r="I1038">
        <f>IF($G1038="","",$A$6)</f>
        <v/>
      </c>
      <c r="J1038">
        <f>IF($G1038="","",IF(COUNTIFS(DOC_TYPE,$I1038,DOC_EQP,$H1038,DOC_SCOPE,"Equipment",DOC_ACTIVE,1)+COUNTIFS(DOC_TYPE,$I1038,DOC_SYS,SETUP!$B$177,DOC_SCOPE,"System",DOC_ACTIVE,1)+COUNTIFS(DOC_TYPE,$I1038,DOC_SCOPE,"All",DOC_ACTIVE,1)&gt;0,"",IFERROR(IF($E$6&lt;&gt;"",$E$6-$C$6,SETUP!$D$177-$C$6),60000)+ROW()/1000000))</f>
        <v/>
      </c>
    </row>
    <row r="1039">
      <c r="G1039">
        <f>IF(OR(SETUP!$C$177="",$A$7="",$B$7&lt;&gt;"Equipment"),"","Equipment")</f>
        <v/>
      </c>
      <c r="H1039">
        <f>IF($G1039="","",SETUP!$C$177)</f>
        <v/>
      </c>
      <c r="I1039">
        <f>IF($G1039="","",$A$7)</f>
        <v/>
      </c>
      <c r="J1039">
        <f>IF($G1039="","",IF(COUNTIFS(DOC_TYPE,$I1039,DOC_EQP,$H1039,DOC_SCOPE,"Equipment",DOC_ACTIVE,1)+COUNTIFS(DOC_TYPE,$I1039,DOC_SYS,SETUP!$B$177,DOC_SCOPE,"System",DOC_ACTIVE,1)+COUNTIFS(DOC_TYPE,$I1039,DOC_SCOPE,"All",DOC_ACTIVE,1)&gt;0,"",IFERROR(IF($E$7&lt;&gt;"",$E$7-$C$7,SETUP!$D$177-$C$7),60000)+ROW()/1000000))</f>
        <v/>
      </c>
    </row>
    <row r="1040">
      <c r="G1040">
        <f>IF(OR(SETUP!$C$177="",$A$8="",$B$8&lt;&gt;"Equipment"),"","Equipment")</f>
        <v/>
      </c>
      <c r="H1040">
        <f>IF($G1040="","",SETUP!$C$177)</f>
        <v/>
      </c>
      <c r="I1040">
        <f>IF($G1040="","",$A$8)</f>
        <v/>
      </c>
      <c r="J1040">
        <f>IF($G1040="","",IF(COUNTIFS(DOC_TYPE,$I1040,DOC_EQP,$H1040,DOC_SCOPE,"Equipment",DOC_ACTIVE,1)+COUNTIFS(DOC_TYPE,$I1040,DOC_SYS,SETUP!$B$177,DOC_SCOPE,"System",DOC_ACTIVE,1)+COUNTIFS(DOC_TYPE,$I1040,DOC_SCOPE,"All",DOC_ACTIVE,1)&gt;0,"",IFERROR(IF($E$8&lt;&gt;"",$E$8-$C$8,SETUP!$D$177-$C$8),60000)+ROW()/1000000))</f>
        <v/>
      </c>
    </row>
    <row r="1041">
      <c r="G1041">
        <f>IF(OR(SETUP!$C$177="",$A$9="",$B$9&lt;&gt;"Equipment"),"","Equipment")</f>
        <v/>
      </c>
      <c r="H1041">
        <f>IF($G1041="","",SETUP!$C$177)</f>
        <v/>
      </c>
      <c r="I1041">
        <f>IF($G1041="","",$A$9)</f>
        <v/>
      </c>
      <c r="J1041">
        <f>IF($G1041="","",IF(COUNTIFS(DOC_TYPE,$I1041,DOC_EQP,$H1041,DOC_SCOPE,"Equipment",DOC_ACTIVE,1)+COUNTIFS(DOC_TYPE,$I1041,DOC_SYS,SETUP!$B$177,DOC_SCOPE,"System",DOC_ACTIVE,1)+COUNTIFS(DOC_TYPE,$I1041,DOC_SCOPE,"All",DOC_ACTIVE,1)&gt;0,"",IFERROR(IF($E$9&lt;&gt;"",$E$9-$C$9,SETUP!$D$177-$C$9),60000)+ROW()/1000000))</f>
        <v/>
      </c>
    </row>
    <row r="1042">
      <c r="G1042">
        <f>IF(OR(SETUP!$C$177="",$A$10="",$B$10&lt;&gt;"Equipment"),"","Equipment")</f>
        <v/>
      </c>
      <c r="H1042">
        <f>IF($G1042="","",SETUP!$C$177)</f>
        <v/>
      </c>
      <c r="I1042">
        <f>IF($G1042="","",$A$10)</f>
        <v/>
      </c>
      <c r="J1042">
        <f>IF($G1042="","",IF(COUNTIFS(DOC_TYPE,$I1042,DOC_EQP,$H1042,DOC_SCOPE,"Equipment",DOC_ACTIVE,1)+COUNTIFS(DOC_TYPE,$I1042,DOC_SYS,SETUP!$B$177,DOC_SCOPE,"System",DOC_ACTIVE,1)+COUNTIFS(DOC_TYPE,$I1042,DOC_SCOPE,"All",DOC_ACTIVE,1)&gt;0,"",IFERROR(IF($E$10&lt;&gt;"",$E$10-$C$10,SETUP!$D$177-$C$10),60000)+ROW()/1000000))</f>
        <v/>
      </c>
    </row>
    <row r="1043">
      <c r="G1043">
        <f>IF(OR(SETUP!$C$177="",$A$11="",$B$11&lt;&gt;"Equipment"),"","Equipment")</f>
        <v/>
      </c>
      <c r="H1043">
        <f>IF($G1043="","",SETUP!$C$177)</f>
        <v/>
      </c>
      <c r="I1043">
        <f>IF($G1043="","",$A$11)</f>
        <v/>
      </c>
      <c r="J1043">
        <f>IF($G1043="","",IF(COUNTIFS(DOC_TYPE,$I1043,DOC_EQP,$H1043,DOC_SCOPE,"Equipment",DOC_ACTIVE,1)+COUNTIFS(DOC_TYPE,$I1043,DOC_SYS,SETUP!$B$177,DOC_SCOPE,"System",DOC_ACTIVE,1)+COUNTIFS(DOC_TYPE,$I1043,DOC_SCOPE,"All",DOC_ACTIVE,1)&gt;0,"",IFERROR(IF($E$11&lt;&gt;"",$E$11-$C$11,SETUP!$D$177-$C$11),60000)+ROW()/1000000))</f>
        <v/>
      </c>
    </row>
    <row r="1044">
      <c r="G1044">
        <f>IF(OR(SETUP!$C$177="",$A$12="",$B$12&lt;&gt;"Equipment"),"","Equipment")</f>
        <v/>
      </c>
      <c r="H1044">
        <f>IF($G1044="","",SETUP!$C$177)</f>
        <v/>
      </c>
      <c r="I1044">
        <f>IF($G1044="","",$A$12)</f>
        <v/>
      </c>
      <c r="J1044">
        <f>IF($G1044="","",IF(COUNTIFS(DOC_TYPE,$I1044,DOC_EQP,$H1044,DOC_SCOPE,"Equipment",DOC_ACTIVE,1)+COUNTIFS(DOC_TYPE,$I1044,DOC_SYS,SETUP!$B$177,DOC_SCOPE,"System",DOC_ACTIVE,1)+COUNTIFS(DOC_TYPE,$I1044,DOC_SCOPE,"All",DOC_ACTIVE,1)&gt;0,"",IFERROR(IF($E$12&lt;&gt;"",$E$12-$C$12,SETUP!$D$177-$C$12),60000)+ROW()/1000000))</f>
        <v/>
      </c>
    </row>
    <row r="1045">
      <c r="G1045">
        <f>IF(OR(SETUP!$C$177="",$A$13="",$B$13&lt;&gt;"Equipment"),"","Equipment")</f>
        <v/>
      </c>
      <c r="H1045">
        <f>IF($G1045="","",SETUP!$C$177)</f>
        <v/>
      </c>
      <c r="I1045">
        <f>IF($G1045="","",$A$13)</f>
        <v/>
      </c>
      <c r="J1045">
        <f>IF($G1045="","",IF(COUNTIFS(DOC_TYPE,$I1045,DOC_EQP,$H1045,DOC_SCOPE,"Equipment",DOC_ACTIVE,1)+COUNTIFS(DOC_TYPE,$I1045,DOC_SYS,SETUP!$B$177,DOC_SCOPE,"System",DOC_ACTIVE,1)+COUNTIFS(DOC_TYPE,$I1045,DOC_SCOPE,"All",DOC_ACTIVE,1)&gt;0,"",IFERROR(IF($E$13&lt;&gt;"",$E$13-$C$13,SETUP!$D$177-$C$13),60000)+ROW()/1000000))</f>
        <v/>
      </c>
    </row>
    <row r="1046">
      <c r="G1046">
        <f>IF(OR(SETUP!$C$178="",$A$2="",$B$2&lt;&gt;"Equipment"),"","Equipment")</f>
        <v/>
      </c>
      <c r="H1046">
        <f>IF($G1046="","",SETUP!$C$178)</f>
        <v/>
      </c>
      <c r="I1046">
        <f>IF($G1046="","",$A$2)</f>
        <v/>
      </c>
      <c r="J1046">
        <f>IF($G1046="","",IF(COUNTIFS(DOC_TYPE,$I1046,DOC_EQP,$H1046,DOC_SCOPE,"Equipment",DOC_ACTIVE,1)+COUNTIFS(DOC_TYPE,$I1046,DOC_SYS,SETUP!$B$178,DOC_SCOPE,"System",DOC_ACTIVE,1)+COUNTIFS(DOC_TYPE,$I1046,DOC_SCOPE,"All",DOC_ACTIVE,1)&gt;0,"",IFERROR(IF($E$2&lt;&gt;"",$E$2-$C$2,SETUP!$D$178-$C$2),60000)+ROW()/1000000))</f>
        <v/>
      </c>
    </row>
    <row r="1047">
      <c r="G1047">
        <f>IF(OR(SETUP!$C$178="",$A$3="",$B$3&lt;&gt;"Equipment"),"","Equipment")</f>
        <v/>
      </c>
      <c r="H1047">
        <f>IF($G1047="","",SETUP!$C$178)</f>
        <v/>
      </c>
      <c r="I1047">
        <f>IF($G1047="","",$A$3)</f>
        <v/>
      </c>
      <c r="J1047">
        <f>IF($G1047="","",IF(COUNTIFS(DOC_TYPE,$I1047,DOC_EQP,$H1047,DOC_SCOPE,"Equipment",DOC_ACTIVE,1)+COUNTIFS(DOC_TYPE,$I1047,DOC_SYS,SETUP!$B$178,DOC_SCOPE,"System",DOC_ACTIVE,1)+COUNTIFS(DOC_TYPE,$I1047,DOC_SCOPE,"All",DOC_ACTIVE,1)&gt;0,"",IFERROR(IF($E$3&lt;&gt;"",$E$3-$C$3,SETUP!$D$178-$C$3),60000)+ROW()/1000000))</f>
        <v/>
      </c>
    </row>
    <row r="1048">
      <c r="G1048">
        <f>IF(OR(SETUP!$C$178="",$A$4="",$B$4&lt;&gt;"Equipment"),"","Equipment")</f>
        <v/>
      </c>
      <c r="H1048">
        <f>IF($G1048="","",SETUP!$C$178)</f>
        <v/>
      </c>
      <c r="I1048">
        <f>IF($G1048="","",$A$4)</f>
        <v/>
      </c>
      <c r="J1048">
        <f>IF($G1048="","",IF(COUNTIFS(DOC_TYPE,$I1048,DOC_EQP,$H1048,DOC_SCOPE,"Equipment",DOC_ACTIVE,1)+COUNTIFS(DOC_TYPE,$I1048,DOC_SYS,SETUP!$B$178,DOC_SCOPE,"System",DOC_ACTIVE,1)+COUNTIFS(DOC_TYPE,$I1048,DOC_SCOPE,"All",DOC_ACTIVE,1)&gt;0,"",IFERROR(IF($E$4&lt;&gt;"",$E$4-$C$4,SETUP!$D$178-$C$4),60000)+ROW()/1000000))</f>
        <v/>
      </c>
    </row>
    <row r="1049">
      <c r="G1049">
        <f>IF(OR(SETUP!$C$178="",$A$5="",$B$5&lt;&gt;"Equipment"),"","Equipment")</f>
        <v/>
      </c>
      <c r="H1049">
        <f>IF($G1049="","",SETUP!$C$178)</f>
        <v/>
      </c>
      <c r="I1049">
        <f>IF($G1049="","",$A$5)</f>
        <v/>
      </c>
      <c r="J1049">
        <f>IF($G1049="","",IF(COUNTIFS(DOC_TYPE,$I1049,DOC_EQP,$H1049,DOC_SCOPE,"Equipment",DOC_ACTIVE,1)+COUNTIFS(DOC_TYPE,$I1049,DOC_SYS,SETUP!$B$178,DOC_SCOPE,"System",DOC_ACTIVE,1)+COUNTIFS(DOC_TYPE,$I1049,DOC_SCOPE,"All",DOC_ACTIVE,1)&gt;0,"",IFERROR(IF($E$5&lt;&gt;"",$E$5-$C$5,SETUP!$D$178-$C$5),60000)+ROW()/1000000))</f>
        <v/>
      </c>
    </row>
    <row r="1050">
      <c r="G1050">
        <f>IF(OR(SETUP!$C$178="",$A$6="",$B$6&lt;&gt;"Equipment"),"","Equipment")</f>
        <v/>
      </c>
      <c r="H1050">
        <f>IF($G1050="","",SETUP!$C$178)</f>
        <v/>
      </c>
      <c r="I1050">
        <f>IF($G1050="","",$A$6)</f>
        <v/>
      </c>
      <c r="J1050">
        <f>IF($G1050="","",IF(COUNTIFS(DOC_TYPE,$I1050,DOC_EQP,$H1050,DOC_SCOPE,"Equipment",DOC_ACTIVE,1)+COUNTIFS(DOC_TYPE,$I1050,DOC_SYS,SETUP!$B$178,DOC_SCOPE,"System",DOC_ACTIVE,1)+COUNTIFS(DOC_TYPE,$I1050,DOC_SCOPE,"All",DOC_ACTIVE,1)&gt;0,"",IFERROR(IF($E$6&lt;&gt;"",$E$6-$C$6,SETUP!$D$178-$C$6),60000)+ROW()/1000000))</f>
        <v/>
      </c>
    </row>
    <row r="1051">
      <c r="G1051">
        <f>IF(OR(SETUP!$C$178="",$A$7="",$B$7&lt;&gt;"Equipment"),"","Equipment")</f>
        <v/>
      </c>
      <c r="H1051">
        <f>IF($G1051="","",SETUP!$C$178)</f>
        <v/>
      </c>
      <c r="I1051">
        <f>IF($G1051="","",$A$7)</f>
        <v/>
      </c>
      <c r="J1051">
        <f>IF($G1051="","",IF(COUNTIFS(DOC_TYPE,$I1051,DOC_EQP,$H1051,DOC_SCOPE,"Equipment",DOC_ACTIVE,1)+COUNTIFS(DOC_TYPE,$I1051,DOC_SYS,SETUP!$B$178,DOC_SCOPE,"System",DOC_ACTIVE,1)+COUNTIFS(DOC_TYPE,$I1051,DOC_SCOPE,"All",DOC_ACTIVE,1)&gt;0,"",IFERROR(IF($E$7&lt;&gt;"",$E$7-$C$7,SETUP!$D$178-$C$7),60000)+ROW()/1000000))</f>
        <v/>
      </c>
    </row>
    <row r="1052">
      <c r="G1052">
        <f>IF(OR(SETUP!$C$178="",$A$8="",$B$8&lt;&gt;"Equipment"),"","Equipment")</f>
        <v/>
      </c>
      <c r="H1052">
        <f>IF($G1052="","",SETUP!$C$178)</f>
        <v/>
      </c>
      <c r="I1052">
        <f>IF($G1052="","",$A$8)</f>
        <v/>
      </c>
      <c r="J1052">
        <f>IF($G1052="","",IF(COUNTIFS(DOC_TYPE,$I1052,DOC_EQP,$H1052,DOC_SCOPE,"Equipment",DOC_ACTIVE,1)+COUNTIFS(DOC_TYPE,$I1052,DOC_SYS,SETUP!$B$178,DOC_SCOPE,"System",DOC_ACTIVE,1)+COUNTIFS(DOC_TYPE,$I1052,DOC_SCOPE,"All",DOC_ACTIVE,1)&gt;0,"",IFERROR(IF($E$8&lt;&gt;"",$E$8-$C$8,SETUP!$D$178-$C$8),60000)+ROW()/1000000))</f>
        <v/>
      </c>
    </row>
    <row r="1053">
      <c r="G1053">
        <f>IF(OR(SETUP!$C$178="",$A$9="",$B$9&lt;&gt;"Equipment"),"","Equipment")</f>
        <v/>
      </c>
      <c r="H1053">
        <f>IF($G1053="","",SETUP!$C$178)</f>
        <v/>
      </c>
      <c r="I1053">
        <f>IF($G1053="","",$A$9)</f>
        <v/>
      </c>
      <c r="J1053">
        <f>IF($G1053="","",IF(COUNTIFS(DOC_TYPE,$I1053,DOC_EQP,$H1053,DOC_SCOPE,"Equipment",DOC_ACTIVE,1)+COUNTIFS(DOC_TYPE,$I1053,DOC_SYS,SETUP!$B$178,DOC_SCOPE,"System",DOC_ACTIVE,1)+COUNTIFS(DOC_TYPE,$I1053,DOC_SCOPE,"All",DOC_ACTIVE,1)&gt;0,"",IFERROR(IF($E$9&lt;&gt;"",$E$9-$C$9,SETUP!$D$178-$C$9),60000)+ROW()/1000000))</f>
        <v/>
      </c>
    </row>
    <row r="1054">
      <c r="G1054">
        <f>IF(OR(SETUP!$C$178="",$A$10="",$B$10&lt;&gt;"Equipment"),"","Equipment")</f>
        <v/>
      </c>
      <c r="H1054">
        <f>IF($G1054="","",SETUP!$C$178)</f>
        <v/>
      </c>
      <c r="I1054">
        <f>IF($G1054="","",$A$10)</f>
        <v/>
      </c>
      <c r="J1054">
        <f>IF($G1054="","",IF(COUNTIFS(DOC_TYPE,$I1054,DOC_EQP,$H1054,DOC_SCOPE,"Equipment",DOC_ACTIVE,1)+COUNTIFS(DOC_TYPE,$I1054,DOC_SYS,SETUP!$B$178,DOC_SCOPE,"System",DOC_ACTIVE,1)+COUNTIFS(DOC_TYPE,$I1054,DOC_SCOPE,"All",DOC_ACTIVE,1)&gt;0,"",IFERROR(IF($E$10&lt;&gt;"",$E$10-$C$10,SETUP!$D$178-$C$10),60000)+ROW()/1000000))</f>
        <v/>
      </c>
    </row>
    <row r="1055">
      <c r="G1055">
        <f>IF(OR(SETUP!$C$178="",$A$11="",$B$11&lt;&gt;"Equipment"),"","Equipment")</f>
        <v/>
      </c>
      <c r="H1055">
        <f>IF($G1055="","",SETUP!$C$178)</f>
        <v/>
      </c>
      <c r="I1055">
        <f>IF($G1055="","",$A$11)</f>
        <v/>
      </c>
      <c r="J1055">
        <f>IF($G1055="","",IF(COUNTIFS(DOC_TYPE,$I1055,DOC_EQP,$H1055,DOC_SCOPE,"Equipment",DOC_ACTIVE,1)+COUNTIFS(DOC_TYPE,$I1055,DOC_SYS,SETUP!$B$178,DOC_SCOPE,"System",DOC_ACTIVE,1)+COUNTIFS(DOC_TYPE,$I1055,DOC_SCOPE,"All",DOC_ACTIVE,1)&gt;0,"",IFERROR(IF($E$11&lt;&gt;"",$E$11-$C$11,SETUP!$D$178-$C$11),60000)+ROW()/1000000))</f>
        <v/>
      </c>
    </row>
    <row r="1056">
      <c r="G1056">
        <f>IF(OR(SETUP!$C$178="",$A$12="",$B$12&lt;&gt;"Equipment"),"","Equipment")</f>
        <v/>
      </c>
      <c r="H1056">
        <f>IF($G1056="","",SETUP!$C$178)</f>
        <v/>
      </c>
      <c r="I1056">
        <f>IF($G1056="","",$A$12)</f>
        <v/>
      </c>
      <c r="J1056">
        <f>IF($G1056="","",IF(COUNTIFS(DOC_TYPE,$I1056,DOC_EQP,$H1056,DOC_SCOPE,"Equipment",DOC_ACTIVE,1)+COUNTIFS(DOC_TYPE,$I1056,DOC_SYS,SETUP!$B$178,DOC_SCOPE,"System",DOC_ACTIVE,1)+COUNTIFS(DOC_TYPE,$I1056,DOC_SCOPE,"All",DOC_ACTIVE,1)&gt;0,"",IFERROR(IF($E$12&lt;&gt;"",$E$12-$C$12,SETUP!$D$178-$C$12),60000)+ROW()/1000000))</f>
        <v/>
      </c>
    </row>
    <row r="1057">
      <c r="G1057">
        <f>IF(OR(SETUP!$C$178="",$A$13="",$B$13&lt;&gt;"Equipment"),"","Equipment")</f>
        <v/>
      </c>
      <c r="H1057">
        <f>IF($G1057="","",SETUP!$C$178)</f>
        <v/>
      </c>
      <c r="I1057">
        <f>IF($G1057="","",$A$13)</f>
        <v/>
      </c>
      <c r="J1057">
        <f>IF($G1057="","",IF(COUNTIFS(DOC_TYPE,$I1057,DOC_EQP,$H1057,DOC_SCOPE,"Equipment",DOC_ACTIVE,1)+COUNTIFS(DOC_TYPE,$I1057,DOC_SYS,SETUP!$B$178,DOC_SCOPE,"System",DOC_ACTIVE,1)+COUNTIFS(DOC_TYPE,$I1057,DOC_SCOPE,"All",DOC_ACTIVE,1)&gt;0,"",IFERROR(IF($E$13&lt;&gt;"",$E$13-$C$13,SETUP!$D$178-$C$13),60000)+ROW()/1000000))</f>
        <v/>
      </c>
    </row>
    <row r="1058">
      <c r="G1058">
        <f>IF(OR(SETUP!$C$179="",$A$2="",$B$2&lt;&gt;"Equipment"),"","Equipment")</f>
        <v/>
      </c>
      <c r="H1058">
        <f>IF($G1058="","",SETUP!$C$179)</f>
        <v/>
      </c>
      <c r="I1058">
        <f>IF($G1058="","",$A$2)</f>
        <v/>
      </c>
      <c r="J1058">
        <f>IF($G1058="","",IF(COUNTIFS(DOC_TYPE,$I1058,DOC_EQP,$H1058,DOC_SCOPE,"Equipment",DOC_ACTIVE,1)+COUNTIFS(DOC_TYPE,$I1058,DOC_SYS,SETUP!$B$179,DOC_SCOPE,"System",DOC_ACTIVE,1)+COUNTIFS(DOC_TYPE,$I1058,DOC_SCOPE,"All",DOC_ACTIVE,1)&gt;0,"",IFERROR(IF($E$2&lt;&gt;"",$E$2-$C$2,SETUP!$D$179-$C$2),60000)+ROW()/1000000))</f>
        <v/>
      </c>
    </row>
    <row r="1059">
      <c r="G1059">
        <f>IF(OR(SETUP!$C$179="",$A$3="",$B$3&lt;&gt;"Equipment"),"","Equipment")</f>
        <v/>
      </c>
      <c r="H1059">
        <f>IF($G1059="","",SETUP!$C$179)</f>
        <v/>
      </c>
      <c r="I1059">
        <f>IF($G1059="","",$A$3)</f>
        <v/>
      </c>
      <c r="J1059">
        <f>IF($G1059="","",IF(COUNTIFS(DOC_TYPE,$I1059,DOC_EQP,$H1059,DOC_SCOPE,"Equipment",DOC_ACTIVE,1)+COUNTIFS(DOC_TYPE,$I1059,DOC_SYS,SETUP!$B$179,DOC_SCOPE,"System",DOC_ACTIVE,1)+COUNTIFS(DOC_TYPE,$I1059,DOC_SCOPE,"All",DOC_ACTIVE,1)&gt;0,"",IFERROR(IF($E$3&lt;&gt;"",$E$3-$C$3,SETUP!$D$179-$C$3),60000)+ROW()/1000000))</f>
        <v/>
      </c>
    </row>
    <row r="1060">
      <c r="G1060">
        <f>IF(OR(SETUP!$C$179="",$A$4="",$B$4&lt;&gt;"Equipment"),"","Equipment")</f>
        <v/>
      </c>
      <c r="H1060">
        <f>IF($G1060="","",SETUP!$C$179)</f>
        <v/>
      </c>
      <c r="I1060">
        <f>IF($G1060="","",$A$4)</f>
        <v/>
      </c>
      <c r="J1060">
        <f>IF($G1060="","",IF(COUNTIFS(DOC_TYPE,$I1060,DOC_EQP,$H1060,DOC_SCOPE,"Equipment",DOC_ACTIVE,1)+COUNTIFS(DOC_TYPE,$I1060,DOC_SYS,SETUP!$B$179,DOC_SCOPE,"System",DOC_ACTIVE,1)+COUNTIFS(DOC_TYPE,$I1060,DOC_SCOPE,"All",DOC_ACTIVE,1)&gt;0,"",IFERROR(IF($E$4&lt;&gt;"",$E$4-$C$4,SETUP!$D$179-$C$4),60000)+ROW()/1000000))</f>
        <v/>
      </c>
    </row>
    <row r="1061">
      <c r="G1061">
        <f>IF(OR(SETUP!$C$179="",$A$5="",$B$5&lt;&gt;"Equipment"),"","Equipment")</f>
        <v/>
      </c>
      <c r="H1061">
        <f>IF($G1061="","",SETUP!$C$179)</f>
        <v/>
      </c>
      <c r="I1061">
        <f>IF($G1061="","",$A$5)</f>
        <v/>
      </c>
      <c r="J1061">
        <f>IF($G1061="","",IF(COUNTIFS(DOC_TYPE,$I1061,DOC_EQP,$H1061,DOC_SCOPE,"Equipment",DOC_ACTIVE,1)+COUNTIFS(DOC_TYPE,$I1061,DOC_SYS,SETUP!$B$179,DOC_SCOPE,"System",DOC_ACTIVE,1)+COUNTIFS(DOC_TYPE,$I1061,DOC_SCOPE,"All",DOC_ACTIVE,1)&gt;0,"",IFERROR(IF($E$5&lt;&gt;"",$E$5-$C$5,SETUP!$D$179-$C$5),60000)+ROW()/1000000))</f>
        <v/>
      </c>
    </row>
    <row r="1062">
      <c r="G1062">
        <f>IF(OR(SETUP!$C$179="",$A$6="",$B$6&lt;&gt;"Equipment"),"","Equipment")</f>
        <v/>
      </c>
      <c r="H1062">
        <f>IF($G1062="","",SETUP!$C$179)</f>
        <v/>
      </c>
      <c r="I1062">
        <f>IF($G1062="","",$A$6)</f>
        <v/>
      </c>
      <c r="J1062">
        <f>IF($G1062="","",IF(COUNTIFS(DOC_TYPE,$I1062,DOC_EQP,$H1062,DOC_SCOPE,"Equipment",DOC_ACTIVE,1)+COUNTIFS(DOC_TYPE,$I1062,DOC_SYS,SETUP!$B$179,DOC_SCOPE,"System",DOC_ACTIVE,1)+COUNTIFS(DOC_TYPE,$I1062,DOC_SCOPE,"All",DOC_ACTIVE,1)&gt;0,"",IFERROR(IF($E$6&lt;&gt;"",$E$6-$C$6,SETUP!$D$179-$C$6),60000)+ROW()/1000000))</f>
        <v/>
      </c>
    </row>
    <row r="1063">
      <c r="G1063">
        <f>IF(OR(SETUP!$C$179="",$A$7="",$B$7&lt;&gt;"Equipment"),"","Equipment")</f>
        <v/>
      </c>
      <c r="H1063">
        <f>IF($G1063="","",SETUP!$C$179)</f>
        <v/>
      </c>
      <c r="I1063">
        <f>IF($G1063="","",$A$7)</f>
        <v/>
      </c>
      <c r="J1063">
        <f>IF($G1063="","",IF(COUNTIFS(DOC_TYPE,$I1063,DOC_EQP,$H1063,DOC_SCOPE,"Equipment",DOC_ACTIVE,1)+COUNTIFS(DOC_TYPE,$I1063,DOC_SYS,SETUP!$B$179,DOC_SCOPE,"System",DOC_ACTIVE,1)+COUNTIFS(DOC_TYPE,$I1063,DOC_SCOPE,"All",DOC_ACTIVE,1)&gt;0,"",IFERROR(IF($E$7&lt;&gt;"",$E$7-$C$7,SETUP!$D$179-$C$7),60000)+ROW()/1000000))</f>
        <v/>
      </c>
    </row>
    <row r="1064">
      <c r="G1064">
        <f>IF(OR(SETUP!$C$179="",$A$8="",$B$8&lt;&gt;"Equipment"),"","Equipment")</f>
        <v/>
      </c>
      <c r="H1064">
        <f>IF($G1064="","",SETUP!$C$179)</f>
        <v/>
      </c>
      <c r="I1064">
        <f>IF($G1064="","",$A$8)</f>
        <v/>
      </c>
      <c r="J1064">
        <f>IF($G1064="","",IF(COUNTIFS(DOC_TYPE,$I1064,DOC_EQP,$H1064,DOC_SCOPE,"Equipment",DOC_ACTIVE,1)+COUNTIFS(DOC_TYPE,$I1064,DOC_SYS,SETUP!$B$179,DOC_SCOPE,"System",DOC_ACTIVE,1)+COUNTIFS(DOC_TYPE,$I1064,DOC_SCOPE,"All",DOC_ACTIVE,1)&gt;0,"",IFERROR(IF($E$8&lt;&gt;"",$E$8-$C$8,SETUP!$D$179-$C$8),60000)+ROW()/1000000))</f>
        <v/>
      </c>
    </row>
    <row r="1065">
      <c r="G1065">
        <f>IF(OR(SETUP!$C$179="",$A$9="",$B$9&lt;&gt;"Equipment"),"","Equipment")</f>
        <v/>
      </c>
      <c r="H1065">
        <f>IF($G1065="","",SETUP!$C$179)</f>
        <v/>
      </c>
      <c r="I1065">
        <f>IF($G1065="","",$A$9)</f>
        <v/>
      </c>
      <c r="J1065">
        <f>IF($G1065="","",IF(COUNTIFS(DOC_TYPE,$I1065,DOC_EQP,$H1065,DOC_SCOPE,"Equipment",DOC_ACTIVE,1)+COUNTIFS(DOC_TYPE,$I1065,DOC_SYS,SETUP!$B$179,DOC_SCOPE,"System",DOC_ACTIVE,1)+COUNTIFS(DOC_TYPE,$I1065,DOC_SCOPE,"All",DOC_ACTIVE,1)&gt;0,"",IFERROR(IF($E$9&lt;&gt;"",$E$9-$C$9,SETUP!$D$179-$C$9),60000)+ROW()/1000000))</f>
        <v/>
      </c>
    </row>
    <row r="1066">
      <c r="G1066">
        <f>IF(OR(SETUP!$C$179="",$A$10="",$B$10&lt;&gt;"Equipment"),"","Equipment")</f>
        <v/>
      </c>
      <c r="H1066">
        <f>IF($G1066="","",SETUP!$C$179)</f>
        <v/>
      </c>
      <c r="I1066">
        <f>IF($G1066="","",$A$10)</f>
        <v/>
      </c>
      <c r="J1066">
        <f>IF($G1066="","",IF(COUNTIFS(DOC_TYPE,$I1066,DOC_EQP,$H1066,DOC_SCOPE,"Equipment",DOC_ACTIVE,1)+COUNTIFS(DOC_TYPE,$I1066,DOC_SYS,SETUP!$B$179,DOC_SCOPE,"System",DOC_ACTIVE,1)+COUNTIFS(DOC_TYPE,$I1066,DOC_SCOPE,"All",DOC_ACTIVE,1)&gt;0,"",IFERROR(IF($E$10&lt;&gt;"",$E$10-$C$10,SETUP!$D$179-$C$10),60000)+ROW()/1000000))</f>
        <v/>
      </c>
    </row>
    <row r="1067">
      <c r="G1067">
        <f>IF(OR(SETUP!$C$179="",$A$11="",$B$11&lt;&gt;"Equipment"),"","Equipment")</f>
        <v/>
      </c>
      <c r="H1067">
        <f>IF($G1067="","",SETUP!$C$179)</f>
        <v/>
      </c>
      <c r="I1067">
        <f>IF($G1067="","",$A$11)</f>
        <v/>
      </c>
      <c r="J1067">
        <f>IF($G1067="","",IF(COUNTIFS(DOC_TYPE,$I1067,DOC_EQP,$H1067,DOC_SCOPE,"Equipment",DOC_ACTIVE,1)+COUNTIFS(DOC_TYPE,$I1067,DOC_SYS,SETUP!$B$179,DOC_SCOPE,"System",DOC_ACTIVE,1)+COUNTIFS(DOC_TYPE,$I1067,DOC_SCOPE,"All",DOC_ACTIVE,1)&gt;0,"",IFERROR(IF($E$11&lt;&gt;"",$E$11-$C$11,SETUP!$D$179-$C$11),60000)+ROW()/1000000))</f>
        <v/>
      </c>
    </row>
    <row r="1068">
      <c r="G1068">
        <f>IF(OR(SETUP!$C$179="",$A$12="",$B$12&lt;&gt;"Equipment"),"","Equipment")</f>
        <v/>
      </c>
      <c r="H1068">
        <f>IF($G1068="","",SETUP!$C$179)</f>
        <v/>
      </c>
      <c r="I1068">
        <f>IF($G1068="","",$A$12)</f>
        <v/>
      </c>
      <c r="J1068">
        <f>IF($G1068="","",IF(COUNTIFS(DOC_TYPE,$I1068,DOC_EQP,$H1068,DOC_SCOPE,"Equipment",DOC_ACTIVE,1)+COUNTIFS(DOC_TYPE,$I1068,DOC_SYS,SETUP!$B$179,DOC_SCOPE,"System",DOC_ACTIVE,1)+COUNTIFS(DOC_TYPE,$I1068,DOC_SCOPE,"All",DOC_ACTIVE,1)&gt;0,"",IFERROR(IF($E$12&lt;&gt;"",$E$12-$C$12,SETUP!$D$179-$C$12),60000)+ROW()/1000000))</f>
        <v/>
      </c>
    </row>
    <row r="1069">
      <c r="G1069">
        <f>IF(OR(SETUP!$C$179="",$A$13="",$B$13&lt;&gt;"Equipment"),"","Equipment")</f>
        <v/>
      </c>
      <c r="H1069">
        <f>IF($G1069="","",SETUP!$C$179)</f>
        <v/>
      </c>
      <c r="I1069">
        <f>IF($G1069="","",$A$13)</f>
        <v/>
      </c>
      <c r="J1069">
        <f>IF($G1069="","",IF(COUNTIFS(DOC_TYPE,$I1069,DOC_EQP,$H1069,DOC_SCOPE,"Equipment",DOC_ACTIVE,1)+COUNTIFS(DOC_TYPE,$I1069,DOC_SYS,SETUP!$B$179,DOC_SCOPE,"System",DOC_ACTIVE,1)+COUNTIFS(DOC_TYPE,$I1069,DOC_SCOPE,"All",DOC_ACTIVE,1)&gt;0,"",IFERROR(IF($E$13&lt;&gt;"",$E$13-$C$13,SETUP!$D$179-$C$13),60000)+ROW()/1000000))</f>
        <v/>
      </c>
    </row>
    <row r="1070">
      <c r="G1070">
        <f>IF(OR(SETUP!$C$180="",$A$2="",$B$2&lt;&gt;"Equipment"),"","Equipment")</f>
        <v/>
      </c>
      <c r="H1070">
        <f>IF($G1070="","",SETUP!$C$180)</f>
        <v/>
      </c>
      <c r="I1070">
        <f>IF($G1070="","",$A$2)</f>
        <v/>
      </c>
      <c r="J1070">
        <f>IF($G1070="","",IF(COUNTIFS(DOC_TYPE,$I1070,DOC_EQP,$H1070,DOC_SCOPE,"Equipment",DOC_ACTIVE,1)+COUNTIFS(DOC_TYPE,$I1070,DOC_SYS,SETUP!$B$180,DOC_SCOPE,"System",DOC_ACTIVE,1)+COUNTIFS(DOC_TYPE,$I1070,DOC_SCOPE,"All",DOC_ACTIVE,1)&gt;0,"",IFERROR(IF($E$2&lt;&gt;"",$E$2-$C$2,SETUP!$D$180-$C$2),60000)+ROW()/1000000))</f>
        <v/>
      </c>
    </row>
    <row r="1071">
      <c r="G1071">
        <f>IF(OR(SETUP!$C$180="",$A$3="",$B$3&lt;&gt;"Equipment"),"","Equipment")</f>
        <v/>
      </c>
      <c r="H1071">
        <f>IF($G1071="","",SETUP!$C$180)</f>
        <v/>
      </c>
      <c r="I1071">
        <f>IF($G1071="","",$A$3)</f>
        <v/>
      </c>
      <c r="J1071">
        <f>IF($G1071="","",IF(COUNTIFS(DOC_TYPE,$I1071,DOC_EQP,$H1071,DOC_SCOPE,"Equipment",DOC_ACTIVE,1)+COUNTIFS(DOC_TYPE,$I1071,DOC_SYS,SETUP!$B$180,DOC_SCOPE,"System",DOC_ACTIVE,1)+COUNTIFS(DOC_TYPE,$I1071,DOC_SCOPE,"All",DOC_ACTIVE,1)&gt;0,"",IFERROR(IF($E$3&lt;&gt;"",$E$3-$C$3,SETUP!$D$180-$C$3),60000)+ROW()/1000000))</f>
        <v/>
      </c>
    </row>
    <row r="1072">
      <c r="G1072">
        <f>IF(OR(SETUP!$C$180="",$A$4="",$B$4&lt;&gt;"Equipment"),"","Equipment")</f>
        <v/>
      </c>
      <c r="H1072">
        <f>IF($G1072="","",SETUP!$C$180)</f>
        <v/>
      </c>
      <c r="I1072">
        <f>IF($G1072="","",$A$4)</f>
        <v/>
      </c>
      <c r="J1072">
        <f>IF($G1072="","",IF(COUNTIFS(DOC_TYPE,$I1072,DOC_EQP,$H1072,DOC_SCOPE,"Equipment",DOC_ACTIVE,1)+COUNTIFS(DOC_TYPE,$I1072,DOC_SYS,SETUP!$B$180,DOC_SCOPE,"System",DOC_ACTIVE,1)+COUNTIFS(DOC_TYPE,$I1072,DOC_SCOPE,"All",DOC_ACTIVE,1)&gt;0,"",IFERROR(IF($E$4&lt;&gt;"",$E$4-$C$4,SETUP!$D$180-$C$4),60000)+ROW()/1000000))</f>
        <v/>
      </c>
    </row>
    <row r="1073">
      <c r="G1073">
        <f>IF(OR(SETUP!$C$180="",$A$5="",$B$5&lt;&gt;"Equipment"),"","Equipment")</f>
        <v/>
      </c>
      <c r="H1073">
        <f>IF($G1073="","",SETUP!$C$180)</f>
        <v/>
      </c>
      <c r="I1073">
        <f>IF($G1073="","",$A$5)</f>
        <v/>
      </c>
      <c r="J1073">
        <f>IF($G1073="","",IF(COUNTIFS(DOC_TYPE,$I1073,DOC_EQP,$H1073,DOC_SCOPE,"Equipment",DOC_ACTIVE,1)+COUNTIFS(DOC_TYPE,$I1073,DOC_SYS,SETUP!$B$180,DOC_SCOPE,"System",DOC_ACTIVE,1)+COUNTIFS(DOC_TYPE,$I1073,DOC_SCOPE,"All",DOC_ACTIVE,1)&gt;0,"",IFERROR(IF($E$5&lt;&gt;"",$E$5-$C$5,SETUP!$D$180-$C$5),60000)+ROW()/1000000))</f>
        <v/>
      </c>
    </row>
    <row r="1074">
      <c r="G1074">
        <f>IF(OR(SETUP!$C$180="",$A$6="",$B$6&lt;&gt;"Equipment"),"","Equipment")</f>
        <v/>
      </c>
      <c r="H1074">
        <f>IF($G1074="","",SETUP!$C$180)</f>
        <v/>
      </c>
      <c r="I1074">
        <f>IF($G1074="","",$A$6)</f>
        <v/>
      </c>
      <c r="J1074">
        <f>IF($G1074="","",IF(COUNTIFS(DOC_TYPE,$I1074,DOC_EQP,$H1074,DOC_SCOPE,"Equipment",DOC_ACTIVE,1)+COUNTIFS(DOC_TYPE,$I1074,DOC_SYS,SETUP!$B$180,DOC_SCOPE,"System",DOC_ACTIVE,1)+COUNTIFS(DOC_TYPE,$I1074,DOC_SCOPE,"All",DOC_ACTIVE,1)&gt;0,"",IFERROR(IF($E$6&lt;&gt;"",$E$6-$C$6,SETUP!$D$180-$C$6),60000)+ROW()/1000000))</f>
        <v/>
      </c>
    </row>
    <row r="1075">
      <c r="G1075">
        <f>IF(OR(SETUP!$C$180="",$A$7="",$B$7&lt;&gt;"Equipment"),"","Equipment")</f>
        <v/>
      </c>
      <c r="H1075">
        <f>IF($G1075="","",SETUP!$C$180)</f>
        <v/>
      </c>
      <c r="I1075">
        <f>IF($G1075="","",$A$7)</f>
        <v/>
      </c>
      <c r="J1075">
        <f>IF($G1075="","",IF(COUNTIFS(DOC_TYPE,$I1075,DOC_EQP,$H1075,DOC_SCOPE,"Equipment",DOC_ACTIVE,1)+COUNTIFS(DOC_TYPE,$I1075,DOC_SYS,SETUP!$B$180,DOC_SCOPE,"System",DOC_ACTIVE,1)+COUNTIFS(DOC_TYPE,$I1075,DOC_SCOPE,"All",DOC_ACTIVE,1)&gt;0,"",IFERROR(IF($E$7&lt;&gt;"",$E$7-$C$7,SETUP!$D$180-$C$7),60000)+ROW()/1000000))</f>
        <v/>
      </c>
    </row>
    <row r="1076">
      <c r="G1076">
        <f>IF(OR(SETUP!$C$180="",$A$8="",$B$8&lt;&gt;"Equipment"),"","Equipment")</f>
        <v/>
      </c>
      <c r="H1076">
        <f>IF($G1076="","",SETUP!$C$180)</f>
        <v/>
      </c>
      <c r="I1076">
        <f>IF($G1076="","",$A$8)</f>
        <v/>
      </c>
      <c r="J1076">
        <f>IF($G1076="","",IF(COUNTIFS(DOC_TYPE,$I1076,DOC_EQP,$H1076,DOC_SCOPE,"Equipment",DOC_ACTIVE,1)+COUNTIFS(DOC_TYPE,$I1076,DOC_SYS,SETUP!$B$180,DOC_SCOPE,"System",DOC_ACTIVE,1)+COUNTIFS(DOC_TYPE,$I1076,DOC_SCOPE,"All",DOC_ACTIVE,1)&gt;0,"",IFERROR(IF($E$8&lt;&gt;"",$E$8-$C$8,SETUP!$D$180-$C$8),60000)+ROW()/1000000))</f>
        <v/>
      </c>
    </row>
    <row r="1077">
      <c r="G1077">
        <f>IF(OR(SETUP!$C$180="",$A$9="",$B$9&lt;&gt;"Equipment"),"","Equipment")</f>
        <v/>
      </c>
      <c r="H1077">
        <f>IF($G1077="","",SETUP!$C$180)</f>
        <v/>
      </c>
      <c r="I1077">
        <f>IF($G1077="","",$A$9)</f>
        <v/>
      </c>
      <c r="J1077">
        <f>IF($G1077="","",IF(COUNTIFS(DOC_TYPE,$I1077,DOC_EQP,$H1077,DOC_SCOPE,"Equipment",DOC_ACTIVE,1)+COUNTIFS(DOC_TYPE,$I1077,DOC_SYS,SETUP!$B$180,DOC_SCOPE,"System",DOC_ACTIVE,1)+COUNTIFS(DOC_TYPE,$I1077,DOC_SCOPE,"All",DOC_ACTIVE,1)&gt;0,"",IFERROR(IF($E$9&lt;&gt;"",$E$9-$C$9,SETUP!$D$180-$C$9),60000)+ROW()/1000000))</f>
        <v/>
      </c>
    </row>
    <row r="1078">
      <c r="G1078">
        <f>IF(OR(SETUP!$C$180="",$A$10="",$B$10&lt;&gt;"Equipment"),"","Equipment")</f>
        <v/>
      </c>
      <c r="H1078">
        <f>IF($G1078="","",SETUP!$C$180)</f>
        <v/>
      </c>
      <c r="I1078">
        <f>IF($G1078="","",$A$10)</f>
        <v/>
      </c>
      <c r="J1078">
        <f>IF($G1078="","",IF(COUNTIFS(DOC_TYPE,$I1078,DOC_EQP,$H1078,DOC_SCOPE,"Equipment",DOC_ACTIVE,1)+COUNTIFS(DOC_TYPE,$I1078,DOC_SYS,SETUP!$B$180,DOC_SCOPE,"System",DOC_ACTIVE,1)+COUNTIFS(DOC_TYPE,$I1078,DOC_SCOPE,"All",DOC_ACTIVE,1)&gt;0,"",IFERROR(IF($E$10&lt;&gt;"",$E$10-$C$10,SETUP!$D$180-$C$10),60000)+ROW()/1000000))</f>
        <v/>
      </c>
    </row>
    <row r="1079">
      <c r="G1079">
        <f>IF(OR(SETUP!$C$180="",$A$11="",$B$11&lt;&gt;"Equipment"),"","Equipment")</f>
        <v/>
      </c>
      <c r="H1079">
        <f>IF($G1079="","",SETUP!$C$180)</f>
        <v/>
      </c>
      <c r="I1079">
        <f>IF($G1079="","",$A$11)</f>
        <v/>
      </c>
      <c r="J1079">
        <f>IF($G1079="","",IF(COUNTIFS(DOC_TYPE,$I1079,DOC_EQP,$H1079,DOC_SCOPE,"Equipment",DOC_ACTIVE,1)+COUNTIFS(DOC_TYPE,$I1079,DOC_SYS,SETUP!$B$180,DOC_SCOPE,"System",DOC_ACTIVE,1)+COUNTIFS(DOC_TYPE,$I1079,DOC_SCOPE,"All",DOC_ACTIVE,1)&gt;0,"",IFERROR(IF($E$11&lt;&gt;"",$E$11-$C$11,SETUP!$D$180-$C$11),60000)+ROW()/1000000))</f>
        <v/>
      </c>
    </row>
    <row r="1080">
      <c r="G1080">
        <f>IF(OR(SETUP!$C$180="",$A$12="",$B$12&lt;&gt;"Equipment"),"","Equipment")</f>
        <v/>
      </c>
      <c r="H1080">
        <f>IF($G1080="","",SETUP!$C$180)</f>
        <v/>
      </c>
      <c r="I1080">
        <f>IF($G1080="","",$A$12)</f>
        <v/>
      </c>
      <c r="J1080">
        <f>IF($G1080="","",IF(COUNTIFS(DOC_TYPE,$I1080,DOC_EQP,$H1080,DOC_SCOPE,"Equipment",DOC_ACTIVE,1)+COUNTIFS(DOC_TYPE,$I1080,DOC_SYS,SETUP!$B$180,DOC_SCOPE,"System",DOC_ACTIVE,1)+COUNTIFS(DOC_TYPE,$I1080,DOC_SCOPE,"All",DOC_ACTIVE,1)&gt;0,"",IFERROR(IF($E$12&lt;&gt;"",$E$12-$C$12,SETUP!$D$180-$C$12),60000)+ROW()/1000000))</f>
        <v/>
      </c>
    </row>
    <row r="1081">
      <c r="G1081">
        <f>IF(OR(SETUP!$C$180="",$A$13="",$B$13&lt;&gt;"Equipment"),"","Equipment")</f>
        <v/>
      </c>
      <c r="H1081">
        <f>IF($G1081="","",SETUP!$C$180)</f>
        <v/>
      </c>
      <c r="I1081">
        <f>IF($G1081="","",$A$13)</f>
        <v/>
      </c>
      <c r="J1081">
        <f>IF($G1081="","",IF(COUNTIFS(DOC_TYPE,$I1081,DOC_EQP,$H1081,DOC_SCOPE,"Equipment",DOC_ACTIVE,1)+COUNTIFS(DOC_TYPE,$I1081,DOC_SYS,SETUP!$B$180,DOC_SCOPE,"System",DOC_ACTIVE,1)+COUNTIFS(DOC_TYPE,$I1081,DOC_SCOPE,"All",DOC_ACTIVE,1)&gt;0,"",IFERROR(IF($E$13&lt;&gt;"",$E$13-$C$13,SETUP!$D$180-$C$13),60000)+ROW()/1000000))</f>
        <v/>
      </c>
    </row>
    <row r="1082">
      <c r="G1082">
        <f>IF(OR(SETUP!$C$181="",$A$2="",$B$2&lt;&gt;"Equipment"),"","Equipment")</f>
        <v/>
      </c>
      <c r="H1082">
        <f>IF($G1082="","",SETUP!$C$181)</f>
        <v/>
      </c>
      <c r="I1082">
        <f>IF($G1082="","",$A$2)</f>
        <v/>
      </c>
      <c r="J1082">
        <f>IF($G1082="","",IF(COUNTIFS(DOC_TYPE,$I1082,DOC_EQP,$H1082,DOC_SCOPE,"Equipment",DOC_ACTIVE,1)+COUNTIFS(DOC_TYPE,$I1082,DOC_SYS,SETUP!$B$181,DOC_SCOPE,"System",DOC_ACTIVE,1)+COUNTIFS(DOC_TYPE,$I1082,DOC_SCOPE,"All",DOC_ACTIVE,1)&gt;0,"",IFERROR(IF($E$2&lt;&gt;"",$E$2-$C$2,SETUP!$D$181-$C$2),60000)+ROW()/1000000))</f>
        <v/>
      </c>
    </row>
    <row r="1083">
      <c r="G1083">
        <f>IF(OR(SETUP!$C$181="",$A$3="",$B$3&lt;&gt;"Equipment"),"","Equipment")</f>
        <v/>
      </c>
      <c r="H1083">
        <f>IF($G1083="","",SETUP!$C$181)</f>
        <v/>
      </c>
      <c r="I1083">
        <f>IF($G1083="","",$A$3)</f>
        <v/>
      </c>
      <c r="J1083">
        <f>IF($G1083="","",IF(COUNTIFS(DOC_TYPE,$I1083,DOC_EQP,$H1083,DOC_SCOPE,"Equipment",DOC_ACTIVE,1)+COUNTIFS(DOC_TYPE,$I1083,DOC_SYS,SETUP!$B$181,DOC_SCOPE,"System",DOC_ACTIVE,1)+COUNTIFS(DOC_TYPE,$I1083,DOC_SCOPE,"All",DOC_ACTIVE,1)&gt;0,"",IFERROR(IF($E$3&lt;&gt;"",$E$3-$C$3,SETUP!$D$181-$C$3),60000)+ROW()/1000000))</f>
        <v/>
      </c>
    </row>
    <row r="1084">
      <c r="G1084">
        <f>IF(OR(SETUP!$C$181="",$A$4="",$B$4&lt;&gt;"Equipment"),"","Equipment")</f>
        <v/>
      </c>
      <c r="H1084">
        <f>IF($G1084="","",SETUP!$C$181)</f>
        <v/>
      </c>
      <c r="I1084">
        <f>IF($G1084="","",$A$4)</f>
        <v/>
      </c>
      <c r="J1084">
        <f>IF($G1084="","",IF(COUNTIFS(DOC_TYPE,$I1084,DOC_EQP,$H1084,DOC_SCOPE,"Equipment",DOC_ACTIVE,1)+COUNTIFS(DOC_TYPE,$I1084,DOC_SYS,SETUP!$B$181,DOC_SCOPE,"System",DOC_ACTIVE,1)+COUNTIFS(DOC_TYPE,$I1084,DOC_SCOPE,"All",DOC_ACTIVE,1)&gt;0,"",IFERROR(IF($E$4&lt;&gt;"",$E$4-$C$4,SETUP!$D$181-$C$4),60000)+ROW()/1000000))</f>
        <v/>
      </c>
    </row>
    <row r="1085">
      <c r="G1085">
        <f>IF(OR(SETUP!$C$181="",$A$5="",$B$5&lt;&gt;"Equipment"),"","Equipment")</f>
        <v/>
      </c>
      <c r="H1085">
        <f>IF($G1085="","",SETUP!$C$181)</f>
        <v/>
      </c>
      <c r="I1085">
        <f>IF($G1085="","",$A$5)</f>
        <v/>
      </c>
      <c r="J1085">
        <f>IF($G1085="","",IF(COUNTIFS(DOC_TYPE,$I1085,DOC_EQP,$H1085,DOC_SCOPE,"Equipment",DOC_ACTIVE,1)+COUNTIFS(DOC_TYPE,$I1085,DOC_SYS,SETUP!$B$181,DOC_SCOPE,"System",DOC_ACTIVE,1)+COUNTIFS(DOC_TYPE,$I1085,DOC_SCOPE,"All",DOC_ACTIVE,1)&gt;0,"",IFERROR(IF($E$5&lt;&gt;"",$E$5-$C$5,SETUP!$D$181-$C$5),60000)+ROW()/1000000))</f>
        <v/>
      </c>
    </row>
    <row r="1086">
      <c r="G1086">
        <f>IF(OR(SETUP!$C$181="",$A$6="",$B$6&lt;&gt;"Equipment"),"","Equipment")</f>
        <v/>
      </c>
      <c r="H1086">
        <f>IF($G1086="","",SETUP!$C$181)</f>
        <v/>
      </c>
      <c r="I1086">
        <f>IF($G1086="","",$A$6)</f>
        <v/>
      </c>
      <c r="J1086">
        <f>IF($G1086="","",IF(COUNTIFS(DOC_TYPE,$I1086,DOC_EQP,$H1086,DOC_SCOPE,"Equipment",DOC_ACTIVE,1)+COUNTIFS(DOC_TYPE,$I1086,DOC_SYS,SETUP!$B$181,DOC_SCOPE,"System",DOC_ACTIVE,1)+COUNTIFS(DOC_TYPE,$I1086,DOC_SCOPE,"All",DOC_ACTIVE,1)&gt;0,"",IFERROR(IF($E$6&lt;&gt;"",$E$6-$C$6,SETUP!$D$181-$C$6),60000)+ROW()/1000000))</f>
        <v/>
      </c>
    </row>
    <row r="1087">
      <c r="G1087">
        <f>IF(OR(SETUP!$C$181="",$A$7="",$B$7&lt;&gt;"Equipment"),"","Equipment")</f>
        <v/>
      </c>
      <c r="H1087">
        <f>IF($G1087="","",SETUP!$C$181)</f>
        <v/>
      </c>
      <c r="I1087">
        <f>IF($G1087="","",$A$7)</f>
        <v/>
      </c>
      <c r="J1087">
        <f>IF($G1087="","",IF(COUNTIFS(DOC_TYPE,$I1087,DOC_EQP,$H1087,DOC_SCOPE,"Equipment",DOC_ACTIVE,1)+COUNTIFS(DOC_TYPE,$I1087,DOC_SYS,SETUP!$B$181,DOC_SCOPE,"System",DOC_ACTIVE,1)+COUNTIFS(DOC_TYPE,$I1087,DOC_SCOPE,"All",DOC_ACTIVE,1)&gt;0,"",IFERROR(IF($E$7&lt;&gt;"",$E$7-$C$7,SETUP!$D$181-$C$7),60000)+ROW()/1000000))</f>
        <v/>
      </c>
    </row>
    <row r="1088">
      <c r="G1088">
        <f>IF(OR(SETUP!$C$181="",$A$8="",$B$8&lt;&gt;"Equipment"),"","Equipment")</f>
        <v/>
      </c>
      <c r="H1088">
        <f>IF($G1088="","",SETUP!$C$181)</f>
        <v/>
      </c>
      <c r="I1088">
        <f>IF($G1088="","",$A$8)</f>
        <v/>
      </c>
      <c r="J1088">
        <f>IF($G1088="","",IF(COUNTIFS(DOC_TYPE,$I1088,DOC_EQP,$H1088,DOC_SCOPE,"Equipment",DOC_ACTIVE,1)+COUNTIFS(DOC_TYPE,$I1088,DOC_SYS,SETUP!$B$181,DOC_SCOPE,"System",DOC_ACTIVE,1)+COUNTIFS(DOC_TYPE,$I1088,DOC_SCOPE,"All",DOC_ACTIVE,1)&gt;0,"",IFERROR(IF($E$8&lt;&gt;"",$E$8-$C$8,SETUP!$D$181-$C$8),60000)+ROW()/1000000))</f>
        <v/>
      </c>
    </row>
    <row r="1089">
      <c r="G1089">
        <f>IF(OR(SETUP!$C$181="",$A$9="",$B$9&lt;&gt;"Equipment"),"","Equipment")</f>
        <v/>
      </c>
      <c r="H1089">
        <f>IF($G1089="","",SETUP!$C$181)</f>
        <v/>
      </c>
      <c r="I1089">
        <f>IF($G1089="","",$A$9)</f>
        <v/>
      </c>
      <c r="J1089">
        <f>IF($G1089="","",IF(COUNTIFS(DOC_TYPE,$I1089,DOC_EQP,$H1089,DOC_SCOPE,"Equipment",DOC_ACTIVE,1)+COUNTIFS(DOC_TYPE,$I1089,DOC_SYS,SETUP!$B$181,DOC_SCOPE,"System",DOC_ACTIVE,1)+COUNTIFS(DOC_TYPE,$I1089,DOC_SCOPE,"All",DOC_ACTIVE,1)&gt;0,"",IFERROR(IF($E$9&lt;&gt;"",$E$9-$C$9,SETUP!$D$181-$C$9),60000)+ROW()/1000000))</f>
        <v/>
      </c>
    </row>
    <row r="1090">
      <c r="G1090">
        <f>IF(OR(SETUP!$C$181="",$A$10="",$B$10&lt;&gt;"Equipment"),"","Equipment")</f>
        <v/>
      </c>
      <c r="H1090">
        <f>IF($G1090="","",SETUP!$C$181)</f>
        <v/>
      </c>
      <c r="I1090">
        <f>IF($G1090="","",$A$10)</f>
        <v/>
      </c>
      <c r="J1090">
        <f>IF($G1090="","",IF(COUNTIFS(DOC_TYPE,$I1090,DOC_EQP,$H1090,DOC_SCOPE,"Equipment",DOC_ACTIVE,1)+COUNTIFS(DOC_TYPE,$I1090,DOC_SYS,SETUP!$B$181,DOC_SCOPE,"System",DOC_ACTIVE,1)+COUNTIFS(DOC_TYPE,$I1090,DOC_SCOPE,"All",DOC_ACTIVE,1)&gt;0,"",IFERROR(IF($E$10&lt;&gt;"",$E$10-$C$10,SETUP!$D$181-$C$10),60000)+ROW()/1000000))</f>
        <v/>
      </c>
    </row>
    <row r="1091">
      <c r="G1091">
        <f>IF(OR(SETUP!$C$181="",$A$11="",$B$11&lt;&gt;"Equipment"),"","Equipment")</f>
        <v/>
      </c>
      <c r="H1091">
        <f>IF($G1091="","",SETUP!$C$181)</f>
        <v/>
      </c>
      <c r="I1091">
        <f>IF($G1091="","",$A$11)</f>
        <v/>
      </c>
      <c r="J1091">
        <f>IF($G1091="","",IF(COUNTIFS(DOC_TYPE,$I1091,DOC_EQP,$H1091,DOC_SCOPE,"Equipment",DOC_ACTIVE,1)+COUNTIFS(DOC_TYPE,$I1091,DOC_SYS,SETUP!$B$181,DOC_SCOPE,"System",DOC_ACTIVE,1)+COUNTIFS(DOC_TYPE,$I1091,DOC_SCOPE,"All",DOC_ACTIVE,1)&gt;0,"",IFERROR(IF($E$11&lt;&gt;"",$E$11-$C$11,SETUP!$D$181-$C$11),60000)+ROW()/1000000))</f>
        <v/>
      </c>
    </row>
    <row r="1092">
      <c r="G1092">
        <f>IF(OR(SETUP!$C$181="",$A$12="",$B$12&lt;&gt;"Equipment"),"","Equipment")</f>
        <v/>
      </c>
      <c r="H1092">
        <f>IF($G1092="","",SETUP!$C$181)</f>
        <v/>
      </c>
      <c r="I1092">
        <f>IF($G1092="","",$A$12)</f>
        <v/>
      </c>
      <c r="J1092">
        <f>IF($G1092="","",IF(COUNTIFS(DOC_TYPE,$I1092,DOC_EQP,$H1092,DOC_SCOPE,"Equipment",DOC_ACTIVE,1)+COUNTIFS(DOC_TYPE,$I1092,DOC_SYS,SETUP!$B$181,DOC_SCOPE,"System",DOC_ACTIVE,1)+COUNTIFS(DOC_TYPE,$I1092,DOC_SCOPE,"All",DOC_ACTIVE,1)&gt;0,"",IFERROR(IF($E$12&lt;&gt;"",$E$12-$C$12,SETUP!$D$181-$C$12),60000)+ROW()/1000000))</f>
        <v/>
      </c>
    </row>
    <row r="1093">
      <c r="G1093">
        <f>IF(OR(SETUP!$C$181="",$A$13="",$B$13&lt;&gt;"Equipment"),"","Equipment")</f>
        <v/>
      </c>
      <c r="H1093">
        <f>IF($G1093="","",SETUP!$C$181)</f>
        <v/>
      </c>
      <c r="I1093">
        <f>IF($G1093="","",$A$13)</f>
        <v/>
      </c>
      <c r="J1093">
        <f>IF($G1093="","",IF(COUNTIFS(DOC_TYPE,$I1093,DOC_EQP,$H1093,DOC_SCOPE,"Equipment",DOC_ACTIVE,1)+COUNTIFS(DOC_TYPE,$I1093,DOC_SYS,SETUP!$B$181,DOC_SCOPE,"System",DOC_ACTIVE,1)+COUNTIFS(DOC_TYPE,$I1093,DOC_SCOPE,"All",DOC_ACTIVE,1)&gt;0,"",IFERROR(IF($E$13&lt;&gt;"",$E$13-$C$13,SETUP!$D$181-$C$13),60000)+ROW()/1000000))</f>
        <v/>
      </c>
    </row>
    <row r="1094">
      <c r="G1094">
        <f>IF(OR(SETUP!$C$182="",$A$2="",$B$2&lt;&gt;"Equipment"),"","Equipment")</f>
        <v/>
      </c>
      <c r="H1094">
        <f>IF($G1094="","",SETUP!$C$182)</f>
        <v/>
      </c>
      <c r="I1094">
        <f>IF($G1094="","",$A$2)</f>
        <v/>
      </c>
      <c r="J1094">
        <f>IF($G1094="","",IF(COUNTIFS(DOC_TYPE,$I1094,DOC_EQP,$H1094,DOC_SCOPE,"Equipment",DOC_ACTIVE,1)+COUNTIFS(DOC_TYPE,$I1094,DOC_SYS,SETUP!$B$182,DOC_SCOPE,"System",DOC_ACTIVE,1)+COUNTIFS(DOC_TYPE,$I1094,DOC_SCOPE,"All",DOC_ACTIVE,1)&gt;0,"",IFERROR(IF($E$2&lt;&gt;"",$E$2-$C$2,SETUP!$D$182-$C$2),60000)+ROW()/1000000))</f>
        <v/>
      </c>
    </row>
    <row r="1095">
      <c r="G1095">
        <f>IF(OR(SETUP!$C$182="",$A$3="",$B$3&lt;&gt;"Equipment"),"","Equipment")</f>
        <v/>
      </c>
      <c r="H1095">
        <f>IF($G1095="","",SETUP!$C$182)</f>
        <v/>
      </c>
      <c r="I1095">
        <f>IF($G1095="","",$A$3)</f>
        <v/>
      </c>
      <c r="J1095">
        <f>IF($G1095="","",IF(COUNTIFS(DOC_TYPE,$I1095,DOC_EQP,$H1095,DOC_SCOPE,"Equipment",DOC_ACTIVE,1)+COUNTIFS(DOC_TYPE,$I1095,DOC_SYS,SETUP!$B$182,DOC_SCOPE,"System",DOC_ACTIVE,1)+COUNTIFS(DOC_TYPE,$I1095,DOC_SCOPE,"All",DOC_ACTIVE,1)&gt;0,"",IFERROR(IF($E$3&lt;&gt;"",$E$3-$C$3,SETUP!$D$182-$C$3),60000)+ROW()/1000000))</f>
        <v/>
      </c>
    </row>
    <row r="1096">
      <c r="G1096">
        <f>IF(OR(SETUP!$C$182="",$A$4="",$B$4&lt;&gt;"Equipment"),"","Equipment")</f>
        <v/>
      </c>
      <c r="H1096">
        <f>IF($G1096="","",SETUP!$C$182)</f>
        <v/>
      </c>
      <c r="I1096">
        <f>IF($G1096="","",$A$4)</f>
        <v/>
      </c>
      <c r="J1096">
        <f>IF($G1096="","",IF(COUNTIFS(DOC_TYPE,$I1096,DOC_EQP,$H1096,DOC_SCOPE,"Equipment",DOC_ACTIVE,1)+COUNTIFS(DOC_TYPE,$I1096,DOC_SYS,SETUP!$B$182,DOC_SCOPE,"System",DOC_ACTIVE,1)+COUNTIFS(DOC_TYPE,$I1096,DOC_SCOPE,"All",DOC_ACTIVE,1)&gt;0,"",IFERROR(IF($E$4&lt;&gt;"",$E$4-$C$4,SETUP!$D$182-$C$4),60000)+ROW()/1000000))</f>
        <v/>
      </c>
    </row>
    <row r="1097">
      <c r="G1097">
        <f>IF(OR(SETUP!$C$182="",$A$5="",$B$5&lt;&gt;"Equipment"),"","Equipment")</f>
        <v/>
      </c>
      <c r="H1097">
        <f>IF($G1097="","",SETUP!$C$182)</f>
        <v/>
      </c>
      <c r="I1097">
        <f>IF($G1097="","",$A$5)</f>
        <v/>
      </c>
      <c r="J1097">
        <f>IF($G1097="","",IF(COUNTIFS(DOC_TYPE,$I1097,DOC_EQP,$H1097,DOC_SCOPE,"Equipment",DOC_ACTIVE,1)+COUNTIFS(DOC_TYPE,$I1097,DOC_SYS,SETUP!$B$182,DOC_SCOPE,"System",DOC_ACTIVE,1)+COUNTIFS(DOC_TYPE,$I1097,DOC_SCOPE,"All",DOC_ACTIVE,1)&gt;0,"",IFERROR(IF($E$5&lt;&gt;"",$E$5-$C$5,SETUP!$D$182-$C$5),60000)+ROW()/1000000))</f>
        <v/>
      </c>
    </row>
    <row r="1098">
      <c r="G1098">
        <f>IF(OR(SETUP!$C$182="",$A$6="",$B$6&lt;&gt;"Equipment"),"","Equipment")</f>
        <v/>
      </c>
      <c r="H1098">
        <f>IF($G1098="","",SETUP!$C$182)</f>
        <v/>
      </c>
      <c r="I1098">
        <f>IF($G1098="","",$A$6)</f>
        <v/>
      </c>
      <c r="J1098">
        <f>IF($G1098="","",IF(COUNTIFS(DOC_TYPE,$I1098,DOC_EQP,$H1098,DOC_SCOPE,"Equipment",DOC_ACTIVE,1)+COUNTIFS(DOC_TYPE,$I1098,DOC_SYS,SETUP!$B$182,DOC_SCOPE,"System",DOC_ACTIVE,1)+COUNTIFS(DOC_TYPE,$I1098,DOC_SCOPE,"All",DOC_ACTIVE,1)&gt;0,"",IFERROR(IF($E$6&lt;&gt;"",$E$6-$C$6,SETUP!$D$182-$C$6),60000)+ROW()/1000000))</f>
        <v/>
      </c>
    </row>
    <row r="1099">
      <c r="G1099">
        <f>IF(OR(SETUP!$C$182="",$A$7="",$B$7&lt;&gt;"Equipment"),"","Equipment")</f>
        <v/>
      </c>
      <c r="H1099">
        <f>IF($G1099="","",SETUP!$C$182)</f>
        <v/>
      </c>
      <c r="I1099">
        <f>IF($G1099="","",$A$7)</f>
        <v/>
      </c>
      <c r="J1099">
        <f>IF($G1099="","",IF(COUNTIFS(DOC_TYPE,$I1099,DOC_EQP,$H1099,DOC_SCOPE,"Equipment",DOC_ACTIVE,1)+COUNTIFS(DOC_TYPE,$I1099,DOC_SYS,SETUP!$B$182,DOC_SCOPE,"System",DOC_ACTIVE,1)+COUNTIFS(DOC_TYPE,$I1099,DOC_SCOPE,"All",DOC_ACTIVE,1)&gt;0,"",IFERROR(IF($E$7&lt;&gt;"",$E$7-$C$7,SETUP!$D$182-$C$7),60000)+ROW()/1000000))</f>
        <v/>
      </c>
    </row>
    <row r="1100">
      <c r="G1100">
        <f>IF(OR(SETUP!$C$182="",$A$8="",$B$8&lt;&gt;"Equipment"),"","Equipment")</f>
        <v/>
      </c>
      <c r="H1100">
        <f>IF($G1100="","",SETUP!$C$182)</f>
        <v/>
      </c>
      <c r="I1100">
        <f>IF($G1100="","",$A$8)</f>
        <v/>
      </c>
      <c r="J1100">
        <f>IF($G1100="","",IF(COUNTIFS(DOC_TYPE,$I1100,DOC_EQP,$H1100,DOC_SCOPE,"Equipment",DOC_ACTIVE,1)+COUNTIFS(DOC_TYPE,$I1100,DOC_SYS,SETUP!$B$182,DOC_SCOPE,"System",DOC_ACTIVE,1)+COUNTIFS(DOC_TYPE,$I1100,DOC_SCOPE,"All",DOC_ACTIVE,1)&gt;0,"",IFERROR(IF($E$8&lt;&gt;"",$E$8-$C$8,SETUP!$D$182-$C$8),60000)+ROW()/1000000))</f>
        <v/>
      </c>
    </row>
    <row r="1101">
      <c r="G1101">
        <f>IF(OR(SETUP!$C$182="",$A$9="",$B$9&lt;&gt;"Equipment"),"","Equipment")</f>
        <v/>
      </c>
      <c r="H1101">
        <f>IF($G1101="","",SETUP!$C$182)</f>
        <v/>
      </c>
      <c r="I1101">
        <f>IF($G1101="","",$A$9)</f>
        <v/>
      </c>
      <c r="J1101">
        <f>IF($G1101="","",IF(COUNTIFS(DOC_TYPE,$I1101,DOC_EQP,$H1101,DOC_SCOPE,"Equipment",DOC_ACTIVE,1)+COUNTIFS(DOC_TYPE,$I1101,DOC_SYS,SETUP!$B$182,DOC_SCOPE,"System",DOC_ACTIVE,1)+COUNTIFS(DOC_TYPE,$I1101,DOC_SCOPE,"All",DOC_ACTIVE,1)&gt;0,"",IFERROR(IF($E$9&lt;&gt;"",$E$9-$C$9,SETUP!$D$182-$C$9),60000)+ROW()/1000000))</f>
        <v/>
      </c>
    </row>
    <row r="1102">
      <c r="G1102">
        <f>IF(OR(SETUP!$C$182="",$A$10="",$B$10&lt;&gt;"Equipment"),"","Equipment")</f>
        <v/>
      </c>
      <c r="H1102">
        <f>IF($G1102="","",SETUP!$C$182)</f>
        <v/>
      </c>
      <c r="I1102">
        <f>IF($G1102="","",$A$10)</f>
        <v/>
      </c>
      <c r="J1102">
        <f>IF($G1102="","",IF(COUNTIFS(DOC_TYPE,$I1102,DOC_EQP,$H1102,DOC_SCOPE,"Equipment",DOC_ACTIVE,1)+COUNTIFS(DOC_TYPE,$I1102,DOC_SYS,SETUP!$B$182,DOC_SCOPE,"System",DOC_ACTIVE,1)+COUNTIFS(DOC_TYPE,$I1102,DOC_SCOPE,"All",DOC_ACTIVE,1)&gt;0,"",IFERROR(IF($E$10&lt;&gt;"",$E$10-$C$10,SETUP!$D$182-$C$10),60000)+ROW()/1000000))</f>
        <v/>
      </c>
    </row>
    <row r="1103">
      <c r="G1103">
        <f>IF(OR(SETUP!$C$182="",$A$11="",$B$11&lt;&gt;"Equipment"),"","Equipment")</f>
        <v/>
      </c>
      <c r="H1103">
        <f>IF($G1103="","",SETUP!$C$182)</f>
        <v/>
      </c>
      <c r="I1103">
        <f>IF($G1103="","",$A$11)</f>
        <v/>
      </c>
      <c r="J1103">
        <f>IF($G1103="","",IF(COUNTIFS(DOC_TYPE,$I1103,DOC_EQP,$H1103,DOC_SCOPE,"Equipment",DOC_ACTIVE,1)+COUNTIFS(DOC_TYPE,$I1103,DOC_SYS,SETUP!$B$182,DOC_SCOPE,"System",DOC_ACTIVE,1)+COUNTIFS(DOC_TYPE,$I1103,DOC_SCOPE,"All",DOC_ACTIVE,1)&gt;0,"",IFERROR(IF($E$11&lt;&gt;"",$E$11-$C$11,SETUP!$D$182-$C$11),60000)+ROW()/1000000))</f>
        <v/>
      </c>
    </row>
    <row r="1104">
      <c r="G1104">
        <f>IF(OR(SETUP!$C$182="",$A$12="",$B$12&lt;&gt;"Equipment"),"","Equipment")</f>
        <v/>
      </c>
      <c r="H1104">
        <f>IF($G1104="","",SETUP!$C$182)</f>
        <v/>
      </c>
      <c r="I1104">
        <f>IF($G1104="","",$A$12)</f>
        <v/>
      </c>
      <c r="J1104">
        <f>IF($G1104="","",IF(COUNTIFS(DOC_TYPE,$I1104,DOC_EQP,$H1104,DOC_SCOPE,"Equipment",DOC_ACTIVE,1)+COUNTIFS(DOC_TYPE,$I1104,DOC_SYS,SETUP!$B$182,DOC_SCOPE,"System",DOC_ACTIVE,1)+COUNTIFS(DOC_TYPE,$I1104,DOC_SCOPE,"All",DOC_ACTIVE,1)&gt;0,"",IFERROR(IF($E$12&lt;&gt;"",$E$12-$C$12,SETUP!$D$182-$C$12),60000)+ROW()/1000000))</f>
        <v/>
      </c>
    </row>
    <row r="1105">
      <c r="G1105">
        <f>IF(OR(SETUP!$C$182="",$A$13="",$B$13&lt;&gt;"Equipment"),"","Equipment")</f>
        <v/>
      </c>
      <c r="H1105">
        <f>IF($G1105="","",SETUP!$C$182)</f>
        <v/>
      </c>
      <c r="I1105">
        <f>IF($G1105="","",$A$13)</f>
        <v/>
      </c>
      <c r="J1105">
        <f>IF($G1105="","",IF(COUNTIFS(DOC_TYPE,$I1105,DOC_EQP,$H1105,DOC_SCOPE,"Equipment",DOC_ACTIVE,1)+COUNTIFS(DOC_TYPE,$I1105,DOC_SYS,SETUP!$B$182,DOC_SCOPE,"System",DOC_ACTIVE,1)+COUNTIFS(DOC_TYPE,$I1105,DOC_SCOPE,"All",DOC_ACTIVE,1)&gt;0,"",IFERROR(IF($E$13&lt;&gt;"",$E$13-$C$13,SETUP!$D$182-$C$13),60000)+ROW()/1000000))</f>
        <v/>
      </c>
    </row>
    <row r="1106">
      <c r="G1106">
        <f>IF(OR(SETUP!$C$183="",$A$2="",$B$2&lt;&gt;"Equipment"),"","Equipment")</f>
        <v/>
      </c>
      <c r="H1106">
        <f>IF($G1106="","",SETUP!$C$183)</f>
        <v/>
      </c>
      <c r="I1106">
        <f>IF($G1106="","",$A$2)</f>
        <v/>
      </c>
      <c r="J1106">
        <f>IF($G1106="","",IF(COUNTIFS(DOC_TYPE,$I1106,DOC_EQP,$H1106,DOC_SCOPE,"Equipment",DOC_ACTIVE,1)+COUNTIFS(DOC_TYPE,$I1106,DOC_SYS,SETUP!$B$183,DOC_SCOPE,"System",DOC_ACTIVE,1)+COUNTIFS(DOC_TYPE,$I1106,DOC_SCOPE,"All",DOC_ACTIVE,1)&gt;0,"",IFERROR(IF($E$2&lt;&gt;"",$E$2-$C$2,SETUP!$D$183-$C$2),60000)+ROW()/1000000))</f>
        <v/>
      </c>
    </row>
    <row r="1107">
      <c r="G1107">
        <f>IF(OR(SETUP!$C$183="",$A$3="",$B$3&lt;&gt;"Equipment"),"","Equipment")</f>
        <v/>
      </c>
      <c r="H1107">
        <f>IF($G1107="","",SETUP!$C$183)</f>
        <v/>
      </c>
      <c r="I1107">
        <f>IF($G1107="","",$A$3)</f>
        <v/>
      </c>
      <c r="J1107">
        <f>IF($G1107="","",IF(COUNTIFS(DOC_TYPE,$I1107,DOC_EQP,$H1107,DOC_SCOPE,"Equipment",DOC_ACTIVE,1)+COUNTIFS(DOC_TYPE,$I1107,DOC_SYS,SETUP!$B$183,DOC_SCOPE,"System",DOC_ACTIVE,1)+COUNTIFS(DOC_TYPE,$I1107,DOC_SCOPE,"All",DOC_ACTIVE,1)&gt;0,"",IFERROR(IF($E$3&lt;&gt;"",$E$3-$C$3,SETUP!$D$183-$C$3),60000)+ROW()/1000000))</f>
        <v/>
      </c>
    </row>
    <row r="1108">
      <c r="G1108">
        <f>IF(OR(SETUP!$C$183="",$A$4="",$B$4&lt;&gt;"Equipment"),"","Equipment")</f>
        <v/>
      </c>
      <c r="H1108">
        <f>IF($G1108="","",SETUP!$C$183)</f>
        <v/>
      </c>
      <c r="I1108">
        <f>IF($G1108="","",$A$4)</f>
        <v/>
      </c>
      <c r="J1108">
        <f>IF($G1108="","",IF(COUNTIFS(DOC_TYPE,$I1108,DOC_EQP,$H1108,DOC_SCOPE,"Equipment",DOC_ACTIVE,1)+COUNTIFS(DOC_TYPE,$I1108,DOC_SYS,SETUP!$B$183,DOC_SCOPE,"System",DOC_ACTIVE,1)+COUNTIFS(DOC_TYPE,$I1108,DOC_SCOPE,"All",DOC_ACTIVE,1)&gt;0,"",IFERROR(IF($E$4&lt;&gt;"",$E$4-$C$4,SETUP!$D$183-$C$4),60000)+ROW()/1000000))</f>
        <v/>
      </c>
    </row>
    <row r="1109">
      <c r="G1109">
        <f>IF(OR(SETUP!$C$183="",$A$5="",$B$5&lt;&gt;"Equipment"),"","Equipment")</f>
        <v/>
      </c>
      <c r="H1109">
        <f>IF($G1109="","",SETUP!$C$183)</f>
        <v/>
      </c>
      <c r="I1109">
        <f>IF($G1109="","",$A$5)</f>
        <v/>
      </c>
      <c r="J1109">
        <f>IF($G1109="","",IF(COUNTIFS(DOC_TYPE,$I1109,DOC_EQP,$H1109,DOC_SCOPE,"Equipment",DOC_ACTIVE,1)+COUNTIFS(DOC_TYPE,$I1109,DOC_SYS,SETUP!$B$183,DOC_SCOPE,"System",DOC_ACTIVE,1)+COUNTIFS(DOC_TYPE,$I1109,DOC_SCOPE,"All",DOC_ACTIVE,1)&gt;0,"",IFERROR(IF($E$5&lt;&gt;"",$E$5-$C$5,SETUP!$D$183-$C$5),60000)+ROW()/1000000))</f>
        <v/>
      </c>
    </row>
    <row r="1110">
      <c r="G1110">
        <f>IF(OR(SETUP!$C$183="",$A$6="",$B$6&lt;&gt;"Equipment"),"","Equipment")</f>
        <v/>
      </c>
      <c r="H1110">
        <f>IF($G1110="","",SETUP!$C$183)</f>
        <v/>
      </c>
      <c r="I1110">
        <f>IF($G1110="","",$A$6)</f>
        <v/>
      </c>
      <c r="J1110">
        <f>IF($G1110="","",IF(COUNTIFS(DOC_TYPE,$I1110,DOC_EQP,$H1110,DOC_SCOPE,"Equipment",DOC_ACTIVE,1)+COUNTIFS(DOC_TYPE,$I1110,DOC_SYS,SETUP!$B$183,DOC_SCOPE,"System",DOC_ACTIVE,1)+COUNTIFS(DOC_TYPE,$I1110,DOC_SCOPE,"All",DOC_ACTIVE,1)&gt;0,"",IFERROR(IF($E$6&lt;&gt;"",$E$6-$C$6,SETUP!$D$183-$C$6),60000)+ROW()/1000000))</f>
        <v/>
      </c>
    </row>
    <row r="1111">
      <c r="G1111">
        <f>IF(OR(SETUP!$C$183="",$A$7="",$B$7&lt;&gt;"Equipment"),"","Equipment")</f>
        <v/>
      </c>
      <c r="H1111">
        <f>IF($G1111="","",SETUP!$C$183)</f>
        <v/>
      </c>
      <c r="I1111">
        <f>IF($G1111="","",$A$7)</f>
        <v/>
      </c>
      <c r="J1111">
        <f>IF($G1111="","",IF(COUNTIFS(DOC_TYPE,$I1111,DOC_EQP,$H1111,DOC_SCOPE,"Equipment",DOC_ACTIVE,1)+COUNTIFS(DOC_TYPE,$I1111,DOC_SYS,SETUP!$B$183,DOC_SCOPE,"System",DOC_ACTIVE,1)+COUNTIFS(DOC_TYPE,$I1111,DOC_SCOPE,"All",DOC_ACTIVE,1)&gt;0,"",IFERROR(IF($E$7&lt;&gt;"",$E$7-$C$7,SETUP!$D$183-$C$7),60000)+ROW()/1000000))</f>
        <v/>
      </c>
    </row>
    <row r="1112">
      <c r="G1112">
        <f>IF(OR(SETUP!$C$183="",$A$8="",$B$8&lt;&gt;"Equipment"),"","Equipment")</f>
        <v/>
      </c>
      <c r="H1112">
        <f>IF($G1112="","",SETUP!$C$183)</f>
        <v/>
      </c>
      <c r="I1112">
        <f>IF($G1112="","",$A$8)</f>
        <v/>
      </c>
      <c r="J1112">
        <f>IF($G1112="","",IF(COUNTIFS(DOC_TYPE,$I1112,DOC_EQP,$H1112,DOC_SCOPE,"Equipment",DOC_ACTIVE,1)+COUNTIFS(DOC_TYPE,$I1112,DOC_SYS,SETUP!$B$183,DOC_SCOPE,"System",DOC_ACTIVE,1)+COUNTIFS(DOC_TYPE,$I1112,DOC_SCOPE,"All",DOC_ACTIVE,1)&gt;0,"",IFERROR(IF($E$8&lt;&gt;"",$E$8-$C$8,SETUP!$D$183-$C$8),60000)+ROW()/1000000))</f>
        <v/>
      </c>
    </row>
    <row r="1113">
      <c r="G1113">
        <f>IF(OR(SETUP!$C$183="",$A$9="",$B$9&lt;&gt;"Equipment"),"","Equipment")</f>
        <v/>
      </c>
      <c r="H1113">
        <f>IF($G1113="","",SETUP!$C$183)</f>
        <v/>
      </c>
      <c r="I1113">
        <f>IF($G1113="","",$A$9)</f>
        <v/>
      </c>
      <c r="J1113">
        <f>IF($G1113="","",IF(COUNTIFS(DOC_TYPE,$I1113,DOC_EQP,$H1113,DOC_SCOPE,"Equipment",DOC_ACTIVE,1)+COUNTIFS(DOC_TYPE,$I1113,DOC_SYS,SETUP!$B$183,DOC_SCOPE,"System",DOC_ACTIVE,1)+COUNTIFS(DOC_TYPE,$I1113,DOC_SCOPE,"All",DOC_ACTIVE,1)&gt;0,"",IFERROR(IF($E$9&lt;&gt;"",$E$9-$C$9,SETUP!$D$183-$C$9),60000)+ROW()/1000000))</f>
        <v/>
      </c>
    </row>
    <row r="1114">
      <c r="G1114">
        <f>IF(OR(SETUP!$C$183="",$A$10="",$B$10&lt;&gt;"Equipment"),"","Equipment")</f>
        <v/>
      </c>
      <c r="H1114">
        <f>IF($G1114="","",SETUP!$C$183)</f>
        <v/>
      </c>
      <c r="I1114">
        <f>IF($G1114="","",$A$10)</f>
        <v/>
      </c>
      <c r="J1114">
        <f>IF($G1114="","",IF(COUNTIFS(DOC_TYPE,$I1114,DOC_EQP,$H1114,DOC_SCOPE,"Equipment",DOC_ACTIVE,1)+COUNTIFS(DOC_TYPE,$I1114,DOC_SYS,SETUP!$B$183,DOC_SCOPE,"System",DOC_ACTIVE,1)+COUNTIFS(DOC_TYPE,$I1114,DOC_SCOPE,"All",DOC_ACTIVE,1)&gt;0,"",IFERROR(IF($E$10&lt;&gt;"",$E$10-$C$10,SETUP!$D$183-$C$10),60000)+ROW()/1000000))</f>
        <v/>
      </c>
    </row>
    <row r="1115">
      <c r="G1115">
        <f>IF(OR(SETUP!$C$183="",$A$11="",$B$11&lt;&gt;"Equipment"),"","Equipment")</f>
        <v/>
      </c>
      <c r="H1115">
        <f>IF($G1115="","",SETUP!$C$183)</f>
        <v/>
      </c>
      <c r="I1115">
        <f>IF($G1115="","",$A$11)</f>
        <v/>
      </c>
      <c r="J1115">
        <f>IF($G1115="","",IF(COUNTIFS(DOC_TYPE,$I1115,DOC_EQP,$H1115,DOC_SCOPE,"Equipment",DOC_ACTIVE,1)+COUNTIFS(DOC_TYPE,$I1115,DOC_SYS,SETUP!$B$183,DOC_SCOPE,"System",DOC_ACTIVE,1)+COUNTIFS(DOC_TYPE,$I1115,DOC_SCOPE,"All",DOC_ACTIVE,1)&gt;0,"",IFERROR(IF($E$11&lt;&gt;"",$E$11-$C$11,SETUP!$D$183-$C$11),60000)+ROW()/1000000))</f>
        <v/>
      </c>
    </row>
    <row r="1116">
      <c r="G1116">
        <f>IF(OR(SETUP!$C$183="",$A$12="",$B$12&lt;&gt;"Equipment"),"","Equipment")</f>
        <v/>
      </c>
      <c r="H1116">
        <f>IF($G1116="","",SETUP!$C$183)</f>
        <v/>
      </c>
      <c r="I1116">
        <f>IF($G1116="","",$A$12)</f>
        <v/>
      </c>
      <c r="J1116">
        <f>IF($G1116="","",IF(COUNTIFS(DOC_TYPE,$I1116,DOC_EQP,$H1116,DOC_SCOPE,"Equipment",DOC_ACTIVE,1)+COUNTIFS(DOC_TYPE,$I1116,DOC_SYS,SETUP!$B$183,DOC_SCOPE,"System",DOC_ACTIVE,1)+COUNTIFS(DOC_TYPE,$I1116,DOC_SCOPE,"All",DOC_ACTIVE,1)&gt;0,"",IFERROR(IF($E$12&lt;&gt;"",$E$12-$C$12,SETUP!$D$183-$C$12),60000)+ROW()/1000000))</f>
        <v/>
      </c>
    </row>
    <row r="1117">
      <c r="G1117">
        <f>IF(OR(SETUP!$C$183="",$A$13="",$B$13&lt;&gt;"Equipment"),"","Equipment")</f>
        <v/>
      </c>
      <c r="H1117">
        <f>IF($G1117="","",SETUP!$C$183)</f>
        <v/>
      </c>
      <c r="I1117">
        <f>IF($G1117="","",$A$13)</f>
        <v/>
      </c>
      <c r="J1117">
        <f>IF($G1117="","",IF(COUNTIFS(DOC_TYPE,$I1117,DOC_EQP,$H1117,DOC_SCOPE,"Equipment",DOC_ACTIVE,1)+COUNTIFS(DOC_TYPE,$I1117,DOC_SYS,SETUP!$B$183,DOC_SCOPE,"System",DOC_ACTIVE,1)+COUNTIFS(DOC_TYPE,$I1117,DOC_SCOPE,"All",DOC_ACTIVE,1)&gt;0,"",IFERROR(IF($E$13&lt;&gt;"",$E$13-$C$13,SETUP!$D$183-$C$13),60000)+ROW()/1000000))</f>
        <v/>
      </c>
    </row>
    <row r="1118">
      <c r="G1118">
        <f>IF(OR(SETUP!$C$184="",$A$2="",$B$2&lt;&gt;"Equipment"),"","Equipment")</f>
        <v/>
      </c>
      <c r="H1118">
        <f>IF($G1118="","",SETUP!$C$184)</f>
        <v/>
      </c>
      <c r="I1118">
        <f>IF($G1118="","",$A$2)</f>
        <v/>
      </c>
      <c r="J1118">
        <f>IF($G1118="","",IF(COUNTIFS(DOC_TYPE,$I1118,DOC_EQP,$H1118,DOC_SCOPE,"Equipment",DOC_ACTIVE,1)+COUNTIFS(DOC_TYPE,$I1118,DOC_SYS,SETUP!$B$184,DOC_SCOPE,"System",DOC_ACTIVE,1)+COUNTIFS(DOC_TYPE,$I1118,DOC_SCOPE,"All",DOC_ACTIVE,1)&gt;0,"",IFERROR(IF($E$2&lt;&gt;"",$E$2-$C$2,SETUP!$D$184-$C$2),60000)+ROW()/1000000))</f>
        <v/>
      </c>
    </row>
    <row r="1119">
      <c r="G1119">
        <f>IF(OR(SETUP!$C$184="",$A$3="",$B$3&lt;&gt;"Equipment"),"","Equipment")</f>
        <v/>
      </c>
      <c r="H1119">
        <f>IF($G1119="","",SETUP!$C$184)</f>
        <v/>
      </c>
      <c r="I1119">
        <f>IF($G1119="","",$A$3)</f>
        <v/>
      </c>
      <c r="J1119">
        <f>IF($G1119="","",IF(COUNTIFS(DOC_TYPE,$I1119,DOC_EQP,$H1119,DOC_SCOPE,"Equipment",DOC_ACTIVE,1)+COUNTIFS(DOC_TYPE,$I1119,DOC_SYS,SETUP!$B$184,DOC_SCOPE,"System",DOC_ACTIVE,1)+COUNTIFS(DOC_TYPE,$I1119,DOC_SCOPE,"All",DOC_ACTIVE,1)&gt;0,"",IFERROR(IF($E$3&lt;&gt;"",$E$3-$C$3,SETUP!$D$184-$C$3),60000)+ROW()/1000000))</f>
        <v/>
      </c>
    </row>
    <row r="1120">
      <c r="G1120">
        <f>IF(OR(SETUP!$C$184="",$A$4="",$B$4&lt;&gt;"Equipment"),"","Equipment")</f>
        <v/>
      </c>
      <c r="H1120">
        <f>IF($G1120="","",SETUP!$C$184)</f>
        <v/>
      </c>
      <c r="I1120">
        <f>IF($G1120="","",$A$4)</f>
        <v/>
      </c>
      <c r="J1120">
        <f>IF($G1120="","",IF(COUNTIFS(DOC_TYPE,$I1120,DOC_EQP,$H1120,DOC_SCOPE,"Equipment",DOC_ACTIVE,1)+COUNTIFS(DOC_TYPE,$I1120,DOC_SYS,SETUP!$B$184,DOC_SCOPE,"System",DOC_ACTIVE,1)+COUNTIFS(DOC_TYPE,$I1120,DOC_SCOPE,"All",DOC_ACTIVE,1)&gt;0,"",IFERROR(IF($E$4&lt;&gt;"",$E$4-$C$4,SETUP!$D$184-$C$4),60000)+ROW()/1000000))</f>
        <v/>
      </c>
    </row>
    <row r="1121">
      <c r="G1121">
        <f>IF(OR(SETUP!$C$184="",$A$5="",$B$5&lt;&gt;"Equipment"),"","Equipment")</f>
        <v/>
      </c>
      <c r="H1121">
        <f>IF($G1121="","",SETUP!$C$184)</f>
        <v/>
      </c>
      <c r="I1121">
        <f>IF($G1121="","",$A$5)</f>
        <v/>
      </c>
      <c r="J1121">
        <f>IF($G1121="","",IF(COUNTIFS(DOC_TYPE,$I1121,DOC_EQP,$H1121,DOC_SCOPE,"Equipment",DOC_ACTIVE,1)+COUNTIFS(DOC_TYPE,$I1121,DOC_SYS,SETUP!$B$184,DOC_SCOPE,"System",DOC_ACTIVE,1)+COUNTIFS(DOC_TYPE,$I1121,DOC_SCOPE,"All",DOC_ACTIVE,1)&gt;0,"",IFERROR(IF($E$5&lt;&gt;"",$E$5-$C$5,SETUP!$D$184-$C$5),60000)+ROW()/1000000))</f>
        <v/>
      </c>
    </row>
    <row r="1122">
      <c r="G1122">
        <f>IF(OR(SETUP!$C$184="",$A$6="",$B$6&lt;&gt;"Equipment"),"","Equipment")</f>
        <v/>
      </c>
      <c r="H1122">
        <f>IF($G1122="","",SETUP!$C$184)</f>
        <v/>
      </c>
      <c r="I1122">
        <f>IF($G1122="","",$A$6)</f>
        <v/>
      </c>
      <c r="J1122">
        <f>IF($G1122="","",IF(COUNTIFS(DOC_TYPE,$I1122,DOC_EQP,$H1122,DOC_SCOPE,"Equipment",DOC_ACTIVE,1)+COUNTIFS(DOC_TYPE,$I1122,DOC_SYS,SETUP!$B$184,DOC_SCOPE,"System",DOC_ACTIVE,1)+COUNTIFS(DOC_TYPE,$I1122,DOC_SCOPE,"All",DOC_ACTIVE,1)&gt;0,"",IFERROR(IF($E$6&lt;&gt;"",$E$6-$C$6,SETUP!$D$184-$C$6),60000)+ROW()/1000000))</f>
        <v/>
      </c>
    </row>
    <row r="1123">
      <c r="G1123">
        <f>IF(OR(SETUP!$C$184="",$A$7="",$B$7&lt;&gt;"Equipment"),"","Equipment")</f>
        <v/>
      </c>
      <c r="H1123">
        <f>IF($G1123="","",SETUP!$C$184)</f>
        <v/>
      </c>
      <c r="I1123">
        <f>IF($G1123="","",$A$7)</f>
        <v/>
      </c>
      <c r="J1123">
        <f>IF($G1123="","",IF(COUNTIFS(DOC_TYPE,$I1123,DOC_EQP,$H1123,DOC_SCOPE,"Equipment",DOC_ACTIVE,1)+COUNTIFS(DOC_TYPE,$I1123,DOC_SYS,SETUP!$B$184,DOC_SCOPE,"System",DOC_ACTIVE,1)+COUNTIFS(DOC_TYPE,$I1123,DOC_SCOPE,"All",DOC_ACTIVE,1)&gt;0,"",IFERROR(IF($E$7&lt;&gt;"",$E$7-$C$7,SETUP!$D$184-$C$7),60000)+ROW()/1000000))</f>
        <v/>
      </c>
    </row>
    <row r="1124">
      <c r="G1124">
        <f>IF(OR(SETUP!$C$184="",$A$8="",$B$8&lt;&gt;"Equipment"),"","Equipment")</f>
        <v/>
      </c>
      <c r="H1124">
        <f>IF($G1124="","",SETUP!$C$184)</f>
        <v/>
      </c>
      <c r="I1124">
        <f>IF($G1124="","",$A$8)</f>
        <v/>
      </c>
      <c r="J1124">
        <f>IF($G1124="","",IF(COUNTIFS(DOC_TYPE,$I1124,DOC_EQP,$H1124,DOC_SCOPE,"Equipment",DOC_ACTIVE,1)+COUNTIFS(DOC_TYPE,$I1124,DOC_SYS,SETUP!$B$184,DOC_SCOPE,"System",DOC_ACTIVE,1)+COUNTIFS(DOC_TYPE,$I1124,DOC_SCOPE,"All",DOC_ACTIVE,1)&gt;0,"",IFERROR(IF($E$8&lt;&gt;"",$E$8-$C$8,SETUP!$D$184-$C$8),60000)+ROW()/1000000))</f>
        <v/>
      </c>
    </row>
    <row r="1125">
      <c r="G1125">
        <f>IF(OR(SETUP!$C$184="",$A$9="",$B$9&lt;&gt;"Equipment"),"","Equipment")</f>
        <v/>
      </c>
      <c r="H1125">
        <f>IF($G1125="","",SETUP!$C$184)</f>
        <v/>
      </c>
      <c r="I1125">
        <f>IF($G1125="","",$A$9)</f>
        <v/>
      </c>
      <c r="J1125">
        <f>IF($G1125="","",IF(COUNTIFS(DOC_TYPE,$I1125,DOC_EQP,$H1125,DOC_SCOPE,"Equipment",DOC_ACTIVE,1)+COUNTIFS(DOC_TYPE,$I1125,DOC_SYS,SETUP!$B$184,DOC_SCOPE,"System",DOC_ACTIVE,1)+COUNTIFS(DOC_TYPE,$I1125,DOC_SCOPE,"All",DOC_ACTIVE,1)&gt;0,"",IFERROR(IF($E$9&lt;&gt;"",$E$9-$C$9,SETUP!$D$184-$C$9),60000)+ROW()/1000000))</f>
        <v/>
      </c>
    </row>
    <row r="1126">
      <c r="G1126">
        <f>IF(OR(SETUP!$C$184="",$A$10="",$B$10&lt;&gt;"Equipment"),"","Equipment")</f>
        <v/>
      </c>
      <c r="H1126">
        <f>IF($G1126="","",SETUP!$C$184)</f>
        <v/>
      </c>
      <c r="I1126">
        <f>IF($G1126="","",$A$10)</f>
        <v/>
      </c>
      <c r="J1126">
        <f>IF($G1126="","",IF(COUNTIFS(DOC_TYPE,$I1126,DOC_EQP,$H1126,DOC_SCOPE,"Equipment",DOC_ACTIVE,1)+COUNTIFS(DOC_TYPE,$I1126,DOC_SYS,SETUP!$B$184,DOC_SCOPE,"System",DOC_ACTIVE,1)+COUNTIFS(DOC_TYPE,$I1126,DOC_SCOPE,"All",DOC_ACTIVE,1)&gt;0,"",IFERROR(IF($E$10&lt;&gt;"",$E$10-$C$10,SETUP!$D$184-$C$10),60000)+ROW()/1000000))</f>
        <v/>
      </c>
    </row>
    <row r="1127">
      <c r="G1127">
        <f>IF(OR(SETUP!$C$184="",$A$11="",$B$11&lt;&gt;"Equipment"),"","Equipment")</f>
        <v/>
      </c>
      <c r="H1127">
        <f>IF($G1127="","",SETUP!$C$184)</f>
        <v/>
      </c>
      <c r="I1127">
        <f>IF($G1127="","",$A$11)</f>
        <v/>
      </c>
      <c r="J1127">
        <f>IF($G1127="","",IF(COUNTIFS(DOC_TYPE,$I1127,DOC_EQP,$H1127,DOC_SCOPE,"Equipment",DOC_ACTIVE,1)+COUNTIFS(DOC_TYPE,$I1127,DOC_SYS,SETUP!$B$184,DOC_SCOPE,"System",DOC_ACTIVE,1)+COUNTIFS(DOC_TYPE,$I1127,DOC_SCOPE,"All",DOC_ACTIVE,1)&gt;0,"",IFERROR(IF($E$11&lt;&gt;"",$E$11-$C$11,SETUP!$D$184-$C$11),60000)+ROW()/1000000))</f>
        <v/>
      </c>
    </row>
    <row r="1128">
      <c r="G1128">
        <f>IF(OR(SETUP!$C$184="",$A$12="",$B$12&lt;&gt;"Equipment"),"","Equipment")</f>
        <v/>
      </c>
      <c r="H1128">
        <f>IF($G1128="","",SETUP!$C$184)</f>
        <v/>
      </c>
      <c r="I1128">
        <f>IF($G1128="","",$A$12)</f>
        <v/>
      </c>
      <c r="J1128">
        <f>IF($G1128="","",IF(COUNTIFS(DOC_TYPE,$I1128,DOC_EQP,$H1128,DOC_SCOPE,"Equipment",DOC_ACTIVE,1)+COUNTIFS(DOC_TYPE,$I1128,DOC_SYS,SETUP!$B$184,DOC_SCOPE,"System",DOC_ACTIVE,1)+COUNTIFS(DOC_TYPE,$I1128,DOC_SCOPE,"All",DOC_ACTIVE,1)&gt;0,"",IFERROR(IF($E$12&lt;&gt;"",$E$12-$C$12,SETUP!$D$184-$C$12),60000)+ROW()/1000000))</f>
        <v/>
      </c>
    </row>
    <row r="1129">
      <c r="G1129">
        <f>IF(OR(SETUP!$C$184="",$A$13="",$B$13&lt;&gt;"Equipment"),"","Equipment")</f>
        <v/>
      </c>
      <c r="H1129">
        <f>IF($G1129="","",SETUP!$C$184)</f>
        <v/>
      </c>
      <c r="I1129">
        <f>IF($G1129="","",$A$13)</f>
        <v/>
      </c>
      <c r="J1129">
        <f>IF($G1129="","",IF(COUNTIFS(DOC_TYPE,$I1129,DOC_EQP,$H1129,DOC_SCOPE,"Equipment",DOC_ACTIVE,1)+COUNTIFS(DOC_TYPE,$I1129,DOC_SYS,SETUP!$B$184,DOC_SCOPE,"System",DOC_ACTIVE,1)+COUNTIFS(DOC_TYPE,$I1129,DOC_SCOPE,"All",DOC_ACTIVE,1)&gt;0,"",IFERROR(IF($E$13&lt;&gt;"",$E$13-$C$13,SETUP!$D$184-$C$13),60000)+ROW()/1000000))</f>
        <v/>
      </c>
    </row>
    <row r="1130">
      <c r="G1130">
        <f>IF(OR(SETUP!$C$185="",$A$2="",$B$2&lt;&gt;"Equipment"),"","Equipment")</f>
        <v/>
      </c>
      <c r="H1130">
        <f>IF($G1130="","",SETUP!$C$185)</f>
        <v/>
      </c>
      <c r="I1130">
        <f>IF($G1130="","",$A$2)</f>
        <v/>
      </c>
      <c r="J1130">
        <f>IF($G1130="","",IF(COUNTIFS(DOC_TYPE,$I1130,DOC_EQP,$H1130,DOC_SCOPE,"Equipment",DOC_ACTIVE,1)+COUNTIFS(DOC_TYPE,$I1130,DOC_SYS,SETUP!$B$185,DOC_SCOPE,"System",DOC_ACTIVE,1)+COUNTIFS(DOC_TYPE,$I1130,DOC_SCOPE,"All",DOC_ACTIVE,1)&gt;0,"",IFERROR(IF($E$2&lt;&gt;"",$E$2-$C$2,SETUP!$D$185-$C$2),60000)+ROW()/1000000))</f>
        <v/>
      </c>
    </row>
    <row r="1131">
      <c r="G1131">
        <f>IF(OR(SETUP!$C$185="",$A$3="",$B$3&lt;&gt;"Equipment"),"","Equipment")</f>
        <v/>
      </c>
      <c r="H1131">
        <f>IF($G1131="","",SETUP!$C$185)</f>
        <v/>
      </c>
      <c r="I1131">
        <f>IF($G1131="","",$A$3)</f>
        <v/>
      </c>
      <c r="J1131">
        <f>IF($G1131="","",IF(COUNTIFS(DOC_TYPE,$I1131,DOC_EQP,$H1131,DOC_SCOPE,"Equipment",DOC_ACTIVE,1)+COUNTIFS(DOC_TYPE,$I1131,DOC_SYS,SETUP!$B$185,DOC_SCOPE,"System",DOC_ACTIVE,1)+COUNTIFS(DOC_TYPE,$I1131,DOC_SCOPE,"All",DOC_ACTIVE,1)&gt;0,"",IFERROR(IF($E$3&lt;&gt;"",$E$3-$C$3,SETUP!$D$185-$C$3),60000)+ROW()/1000000))</f>
        <v/>
      </c>
    </row>
    <row r="1132">
      <c r="G1132">
        <f>IF(OR(SETUP!$C$185="",$A$4="",$B$4&lt;&gt;"Equipment"),"","Equipment")</f>
        <v/>
      </c>
      <c r="H1132">
        <f>IF($G1132="","",SETUP!$C$185)</f>
        <v/>
      </c>
      <c r="I1132">
        <f>IF($G1132="","",$A$4)</f>
        <v/>
      </c>
      <c r="J1132">
        <f>IF($G1132="","",IF(COUNTIFS(DOC_TYPE,$I1132,DOC_EQP,$H1132,DOC_SCOPE,"Equipment",DOC_ACTIVE,1)+COUNTIFS(DOC_TYPE,$I1132,DOC_SYS,SETUP!$B$185,DOC_SCOPE,"System",DOC_ACTIVE,1)+COUNTIFS(DOC_TYPE,$I1132,DOC_SCOPE,"All",DOC_ACTIVE,1)&gt;0,"",IFERROR(IF($E$4&lt;&gt;"",$E$4-$C$4,SETUP!$D$185-$C$4),60000)+ROW()/1000000))</f>
        <v/>
      </c>
    </row>
    <row r="1133">
      <c r="G1133">
        <f>IF(OR(SETUP!$C$185="",$A$5="",$B$5&lt;&gt;"Equipment"),"","Equipment")</f>
        <v/>
      </c>
      <c r="H1133">
        <f>IF($G1133="","",SETUP!$C$185)</f>
        <v/>
      </c>
      <c r="I1133">
        <f>IF($G1133="","",$A$5)</f>
        <v/>
      </c>
      <c r="J1133">
        <f>IF($G1133="","",IF(COUNTIFS(DOC_TYPE,$I1133,DOC_EQP,$H1133,DOC_SCOPE,"Equipment",DOC_ACTIVE,1)+COUNTIFS(DOC_TYPE,$I1133,DOC_SYS,SETUP!$B$185,DOC_SCOPE,"System",DOC_ACTIVE,1)+COUNTIFS(DOC_TYPE,$I1133,DOC_SCOPE,"All",DOC_ACTIVE,1)&gt;0,"",IFERROR(IF($E$5&lt;&gt;"",$E$5-$C$5,SETUP!$D$185-$C$5),60000)+ROW()/1000000))</f>
        <v/>
      </c>
    </row>
    <row r="1134">
      <c r="G1134">
        <f>IF(OR(SETUP!$C$185="",$A$6="",$B$6&lt;&gt;"Equipment"),"","Equipment")</f>
        <v/>
      </c>
      <c r="H1134">
        <f>IF($G1134="","",SETUP!$C$185)</f>
        <v/>
      </c>
      <c r="I1134">
        <f>IF($G1134="","",$A$6)</f>
        <v/>
      </c>
      <c r="J1134">
        <f>IF($G1134="","",IF(COUNTIFS(DOC_TYPE,$I1134,DOC_EQP,$H1134,DOC_SCOPE,"Equipment",DOC_ACTIVE,1)+COUNTIFS(DOC_TYPE,$I1134,DOC_SYS,SETUP!$B$185,DOC_SCOPE,"System",DOC_ACTIVE,1)+COUNTIFS(DOC_TYPE,$I1134,DOC_SCOPE,"All",DOC_ACTIVE,1)&gt;0,"",IFERROR(IF($E$6&lt;&gt;"",$E$6-$C$6,SETUP!$D$185-$C$6),60000)+ROW()/1000000))</f>
        <v/>
      </c>
    </row>
    <row r="1135">
      <c r="G1135">
        <f>IF(OR(SETUP!$C$185="",$A$7="",$B$7&lt;&gt;"Equipment"),"","Equipment")</f>
        <v/>
      </c>
      <c r="H1135">
        <f>IF($G1135="","",SETUP!$C$185)</f>
        <v/>
      </c>
      <c r="I1135">
        <f>IF($G1135="","",$A$7)</f>
        <v/>
      </c>
      <c r="J1135">
        <f>IF($G1135="","",IF(COUNTIFS(DOC_TYPE,$I1135,DOC_EQP,$H1135,DOC_SCOPE,"Equipment",DOC_ACTIVE,1)+COUNTIFS(DOC_TYPE,$I1135,DOC_SYS,SETUP!$B$185,DOC_SCOPE,"System",DOC_ACTIVE,1)+COUNTIFS(DOC_TYPE,$I1135,DOC_SCOPE,"All",DOC_ACTIVE,1)&gt;0,"",IFERROR(IF($E$7&lt;&gt;"",$E$7-$C$7,SETUP!$D$185-$C$7),60000)+ROW()/1000000))</f>
        <v/>
      </c>
    </row>
    <row r="1136">
      <c r="G1136">
        <f>IF(OR(SETUP!$C$185="",$A$8="",$B$8&lt;&gt;"Equipment"),"","Equipment")</f>
        <v/>
      </c>
      <c r="H1136">
        <f>IF($G1136="","",SETUP!$C$185)</f>
        <v/>
      </c>
      <c r="I1136">
        <f>IF($G1136="","",$A$8)</f>
        <v/>
      </c>
      <c r="J1136">
        <f>IF($G1136="","",IF(COUNTIFS(DOC_TYPE,$I1136,DOC_EQP,$H1136,DOC_SCOPE,"Equipment",DOC_ACTIVE,1)+COUNTIFS(DOC_TYPE,$I1136,DOC_SYS,SETUP!$B$185,DOC_SCOPE,"System",DOC_ACTIVE,1)+COUNTIFS(DOC_TYPE,$I1136,DOC_SCOPE,"All",DOC_ACTIVE,1)&gt;0,"",IFERROR(IF($E$8&lt;&gt;"",$E$8-$C$8,SETUP!$D$185-$C$8),60000)+ROW()/1000000))</f>
        <v/>
      </c>
    </row>
    <row r="1137">
      <c r="G1137">
        <f>IF(OR(SETUP!$C$185="",$A$9="",$B$9&lt;&gt;"Equipment"),"","Equipment")</f>
        <v/>
      </c>
      <c r="H1137">
        <f>IF($G1137="","",SETUP!$C$185)</f>
        <v/>
      </c>
      <c r="I1137">
        <f>IF($G1137="","",$A$9)</f>
        <v/>
      </c>
      <c r="J1137">
        <f>IF($G1137="","",IF(COUNTIFS(DOC_TYPE,$I1137,DOC_EQP,$H1137,DOC_SCOPE,"Equipment",DOC_ACTIVE,1)+COUNTIFS(DOC_TYPE,$I1137,DOC_SYS,SETUP!$B$185,DOC_SCOPE,"System",DOC_ACTIVE,1)+COUNTIFS(DOC_TYPE,$I1137,DOC_SCOPE,"All",DOC_ACTIVE,1)&gt;0,"",IFERROR(IF($E$9&lt;&gt;"",$E$9-$C$9,SETUP!$D$185-$C$9),60000)+ROW()/1000000))</f>
        <v/>
      </c>
    </row>
    <row r="1138">
      <c r="G1138">
        <f>IF(OR(SETUP!$C$185="",$A$10="",$B$10&lt;&gt;"Equipment"),"","Equipment")</f>
        <v/>
      </c>
      <c r="H1138">
        <f>IF($G1138="","",SETUP!$C$185)</f>
        <v/>
      </c>
      <c r="I1138">
        <f>IF($G1138="","",$A$10)</f>
        <v/>
      </c>
      <c r="J1138">
        <f>IF($G1138="","",IF(COUNTIFS(DOC_TYPE,$I1138,DOC_EQP,$H1138,DOC_SCOPE,"Equipment",DOC_ACTIVE,1)+COUNTIFS(DOC_TYPE,$I1138,DOC_SYS,SETUP!$B$185,DOC_SCOPE,"System",DOC_ACTIVE,1)+COUNTIFS(DOC_TYPE,$I1138,DOC_SCOPE,"All",DOC_ACTIVE,1)&gt;0,"",IFERROR(IF($E$10&lt;&gt;"",$E$10-$C$10,SETUP!$D$185-$C$10),60000)+ROW()/1000000))</f>
        <v/>
      </c>
    </row>
    <row r="1139">
      <c r="G1139">
        <f>IF(OR(SETUP!$C$185="",$A$11="",$B$11&lt;&gt;"Equipment"),"","Equipment")</f>
        <v/>
      </c>
      <c r="H1139">
        <f>IF($G1139="","",SETUP!$C$185)</f>
        <v/>
      </c>
      <c r="I1139">
        <f>IF($G1139="","",$A$11)</f>
        <v/>
      </c>
      <c r="J1139">
        <f>IF($G1139="","",IF(COUNTIFS(DOC_TYPE,$I1139,DOC_EQP,$H1139,DOC_SCOPE,"Equipment",DOC_ACTIVE,1)+COUNTIFS(DOC_TYPE,$I1139,DOC_SYS,SETUP!$B$185,DOC_SCOPE,"System",DOC_ACTIVE,1)+COUNTIFS(DOC_TYPE,$I1139,DOC_SCOPE,"All",DOC_ACTIVE,1)&gt;0,"",IFERROR(IF($E$11&lt;&gt;"",$E$11-$C$11,SETUP!$D$185-$C$11),60000)+ROW()/1000000))</f>
        <v/>
      </c>
    </row>
    <row r="1140">
      <c r="G1140">
        <f>IF(OR(SETUP!$C$185="",$A$12="",$B$12&lt;&gt;"Equipment"),"","Equipment")</f>
        <v/>
      </c>
      <c r="H1140">
        <f>IF($G1140="","",SETUP!$C$185)</f>
        <v/>
      </c>
      <c r="I1140">
        <f>IF($G1140="","",$A$12)</f>
        <v/>
      </c>
      <c r="J1140">
        <f>IF($G1140="","",IF(COUNTIFS(DOC_TYPE,$I1140,DOC_EQP,$H1140,DOC_SCOPE,"Equipment",DOC_ACTIVE,1)+COUNTIFS(DOC_TYPE,$I1140,DOC_SYS,SETUP!$B$185,DOC_SCOPE,"System",DOC_ACTIVE,1)+COUNTIFS(DOC_TYPE,$I1140,DOC_SCOPE,"All",DOC_ACTIVE,1)&gt;0,"",IFERROR(IF($E$12&lt;&gt;"",$E$12-$C$12,SETUP!$D$185-$C$12),60000)+ROW()/1000000))</f>
        <v/>
      </c>
    </row>
    <row r="1141">
      <c r="G1141">
        <f>IF(OR(SETUP!$C$185="",$A$13="",$B$13&lt;&gt;"Equipment"),"","Equipment")</f>
        <v/>
      </c>
      <c r="H1141">
        <f>IF($G1141="","",SETUP!$C$185)</f>
        <v/>
      </c>
      <c r="I1141">
        <f>IF($G1141="","",$A$13)</f>
        <v/>
      </c>
      <c r="J1141">
        <f>IF($G1141="","",IF(COUNTIFS(DOC_TYPE,$I1141,DOC_EQP,$H1141,DOC_SCOPE,"Equipment",DOC_ACTIVE,1)+COUNTIFS(DOC_TYPE,$I1141,DOC_SYS,SETUP!$B$185,DOC_SCOPE,"System",DOC_ACTIVE,1)+COUNTIFS(DOC_TYPE,$I1141,DOC_SCOPE,"All",DOC_ACTIVE,1)&gt;0,"",IFERROR(IF($E$13&lt;&gt;"",$E$13-$C$13,SETUP!$D$185-$C$13),60000)+ROW()/1000000))</f>
        <v/>
      </c>
    </row>
    <row r="1142">
      <c r="G1142">
        <f>IF(OR(SETUP!$C$186="",$A$2="",$B$2&lt;&gt;"Equipment"),"","Equipment")</f>
        <v/>
      </c>
      <c r="H1142">
        <f>IF($G1142="","",SETUP!$C$186)</f>
        <v/>
      </c>
      <c r="I1142">
        <f>IF($G1142="","",$A$2)</f>
        <v/>
      </c>
      <c r="J1142">
        <f>IF($G1142="","",IF(COUNTIFS(DOC_TYPE,$I1142,DOC_EQP,$H1142,DOC_SCOPE,"Equipment",DOC_ACTIVE,1)+COUNTIFS(DOC_TYPE,$I1142,DOC_SYS,SETUP!$B$186,DOC_SCOPE,"System",DOC_ACTIVE,1)+COUNTIFS(DOC_TYPE,$I1142,DOC_SCOPE,"All",DOC_ACTIVE,1)&gt;0,"",IFERROR(IF($E$2&lt;&gt;"",$E$2-$C$2,SETUP!$D$186-$C$2),60000)+ROW()/1000000))</f>
        <v/>
      </c>
    </row>
    <row r="1143">
      <c r="G1143">
        <f>IF(OR(SETUP!$C$186="",$A$3="",$B$3&lt;&gt;"Equipment"),"","Equipment")</f>
        <v/>
      </c>
      <c r="H1143">
        <f>IF($G1143="","",SETUP!$C$186)</f>
        <v/>
      </c>
      <c r="I1143">
        <f>IF($G1143="","",$A$3)</f>
        <v/>
      </c>
      <c r="J1143">
        <f>IF($G1143="","",IF(COUNTIFS(DOC_TYPE,$I1143,DOC_EQP,$H1143,DOC_SCOPE,"Equipment",DOC_ACTIVE,1)+COUNTIFS(DOC_TYPE,$I1143,DOC_SYS,SETUP!$B$186,DOC_SCOPE,"System",DOC_ACTIVE,1)+COUNTIFS(DOC_TYPE,$I1143,DOC_SCOPE,"All",DOC_ACTIVE,1)&gt;0,"",IFERROR(IF($E$3&lt;&gt;"",$E$3-$C$3,SETUP!$D$186-$C$3),60000)+ROW()/1000000))</f>
        <v/>
      </c>
    </row>
    <row r="1144">
      <c r="G1144">
        <f>IF(OR(SETUP!$C$186="",$A$4="",$B$4&lt;&gt;"Equipment"),"","Equipment")</f>
        <v/>
      </c>
      <c r="H1144">
        <f>IF($G1144="","",SETUP!$C$186)</f>
        <v/>
      </c>
      <c r="I1144">
        <f>IF($G1144="","",$A$4)</f>
        <v/>
      </c>
      <c r="J1144">
        <f>IF($G1144="","",IF(COUNTIFS(DOC_TYPE,$I1144,DOC_EQP,$H1144,DOC_SCOPE,"Equipment",DOC_ACTIVE,1)+COUNTIFS(DOC_TYPE,$I1144,DOC_SYS,SETUP!$B$186,DOC_SCOPE,"System",DOC_ACTIVE,1)+COUNTIFS(DOC_TYPE,$I1144,DOC_SCOPE,"All",DOC_ACTIVE,1)&gt;0,"",IFERROR(IF($E$4&lt;&gt;"",$E$4-$C$4,SETUP!$D$186-$C$4),60000)+ROW()/1000000))</f>
        <v/>
      </c>
    </row>
    <row r="1145">
      <c r="G1145">
        <f>IF(OR(SETUP!$C$186="",$A$5="",$B$5&lt;&gt;"Equipment"),"","Equipment")</f>
        <v/>
      </c>
      <c r="H1145">
        <f>IF($G1145="","",SETUP!$C$186)</f>
        <v/>
      </c>
      <c r="I1145">
        <f>IF($G1145="","",$A$5)</f>
        <v/>
      </c>
      <c r="J1145">
        <f>IF($G1145="","",IF(COUNTIFS(DOC_TYPE,$I1145,DOC_EQP,$H1145,DOC_SCOPE,"Equipment",DOC_ACTIVE,1)+COUNTIFS(DOC_TYPE,$I1145,DOC_SYS,SETUP!$B$186,DOC_SCOPE,"System",DOC_ACTIVE,1)+COUNTIFS(DOC_TYPE,$I1145,DOC_SCOPE,"All",DOC_ACTIVE,1)&gt;0,"",IFERROR(IF($E$5&lt;&gt;"",$E$5-$C$5,SETUP!$D$186-$C$5),60000)+ROW()/1000000))</f>
        <v/>
      </c>
    </row>
    <row r="1146">
      <c r="G1146">
        <f>IF(OR(SETUP!$C$186="",$A$6="",$B$6&lt;&gt;"Equipment"),"","Equipment")</f>
        <v/>
      </c>
      <c r="H1146">
        <f>IF($G1146="","",SETUP!$C$186)</f>
        <v/>
      </c>
      <c r="I1146">
        <f>IF($G1146="","",$A$6)</f>
        <v/>
      </c>
      <c r="J1146">
        <f>IF($G1146="","",IF(COUNTIFS(DOC_TYPE,$I1146,DOC_EQP,$H1146,DOC_SCOPE,"Equipment",DOC_ACTIVE,1)+COUNTIFS(DOC_TYPE,$I1146,DOC_SYS,SETUP!$B$186,DOC_SCOPE,"System",DOC_ACTIVE,1)+COUNTIFS(DOC_TYPE,$I1146,DOC_SCOPE,"All",DOC_ACTIVE,1)&gt;0,"",IFERROR(IF($E$6&lt;&gt;"",$E$6-$C$6,SETUP!$D$186-$C$6),60000)+ROW()/1000000))</f>
        <v/>
      </c>
    </row>
    <row r="1147">
      <c r="G1147">
        <f>IF(OR(SETUP!$C$186="",$A$7="",$B$7&lt;&gt;"Equipment"),"","Equipment")</f>
        <v/>
      </c>
      <c r="H1147">
        <f>IF($G1147="","",SETUP!$C$186)</f>
        <v/>
      </c>
      <c r="I1147">
        <f>IF($G1147="","",$A$7)</f>
        <v/>
      </c>
      <c r="J1147">
        <f>IF($G1147="","",IF(COUNTIFS(DOC_TYPE,$I1147,DOC_EQP,$H1147,DOC_SCOPE,"Equipment",DOC_ACTIVE,1)+COUNTIFS(DOC_TYPE,$I1147,DOC_SYS,SETUP!$B$186,DOC_SCOPE,"System",DOC_ACTIVE,1)+COUNTIFS(DOC_TYPE,$I1147,DOC_SCOPE,"All",DOC_ACTIVE,1)&gt;0,"",IFERROR(IF($E$7&lt;&gt;"",$E$7-$C$7,SETUP!$D$186-$C$7),60000)+ROW()/1000000))</f>
        <v/>
      </c>
    </row>
    <row r="1148">
      <c r="G1148">
        <f>IF(OR(SETUP!$C$186="",$A$8="",$B$8&lt;&gt;"Equipment"),"","Equipment")</f>
        <v/>
      </c>
      <c r="H1148">
        <f>IF($G1148="","",SETUP!$C$186)</f>
        <v/>
      </c>
      <c r="I1148">
        <f>IF($G1148="","",$A$8)</f>
        <v/>
      </c>
      <c r="J1148">
        <f>IF($G1148="","",IF(COUNTIFS(DOC_TYPE,$I1148,DOC_EQP,$H1148,DOC_SCOPE,"Equipment",DOC_ACTIVE,1)+COUNTIFS(DOC_TYPE,$I1148,DOC_SYS,SETUP!$B$186,DOC_SCOPE,"System",DOC_ACTIVE,1)+COUNTIFS(DOC_TYPE,$I1148,DOC_SCOPE,"All",DOC_ACTIVE,1)&gt;0,"",IFERROR(IF($E$8&lt;&gt;"",$E$8-$C$8,SETUP!$D$186-$C$8),60000)+ROW()/1000000))</f>
        <v/>
      </c>
    </row>
    <row r="1149">
      <c r="G1149">
        <f>IF(OR(SETUP!$C$186="",$A$9="",$B$9&lt;&gt;"Equipment"),"","Equipment")</f>
        <v/>
      </c>
      <c r="H1149">
        <f>IF($G1149="","",SETUP!$C$186)</f>
        <v/>
      </c>
      <c r="I1149">
        <f>IF($G1149="","",$A$9)</f>
        <v/>
      </c>
      <c r="J1149">
        <f>IF($G1149="","",IF(COUNTIFS(DOC_TYPE,$I1149,DOC_EQP,$H1149,DOC_SCOPE,"Equipment",DOC_ACTIVE,1)+COUNTIFS(DOC_TYPE,$I1149,DOC_SYS,SETUP!$B$186,DOC_SCOPE,"System",DOC_ACTIVE,1)+COUNTIFS(DOC_TYPE,$I1149,DOC_SCOPE,"All",DOC_ACTIVE,1)&gt;0,"",IFERROR(IF($E$9&lt;&gt;"",$E$9-$C$9,SETUP!$D$186-$C$9),60000)+ROW()/1000000))</f>
        <v/>
      </c>
    </row>
    <row r="1150">
      <c r="G1150">
        <f>IF(OR(SETUP!$C$186="",$A$10="",$B$10&lt;&gt;"Equipment"),"","Equipment")</f>
        <v/>
      </c>
      <c r="H1150">
        <f>IF($G1150="","",SETUP!$C$186)</f>
        <v/>
      </c>
      <c r="I1150">
        <f>IF($G1150="","",$A$10)</f>
        <v/>
      </c>
      <c r="J1150">
        <f>IF($G1150="","",IF(COUNTIFS(DOC_TYPE,$I1150,DOC_EQP,$H1150,DOC_SCOPE,"Equipment",DOC_ACTIVE,1)+COUNTIFS(DOC_TYPE,$I1150,DOC_SYS,SETUP!$B$186,DOC_SCOPE,"System",DOC_ACTIVE,1)+COUNTIFS(DOC_TYPE,$I1150,DOC_SCOPE,"All",DOC_ACTIVE,1)&gt;0,"",IFERROR(IF($E$10&lt;&gt;"",$E$10-$C$10,SETUP!$D$186-$C$10),60000)+ROW()/1000000))</f>
        <v/>
      </c>
    </row>
    <row r="1151">
      <c r="G1151">
        <f>IF(OR(SETUP!$C$186="",$A$11="",$B$11&lt;&gt;"Equipment"),"","Equipment")</f>
        <v/>
      </c>
      <c r="H1151">
        <f>IF($G1151="","",SETUP!$C$186)</f>
        <v/>
      </c>
      <c r="I1151">
        <f>IF($G1151="","",$A$11)</f>
        <v/>
      </c>
      <c r="J1151">
        <f>IF($G1151="","",IF(COUNTIFS(DOC_TYPE,$I1151,DOC_EQP,$H1151,DOC_SCOPE,"Equipment",DOC_ACTIVE,1)+COUNTIFS(DOC_TYPE,$I1151,DOC_SYS,SETUP!$B$186,DOC_SCOPE,"System",DOC_ACTIVE,1)+COUNTIFS(DOC_TYPE,$I1151,DOC_SCOPE,"All",DOC_ACTIVE,1)&gt;0,"",IFERROR(IF($E$11&lt;&gt;"",$E$11-$C$11,SETUP!$D$186-$C$11),60000)+ROW()/1000000))</f>
        <v/>
      </c>
    </row>
    <row r="1152">
      <c r="G1152">
        <f>IF(OR(SETUP!$C$186="",$A$12="",$B$12&lt;&gt;"Equipment"),"","Equipment")</f>
        <v/>
      </c>
      <c r="H1152">
        <f>IF($G1152="","",SETUP!$C$186)</f>
        <v/>
      </c>
      <c r="I1152">
        <f>IF($G1152="","",$A$12)</f>
        <v/>
      </c>
      <c r="J1152">
        <f>IF($G1152="","",IF(COUNTIFS(DOC_TYPE,$I1152,DOC_EQP,$H1152,DOC_SCOPE,"Equipment",DOC_ACTIVE,1)+COUNTIFS(DOC_TYPE,$I1152,DOC_SYS,SETUP!$B$186,DOC_SCOPE,"System",DOC_ACTIVE,1)+COUNTIFS(DOC_TYPE,$I1152,DOC_SCOPE,"All",DOC_ACTIVE,1)&gt;0,"",IFERROR(IF($E$12&lt;&gt;"",$E$12-$C$12,SETUP!$D$186-$C$12),60000)+ROW()/1000000))</f>
        <v/>
      </c>
    </row>
    <row r="1153">
      <c r="G1153">
        <f>IF(OR(SETUP!$C$186="",$A$13="",$B$13&lt;&gt;"Equipment"),"","Equipment")</f>
        <v/>
      </c>
      <c r="H1153">
        <f>IF($G1153="","",SETUP!$C$186)</f>
        <v/>
      </c>
      <c r="I1153">
        <f>IF($G1153="","",$A$13)</f>
        <v/>
      </c>
      <c r="J1153">
        <f>IF($G1153="","",IF(COUNTIFS(DOC_TYPE,$I1153,DOC_EQP,$H1153,DOC_SCOPE,"Equipment",DOC_ACTIVE,1)+COUNTIFS(DOC_TYPE,$I1153,DOC_SYS,SETUP!$B$186,DOC_SCOPE,"System",DOC_ACTIVE,1)+COUNTIFS(DOC_TYPE,$I1153,DOC_SCOPE,"All",DOC_ACTIVE,1)&gt;0,"",IFERROR(IF($E$13&lt;&gt;"",$E$13-$C$13,SETUP!$D$186-$C$13),60000)+ROW()/1000000))</f>
        <v/>
      </c>
    </row>
    <row r="1154">
      <c r="G1154">
        <f>IF(OR(SETUP!$C$187="",$A$2="",$B$2&lt;&gt;"Equipment"),"","Equipment")</f>
        <v/>
      </c>
      <c r="H1154">
        <f>IF($G1154="","",SETUP!$C$187)</f>
        <v/>
      </c>
      <c r="I1154">
        <f>IF($G1154="","",$A$2)</f>
        <v/>
      </c>
      <c r="J1154">
        <f>IF($G1154="","",IF(COUNTIFS(DOC_TYPE,$I1154,DOC_EQP,$H1154,DOC_SCOPE,"Equipment",DOC_ACTIVE,1)+COUNTIFS(DOC_TYPE,$I1154,DOC_SYS,SETUP!$B$187,DOC_SCOPE,"System",DOC_ACTIVE,1)+COUNTIFS(DOC_TYPE,$I1154,DOC_SCOPE,"All",DOC_ACTIVE,1)&gt;0,"",IFERROR(IF($E$2&lt;&gt;"",$E$2-$C$2,SETUP!$D$187-$C$2),60000)+ROW()/1000000))</f>
        <v/>
      </c>
    </row>
    <row r="1155">
      <c r="G1155">
        <f>IF(OR(SETUP!$C$187="",$A$3="",$B$3&lt;&gt;"Equipment"),"","Equipment")</f>
        <v/>
      </c>
      <c r="H1155">
        <f>IF($G1155="","",SETUP!$C$187)</f>
        <v/>
      </c>
      <c r="I1155">
        <f>IF($G1155="","",$A$3)</f>
        <v/>
      </c>
      <c r="J1155">
        <f>IF($G1155="","",IF(COUNTIFS(DOC_TYPE,$I1155,DOC_EQP,$H1155,DOC_SCOPE,"Equipment",DOC_ACTIVE,1)+COUNTIFS(DOC_TYPE,$I1155,DOC_SYS,SETUP!$B$187,DOC_SCOPE,"System",DOC_ACTIVE,1)+COUNTIFS(DOC_TYPE,$I1155,DOC_SCOPE,"All",DOC_ACTIVE,1)&gt;0,"",IFERROR(IF($E$3&lt;&gt;"",$E$3-$C$3,SETUP!$D$187-$C$3),60000)+ROW()/1000000))</f>
        <v/>
      </c>
    </row>
    <row r="1156">
      <c r="G1156">
        <f>IF(OR(SETUP!$C$187="",$A$4="",$B$4&lt;&gt;"Equipment"),"","Equipment")</f>
        <v/>
      </c>
      <c r="H1156">
        <f>IF($G1156="","",SETUP!$C$187)</f>
        <v/>
      </c>
      <c r="I1156">
        <f>IF($G1156="","",$A$4)</f>
        <v/>
      </c>
      <c r="J1156">
        <f>IF($G1156="","",IF(COUNTIFS(DOC_TYPE,$I1156,DOC_EQP,$H1156,DOC_SCOPE,"Equipment",DOC_ACTIVE,1)+COUNTIFS(DOC_TYPE,$I1156,DOC_SYS,SETUP!$B$187,DOC_SCOPE,"System",DOC_ACTIVE,1)+COUNTIFS(DOC_TYPE,$I1156,DOC_SCOPE,"All",DOC_ACTIVE,1)&gt;0,"",IFERROR(IF($E$4&lt;&gt;"",$E$4-$C$4,SETUP!$D$187-$C$4),60000)+ROW()/1000000))</f>
        <v/>
      </c>
    </row>
    <row r="1157">
      <c r="G1157">
        <f>IF(OR(SETUP!$C$187="",$A$5="",$B$5&lt;&gt;"Equipment"),"","Equipment")</f>
        <v/>
      </c>
      <c r="H1157">
        <f>IF($G1157="","",SETUP!$C$187)</f>
        <v/>
      </c>
      <c r="I1157">
        <f>IF($G1157="","",$A$5)</f>
        <v/>
      </c>
      <c r="J1157">
        <f>IF($G1157="","",IF(COUNTIFS(DOC_TYPE,$I1157,DOC_EQP,$H1157,DOC_SCOPE,"Equipment",DOC_ACTIVE,1)+COUNTIFS(DOC_TYPE,$I1157,DOC_SYS,SETUP!$B$187,DOC_SCOPE,"System",DOC_ACTIVE,1)+COUNTIFS(DOC_TYPE,$I1157,DOC_SCOPE,"All",DOC_ACTIVE,1)&gt;0,"",IFERROR(IF($E$5&lt;&gt;"",$E$5-$C$5,SETUP!$D$187-$C$5),60000)+ROW()/1000000))</f>
        <v/>
      </c>
    </row>
    <row r="1158">
      <c r="G1158">
        <f>IF(OR(SETUP!$C$187="",$A$6="",$B$6&lt;&gt;"Equipment"),"","Equipment")</f>
        <v/>
      </c>
      <c r="H1158">
        <f>IF($G1158="","",SETUP!$C$187)</f>
        <v/>
      </c>
      <c r="I1158">
        <f>IF($G1158="","",$A$6)</f>
        <v/>
      </c>
      <c r="J1158">
        <f>IF($G1158="","",IF(COUNTIFS(DOC_TYPE,$I1158,DOC_EQP,$H1158,DOC_SCOPE,"Equipment",DOC_ACTIVE,1)+COUNTIFS(DOC_TYPE,$I1158,DOC_SYS,SETUP!$B$187,DOC_SCOPE,"System",DOC_ACTIVE,1)+COUNTIFS(DOC_TYPE,$I1158,DOC_SCOPE,"All",DOC_ACTIVE,1)&gt;0,"",IFERROR(IF($E$6&lt;&gt;"",$E$6-$C$6,SETUP!$D$187-$C$6),60000)+ROW()/1000000))</f>
        <v/>
      </c>
    </row>
    <row r="1159">
      <c r="G1159">
        <f>IF(OR(SETUP!$C$187="",$A$7="",$B$7&lt;&gt;"Equipment"),"","Equipment")</f>
        <v/>
      </c>
      <c r="H1159">
        <f>IF($G1159="","",SETUP!$C$187)</f>
        <v/>
      </c>
      <c r="I1159">
        <f>IF($G1159="","",$A$7)</f>
        <v/>
      </c>
      <c r="J1159">
        <f>IF($G1159="","",IF(COUNTIFS(DOC_TYPE,$I1159,DOC_EQP,$H1159,DOC_SCOPE,"Equipment",DOC_ACTIVE,1)+COUNTIFS(DOC_TYPE,$I1159,DOC_SYS,SETUP!$B$187,DOC_SCOPE,"System",DOC_ACTIVE,1)+COUNTIFS(DOC_TYPE,$I1159,DOC_SCOPE,"All",DOC_ACTIVE,1)&gt;0,"",IFERROR(IF($E$7&lt;&gt;"",$E$7-$C$7,SETUP!$D$187-$C$7),60000)+ROW()/1000000))</f>
        <v/>
      </c>
    </row>
    <row r="1160">
      <c r="G1160">
        <f>IF(OR(SETUP!$C$187="",$A$8="",$B$8&lt;&gt;"Equipment"),"","Equipment")</f>
        <v/>
      </c>
      <c r="H1160">
        <f>IF($G1160="","",SETUP!$C$187)</f>
        <v/>
      </c>
      <c r="I1160">
        <f>IF($G1160="","",$A$8)</f>
        <v/>
      </c>
      <c r="J1160">
        <f>IF($G1160="","",IF(COUNTIFS(DOC_TYPE,$I1160,DOC_EQP,$H1160,DOC_SCOPE,"Equipment",DOC_ACTIVE,1)+COUNTIFS(DOC_TYPE,$I1160,DOC_SYS,SETUP!$B$187,DOC_SCOPE,"System",DOC_ACTIVE,1)+COUNTIFS(DOC_TYPE,$I1160,DOC_SCOPE,"All",DOC_ACTIVE,1)&gt;0,"",IFERROR(IF($E$8&lt;&gt;"",$E$8-$C$8,SETUP!$D$187-$C$8),60000)+ROW()/1000000))</f>
        <v/>
      </c>
    </row>
    <row r="1161">
      <c r="G1161">
        <f>IF(OR(SETUP!$C$187="",$A$9="",$B$9&lt;&gt;"Equipment"),"","Equipment")</f>
        <v/>
      </c>
      <c r="H1161">
        <f>IF($G1161="","",SETUP!$C$187)</f>
        <v/>
      </c>
      <c r="I1161">
        <f>IF($G1161="","",$A$9)</f>
        <v/>
      </c>
      <c r="J1161">
        <f>IF($G1161="","",IF(COUNTIFS(DOC_TYPE,$I1161,DOC_EQP,$H1161,DOC_SCOPE,"Equipment",DOC_ACTIVE,1)+COUNTIFS(DOC_TYPE,$I1161,DOC_SYS,SETUP!$B$187,DOC_SCOPE,"System",DOC_ACTIVE,1)+COUNTIFS(DOC_TYPE,$I1161,DOC_SCOPE,"All",DOC_ACTIVE,1)&gt;0,"",IFERROR(IF($E$9&lt;&gt;"",$E$9-$C$9,SETUP!$D$187-$C$9),60000)+ROW()/1000000))</f>
        <v/>
      </c>
    </row>
    <row r="1162">
      <c r="G1162">
        <f>IF(OR(SETUP!$C$187="",$A$10="",$B$10&lt;&gt;"Equipment"),"","Equipment")</f>
        <v/>
      </c>
      <c r="H1162">
        <f>IF($G1162="","",SETUP!$C$187)</f>
        <v/>
      </c>
      <c r="I1162">
        <f>IF($G1162="","",$A$10)</f>
        <v/>
      </c>
      <c r="J1162">
        <f>IF($G1162="","",IF(COUNTIFS(DOC_TYPE,$I1162,DOC_EQP,$H1162,DOC_SCOPE,"Equipment",DOC_ACTIVE,1)+COUNTIFS(DOC_TYPE,$I1162,DOC_SYS,SETUP!$B$187,DOC_SCOPE,"System",DOC_ACTIVE,1)+COUNTIFS(DOC_TYPE,$I1162,DOC_SCOPE,"All",DOC_ACTIVE,1)&gt;0,"",IFERROR(IF($E$10&lt;&gt;"",$E$10-$C$10,SETUP!$D$187-$C$10),60000)+ROW()/1000000))</f>
        <v/>
      </c>
    </row>
    <row r="1163">
      <c r="G1163">
        <f>IF(OR(SETUP!$C$187="",$A$11="",$B$11&lt;&gt;"Equipment"),"","Equipment")</f>
        <v/>
      </c>
      <c r="H1163">
        <f>IF($G1163="","",SETUP!$C$187)</f>
        <v/>
      </c>
      <c r="I1163">
        <f>IF($G1163="","",$A$11)</f>
        <v/>
      </c>
      <c r="J1163">
        <f>IF($G1163="","",IF(COUNTIFS(DOC_TYPE,$I1163,DOC_EQP,$H1163,DOC_SCOPE,"Equipment",DOC_ACTIVE,1)+COUNTIFS(DOC_TYPE,$I1163,DOC_SYS,SETUP!$B$187,DOC_SCOPE,"System",DOC_ACTIVE,1)+COUNTIFS(DOC_TYPE,$I1163,DOC_SCOPE,"All",DOC_ACTIVE,1)&gt;0,"",IFERROR(IF($E$11&lt;&gt;"",$E$11-$C$11,SETUP!$D$187-$C$11),60000)+ROW()/1000000))</f>
        <v/>
      </c>
    </row>
    <row r="1164">
      <c r="G1164">
        <f>IF(OR(SETUP!$C$187="",$A$12="",$B$12&lt;&gt;"Equipment"),"","Equipment")</f>
        <v/>
      </c>
      <c r="H1164">
        <f>IF($G1164="","",SETUP!$C$187)</f>
        <v/>
      </c>
      <c r="I1164">
        <f>IF($G1164="","",$A$12)</f>
        <v/>
      </c>
      <c r="J1164">
        <f>IF($G1164="","",IF(COUNTIFS(DOC_TYPE,$I1164,DOC_EQP,$H1164,DOC_SCOPE,"Equipment",DOC_ACTIVE,1)+COUNTIFS(DOC_TYPE,$I1164,DOC_SYS,SETUP!$B$187,DOC_SCOPE,"System",DOC_ACTIVE,1)+COUNTIFS(DOC_TYPE,$I1164,DOC_SCOPE,"All",DOC_ACTIVE,1)&gt;0,"",IFERROR(IF($E$12&lt;&gt;"",$E$12-$C$12,SETUP!$D$187-$C$12),60000)+ROW()/1000000))</f>
        <v/>
      </c>
    </row>
    <row r="1165">
      <c r="G1165">
        <f>IF(OR(SETUP!$C$187="",$A$13="",$B$13&lt;&gt;"Equipment"),"","Equipment")</f>
        <v/>
      </c>
      <c r="H1165">
        <f>IF($G1165="","",SETUP!$C$187)</f>
        <v/>
      </c>
      <c r="I1165">
        <f>IF($G1165="","",$A$13)</f>
        <v/>
      </c>
      <c r="J1165">
        <f>IF($G1165="","",IF(COUNTIFS(DOC_TYPE,$I1165,DOC_EQP,$H1165,DOC_SCOPE,"Equipment",DOC_ACTIVE,1)+COUNTIFS(DOC_TYPE,$I1165,DOC_SYS,SETUP!$B$187,DOC_SCOPE,"System",DOC_ACTIVE,1)+COUNTIFS(DOC_TYPE,$I1165,DOC_SCOPE,"All",DOC_ACTIVE,1)&gt;0,"",IFERROR(IF($E$13&lt;&gt;"",$E$13-$C$13,SETUP!$D$187-$C$13),60000)+ROW()/1000000))</f>
        <v/>
      </c>
    </row>
    <row r="1166">
      <c r="G1166">
        <f>IF(OR(SETUP!$C$188="",$A$2="",$B$2&lt;&gt;"Equipment"),"","Equipment")</f>
        <v/>
      </c>
      <c r="H1166">
        <f>IF($G1166="","",SETUP!$C$188)</f>
        <v/>
      </c>
      <c r="I1166">
        <f>IF($G1166="","",$A$2)</f>
        <v/>
      </c>
      <c r="J1166">
        <f>IF($G1166="","",IF(COUNTIFS(DOC_TYPE,$I1166,DOC_EQP,$H1166,DOC_SCOPE,"Equipment",DOC_ACTIVE,1)+COUNTIFS(DOC_TYPE,$I1166,DOC_SYS,SETUP!$B$188,DOC_SCOPE,"System",DOC_ACTIVE,1)+COUNTIFS(DOC_TYPE,$I1166,DOC_SCOPE,"All",DOC_ACTIVE,1)&gt;0,"",IFERROR(IF($E$2&lt;&gt;"",$E$2-$C$2,SETUP!$D$188-$C$2),60000)+ROW()/1000000))</f>
        <v/>
      </c>
    </row>
    <row r="1167">
      <c r="G1167">
        <f>IF(OR(SETUP!$C$188="",$A$3="",$B$3&lt;&gt;"Equipment"),"","Equipment")</f>
        <v/>
      </c>
      <c r="H1167">
        <f>IF($G1167="","",SETUP!$C$188)</f>
        <v/>
      </c>
      <c r="I1167">
        <f>IF($G1167="","",$A$3)</f>
        <v/>
      </c>
      <c r="J1167">
        <f>IF($G1167="","",IF(COUNTIFS(DOC_TYPE,$I1167,DOC_EQP,$H1167,DOC_SCOPE,"Equipment",DOC_ACTIVE,1)+COUNTIFS(DOC_TYPE,$I1167,DOC_SYS,SETUP!$B$188,DOC_SCOPE,"System",DOC_ACTIVE,1)+COUNTIFS(DOC_TYPE,$I1167,DOC_SCOPE,"All",DOC_ACTIVE,1)&gt;0,"",IFERROR(IF($E$3&lt;&gt;"",$E$3-$C$3,SETUP!$D$188-$C$3),60000)+ROW()/1000000))</f>
        <v/>
      </c>
    </row>
    <row r="1168">
      <c r="G1168">
        <f>IF(OR(SETUP!$C$188="",$A$4="",$B$4&lt;&gt;"Equipment"),"","Equipment")</f>
        <v/>
      </c>
      <c r="H1168">
        <f>IF($G1168="","",SETUP!$C$188)</f>
        <v/>
      </c>
      <c r="I1168">
        <f>IF($G1168="","",$A$4)</f>
        <v/>
      </c>
      <c r="J1168">
        <f>IF($G1168="","",IF(COUNTIFS(DOC_TYPE,$I1168,DOC_EQP,$H1168,DOC_SCOPE,"Equipment",DOC_ACTIVE,1)+COUNTIFS(DOC_TYPE,$I1168,DOC_SYS,SETUP!$B$188,DOC_SCOPE,"System",DOC_ACTIVE,1)+COUNTIFS(DOC_TYPE,$I1168,DOC_SCOPE,"All",DOC_ACTIVE,1)&gt;0,"",IFERROR(IF($E$4&lt;&gt;"",$E$4-$C$4,SETUP!$D$188-$C$4),60000)+ROW()/1000000))</f>
        <v/>
      </c>
    </row>
    <row r="1169">
      <c r="G1169">
        <f>IF(OR(SETUP!$C$188="",$A$5="",$B$5&lt;&gt;"Equipment"),"","Equipment")</f>
        <v/>
      </c>
      <c r="H1169">
        <f>IF($G1169="","",SETUP!$C$188)</f>
        <v/>
      </c>
      <c r="I1169">
        <f>IF($G1169="","",$A$5)</f>
        <v/>
      </c>
      <c r="J1169">
        <f>IF($G1169="","",IF(COUNTIFS(DOC_TYPE,$I1169,DOC_EQP,$H1169,DOC_SCOPE,"Equipment",DOC_ACTIVE,1)+COUNTIFS(DOC_TYPE,$I1169,DOC_SYS,SETUP!$B$188,DOC_SCOPE,"System",DOC_ACTIVE,1)+COUNTIFS(DOC_TYPE,$I1169,DOC_SCOPE,"All",DOC_ACTIVE,1)&gt;0,"",IFERROR(IF($E$5&lt;&gt;"",$E$5-$C$5,SETUP!$D$188-$C$5),60000)+ROW()/1000000))</f>
        <v/>
      </c>
    </row>
    <row r="1170">
      <c r="G1170">
        <f>IF(OR(SETUP!$C$188="",$A$6="",$B$6&lt;&gt;"Equipment"),"","Equipment")</f>
        <v/>
      </c>
      <c r="H1170">
        <f>IF($G1170="","",SETUP!$C$188)</f>
        <v/>
      </c>
      <c r="I1170">
        <f>IF($G1170="","",$A$6)</f>
        <v/>
      </c>
      <c r="J1170">
        <f>IF($G1170="","",IF(COUNTIFS(DOC_TYPE,$I1170,DOC_EQP,$H1170,DOC_SCOPE,"Equipment",DOC_ACTIVE,1)+COUNTIFS(DOC_TYPE,$I1170,DOC_SYS,SETUP!$B$188,DOC_SCOPE,"System",DOC_ACTIVE,1)+COUNTIFS(DOC_TYPE,$I1170,DOC_SCOPE,"All",DOC_ACTIVE,1)&gt;0,"",IFERROR(IF($E$6&lt;&gt;"",$E$6-$C$6,SETUP!$D$188-$C$6),60000)+ROW()/1000000))</f>
        <v/>
      </c>
    </row>
    <row r="1171">
      <c r="G1171">
        <f>IF(OR(SETUP!$C$188="",$A$7="",$B$7&lt;&gt;"Equipment"),"","Equipment")</f>
        <v/>
      </c>
      <c r="H1171">
        <f>IF($G1171="","",SETUP!$C$188)</f>
        <v/>
      </c>
      <c r="I1171">
        <f>IF($G1171="","",$A$7)</f>
        <v/>
      </c>
      <c r="J1171">
        <f>IF($G1171="","",IF(COUNTIFS(DOC_TYPE,$I1171,DOC_EQP,$H1171,DOC_SCOPE,"Equipment",DOC_ACTIVE,1)+COUNTIFS(DOC_TYPE,$I1171,DOC_SYS,SETUP!$B$188,DOC_SCOPE,"System",DOC_ACTIVE,1)+COUNTIFS(DOC_TYPE,$I1171,DOC_SCOPE,"All",DOC_ACTIVE,1)&gt;0,"",IFERROR(IF($E$7&lt;&gt;"",$E$7-$C$7,SETUP!$D$188-$C$7),60000)+ROW()/1000000))</f>
        <v/>
      </c>
    </row>
    <row r="1172">
      <c r="G1172">
        <f>IF(OR(SETUP!$C$188="",$A$8="",$B$8&lt;&gt;"Equipment"),"","Equipment")</f>
        <v/>
      </c>
      <c r="H1172">
        <f>IF($G1172="","",SETUP!$C$188)</f>
        <v/>
      </c>
      <c r="I1172">
        <f>IF($G1172="","",$A$8)</f>
        <v/>
      </c>
      <c r="J1172">
        <f>IF($G1172="","",IF(COUNTIFS(DOC_TYPE,$I1172,DOC_EQP,$H1172,DOC_SCOPE,"Equipment",DOC_ACTIVE,1)+COUNTIFS(DOC_TYPE,$I1172,DOC_SYS,SETUP!$B$188,DOC_SCOPE,"System",DOC_ACTIVE,1)+COUNTIFS(DOC_TYPE,$I1172,DOC_SCOPE,"All",DOC_ACTIVE,1)&gt;0,"",IFERROR(IF($E$8&lt;&gt;"",$E$8-$C$8,SETUP!$D$188-$C$8),60000)+ROW()/1000000))</f>
        <v/>
      </c>
    </row>
    <row r="1173">
      <c r="G1173">
        <f>IF(OR(SETUP!$C$188="",$A$9="",$B$9&lt;&gt;"Equipment"),"","Equipment")</f>
        <v/>
      </c>
      <c r="H1173">
        <f>IF($G1173="","",SETUP!$C$188)</f>
        <v/>
      </c>
      <c r="I1173">
        <f>IF($G1173="","",$A$9)</f>
        <v/>
      </c>
      <c r="J1173">
        <f>IF($G1173="","",IF(COUNTIFS(DOC_TYPE,$I1173,DOC_EQP,$H1173,DOC_SCOPE,"Equipment",DOC_ACTIVE,1)+COUNTIFS(DOC_TYPE,$I1173,DOC_SYS,SETUP!$B$188,DOC_SCOPE,"System",DOC_ACTIVE,1)+COUNTIFS(DOC_TYPE,$I1173,DOC_SCOPE,"All",DOC_ACTIVE,1)&gt;0,"",IFERROR(IF($E$9&lt;&gt;"",$E$9-$C$9,SETUP!$D$188-$C$9),60000)+ROW()/1000000))</f>
        <v/>
      </c>
    </row>
    <row r="1174">
      <c r="G1174">
        <f>IF(OR(SETUP!$C$188="",$A$10="",$B$10&lt;&gt;"Equipment"),"","Equipment")</f>
        <v/>
      </c>
      <c r="H1174">
        <f>IF($G1174="","",SETUP!$C$188)</f>
        <v/>
      </c>
      <c r="I1174">
        <f>IF($G1174="","",$A$10)</f>
        <v/>
      </c>
      <c r="J1174">
        <f>IF($G1174="","",IF(COUNTIFS(DOC_TYPE,$I1174,DOC_EQP,$H1174,DOC_SCOPE,"Equipment",DOC_ACTIVE,1)+COUNTIFS(DOC_TYPE,$I1174,DOC_SYS,SETUP!$B$188,DOC_SCOPE,"System",DOC_ACTIVE,1)+COUNTIFS(DOC_TYPE,$I1174,DOC_SCOPE,"All",DOC_ACTIVE,1)&gt;0,"",IFERROR(IF($E$10&lt;&gt;"",$E$10-$C$10,SETUP!$D$188-$C$10),60000)+ROW()/1000000))</f>
        <v/>
      </c>
    </row>
    <row r="1175">
      <c r="G1175">
        <f>IF(OR(SETUP!$C$188="",$A$11="",$B$11&lt;&gt;"Equipment"),"","Equipment")</f>
        <v/>
      </c>
      <c r="H1175">
        <f>IF($G1175="","",SETUP!$C$188)</f>
        <v/>
      </c>
      <c r="I1175">
        <f>IF($G1175="","",$A$11)</f>
        <v/>
      </c>
      <c r="J1175">
        <f>IF($G1175="","",IF(COUNTIFS(DOC_TYPE,$I1175,DOC_EQP,$H1175,DOC_SCOPE,"Equipment",DOC_ACTIVE,1)+COUNTIFS(DOC_TYPE,$I1175,DOC_SYS,SETUP!$B$188,DOC_SCOPE,"System",DOC_ACTIVE,1)+COUNTIFS(DOC_TYPE,$I1175,DOC_SCOPE,"All",DOC_ACTIVE,1)&gt;0,"",IFERROR(IF($E$11&lt;&gt;"",$E$11-$C$11,SETUP!$D$188-$C$11),60000)+ROW()/1000000))</f>
        <v/>
      </c>
    </row>
    <row r="1176">
      <c r="G1176">
        <f>IF(OR(SETUP!$C$188="",$A$12="",$B$12&lt;&gt;"Equipment"),"","Equipment")</f>
        <v/>
      </c>
      <c r="H1176">
        <f>IF($G1176="","",SETUP!$C$188)</f>
        <v/>
      </c>
      <c r="I1176">
        <f>IF($G1176="","",$A$12)</f>
        <v/>
      </c>
      <c r="J1176">
        <f>IF($G1176="","",IF(COUNTIFS(DOC_TYPE,$I1176,DOC_EQP,$H1176,DOC_SCOPE,"Equipment",DOC_ACTIVE,1)+COUNTIFS(DOC_TYPE,$I1176,DOC_SYS,SETUP!$B$188,DOC_SCOPE,"System",DOC_ACTIVE,1)+COUNTIFS(DOC_TYPE,$I1176,DOC_SCOPE,"All",DOC_ACTIVE,1)&gt;0,"",IFERROR(IF($E$12&lt;&gt;"",$E$12-$C$12,SETUP!$D$188-$C$12),60000)+ROW()/1000000))</f>
        <v/>
      </c>
    </row>
    <row r="1177">
      <c r="G1177">
        <f>IF(OR(SETUP!$C$188="",$A$13="",$B$13&lt;&gt;"Equipment"),"","Equipment")</f>
        <v/>
      </c>
      <c r="H1177">
        <f>IF($G1177="","",SETUP!$C$188)</f>
        <v/>
      </c>
      <c r="I1177">
        <f>IF($G1177="","",$A$13)</f>
        <v/>
      </c>
      <c r="J1177">
        <f>IF($G1177="","",IF(COUNTIFS(DOC_TYPE,$I1177,DOC_EQP,$H1177,DOC_SCOPE,"Equipment",DOC_ACTIVE,1)+COUNTIFS(DOC_TYPE,$I1177,DOC_SYS,SETUP!$B$188,DOC_SCOPE,"System",DOC_ACTIVE,1)+COUNTIFS(DOC_TYPE,$I1177,DOC_SCOPE,"All",DOC_ACTIVE,1)&gt;0,"",IFERROR(IF($E$13&lt;&gt;"",$E$13-$C$13,SETUP!$D$188-$C$13),60000)+ROW()/1000000))</f>
        <v/>
      </c>
    </row>
    <row r="1178">
      <c r="G1178">
        <f>IF(OR(SETUP!$C$189="",$A$2="",$B$2&lt;&gt;"Equipment"),"","Equipment")</f>
        <v/>
      </c>
      <c r="H1178">
        <f>IF($G1178="","",SETUP!$C$189)</f>
        <v/>
      </c>
      <c r="I1178">
        <f>IF($G1178="","",$A$2)</f>
        <v/>
      </c>
      <c r="J1178">
        <f>IF($G1178="","",IF(COUNTIFS(DOC_TYPE,$I1178,DOC_EQP,$H1178,DOC_SCOPE,"Equipment",DOC_ACTIVE,1)+COUNTIFS(DOC_TYPE,$I1178,DOC_SYS,SETUP!$B$189,DOC_SCOPE,"System",DOC_ACTIVE,1)+COUNTIFS(DOC_TYPE,$I1178,DOC_SCOPE,"All",DOC_ACTIVE,1)&gt;0,"",IFERROR(IF($E$2&lt;&gt;"",$E$2-$C$2,SETUP!$D$189-$C$2),60000)+ROW()/1000000))</f>
        <v/>
      </c>
    </row>
    <row r="1179">
      <c r="G1179">
        <f>IF(OR(SETUP!$C$189="",$A$3="",$B$3&lt;&gt;"Equipment"),"","Equipment")</f>
        <v/>
      </c>
      <c r="H1179">
        <f>IF($G1179="","",SETUP!$C$189)</f>
        <v/>
      </c>
      <c r="I1179">
        <f>IF($G1179="","",$A$3)</f>
        <v/>
      </c>
      <c r="J1179">
        <f>IF($G1179="","",IF(COUNTIFS(DOC_TYPE,$I1179,DOC_EQP,$H1179,DOC_SCOPE,"Equipment",DOC_ACTIVE,1)+COUNTIFS(DOC_TYPE,$I1179,DOC_SYS,SETUP!$B$189,DOC_SCOPE,"System",DOC_ACTIVE,1)+COUNTIFS(DOC_TYPE,$I1179,DOC_SCOPE,"All",DOC_ACTIVE,1)&gt;0,"",IFERROR(IF($E$3&lt;&gt;"",$E$3-$C$3,SETUP!$D$189-$C$3),60000)+ROW()/1000000))</f>
        <v/>
      </c>
    </row>
    <row r="1180">
      <c r="G1180">
        <f>IF(OR(SETUP!$C$189="",$A$4="",$B$4&lt;&gt;"Equipment"),"","Equipment")</f>
        <v/>
      </c>
      <c r="H1180">
        <f>IF($G1180="","",SETUP!$C$189)</f>
        <v/>
      </c>
      <c r="I1180">
        <f>IF($G1180="","",$A$4)</f>
        <v/>
      </c>
      <c r="J1180">
        <f>IF($G1180="","",IF(COUNTIFS(DOC_TYPE,$I1180,DOC_EQP,$H1180,DOC_SCOPE,"Equipment",DOC_ACTIVE,1)+COUNTIFS(DOC_TYPE,$I1180,DOC_SYS,SETUP!$B$189,DOC_SCOPE,"System",DOC_ACTIVE,1)+COUNTIFS(DOC_TYPE,$I1180,DOC_SCOPE,"All",DOC_ACTIVE,1)&gt;0,"",IFERROR(IF($E$4&lt;&gt;"",$E$4-$C$4,SETUP!$D$189-$C$4),60000)+ROW()/1000000))</f>
        <v/>
      </c>
    </row>
    <row r="1181">
      <c r="G1181">
        <f>IF(OR(SETUP!$C$189="",$A$5="",$B$5&lt;&gt;"Equipment"),"","Equipment")</f>
        <v/>
      </c>
      <c r="H1181">
        <f>IF($G1181="","",SETUP!$C$189)</f>
        <v/>
      </c>
      <c r="I1181">
        <f>IF($G1181="","",$A$5)</f>
        <v/>
      </c>
      <c r="J1181">
        <f>IF($G1181="","",IF(COUNTIFS(DOC_TYPE,$I1181,DOC_EQP,$H1181,DOC_SCOPE,"Equipment",DOC_ACTIVE,1)+COUNTIFS(DOC_TYPE,$I1181,DOC_SYS,SETUP!$B$189,DOC_SCOPE,"System",DOC_ACTIVE,1)+COUNTIFS(DOC_TYPE,$I1181,DOC_SCOPE,"All",DOC_ACTIVE,1)&gt;0,"",IFERROR(IF($E$5&lt;&gt;"",$E$5-$C$5,SETUP!$D$189-$C$5),60000)+ROW()/1000000))</f>
        <v/>
      </c>
    </row>
    <row r="1182">
      <c r="G1182">
        <f>IF(OR(SETUP!$C$189="",$A$6="",$B$6&lt;&gt;"Equipment"),"","Equipment")</f>
        <v/>
      </c>
      <c r="H1182">
        <f>IF($G1182="","",SETUP!$C$189)</f>
        <v/>
      </c>
      <c r="I1182">
        <f>IF($G1182="","",$A$6)</f>
        <v/>
      </c>
      <c r="J1182">
        <f>IF($G1182="","",IF(COUNTIFS(DOC_TYPE,$I1182,DOC_EQP,$H1182,DOC_SCOPE,"Equipment",DOC_ACTIVE,1)+COUNTIFS(DOC_TYPE,$I1182,DOC_SYS,SETUP!$B$189,DOC_SCOPE,"System",DOC_ACTIVE,1)+COUNTIFS(DOC_TYPE,$I1182,DOC_SCOPE,"All",DOC_ACTIVE,1)&gt;0,"",IFERROR(IF($E$6&lt;&gt;"",$E$6-$C$6,SETUP!$D$189-$C$6),60000)+ROW()/1000000))</f>
        <v/>
      </c>
    </row>
    <row r="1183">
      <c r="G1183">
        <f>IF(OR(SETUP!$C$189="",$A$7="",$B$7&lt;&gt;"Equipment"),"","Equipment")</f>
        <v/>
      </c>
      <c r="H1183">
        <f>IF($G1183="","",SETUP!$C$189)</f>
        <v/>
      </c>
      <c r="I1183">
        <f>IF($G1183="","",$A$7)</f>
        <v/>
      </c>
      <c r="J1183">
        <f>IF($G1183="","",IF(COUNTIFS(DOC_TYPE,$I1183,DOC_EQP,$H1183,DOC_SCOPE,"Equipment",DOC_ACTIVE,1)+COUNTIFS(DOC_TYPE,$I1183,DOC_SYS,SETUP!$B$189,DOC_SCOPE,"System",DOC_ACTIVE,1)+COUNTIFS(DOC_TYPE,$I1183,DOC_SCOPE,"All",DOC_ACTIVE,1)&gt;0,"",IFERROR(IF($E$7&lt;&gt;"",$E$7-$C$7,SETUP!$D$189-$C$7),60000)+ROW()/1000000))</f>
        <v/>
      </c>
    </row>
    <row r="1184">
      <c r="G1184">
        <f>IF(OR(SETUP!$C$189="",$A$8="",$B$8&lt;&gt;"Equipment"),"","Equipment")</f>
        <v/>
      </c>
      <c r="H1184">
        <f>IF($G1184="","",SETUP!$C$189)</f>
        <v/>
      </c>
      <c r="I1184">
        <f>IF($G1184="","",$A$8)</f>
        <v/>
      </c>
      <c r="J1184">
        <f>IF($G1184="","",IF(COUNTIFS(DOC_TYPE,$I1184,DOC_EQP,$H1184,DOC_SCOPE,"Equipment",DOC_ACTIVE,1)+COUNTIFS(DOC_TYPE,$I1184,DOC_SYS,SETUP!$B$189,DOC_SCOPE,"System",DOC_ACTIVE,1)+COUNTIFS(DOC_TYPE,$I1184,DOC_SCOPE,"All",DOC_ACTIVE,1)&gt;0,"",IFERROR(IF($E$8&lt;&gt;"",$E$8-$C$8,SETUP!$D$189-$C$8),60000)+ROW()/1000000))</f>
        <v/>
      </c>
    </row>
    <row r="1185">
      <c r="G1185">
        <f>IF(OR(SETUP!$C$189="",$A$9="",$B$9&lt;&gt;"Equipment"),"","Equipment")</f>
        <v/>
      </c>
      <c r="H1185">
        <f>IF($G1185="","",SETUP!$C$189)</f>
        <v/>
      </c>
      <c r="I1185">
        <f>IF($G1185="","",$A$9)</f>
        <v/>
      </c>
      <c r="J1185">
        <f>IF($G1185="","",IF(COUNTIFS(DOC_TYPE,$I1185,DOC_EQP,$H1185,DOC_SCOPE,"Equipment",DOC_ACTIVE,1)+COUNTIFS(DOC_TYPE,$I1185,DOC_SYS,SETUP!$B$189,DOC_SCOPE,"System",DOC_ACTIVE,1)+COUNTIFS(DOC_TYPE,$I1185,DOC_SCOPE,"All",DOC_ACTIVE,1)&gt;0,"",IFERROR(IF($E$9&lt;&gt;"",$E$9-$C$9,SETUP!$D$189-$C$9),60000)+ROW()/1000000))</f>
        <v/>
      </c>
    </row>
    <row r="1186">
      <c r="G1186">
        <f>IF(OR(SETUP!$C$189="",$A$10="",$B$10&lt;&gt;"Equipment"),"","Equipment")</f>
        <v/>
      </c>
      <c r="H1186">
        <f>IF($G1186="","",SETUP!$C$189)</f>
        <v/>
      </c>
      <c r="I1186">
        <f>IF($G1186="","",$A$10)</f>
        <v/>
      </c>
      <c r="J1186">
        <f>IF($G1186="","",IF(COUNTIFS(DOC_TYPE,$I1186,DOC_EQP,$H1186,DOC_SCOPE,"Equipment",DOC_ACTIVE,1)+COUNTIFS(DOC_TYPE,$I1186,DOC_SYS,SETUP!$B$189,DOC_SCOPE,"System",DOC_ACTIVE,1)+COUNTIFS(DOC_TYPE,$I1186,DOC_SCOPE,"All",DOC_ACTIVE,1)&gt;0,"",IFERROR(IF($E$10&lt;&gt;"",$E$10-$C$10,SETUP!$D$189-$C$10),60000)+ROW()/1000000))</f>
        <v/>
      </c>
    </row>
    <row r="1187">
      <c r="G1187">
        <f>IF(OR(SETUP!$C$189="",$A$11="",$B$11&lt;&gt;"Equipment"),"","Equipment")</f>
        <v/>
      </c>
      <c r="H1187">
        <f>IF($G1187="","",SETUP!$C$189)</f>
        <v/>
      </c>
      <c r="I1187">
        <f>IF($G1187="","",$A$11)</f>
        <v/>
      </c>
      <c r="J1187">
        <f>IF($G1187="","",IF(COUNTIFS(DOC_TYPE,$I1187,DOC_EQP,$H1187,DOC_SCOPE,"Equipment",DOC_ACTIVE,1)+COUNTIFS(DOC_TYPE,$I1187,DOC_SYS,SETUP!$B$189,DOC_SCOPE,"System",DOC_ACTIVE,1)+COUNTIFS(DOC_TYPE,$I1187,DOC_SCOPE,"All",DOC_ACTIVE,1)&gt;0,"",IFERROR(IF($E$11&lt;&gt;"",$E$11-$C$11,SETUP!$D$189-$C$11),60000)+ROW()/1000000))</f>
        <v/>
      </c>
    </row>
    <row r="1188">
      <c r="G1188">
        <f>IF(OR(SETUP!$C$189="",$A$12="",$B$12&lt;&gt;"Equipment"),"","Equipment")</f>
        <v/>
      </c>
      <c r="H1188">
        <f>IF($G1188="","",SETUP!$C$189)</f>
        <v/>
      </c>
      <c r="I1188">
        <f>IF($G1188="","",$A$12)</f>
        <v/>
      </c>
      <c r="J1188">
        <f>IF($G1188="","",IF(COUNTIFS(DOC_TYPE,$I1188,DOC_EQP,$H1188,DOC_SCOPE,"Equipment",DOC_ACTIVE,1)+COUNTIFS(DOC_TYPE,$I1188,DOC_SYS,SETUP!$B$189,DOC_SCOPE,"System",DOC_ACTIVE,1)+COUNTIFS(DOC_TYPE,$I1188,DOC_SCOPE,"All",DOC_ACTIVE,1)&gt;0,"",IFERROR(IF($E$12&lt;&gt;"",$E$12-$C$12,SETUP!$D$189-$C$12),60000)+ROW()/1000000))</f>
        <v/>
      </c>
    </row>
    <row r="1189">
      <c r="G1189">
        <f>IF(OR(SETUP!$C$189="",$A$13="",$B$13&lt;&gt;"Equipment"),"","Equipment")</f>
        <v/>
      </c>
      <c r="H1189">
        <f>IF($G1189="","",SETUP!$C$189)</f>
        <v/>
      </c>
      <c r="I1189">
        <f>IF($G1189="","",$A$13)</f>
        <v/>
      </c>
      <c r="J1189">
        <f>IF($G1189="","",IF(COUNTIFS(DOC_TYPE,$I1189,DOC_EQP,$H1189,DOC_SCOPE,"Equipment",DOC_ACTIVE,1)+COUNTIFS(DOC_TYPE,$I1189,DOC_SYS,SETUP!$B$189,DOC_SCOPE,"System",DOC_ACTIVE,1)+COUNTIFS(DOC_TYPE,$I1189,DOC_SCOPE,"All",DOC_ACTIVE,1)&gt;0,"",IFERROR(IF($E$13&lt;&gt;"",$E$13-$C$13,SETUP!$D$189-$C$13),60000)+ROW()/1000000))</f>
        <v/>
      </c>
    </row>
    <row r="1190">
      <c r="G1190">
        <f>IF(OR(SETUP!$C$190="",$A$2="",$B$2&lt;&gt;"Equipment"),"","Equipment")</f>
        <v/>
      </c>
      <c r="H1190">
        <f>IF($G1190="","",SETUP!$C$190)</f>
        <v/>
      </c>
      <c r="I1190">
        <f>IF($G1190="","",$A$2)</f>
        <v/>
      </c>
      <c r="J1190">
        <f>IF($G1190="","",IF(COUNTIFS(DOC_TYPE,$I1190,DOC_EQP,$H1190,DOC_SCOPE,"Equipment",DOC_ACTIVE,1)+COUNTIFS(DOC_TYPE,$I1190,DOC_SYS,SETUP!$B$190,DOC_SCOPE,"System",DOC_ACTIVE,1)+COUNTIFS(DOC_TYPE,$I1190,DOC_SCOPE,"All",DOC_ACTIVE,1)&gt;0,"",IFERROR(IF($E$2&lt;&gt;"",$E$2-$C$2,SETUP!$D$190-$C$2),60000)+ROW()/1000000))</f>
        <v/>
      </c>
    </row>
    <row r="1191">
      <c r="G1191">
        <f>IF(OR(SETUP!$C$190="",$A$3="",$B$3&lt;&gt;"Equipment"),"","Equipment")</f>
        <v/>
      </c>
      <c r="H1191">
        <f>IF($G1191="","",SETUP!$C$190)</f>
        <v/>
      </c>
      <c r="I1191">
        <f>IF($G1191="","",$A$3)</f>
        <v/>
      </c>
      <c r="J1191">
        <f>IF($G1191="","",IF(COUNTIFS(DOC_TYPE,$I1191,DOC_EQP,$H1191,DOC_SCOPE,"Equipment",DOC_ACTIVE,1)+COUNTIFS(DOC_TYPE,$I1191,DOC_SYS,SETUP!$B$190,DOC_SCOPE,"System",DOC_ACTIVE,1)+COUNTIFS(DOC_TYPE,$I1191,DOC_SCOPE,"All",DOC_ACTIVE,1)&gt;0,"",IFERROR(IF($E$3&lt;&gt;"",$E$3-$C$3,SETUP!$D$190-$C$3),60000)+ROW()/1000000))</f>
        <v/>
      </c>
    </row>
    <row r="1192">
      <c r="G1192">
        <f>IF(OR(SETUP!$C$190="",$A$4="",$B$4&lt;&gt;"Equipment"),"","Equipment")</f>
        <v/>
      </c>
      <c r="H1192">
        <f>IF($G1192="","",SETUP!$C$190)</f>
        <v/>
      </c>
      <c r="I1192">
        <f>IF($G1192="","",$A$4)</f>
        <v/>
      </c>
      <c r="J1192">
        <f>IF($G1192="","",IF(COUNTIFS(DOC_TYPE,$I1192,DOC_EQP,$H1192,DOC_SCOPE,"Equipment",DOC_ACTIVE,1)+COUNTIFS(DOC_TYPE,$I1192,DOC_SYS,SETUP!$B$190,DOC_SCOPE,"System",DOC_ACTIVE,1)+COUNTIFS(DOC_TYPE,$I1192,DOC_SCOPE,"All",DOC_ACTIVE,1)&gt;0,"",IFERROR(IF($E$4&lt;&gt;"",$E$4-$C$4,SETUP!$D$190-$C$4),60000)+ROW()/1000000))</f>
        <v/>
      </c>
    </row>
    <row r="1193">
      <c r="G1193">
        <f>IF(OR(SETUP!$C$190="",$A$5="",$B$5&lt;&gt;"Equipment"),"","Equipment")</f>
        <v/>
      </c>
      <c r="H1193">
        <f>IF($G1193="","",SETUP!$C$190)</f>
        <v/>
      </c>
      <c r="I1193">
        <f>IF($G1193="","",$A$5)</f>
        <v/>
      </c>
      <c r="J1193">
        <f>IF($G1193="","",IF(COUNTIFS(DOC_TYPE,$I1193,DOC_EQP,$H1193,DOC_SCOPE,"Equipment",DOC_ACTIVE,1)+COUNTIFS(DOC_TYPE,$I1193,DOC_SYS,SETUP!$B$190,DOC_SCOPE,"System",DOC_ACTIVE,1)+COUNTIFS(DOC_TYPE,$I1193,DOC_SCOPE,"All",DOC_ACTIVE,1)&gt;0,"",IFERROR(IF($E$5&lt;&gt;"",$E$5-$C$5,SETUP!$D$190-$C$5),60000)+ROW()/1000000))</f>
        <v/>
      </c>
    </row>
    <row r="1194">
      <c r="G1194">
        <f>IF(OR(SETUP!$C$190="",$A$6="",$B$6&lt;&gt;"Equipment"),"","Equipment")</f>
        <v/>
      </c>
      <c r="H1194">
        <f>IF($G1194="","",SETUP!$C$190)</f>
        <v/>
      </c>
      <c r="I1194">
        <f>IF($G1194="","",$A$6)</f>
        <v/>
      </c>
      <c r="J1194">
        <f>IF($G1194="","",IF(COUNTIFS(DOC_TYPE,$I1194,DOC_EQP,$H1194,DOC_SCOPE,"Equipment",DOC_ACTIVE,1)+COUNTIFS(DOC_TYPE,$I1194,DOC_SYS,SETUP!$B$190,DOC_SCOPE,"System",DOC_ACTIVE,1)+COUNTIFS(DOC_TYPE,$I1194,DOC_SCOPE,"All",DOC_ACTIVE,1)&gt;0,"",IFERROR(IF($E$6&lt;&gt;"",$E$6-$C$6,SETUP!$D$190-$C$6),60000)+ROW()/1000000))</f>
        <v/>
      </c>
    </row>
    <row r="1195">
      <c r="G1195">
        <f>IF(OR(SETUP!$C$190="",$A$7="",$B$7&lt;&gt;"Equipment"),"","Equipment")</f>
        <v/>
      </c>
      <c r="H1195">
        <f>IF($G1195="","",SETUP!$C$190)</f>
        <v/>
      </c>
      <c r="I1195">
        <f>IF($G1195="","",$A$7)</f>
        <v/>
      </c>
      <c r="J1195">
        <f>IF($G1195="","",IF(COUNTIFS(DOC_TYPE,$I1195,DOC_EQP,$H1195,DOC_SCOPE,"Equipment",DOC_ACTIVE,1)+COUNTIFS(DOC_TYPE,$I1195,DOC_SYS,SETUP!$B$190,DOC_SCOPE,"System",DOC_ACTIVE,1)+COUNTIFS(DOC_TYPE,$I1195,DOC_SCOPE,"All",DOC_ACTIVE,1)&gt;0,"",IFERROR(IF($E$7&lt;&gt;"",$E$7-$C$7,SETUP!$D$190-$C$7),60000)+ROW()/1000000))</f>
        <v/>
      </c>
    </row>
    <row r="1196">
      <c r="G1196">
        <f>IF(OR(SETUP!$C$190="",$A$8="",$B$8&lt;&gt;"Equipment"),"","Equipment")</f>
        <v/>
      </c>
      <c r="H1196">
        <f>IF($G1196="","",SETUP!$C$190)</f>
        <v/>
      </c>
      <c r="I1196">
        <f>IF($G1196="","",$A$8)</f>
        <v/>
      </c>
      <c r="J1196">
        <f>IF($G1196="","",IF(COUNTIFS(DOC_TYPE,$I1196,DOC_EQP,$H1196,DOC_SCOPE,"Equipment",DOC_ACTIVE,1)+COUNTIFS(DOC_TYPE,$I1196,DOC_SYS,SETUP!$B$190,DOC_SCOPE,"System",DOC_ACTIVE,1)+COUNTIFS(DOC_TYPE,$I1196,DOC_SCOPE,"All",DOC_ACTIVE,1)&gt;0,"",IFERROR(IF($E$8&lt;&gt;"",$E$8-$C$8,SETUP!$D$190-$C$8),60000)+ROW()/1000000))</f>
        <v/>
      </c>
    </row>
    <row r="1197">
      <c r="G1197">
        <f>IF(OR(SETUP!$C$190="",$A$9="",$B$9&lt;&gt;"Equipment"),"","Equipment")</f>
        <v/>
      </c>
      <c r="H1197">
        <f>IF($G1197="","",SETUP!$C$190)</f>
        <v/>
      </c>
      <c r="I1197">
        <f>IF($G1197="","",$A$9)</f>
        <v/>
      </c>
      <c r="J1197">
        <f>IF($G1197="","",IF(COUNTIFS(DOC_TYPE,$I1197,DOC_EQP,$H1197,DOC_SCOPE,"Equipment",DOC_ACTIVE,1)+COUNTIFS(DOC_TYPE,$I1197,DOC_SYS,SETUP!$B$190,DOC_SCOPE,"System",DOC_ACTIVE,1)+COUNTIFS(DOC_TYPE,$I1197,DOC_SCOPE,"All",DOC_ACTIVE,1)&gt;0,"",IFERROR(IF($E$9&lt;&gt;"",$E$9-$C$9,SETUP!$D$190-$C$9),60000)+ROW()/1000000))</f>
        <v/>
      </c>
    </row>
    <row r="1198">
      <c r="G1198">
        <f>IF(OR(SETUP!$C$190="",$A$10="",$B$10&lt;&gt;"Equipment"),"","Equipment")</f>
        <v/>
      </c>
      <c r="H1198">
        <f>IF($G1198="","",SETUP!$C$190)</f>
        <v/>
      </c>
      <c r="I1198">
        <f>IF($G1198="","",$A$10)</f>
        <v/>
      </c>
      <c r="J1198">
        <f>IF($G1198="","",IF(COUNTIFS(DOC_TYPE,$I1198,DOC_EQP,$H1198,DOC_SCOPE,"Equipment",DOC_ACTIVE,1)+COUNTIFS(DOC_TYPE,$I1198,DOC_SYS,SETUP!$B$190,DOC_SCOPE,"System",DOC_ACTIVE,1)+COUNTIFS(DOC_TYPE,$I1198,DOC_SCOPE,"All",DOC_ACTIVE,1)&gt;0,"",IFERROR(IF($E$10&lt;&gt;"",$E$10-$C$10,SETUP!$D$190-$C$10),60000)+ROW()/1000000))</f>
        <v/>
      </c>
    </row>
    <row r="1199">
      <c r="G1199">
        <f>IF(OR(SETUP!$C$190="",$A$11="",$B$11&lt;&gt;"Equipment"),"","Equipment")</f>
        <v/>
      </c>
      <c r="H1199">
        <f>IF($G1199="","",SETUP!$C$190)</f>
        <v/>
      </c>
      <c r="I1199">
        <f>IF($G1199="","",$A$11)</f>
        <v/>
      </c>
      <c r="J1199">
        <f>IF($G1199="","",IF(COUNTIFS(DOC_TYPE,$I1199,DOC_EQP,$H1199,DOC_SCOPE,"Equipment",DOC_ACTIVE,1)+COUNTIFS(DOC_TYPE,$I1199,DOC_SYS,SETUP!$B$190,DOC_SCOPE,"System",DOC_ACTIVE,1)+COUNTIFS(DOC_TYPE,$I1199,DOC_SCOPE,"All",DOC_ACTIVE,1)&gt;0,"",IFERROR(IF($E$11&lt;&gt;"",$E$11-$C$11,SETUP!$D$190-$C$11),60000)+ROW()/1000000))</f>
        <v/>
      </c>
    </row>
    <row r="1200">
      <c r="G1200">
        <f>IF(OR(SETUP!$C$190="",$A$12="",$B$12&lt;&gt;"Equipment"),"","Equipment")</f>
        <v/>
      </c>
      <c r="H1200">
        <f>IF($G1200="","",SETUP!$C$190)</f>
        <v/>
      </c>
      <c r="I1200">
        <f>IF($G1200="","",$A$12)</f>
        <v/>
      </c>
      <c r="J1200">
        <f>IF($G1200="","",IF(COUNTIFS(DOC_TYPE,$I1200,DOC_EQP,$H1200,DOC_SCOPE,"Equipment",DOC_ACTIVE,1)+COUNTIFS(DOC_TYPE,$I1200,DOC_SYS,SETUP!$B$190,DOC_SCOPE,"System",DOC_ACTIVE,1)+COUNTIFS(DOC_TYPE,$I1200,DOC_SCOPE,"All",DOC_ACTIVE,1)&gt;0,"",IFERROR(IF($E$12&lt;&gt;"",$E$12-$C$12,SETUP!$D$190-$C$12),60000)+ROW()/1000000))</f>
        <v/>
      </c>
    </row>
    <row r="1201">
      <c r="G1201">
        <f>IF(OR(SETUP!$C$190="",$A$13="",$B$13&lt;&gt;"Equipment"),"","Equipment")</f>
        <v/>
      </c>
      <c r="H1201">
        <f>IF($G1201="","",SETUP!$C$190)</f>
        <v/>
      </c>
      <c r="I1201">
        <f>IF($G1201="","",$A$13)</f>
        <v/>
      </c>
      <c r="J1201">
        <f>IF($G1201="","",IF(COUNTIFS(DOC_TYPE,$I1201,DOC_EQP,$H1201,DOC_SCOPE,"Equipment",DOC_ACTIVE,1)+COUNTIFS(DOC_TYPE,$I1201,DOC_SYS,SETUP!$B$190,DOC_SCOPE,"System",DOC_ACTIVE,1)+COUNTIFS(DOC_TYPE,$I1201,DOC_SCOPE,"All",DOC_ACTIVE,1)&gt;0,"",IFERROR(IF($E$13&lt;&gt;"",$E$13-$C$13,SETUP!$D$190-$C$13),60000)+ROW()/1000000))</f>
        <v/>
      </c>
    </row>
    <row r="1202">
      <c r="G1202">
        <f>IF(OR(SETUP!$C$191="",$A$2="",$B$2&lt;&gt;"Equipment"),"","Equipment")</f>
        <v/>
      </c>
      <c r="H1202">
        <f>IF($G1202="","",SETUP!$C$191)</f>
        <v/>
      </c>
      <c r="I1202">
        <f>IF($G1202="","",$A$2)</f>
        <v/>
      </c>
      <c r="J1202">
        <f>IF($G1202="","",IF(COUNTIFS(DOC_TYPE,$I1202,DOC_EQP,$H1202,DOC_SCOPE,"Equipment",DOC_ACTIVE,1)+COUNTIFS(DOC_TYPE,$I1202,DOC_SYS,SETUP!$B$191,DOC_SCOPE,"System",DOC_ACTIVE,1)+COUNTIFS(DOC_TYPE,$I1202,DOC_SCOPE,"All",DOC_ACTIVE,1)&gt;0,"",IFERROR(IF($E$2&lt;&gt;"",$E$2-$C$2,SETUP!$D$191-$C$2),60000)+ROW()/1000000))</f>
        <v/>
      </c>
    </row>
    <row r="1203">
      <c r="G1203">
        <f>IF(OR(SETUP!$C$191="",$A$3="",$B$3&lt;&gt;"Equipment"),"","Equipment")</f>
        <v/>
      </c>
      <c r="H1203">
        <f>IF($G1203="","",SETUP!$C$191)</f>
        <v/>
      </c>
      <c r="I1203">
        <f>IF($G1203="","",$A$3)</f>
        <v/>
      </c>
      <c r="J1203">
        <f>IF($G1203="","",IF(COUNTIFS(DOC_TYPE,$I1203,DOC_EQP,$H1203,DOC_SCOPE,"Equipment",DOC_ACTIVE,1)+COUNTIFS(DOC_TYPE,$I1203,DOC_SYS,SETUP!$B$191,DOC_SCOPE,"System",DOC_ACTIVE,1)+COUNTIFS(DOC_TYPE,$I1203,DOC_SCOPE,"All",DOC_ACTIVE,1)&gt;0,"",IFERROR(IF($E$3&lt;&gt;"",$E$3-$C$3,SETUP!$D$191-$C$3),60000)+ROW()/1000000))</f>
        <v/>
      </c>
    </row>
    <row r="1204">
      <c r="G1204">
        <f>IF(OR(SETUP!$C$191="",$A$4="",$B$4&lt;&gt;"Equipment"),"","Equipment")</f>
        <v/>
      </c>
      <c r="H1204">
        <f>IF($G1204="","",SETUP!$C$191)</f>
        <v/>
      </c>
      <c r="I1204">
        <f>IF($G1204="","",$A$4)</f>
        <v/>
      </c>
      <c r="J1204">
        <f>IF($G1204="","",IF(COUNTIFS(DOC_TYPE,$I1204,DOC_EQP,$H1204,DOC_SCOPE,"Equipment",DOC_ACTIVE,1)+COUNTIFS(DOC_TYPE,$I1204,DOC_SYS,SETUP!$B$191,DOC_SCOPE,"System",DOC_ACTIVE,1)+COUNTIFS(DOC_TYPE,$I1204,DOC_SCOPE,"All",DOC_ACTIVE,1)&gt;0,"",IFERROR(IF($E$4&lt;&gt;"",$E$4-$C$4,SETUP!$D$191-$C$4),60000)+ROW()/1000000))</f>
        <v/>
      </c>
    </row>
    <row r="1205">
      <c r="G1205">
        <f>IF(OR(SETUP!$C$191="",$A$5="",$B$5&lt;&gt;"Equipment"),"","Equipment")</f>
        <v/>
      </c>
      <c r="H1205">
        <f>IF($G1205="","",SETUP!$C$191)</f>
        <v/>
      </c>
      <c r="I1205">
        <f>IF($G1205="","",$A$5)</f>
        <v/>
      </c>
      <c r="J1205">
        <f>IF($G1205="","",IF(COUNTIFS(DOC_TYPE,$I1205,DOC_EQP,$H1205,DOC_SCOPE,"Equipment",DOC_ACTIVE,1)+COUNTIFS(DOC_TYPE,$I1205,DOC_SYS,SETUP!$B$191,DOC_SCOPE,"System",DOC_ACTIVE,1)+COUNTIFS(DOC_TYPE,$I1205,DOC_SCOPE,"All",DOC_ACTIVE,1)&gt;0,"",IFERROR(IF($E$5&lt;&gt;"",$E$5-$C$5,SETUP!$D$191-$C$5),60000)+ROW()/1000000))</f>
        <v/>
      </c>
    </row>
    <row r="1206">
      <c r="G1206">
        <f>IF(OR(SETUP!$C$191="",$A$6="",$B$6&lt;&gt;"Equipment"),"","Equipment")</f>
        <v/>
      </c>
      <c r="H1206">
        <f>IF($G1206="","",SETUP!$C$191)</f>
        <v/>
      </c>
      <c r="I1206">
        <f>IF($G1206="","",$A$6)</f>
        <v/>
      </c>
      <c r="J1206">
        <f>IF($G1206="","",IF(COUNTIFS(DOC_TYPE,$I1206,DOC_EQP,$H1206,DOC_SCOPE,"Equipment",DOC_ACTIVE,1)+COUNTIFS(DOC_TYPE,$I1206,DOC_SYS,SETUP!$B$191,DOC_SCOPE,"System",DOC_ACTIVE,1)+COUNTIFS(DOC_TYPE,$I1206,DOC_SCOPE,"All",DOC_ACTIVE,1)&gt;0,"",IFERROR(IF($E$6&lt;&gt;"",$E$6-$C$6,SETUP!$D$191-$C$6),60000)+ROW()/1000000))</f>
        <v/>
      </c>
    </row>
    <row r="1207">
      <c r="G1207">
        <f>IF(OR(SETUP!$C$191="",$A$7="",$B$7&lt;&gt;"Equipment"),"","Equipment")</f>
        <v/>
      </c>
      <c r="H1207">
        <f>IF($G1207="","",SETUP!$C$191)</f>
        <v/>
      </c>
      <c r="I1207">
        <f>IF($G1207="","",$A$7)</f>
        <v/>
      </c>
      <c r="J1207">
        <f>IF($G1207="","",IF(COUNTIFS(DOC_TYPE,$I1207,DOC_EQP,$H1207,DOC_SCOPE,"Equipment",DOC_ACTIVE,1)+COUNTIFS(DOC_TYPE,$I1207,DOC_SYS,SETUP!$B$191,DOC_SCOPE,"System",DOC_ACTIVE,1)+COUNTIFS(DOC_TYPE,$I1207,DOC_SCOPE,"All",DOC_ACTIVE,1)&gt;0,"",IFERROR(IF($E$7&lt;&gt;"",$E$7-$C$7,SETUP!$D$191-$C$7),60000)+ROW()/1000000))</f>
        <v/>
      </c>
    </row>
    <row r="1208">
      <c r="G1208">
        <f>IF(OR(SETUP!$C$191="",$A$8="",$B$8&lt;&gt;"Equipment"),"","Equipment")</f>
        <v/>
      </c>
      <c r="H1208">
        <f>IF($G1208="","",SETUP!$C$191)</f>
        <v/>
      </c>
      <c r="I1208">
        <f>IF($G1208="","",$A$8)</f>
        <v/>
      </c>
      <c r="J1208">
        <f>IF($G1208="","",IF(COUNTIFS(DOC_TYPE,$I1208,DOC_EQP,$H1208,DOC_SCOPE,"Equipment",DOC_ACTIVE,1)+COUNTIFS(DOC_TYPE,$I1208,DOC_SYS,SETUP!$B$191,DOC_SCOPE,"System",DOC_ACTIVE,1)+COUNTIFS(DOC_TYPE,$I1208,DOC_SCOPE,"All",DOC_ACTIVE,1)&gt;0,"",IFERROR(IF($E$8&lt;&gt;"",$E$8-$C$8,SETUP!$D$191-$C$8),60000)+ROW()/1000000))</f>
        <v/>
      </c>
    </row>
    <row r="1209">
      <c r="G1209">
        <f>IF(OR(SETUP!$C$191="",$A$9="",$B$9&lt;&gt;"Equipment"),"","Equipment")</f>
        <v/>
      </c>
      <c r="H1209">
        <f>IF($G1209="","",SETUP!$C$191)</f>
        <v/>
      </c>
      <c r="I1209">
        <f>IF($G1209="","",$A$9)</f>
        <v/>
      </c>
      <c r="J1209">
        <f>IF($G1209="","",IF(COUNTIFS(DOC_TYPE,$I1209,DOC_EQP,$H1209,DOC_SCOPE,"Equipment",DOC_ACTIVE,1)+COUNTIFS(DOC_TYPE,$I1209,DOC_SYS,SETUP!$B$191,DOC_SCOPE,"System",DOC_ACTIVE,1)+COUNTIFS(DOC_TYPE,$I1209,DOC_SCOPE,"All",DOC_ACTIVE,1)&gt;0,"",IFERROR(IF($E$9&lt;&gt;"",$E$9-$C$9,SETUP!$D$191-$C$9),60000)+ROW()/1000000))</f>
        <v/>
      </c>
    </row>
    <row r="1210">
      <c r="G1210">
        <f>IF(OR(SETUP!$C$191="",$A$10="",$B$10&lt;&gt;"Equipment"),"","Equipment")</f>
        <v/>
      </c>
      <c r="H1210">
        <f>IF($G1210="","",SETUP!$C$191)</f>
        <v/>
      </c>
      <c r="I1210">
        <f>IF($G1210="","",$A$10)</f>
        <v/>
      </c>
      <c r="J1210">
        <f>IF($G1210="","",IF(COUNTIFS(DOC_TYPE,$I1210,DOC_EQP,$H1210,DOC_SCOPE,"Equipment",DOC_ACTIVE,1)+COUNTIFS(DOC_TYPE,$I1210,DOC_SYS,SETUP!$B$191,DOC_SCOPE,"System",DOC_ACTIVE,1)+COUNTIFS(DOC_TYPE,$I1210,DOC_SCOPE,"All",DOC_ACTIVE,1)&gt;0,"",IFERROR(IF($E$10&lt;&gt;"",$E$10-$C$10,SETUP!$D$191-$C$10),60000)+ROW()/1000000))</f>
        <v/>
      </c>
    </row>
    <row r="1211">
      <c r="G1211">
        <f>IF(OR(SETUP!$C$191="",$A$11="",$B$11&lt;&gt;"Equipment"),"","Equipment")</f>
        <v/>
      </c>
      <c r="H1211">
        <f>IF($G1211="","",SETUP!$C$191)</f>
        <v/>
      </c>
      <c r="I1211">
        <f>IF($G1211="","",$A$11)</f>
        <v/>
      </c>
      <c r="J1211">
        <f>IF($G1211="","",IF(COUNTIFS(DOC_TYPE,$I1211,DOC_EQP,$H1211,DOC_SCOPE,"Equipment",DOC_ACTIVE,1)+COUNTIFS(DOC_TYPE,$I1211,DOC_SYS,SETUP!$B$191,DOC_SCOPE,"System",DOC_ACTIVE,1)+COUNTIFS(DOC_TYPE,$I1211,DOC_SCOPE,"All",DOC_ACTIVE,1)&gt;0,"",IFERROR(IF($E$11&lt;&gt;"",$E$11-$C$11,SETUP!$D$191-$C$11),60000)+ROW()/1000000))</f>
        <v/>
      </c>
    </row>
    <row r="1212">
      <c r="G1212">
        <f>IF(OR(SETUP!$C$191="",$A$12="",$B$12&lt;&gt;"Equipment"),"","Equipment")</f>
        <v/>
      </c>
      <c r="H1212">
        <f>IF($G1212="","",SETUP!$C$191)</f>
        <v/>
      </c>
      <c r="I1212">
        <f>IF($G1212="","",$A$12)</f>
        <v/>
      </c>
      <c r="J1212">
        <f>IF($G1212="","",IF(COUNTIFS(DOC_TYPE,$I1212,DOC_EQP,$H1212,DOC_SCOPE,"Equipment",DOC_ACTIVE,1)+COUNTIFS(DOC_TYPE,$I1212,DOC_SYS,SETUP!$B$191,DOC_SCOPE,"System",DOC_ACTIVE,1)+COUNTIFS(DOC_TYPE,$I1212,DOC_SCOPE,"All",DOC_ACTIVE,1)&gt;0,"",IFERROR(IF($E$12&lt;&gt;"",$E$12-$C$12,SETUP!$D$191-$C$12),60000)+ROW()/1000000))</f>
        <v/>
      </c>
    </row>
    <row r="1213">
      <c r="G1213">
        <f>IF(OR(SETUP!$C$191="",$A$13="",$B$13&lt;&gt;"Equipment"),"","Equipment")</f>
        <v/>
      </c>
      <c r="H1213">
        <f>IF($G1213="","",SETUP!$C$191)</f>
        <v/>
      </c>
      <c r="I1213">
        <f>IF($G1213="","",$A$13)</f>
        <v/>
      </c>
      <c r="J1213">
        <f>IF($G1213="","",IF(COUNTIFS(DOC_TYPE,$I1213,DOC_EQP,$H1213,DOC_SCOPE,"Equipment",DOC_ACTIVE,1)+COUNTIFS(DOC_TYPE,$I1213,DOC_SYS,SETUP!$B$191,DOC_SCOPE,"System",DOC_ACTIVE,1)+COUNTIFS(DOC_TYPE,$I1213,DOC_SCOPE,"All",DOC_ACTIVE,1)&gt;0,"",IFERROR(IF($E$13&lt;&gt;"",$E$13-$C$13,SETUP!$D$191-$C$13),60000)+ROW()/1000000))</f>
        <v/>
      </c>
    </row>
    <row r="1214">
      <c r="G1214">
        <f>IF(OR(SETUP!$C$192="",$A$2="",$B$2&lt;&gt;"Equipment"),"","Equipment")</f>
        <v/>
      </c>
      <c r="H1214">
        <f>IF($G1214="","",SETUP!$C$192)</f>
        <v/>
      </c>
      <c r="I1214">
        <f>IF($G1214="","",$A$2)</f>
        <v/>
      </c>
      <c r="J1214">
        <f>IF($G1214="","",IF(COUNTIFS(DOC_TYPE,$I1214,DOC_EQP,$H1214,DOC_SCOPE,"Equipment",DOC_ACTIVE,1)+COUNTIFS(DOC_TYPE,$I1214,DOC_SYS,SETUP!$B$192,DOC_SCOPE,"System",DOC_ACTIVE,1)+COUNTIFS(DOC_TYPE,$I1214,DOC_SCOPE,"All",DOC_ACTIVE,1)&gt;0,"",IFERROR(IF($E$2&lt;&gt;"",$E$2-$C$2,SETUP!$D$192-$C$2),60000)+ROW()/1000000))</f>
        <v/>
      </c>
    </row>
    <row r="1215">
      <c r="G1215">
        <f>IF(OR(SETUP!$C$192="",$A$3="",$B$3&lt;&gt;"Equipment"),"","Equipment")</f>
        <v/>
      </c>
      <c r="H1215">
        <f>IF($G1215="","",SETUP!$C$192)</f>
        <v/>
      </c>
      <c r="I1215">
        <f>IF($G1215="","",$A$3)</f>
        <v/>
      </c>
      <c r="J1215">
        <f>IF($G1215="","",IF(COUNTIFS(DOC_TYPE,$I1215,DOC_EQP,$H1215,DOC_SCOPE,"Equipment",DOC_ACTIVE,1)+COUNTIFS(DOC_TYPE,$I1215,DOC_SYS,SETUP!$B$192,DOC_SCOPE,"System",DOC_ACTIVE,1)+COUNTIFS(DOC_TYPE,$I1215,DOC_SCOPE,"All",DOC_ACTIVE,1)&gt;0,"",IFERROR(IF($E$3&lt;&gt;"",$E$3-$C$3,SETUP!$D$192-$C$3),60000)+ROW()/1000000))</f>
        <v/>
      </c>
    </row>
    <row r="1216">
      <c r="G1216">
        <f>IF(OR(SETUP!$C$192="",$A$4="",$B$4&lt;&gt;"Equipment"),"","Equipment")</f>
        <v/>
      </c>
      <c r="H1216">
        <f>IF($G1216="","",SETUP!$C$192)</f>
        <v/>
      </c>
      <c r="I1216">
        <f>IF($G1216="","",$A$4)</f>
        <v/>
      </c>
      <c r="J1216">
        <f>IF($G1216="","",IF(COUNTIFS(DOC_TYPE,$I1216,DOC_EQP,$H1216,DOC_SCOPE,"Equipment",DOC_ACTIVE,1)+COUNTIFS(DOC_TYPE,$I1216,DOC_SYS,SETUP!$B$192,DOC_SCOPE,"System",DOC_ACTIVE,1)+COUNTIFS(DOC_TYPE,$I1216,DOC_SCOPE,"All",DOC_ACTIVE,1)&gt;0,"",IFERROR(IF($E$4&lt;&gt;"",$E$4-$C$4,SETUP!$D$192-$C$4),60000)+ROW()/1000000))</f>
        <v/>
      </c>
    </row>
    <row r="1217">
      <c r="G1217">
        <f>IF(OR(SETUP!$C$192="",$A$5="",$B$5&lt;&gt;"Equipment"),"","Equipment")</f>
        <v/>
      </c>
      <c r="H1217">
        <f>IF($G1217="","",SETUP!$C$192)</f>
        <v/>
      </c>
      <c r="I1217">
        <f>IF($G1217="","",$A$5)</f>
        <v/>
      </c>
      <c r="J1217">
        <f>IF($G1217="","",IF(COUNTIFS(DOC_TYPE,$I1217,DOC_EQP,$H1217,DOC_SCOPE,"Equipment",DOC_ACTIVE,1)+COUNTIFS(DOC_TYPE,$I1217,DOC_SYS,SETUP!$B$192,DOC_SCOPE,"System",DOC_ACTIVE,1)+COUNTIFS(DOC_TYPE,$I1217,DOC_SCOPE,"All",DOC_ACTIVE,1)&gt;0,"",IFERROR(IF($E$5&lt;&gt;"",$E$5-$C$5,SETUP!$D$192-$C$5),60000)+ROW()/1000000))</f>
        <v/>
      </c>
    </row>
    <row r="1218">
      <c r="G1218">
        <f>IF(OR(SETUP!$C$192="",$A$6="",$B$6&lt;&gt;"Equipment"),"","Equipment")</f>
        <v/>
      </c>
      <c r="H1218">
        <f>IF($G1218="","",SETUP!$C$192)</f>
        <v/>
      </c>
      <c r="I1218">
        <f>IF($G1218="","",$A$6)</f>
        <v/>
      </c>
      <c r="J1218">
        <f>IF($G1218="","",IF(COUNTIFS(DOC_TYPE,$I1218,DOC_EQP,$H1218,DOC_SCOPE,"Equipment",DOC_ACTIVE,1)+COUNTIFS(DOC_TYPE,$I1218,DOC_SYS,SETUP!$B$192,DOC_SCOPE,"System",DOC_ACTIVE,1)+COUNTIFS(DOC_TYPE,$I1218,DOC_SCOPE,"All",DOC_ACTIVE,1)&gt;0,"",IFERROR(IF($E$6&lt;&gt;"",$E$6-$C$6,SETUP!$D$192-$C$6),60000)+ROW()/1000000))</f>
        <v/>
      </c>
    </row>
    <row r="1219">
      <c r="G1219">
        <f>IF(OR(SETUP!$C$192="",$A$7="",$B$7&lt;&gt;"Equipment"),"","Equipment")</f>
        <v/>
      </c>
      <c r="H1219">
        <f>IF($G1219="","",SETUP!$C$192)</f>
        <v/>
      </c>
      <c r="I1219">
        <f>IF($G1219="","",$A$7)</f>
        <v/>
      </c>
      <c r="J1219">
        <f>IF($G1219="","",IF(COUNTIFS(DOC_TYPE,$I1219,DOC_EQP,$H1219,DOC_SCOPE,"Equipment",DOC_ACTIVE,1)+COUNTIFS(DOC_TYPE,$I1219,DOC_SYS,SETUP!$B$192,DOC_SCOPE,"System",DOC_ACTIVE,1)+COUNTIFS(DOC_TYPE,$I1219,DOC_SCOPE,"All",DOC_ACTIVE,1)&gt;0,"",IFERROR(IF($E$7&lt;&gt;"",$E$7-$C$7,SETUP!$D$192-$C$7),60000)+ROW()/1000000))</f>
        <v/>
      </c>
    </row>
    <row r="1220">
      <c r="G1220">
        <f>IF(OR(SETUP!$C$192="",$A$8="",$B$8&lt;&gt;"Equipment"),"","Equipment")</f>
        <v/>
      </c>
      <c r="H1220">
        <f>IF($G1220="","",SETUP!$C$192)</f>
        <v/>
      </c>
      <c r="I1220">
        <f>IF($G1220="","",$A$8)</f>
        <v/>
      </c>
      <c r="J1220">
        <f>IF($G1220="","",IF(COUNTIFS(DOC_TYPE,$I1220,DOC_EQP,$H1220,DOC_SCOPE,"Equipment",DOC_ACTIVE,1)+COUNTIFS(DOC_TYPE,$I1220,DOC_SYS,SETUP!$B$192,DOC_SCOPE,"System",DOC_ACTIVE,1)+COUNTIFS(DOC_TYPE,$I1220,DOC_SCOPE,"All",DOC_ACTIVE,1)&gt;0,"",IFERROR(IF($E$8&lt;&gt;"",$E$8-$C$8,SETUP!$D$192-$C$8),60000)+ROW()/1000000))</f>
        <v/>
      </c>
    </row>
    <row r="1221">
      <c r="G1221">
        <f>IF(OR(SETUP!$C$192="",$A$9="",$B$9&lt;&gt;"Equipment"),"","Equipment")</f>
        <v/>
      </c>
      <c r="H1221">
        <f>IF($G1221="","",SETUP!$C$192)</f>
        <v/>
      </c>
      <c r="I1221">
        <f>IF($G1221="","",$A$9)</f>
        <v/>
      </c>
      <c r="J1221">
        <f>IF($G1221="","",IF(COUNTIFS(DOC_TYPE,$I1221,DOC_EQP,$H1221,DOC_SCOPE,"Equipment",DOC_ACTIVE,1)+COUNTIFS(DOC_TYPE,$I1221,DOC_SYS,SETUP!$B$192,DOC_SCOPE,"System",DOC_ACTIVE,1)+COUNTIFS(DOC_TYPE,$I1221,DOC_SCOPE,"All",DOC_ACTIVE,1)&gt;0,"",IFERROR(IF($E$9&lt;&gt;"",$E$9-$C$9,SETUP!$D$192-$C$9),60000)+ROW()/1000000))</f>
        <v/>
      </c>
    </row>
    <row r="1222">
      <c r="G1222">
        <f>IF(OR(SETUP!$C$192="",$A$10="",$B$10&lt;&gt;"Equipment"),"","Equipment")</f>
        <v/>
      </c>
      <c r="H1222">
        <f>IF($G1222="","",SETUP!$C$192)</f>
        <v/>
      </c>
      <c r="I1222">
        <f>IF($G1222="","",$A$10)</f>
        <v/>
      </c>
      <c r="J1222">
        <f>IF($G1222="","",IF(COUNTIFS(DOC_TYPE,$I1222,DOC_EQP,$H1222,DOC_SCOPE,"Equipment",DOC_ACTIVE,1)+COUNTIFS(DOC_TYPE,$I1222,DOC_SYS,SETUP!$B$192,DOC_SCOPE,"System",DOC_ACTIVE,1)+COUNTIFS(DOC_TYPE,$I1222,DOC_SCOPE,"All",DOC_ACTIVE,1)&gt;0,"",IFERROR(IF($E$10&lt;&gt;"",$E$10-$C$10,SETUP!$D$192-$C$10),60000)+ROW()/1000000))</f>
        <v/>
      </c>
    </row>
    <row r="1223">
      <c r="G1223">
        <f>IF(OR(SETUP!$C$192="",$A$11="",$B$11&lt;&gt;"Equipment"),"","Equipment")</f>
        <v/>
      </c>
      <c r="H1223">
        <f>IF($G1223="","",SETUP!$C$192)</f>
        <v/>
      </c>
      <c r="I1223">
        <f>IF($G1223="","",$A$11)</f>
        <v/>
      </c>
      <c r="J1223">
        <f>IF($G1223="","",IF(COUNTIFS(DOC_TYPE,$I1223,DOC_EQP,$H1223,DOC_SCOPE,"Equipment",DOC_ACTIVE,1)+COUNTIFS(DOC_TYPE,$I1223,DOC_SYS,SETUP!$B$192,DOC_SCOPE,"System",DOC_ACTIVE,1)+COUNTIFS(DOC_TYPE,$I1223,DOC_SCOPE,"All",DOC_ACTIVE,1)&gt;0,"",IFERROR(IF($E$11&lt;&gt;"",$E$11-$C$11,SETUP!$D$192-$C$11),60000)+ROW()/1000000))</f>
        <v/>
      </c>
    </row>
    <row r="1224">
      <c r="G1224">
        <f>IF(OR(SETUP!$C$192="",$A$12="",$B$12&lt;&gt;"Equipment"),"","Equipment")</f>
        <v/>
      </c>
      <c r="H1224">
        <f>IF($G1224="","",SETUP!$C$192)</f>
        <v/>
      </c>
      <c r="I1224">
        <f>IF($G1224="","",$A$12)</f>
        <v/>
      </c>
      <c r="J1224">
        <f>IF($G1224="","",IF(COUNTIFS(DOC_TYPE,$I1224,DOC_EQP,$H1224,DOC_SCOPE,"Equipment",DOC_ACTIVE,1)+COUNTIFS(DOC_TYPE,$I1224,DOC_SYS,SETUP!$B$192,DOC_SCOPE,"System",DOC_ACTIVE,1)+COUNTIFS(DOC_TYPE,$I1224,DOC_SCOPE,"All",DOC_ACTIVE,1)&gt;0,"",IFERROR(IF($E$12&lt;&gt;"",$E$12-$C$12,SETUP!$D$192-$C$12),60000)+ROW()/1000000))</f>
        <v/>
      </c>
    </row>
    <row r="1225">
      <c r="G1225">
        <f>IF(OR(SETUP!$C$192="",$A$13="",$B$13&lt;&gt;"Equipment"),"","Equipment")</f>
        <v/>
      </c>
      <c r="H1225">
        <f>IF($G1225="","",SETUP!$C$192)</f>
        <v/>
      </c>
      <c r="I1225">
        <f>IF($G1225="","",$A$13)</f>
        <v/>
      </c>
      <c r="J1225">
        <f>IF($G1225="","",IF(COUNTIFS(DOC_TYPE,$I1225,DOC_EQP,$H1225,DOC_SCOPE,"Equipment",DOC_ACTIVE,1)+COUNTIFS(DOC_TYPE,$I1225,DOC_SYS,SETUP!$B$192,DOC_SCOPE,"System",DOC_ACTIVE,1)+COUNTIFS(DOC_TYPE,$I1225,DOC_SCOPE,"All",DOC_ACTIVE,1)&gt;0,"",IFERROR(IF($E$13&lt;&gt;"",$E$13-$C$13,SETUP!$D$192-$C$13),60000)+ROW()/1000000))</f>
        <v/>
      </c>
    </row>
    <row r="1226">
      <c r="G1226">
        <f>IF(OR(SETUP!$C$193="",$A$2="",$B$2&lt;&gt;"Equipment"),"","Equipment")</f>
        <v/>
      </c>
      <c r="H1226">
        <f>IF($G1226="","",SETUP!$C$193)</f>
        <v/>
      </c>
      <c r="I1226">
        <f>IF($G1226="","",$A$2)</f>
        <v/>
      </c>
      <c r="J1226">
        <f>IF($G1226="","",IF(COUNTIFS(DOC_TYPE,$I1226,DOC_EQP,$H1226,DOC_SCOPE,"Equipment",DOC_ACTIVE,1)+COUNTIFS(DOC_TYPE,$I1226,DOC_SYS,SETUP!$B$193,DOC_SCOPE,"System",DOC_ACTIVE,1)+COUNTIFS(DOC_TYPE,$I1226,DOC_SCOPE,"All",DOC_ACTIVE,1)&gt;0,"",IFERROR(IF($E$2&lt;&gt;"",$E$2-$C$2,SETUP!$D$193-$C$2),60000)+ROW()/1000000))</f>
        <v/>
      </c>
    </row>
    <row r="1227">
      <c r="G1227">
        <f>IF(OR(SETUP!$C$193="",$A$3="",$B$3&lt;&gt;"Equipment"),"","Equipment")</f>
        <v/>
      </c>
      <c r="H1227">
        <f>IF($G1227="","",SETUP!$C$193)</f>
        <v/>
      </c>
      <c r="I1227">
        <f>IF($G1227="","",$A$3)</f>
        <v/>
      </c>
      <c r="J1227">
        <f>IF($G1227="","",IF(COUNTIFS(DOC_TYPE,$I1227,DOC_EQP,$H1227,DOC_SCOPE,"Equipment",DOC_ACTIVE,1)+COUNTIFS(DOC_TYPE,$I1227,DOC_SYS,SETUP!$B$193,DOC_SCOPE,"System",DOC_ACTIVE,1)+COUNTIFS(DOC_TYPE,$I1227,DOC_SCOPE,"All",DOC_ACTIVE,1)&gt;0,"",IFERROR(IF($E$3&lt;&gt;"",$E$3-$C$3,SETUP!$D$193-$C$3),60000)+ROW()/1000000))</f>
        <v/>
      </c>
    </row>
    <row r="1228">
      <c r="G1228">
        <f>IF(OR(SETUP!$C$193="",$A$4="",$B$4&lt;&gt;"Equipment"),"","Equipment")</f>
        <v/>
      </c>
      <c r="H1228">
        <f>IF($G1228="","",SETUP!$C$193)</f>
        <v/>
      </c>
      <c r="I1228">
        <f>IF($G1228="","",$A$4)</f>
        <v/>
      </c>
      <c r="J1228">
        <f>IF($G1228="","",IF(COUNTIFS(DOC_TYPE,$I1228,DOC_EQP,$H1228,DOC_SCOPE,"Equipment",DOC_ACTIVE,1)+COUNTIFS(DOC_TYPE,$I1228,DOC_SYS,SETUP!$B$193,DOC_SCOPE,"System",DOC_ACTIVE,1)+COUNTIFS(DOC_TYPE,$I1228,DOC_SCOPE,"All",DOC_ACTIVE,1)&gt;0,"",IFERROR(IF($E$4&lt;&gt;"",$E$4-$C$4,SETUP!$D$193-$C$4),60000)+ROW()/1000000))</f>
        <v/>
      </c>
    </row>
    <row r="1229">
      <c r="G1229">
        <f>IF(OR(SETUP!$C$193="",$A$5="",$B$5&lt;&gt;"Equipment"),"","Equipment")</f>
        <v/>
      </c>
      <c r="H1229">
        <f>IF($G1229="","",SETUP!$C$193)</f>
        <v/>
      </c>
      <c r="I1229">
        <f>IF($G1229="","",$A$5)</f>
        <v/>
      </c>
      <c r="J1229">
        <f>IF($G1229="","",IF(COUNTIFS(DOC_TYPE,$I1229,DOC_EQP,$H1229,DOC_SCOPE,"Equipment",DOC_ACTIVE,1)+COUNTIFS(DOC_TYPE,$I1229,DOC_SYS,SETUP!$B$193,DOC_SCOPE,"System",DOC_ACTIVE,1)+COUNTIFS(DOC_TYPE,$I1229,DOC_SCOPE,"All",DOC_ACTIVE,1)&gt;0,"",IFERROR(IF($E$5&lt;&gt;"",$E$5-$C$5,SETUP!$D$193-$C$5),60000)+ROW()/1000000))</f>
        <v/>
      </c>
    </row>
    <row r="1230">
      <c r="G1230">
        <f>IF(OR(SETUP!$C$193="",$A$6="",$B$6&lt;&gt;"Equipment"),"","Equipment")</f>
        <v/>
      </c>
      <c r="H1230">
        <f>IF($G1230="","",SETUP!$C$193)</f>
        <v/>
      </c>
      <c r="I1230">
        <f>IF($G1230="","",$A$6)</f>
        <v/>
      </c>
      <c r="J1230">
        <f>IF($G1230="","",IF(COUNTIFS(DOC_TYPE,$I1230,DOC_EQP,$H1230,DOC_SCOPE,"Equipment",DOC_ACTIVE,1)+COUNTIFS(DOC_TYPE,$I1230,DOC_SYS,SETUP!$B$193,DOC_SCOPE,"System",DOC_ACTIVE,1)+COUNTIFS(DOC_TYPE,$I1230,DOC_SCOPE,"All",DOC_ACTIVE,1)&gt;0,"",IFERROR(IF($E$6&lt;&gt;"",$E$6-$C$6,SETUP!$D$193-$C$6),60000)+ROW()/1000000))</f>
        <v/>
      </c>
    </row>
    <row r="1231">
      <c r="G1231">
        <f>IF(OR(SETUP!$C$193="",$A$7="",$B$7&lt;&gt;"Equipment"),"","Equipment")</f>
        <v/>
      </c>
      <c r="H1231">
        <f>IF($G1231="","",SETUP!$C$193)</f>
        <v/>
      </c>
      <c r="I1231">
        <f>IF($G1231="","",$A$7)</f>
        <v/>
      </c>
      <c r="J1231">
        <f>IF($G1231="","",IF(COUNTIFS(DOC_TYPE,$I1231,DOC_EQP,$H1231,DOC_SCOPE,"Equipment",DOC_ACTIVE,1)+COUNTIFS(DOC_TYPE,$I1231,DOC_SYS,SETUP!$B$193,DOC_SCOPE,"System",DOC_ACTIVE,1)+COUNTIFS(DOC_TYPE,$I1231,DOC_SCOPE,"All",DOC_ACTIVE,1)&gt;0,"",IFERROR(IF($E$7&lt;&gt;"",$E$7-$C$7,SETUP!$D$193-$C$7),60000)+ROW()/1000000))</f>
        <v/>
      </c>
    </row>
    <row r="1232">
      <c r="G1232">
        <f>IF(OR(SETUP!$C$193="",$A$8="",$B$8&lt;&gt;"Equipment"),"","Equipment")</f>
        <v/>
      </c>
      <c r="H1232">
        <f>IF($G1232="","",SETUP!$C$193)</f>
        <v/>
      </c>
      <c r="I1232">
        <f>IF($G1232="","",$A$8)</f>
        <v/>
      </c>
      <c r="J1232">
        <f>IF($G1232="","",IF(COUNTIFS(DOC_TYPE,$I1232,DOC_EQP,$H1232,DOC_SCOPE,"Equipment",DOC_ACTIVE,1)+COUNTIFS(DOC_TYPE,$I1232,DOC_SYS,SETUP!$B$193,DOC_SCOPE,"System",DOC_ACTIVE,1)+COUNTIFS(DOC_TYPE,$I1232,DOC_SCOPE,"All",DOC_ACTIVE,1)&gt;0,"",IFERROR(IF($E$8&lt;&gt;"",$E$8-$C$8,SETUP!$D$193-$C$8),60000)+ROW()/1000000))</f>
        <v/>
      </c>
    </row>
    <row r="1233">
      <c r="G1233">
        <f>IF(OR(SETUP!$C$193="",$A$9="",$B$9&lt;&gt;"Equipment"),"","Equipment")</f>
        <v/>
      </c>
      <c r="H1233">
        <f>IF($G1233="","",SETUP!$C$193)</f>
        <v/>
      </c>
      <c r="I1233">
        <f>IF($G1233="","",$A$9)</f>
        <v/>
      </c>
      <c r="J1233">
        <f>IF($G1233="","",IF(COUNTIFS(DOC_TYPE,$I1233,DOC_EQP,$H1233,DOC_SCOPE,"Equipment",DOC_ACTIVE,1)+COUNTIFS(DOC_TYPE,$I1233,DOC_SYS,SETUP!$B$193,DOC_SCOPE,"System",DOC_ACTIVE,1)+COUNTIFS(DOC_TYPE,$I1233,DOC_SCOPE,"All",DOC_ACTIVE,1)&gt;0,"",IFERROR(IF($E$9&lt;&gt;"",$E$9-$C$9,SETUP!$D$193-$C$9),60000)+ROW()/1000000))</f>
        <v/>
      </c>
    </row>
    <row r="1234">
      <c r="G1234">
        <f>IF(OR(SETUP!$C$193="",$A$10="",$B$10&lt;&gt;"Equipment"),"","Equipment")</f>
        <v/>
      </c>
      <c r="H1234">
        <f>IF($G1234="","",SETUP!$C$193)</f>
        <v/>
      </c>
      <c r="I1234">
        <f>IF($G1234="","",$A$10)</f>
        <v/>
      </c>
      <c r="J1234">
        <f>IF($G1234="","",IF(COUNTIFS(DOC_TYPE,$I1234,DOC_EQP,$H1234,DOC_SCOPE,"Equipment",DOC_ACTIVE,1)+COUNTIFS(DOC_TYPE,$I1234,DOC_SYS,SETUP!$B$193,DOC_SCOPE,"System",DOC_ACTIVE,1)+COUNTIFS(DOC_TYPE,$I1234,DOC_SCOPE,"All",DOC_ACTIVE,1)&gt;0,"",IFERROR(IF($E$10&lt;&gt;"",$E$10-$C$10,SETUP!$D$193-$C$10),60000)+ROW()/1000000))</f>
        <v/>
      </c>
    </row>
    <row r="1235">
      <c r="G1235">
        <f>IF(OR(SETUP!$C$193="",$A$11="",$B$11&lt;&gt;"Equipment"),"","Equipment")</f>
        <v/>
      </c>
      <c r="H1235">
        <f>IF($G1235="","",SETUP!$C$193)</f>
        <v/>
      </c>
      <c r="I1235">
        <f>IF($G1235="","",$A$11)</f>
        <v/>
      </c>
      <c r="J1235">
        <f>IF($G1235="","",IF(COUNTIFS(DOC_TYPE,$I1235,DOC_EQP,$H1235,DOC_SCOPE,"Equipment",DOC_ACTIVE,1)+COUNTIFS(DOC_TYPE,$I1235,DOC_SYS,SETUP!$B$193,DOC_SCOPE,"System",DOC_ACTIVE,1)+COUNTIFS(DOC_TYPE,$I1235,DOC_SCOPE,"All",DOC_ACTIVE,1)&gt;0,"",IFERROR(IF($E$11&lt;&gt;"",$E$11-$C$11,SETUP!$D$193-$C$11),60000)+ROW()/1000000))</f>
        <v/>
      </c>
    </row>
    <row r="1236">
      <c r="G1236">
        <f>IF(OR(SETUP!$C$193="",$A$12="",$B$12&lt;&gt;"Equipment"),"","Equipment")</f>
        <v/>
      </c>
      <c r="H1236">
        <f>IF($G1236="","",SETUP!$C$193)</f>
        <v/>
      </c>
      <c r="I1236">
        <f>IF($G1236="","",$A$12)</f>
        <v/>
      </c>
      <c r="J1236">
        <f>IF($G1236="","",IF(COUNTIFS(DOC_TYPE,$I1236,DOC_EQP,$H1236,DOC_SCOPE,"Equipment",DOC_ACTIVE,1)+COUNTIFS(DOC_TYPE,$I1236,DOC_SYS,SETUP!$B$193,DOC_SCOPE,"System",DOC_ACTIVE,1)+COUNTIFS(DOC_TYPE,$I1236,DOC_SCOPE,"All",DOC_ACTIVE,1)&gt;0,"",IFERROR(IF($E$12&lt;&gt;"",$E$12-$C$12,SETUP!$D$193-$C$12),60000)+ROW()/1000000))</f>
        <v/>
      </c>
    </row>
    <row r="1237">
      <c r="G1237">
        <f>IF(OR(SETUP!$C$193="",$A$13="",$B$13&lt;&gt;"Equipment"),"","Equipment")</f>
        <v/>
      </c>
      <c r="H1237">
        <f>IF($G1237="","",SETUP!$C$193)</f>
        <v/>
      </c>
      <c r="I1237">
        <f>IF($G1237="","",$A$13)</f>
        <v/>
      </c>
      <c r="J1237">
        <f>IF($G1237="","",IF(COUNTIFS(DOC_TYPE,$I1237,DOC_EQP,$H1237,DOC_SCOPE,"Equipment",DOC_ACTIVE,1)+COUNTIFS(DOC_TYPE,$I1237,DOC_SYS,SETUP!$B$193,DOC_SCOPE,"System",DOC_ACTIVE,1)+COUNTIFS(DOC_TYPE,$I1237,DOC_SCOPE,"All",DOC_ACTIVE,1)&gt;0,"",IFERROR(IF($E$13&lt;&gt;"",$E$13-$C$13,SETUP!$D$193-$C$13),60000)+ROW()/1000000))</f>
        <v/>
      </c>
    </row>
    <row r="1238">
      <c r="G1238">
        <f>IF(OR(SETUP!$C$194="",$A$2="",$B$2&lt;&gt;"Equipment"),"","Equipment")</f>
        <v/>
      </c>
      <c r="H1238">
        <f>IF($G1238="","",SETUP!$C$194)</f>
        <v/>
      </c>
      <c r="I1238">
        <f>IF($G1238="","",$A$2)</f>
        <v/>
      </c>
      <c r="J1238">
        <f>IF($G1238="","",IF(COUNTIFS(DOC_TYPE,$I1238,DOC_EQP,$H1238,DOC_SCOPE,"Equipment",DOC_ACTIVE,1)+COUNTIFS(DOC_TYPE,$I1238,DOC_SYS,SETUP!$B$194,DOC_SCOPE,"System",DOC_ACTIVE,1)+COUNTIFS(DOC_TYPE,$I1238,DOC_SCOPE,"All",DOC_ACTIVE,1)&gt;0,"",IFERROR(IF($E$2&lt;&gt;"",$E$2-$C$2,SETUP!$D$194-$C$2),60000)+ROW()/1000000))</f>
        <v/>
      </c>
    </row>
    <row r="1239">
      <c r="G1239">
        <f>IF(OR(SETUP!$C$194="",$A$3="",$B$3&lt;&gt;"Equipment"),"","Equipment")</f>
        <v/>
      </c>
      <c r="H1239">
        <f>IF($G1239="","",SETUP!$C$194)</f>
        <v/>
      </c>
      <c r="I1239">
        <f>IF($G1239="","",$A$3)</f>
        <v/>
      </c>
      <c r="J1239">
        <f>IF($G1239="","",IF(COUNTIFS(DOC_TYPE,$I1239,DOC_EQP,$H1239,DOC_SCOPE,"Equipment",DOC_ACTIVE,1)+COUNTIFS(DOC_TYPE,$I1239,DOC_SYS,SETUP!$B$194,DOC_SCOPE,"System",DOC_ACTIVE,1)+COUNTIFS(DOC_TYPE,$I1239,DOC_SCOPE,"All",DOC_ACTIVE,1)&gt;0,"",IFERROR(IF($E$3&lt;&gt;"",$E$3-$C$3,SETUP!$D$194-$C$3),60000)+ROW()/1000000))</f>
        <v/>
      </c>
    </row>
    <row r="1240">
      <c r="G1240">
        <f>IF(OR(SETUP!$C$194="",$A$4="",$B$4&lt;&gt;"Equipment"),"","Equipment")</f>
        <v/>
      </c>
      <c r="H1240">
        <f>IF($G1240="","",SETUP!$C$194)</f>
        <v/>
      </c>
      <c r="I1240">
        <f>IF($G1240="","",$A$4)</f>
        <v/>
      </c>
      <c r="J1240">
        <f>IF($G1240="","",IF(COUNTIFS(DOC_TYPE,$I1240,DOC_EQP,$H1240,DOC_SCOPE,"Equipment",DOC_ACTIVE,1)+COUNTIFS(DOC_TYPE,$I1240,DOC_SYS,SETUP!$B$194,DOC_SCOPE,"System",DOC_ACTIVE,1)+COUNTIFS(DOC_TYPE,$I1240,DOC_SCOPE,"All",DOC_ACTIVE,1)&gt;0,"",IFERROR(IF($E$4&lt;&gt;"",$E$4-$C$4,SETUP!$D$194-$C$4),60000)+ROW()/1000000))</f>
        <v/>
      </c>
    </row>
    <row r="1241">
      <c r="G1241">
        <f>IF(OR(SETUP!$C$194="",$A$5="",$B$5&lt;&gt;"Equipment"),"","Equipment")</f>
        <v/>
      </c>
      <c r="H1241">
        <f>IF($G1241="","",SETUP!$C$194)</f>
        <v/>
      </c>
      <c r="I1241">
        <f>IF($G1241="","",$A$5)</f>
        <v/>
      </c>
      <c r="J1241">
        <f>IF($G1241="","",IF(COUNTIFS(DOC_TYPE,$I1241,DOC_EQP,$H1241,DOC_SCOPE,"Equipment",DOC_ACTIVE,1)+COUNTIFS(DOC_TYPE,$I1241,DOC_SYS,SETUP!$B$194,DOC_SCOPE,"System",DOC_ACTIVE,1)+COUNTIFS(DOC_TYPE,$I1241,DOC_SCOPE,"All",DOC_ACTIVE,1)&gt;0,"",IFERROR(IF($E$5&lt;&gt;"",$E$5-$C$5,SETUP!$D$194-$C$5),60000)+ROW()/1000000))</f>
        <v/>
      </c>
    </row>
    <row r="1242">
      <c r="G1242">
        <f>IF(OR(SETUP!$C$194="",$A$6="",$B$6&lt;&gt;"Equipment"),"","Equipment")</f>
        <v/>
      </c>
      <c r="H1242">
        <f>IF($G1242="","",SETUP!$C$194)</f>
        <v/>
      </c>
      <c r="I1242">
        <f>IF($G1242="","",$A$6)</f>
        <v/>
      </c>
      <c r="J1242">
        <f>IF($G1242="","",IF(COUNTIFS(DOC_TYPE,$I1242,DOC_EQP,$H1242,DOC_SCOPE,"Equipment",DOC_ACTIVE,1)+COUNTIFS(DOC_TYPE,$I1242,DOC_SYS,SETUP!$B$194,DOC_SCOPE,"System",DOC_ACTIVE,1)+COUNTIFS(DOC_TYPE,$I1242,DOC_SCOPE,"All",DOC_ACTIVE,1)&gt;0,"",IFERROR(IF($E$6&lt;&gt;"",$E$6-$C$6,SETUP!$D$194-$C$6),60000)+ROW()/1000000))</f>
        <v/>
      </c>
    </row>
    <row r="1243">
      <c r="G1243">
        <f>IF(OR(SETUP!$C$194="",$A$7="",$B$7&lt;&gt;"Equipment"),"","Equipment")</f>
        <v/>
      </c>
      <c r="H1243">
        <f>IF($G1243="","",SETUP!$C$194)</f>
        <v/>
      </c>
      <c r="I1243">
        <f>IF($G1243="","",$A$7)</f>
        <v/>
      </c>
      <c r="J1243">
        <f>IF($G1243="","",IF(COUNTIFS(DOC_TYPE,$I1243,DOC_EQP,$H1243,DOC_SCOPE,"Equipment",DOC_ACTIVE,1)+COUNTIFS(DOC_TYPE,$I1243,DOC_SYS,SETUP!$B$194,DOC_SCOPE,"System",DOC_ACTIVE,1)+COUNTIFS(DOC_TYPE,$I1243,DOC_SCOPE,"All",DOC_ACTIVE,1)&gt;0,"",IFERROR(IF($E$7&lt;&gt;"",$E$7-$C$7,SETUP!$D$194-$C$7),60000)+ROW()/1000000))</f>
        <v/>
      </c>
    </row>
    <row r="1244">
      <c r="G1244">
        <f>IF(OR(SETUP!$C$194="",$A$8="",$B$8&lt;&gt;"Equipment"),"","Equipment")</f>
        <v/>
      </c>
      <c r="H1244">
        <f>IF($G1244="","",SETUP!$C$194)</f>
        <v/>
      </c>
      <c r="I1244">
        <f>IF($G1244="","",$A$8)</f>
        <v/>
      </c>
      <c r="J1244">
        <f>IF($G1244="","",IF(COUNTIFS(DOC_TYPE,$I1244,DOC_EQP,$H1244,DOC_SCOPE,"Equipment",DOC_ACTIVE,1)+COUNTIFS(DOC_TYPE,$I1244,DOC_SYS,SETUP!$B$194,DOC_SCOPE,"System",DOC_ACTIVE,1)+COUNTIFS(DOC_TYPE,$I1244,DOC_SCOPE,"All",DOC_ACTIVE,1)&gt;0,"",IFERROR(IF($E$8&lt;&gt;"",$E$8-$C$8,SETUP!$D$194-$C$8),60000)+ROW()/1000000))</f>
        <v/>
      </c>
    </row>
    <row r="1245">
      <c r="G1245">
        <f>IF(OR(SETUP!$C$194="",$A$9="",$B$9&lt;&gt;"Equipment"),"","Equipment")</f>
        <v/>
      </c>
      <c r="H1245">
        <f>IF($G1245="","",SETUP!$C$194)</f>
        <v/>
      </c>
      <c r="I1245">
        <f>IF($G1245="","",$A$9)</f>
        <v/>
      </c>
      <c r="J1245">
        <f>IF($G1245="","",IF(COUNTIFS(DOC_TYPE,$I1245,DOC_EQP,$H1245,DOC_SCOPE,"Equipment",DOC_ACTIVE,1)+COUNTIFS(DOC_TYPE,$I1245,DOC_SYS,SETUP!$B$194,DOC_SCOPE,"System",DOC_ACTIVE,1)+COUNTIFS(DOC_TYPE,$I1245,DOC_SCOPE,"All",DOC_ACTIVE,1)&gt;0,"",IFERROR(IF($E$9&lt;&gt;"",$E$9-$C$9,SETUP!$D$194-$C$9),60000)+ROW()/1000000))</f>
        <v/>
      </c>
    </row>
    <row r="1246">
      <c r="G1246">
        <f>IF(OR(SETUP!$C$194="",$A$10="",$B$10&lt;&gt;"Equipment"),"","Equipment")</f>
        <v/>
      </c>
      <c r="H1246">
        <f>IF($G1246="","",SETUP!$C$194)</f>
        <v/>
      </c>
      <c r="I1246">
        <f>IF($G1246="","",$A$10)</f>
        <v/>
      </c>
      <c r="J1246">
        <f>IF($G1246="","",IF(COUNTIFS(DOC_TYPE,$I1246,DOC_EQP,$H1246,DOC_SCOPE,"Equipment",DOC_ACTIVE,1)+COUNTIFS(DOC_TYPE,$I1246,DOC_SYS,SETUP!$B$194,DOC_SCOPE,"System",DOC_ACTIVE,1)+COUNTIFS(DOC_TYPE,$I1246,DOC_SCOPE,"All",DOC_ACTIVE,1)&gt;0,"",IFERROR(IF($E$10&lt;&gt;"",$E$10-$C$10,SETUP!$D$194-$C$10),60000)+ROW()/1000000))</f>
        <v/>
      </c>
    </row>
    <row r="1247">
      <c r="G1247">
        <f>IF(OR(SETUP!$C$194="",$A$11="",$B$11&lt;&gt;"Equipment"),"","Equipment")</f>
        <v/>
      </c>
      <c r="H1247">
        <f>IF($G1247="","",SETUP!$C$194)</f>
        <v/>
      </c>
      <c r="I1247">
        <f>IF($G1247="","",$A$11)</f>
        <v/>
      </c>
      <c r="J1247">
        <f>IF($G1247="","",IF(COUNTIFS(DOC_TYPE,$I1247,DOC_EQP,$H1247,DOC_SCOPE,"Equipment",DOC_ACTIVE,1)+COUNTIFS(DOC_TYPE,$I1247,DOC_SYS,SETUP!$B$194,DOC_SCOPE,"System",DOC_ACTIVE,1)+COUNTIFS(DOC_TYPE,$I1247,DOC_SCOPE,"All",DOC_ACTIVE,1)&gt;0,"",IFERROR(IF($E$11&lt;&gt;"",$E$11-$C$11,SETUP!$D$194-$C$11),60000)+ROW()/1000000))</f>
        <v/>
      </c>
    </row>
    <row r="1248">
      <c r="G1248">
        <f>IF(OR(SETUP!$C$194="",$A$12="",$B$12&lt;&gt;"Equipment"),"","Equipment")</f>
        <v/>
      </c>
      <c r="H1248">
        <f>IF($G1248="","",SETUP!$C$194)</f>
        <v/>
      </c>
      <c r="I1248">
        <f>IF($G1248="","",$A$12)</f>
        <v/>
      </c>
      <c r="J1248">
        <f>IF($G1248="","",IF(COUNTIFS(DOC_TYPE,$I1248,DOC_EQP,$H1248,DOC_SCOPE,"Equipment",DOC_ACTIVE,1)+COUNTIFS(DOC_TYPE,$I1248,DOC_SYS,SETUP!$B$194,DOC_SCOPE,"System",DOC_ACTIVE,1)+COUNTIFS(DOC_TYPE,$I1248,DOC_SCOPE,"All",DOC_ACTIVE,1)&gt;0,"",IFERROR(IF($E$12&lt;&gt;"",$E$12-$C$12,SETUP!$D$194-$C$12),60000)+ROW()/1000000))</f>
        <v/>
      </c>
    </row>
    <row r="1249">
      <c r="G1249">
        <f>IF(OR(SETUP!$C$194="",$A$13="",$B$13&lt;&gt;"Equipment"),"","Equipment")</f>
        <v/>
      </c>
      <c r="H1249">
        <f>IF($G1249="","",SETUP!$C$194)</f>
        <v/>
      </c>
      <c r="I1249">
        <f>IF($G1249="","",$A$13)</f>
        <v/>
      </c>
      <c r="J1249">
        <f>IF($G1249="","",IF(COUNTIFS(DOC_TYPE,$I1249,DOC_EQP,$H1249,DOC_SCOPE,"Equipment",DOC_ACTIVE,1)+COUNTIFS(DOC_TYPE,$I1249,DOC_SYS,SETUP!$B$194,DOC_SCOPE,"System",DOC_ACTIVE,1)+COUNTIFS(DOC_TYPE,$I1249,DOC_SCOPE,"All",DOC_ACTIVE,1)&gt;0,"",IFERROR(IF($E$13&lt;&gt;"",$E$13-$C$13,SETUP!$D$194-$C$13),60000)+ROW()/1000000))</f>
        <v/>
      </c>
    </row>
    <row r="1250">
      <c r="G1250">
        <f>IF(OR(SETUP!$C$195="",$A$2="",$B$2&lt;&gt;"Equipment"),"","Equipment")</f>
        <v/>
      </c>
      <c r="H1250">
        <f>IF($G1250="","",SETUP!$C$195)</f>
        <v/>
      </c>
      <c r="I1250">
        <f>IF($G1250="","",$A$2)</f>
        <v/>
      </c>
      <c r="J1250">
        <f>IF($G1250="","",IF(COUNTIFS(DOC_TYPE,$I1250,DOC_EQP,$H1250,DOC_SCOPE,"Equipment",DOC_ACTIVE,1)+COUNTIFS(DOC_TYPE,$I1250,DOC_SYS,SETUP!$B$195,DOC_SCOPE,"System",DOC_ACTIVE,1)+COUNTIFS(DOC_TYPE,$I1250,DOC_SCOPE,"All",DOC_ACTIVE,1)&gt;0,"",IFERROR(IF($E$2&lt;&gt;"",$E$2-$C$2,SETUP!$D$195-$C$2),60000)+ROW()/1000000))</f>
        <v/>
      </c>
    </row>
    <row r="1251">
      <c r="G1251">
        <f>IF(OR(SETUP!$C$195="",$A$3="",$B$3&lt;&gt;"Equipment"),"","Equipment")</f>
        <v/>
      </c>
      <c r="H1251">
        <f>IF($G1251="","",SETUP!$C$195)</f>
        <v/>
      </c>
      <c r="I1251">
        <f>IF($G1251="","",$A$3)</f>
        <v/>
      </c>
      <c r="J1251">
        <f>IF($G1251="","",IF(COUNTIFS(DOC_TYPE,$I1251,DOC_EQP,$H1251,DOC_SCOPE,"Equipment",DOC_ACTIVE,1)+COUNTIFS(DOC_TYPE,$I1251,DOC_SYS,SETUP!$B$195,DOC_SCOPE,"System",DOC_ACTIVE,1)+COUNTIFS(DOC_TYPE,$I1251,DOC_SCOPE,"All",DOC_ACTIVE,1)&gt;0,"",IFERROR(IF($E$3&lt;&gt;"",$E$3-$C$3,SETUP!$D$195-$C$3),60000)+ROW()/1000000))</f>
        <v/>
      </c>
    </row>
    <row r="1252">
      <c r="G1252">
        <f>IF(OR(SETUP!$C$195="",$A$4="",$B$4&lt;&gt;"Equipment"),"","Equipment")</f>
        <v/>
      </c>
      <c r="H1252">
        <f>IF($G1252="","",SETUP!$C$195)</f>
        <v/>
      </c>
      <c r="I1252">
        <f>IF($G1252="","",$A$4)</f>
        <v/>
      </c>
      <c r="J1252">
        <f>IF($G1252="","",IF(COUNTIFS(DOC_TYPE,$I1252,DOC_EQP,$H1252,DOC_SCOPE,"Equipment",DOC_ACTIVE,1)+COUNTIFS(DOC_TYPE,$I1252,DOC_SYS,SETUP!$B$195,DOC_SCOPE,"System",DOC_ACTIVE,1)+COUNTIFS(DOC_TYPE,$I1252,DOC_SCOPE,"All",DOC_ACTIVE,1)&gt;0,"",IFERROR(IF($E$4&lt;&gt;"",$E$4-$C$4,SETUP!$D$195-$C$4),60000)+ROW()/1000000))</f>
        <v/>
      </c>
    </row>
    <row r="1253">
      <c r="G1253">
        <f>IF(OR(SETUP!$C$195="",$A$5="",$B$5&lt;&gt;"Equipment"),"","Equipment")</f>
        <v/>
      </c>
      <c r="H1253">
        <f>IF($G1253="","",SETUP!$C$195)</f>
        <v/>
      </c>
      <c r="I1253">
        <f>IF($G1253="","",$A$5)</f>
        <v/>
      </c>
      <c r="J1253">
        <f>IF($G1253="","",IF(COUNTIFS(DOC_TYPE,$I1253,DOC_EQP,$H1253,DOC_SCOPE,"Equipment",DOC_ACTIVE,1)+COUNTIFS(DOC_TYPE,$I1253,DOC_SYS,SETUP!$B$195,DOC_SCOPE,"System",DOC_ACTIVE,1)+COUNTIFS(DOC_TYPE,$I1253,DOC_SCOPE,"All",DOC_ACTIVE,1)&gt;0,"",IFERROR(IF($E$5&lt;&gt;"",$E$5-$C$5,SETUP!$D$195-$C$5),60000)+ROW()/1000000))</f>
        <v/>
      </c>
    </row>
    <row r="1254">
      <c r="G1254">
        <f>IF(OR(SETUP!$C$195="",$A$6="",$B$6&lt;&gt;"Equipment"),"","Equipment")</f>
        <v/>
      </c>
      <c r="H1254">
        <f>IF($G1254="","",SETUP!$C$195)</f>
        <v/>
      </c>
      <c r="I1254">
        <f>IF($G1254="","",$A$6)</f>
        <v/>
      </c>
      <c r="J1254">
        <f>IF($G1254="","",IF(COUNTIFS(DOC_TYPE,$I1254,DOC_EQP,$H1254,DOC_SCOPE,"Equipment",DOC_ACTIVE,1)+COUNTIFS(DOC_TYPE,$I1254,DOC_SYS,SETUP!$B$195,DOC_SCOPE,"System",DOC_ACTIVE,1)+COUNTIFS(DOC_TYPE,$I1254,DOC_SCOPE,"All",DOC_ACTIVE,1)&gt;0,"",IFERROR(IF($E$6&lt;&gt;"",$E$6-$C$6,SETUP!$D$195-$C$6),60000)+ROW()/1000000))</f>
        <v/>
      </c>
    </row>
    <row r="1255">
      <c r="G1255">
        <f>IF(OR(SETUP!$C$195="",$A$7="",$B$7&lt;&gt;"Equipment"),"","Equipment")</f>
        <v/>
      </c>
      <c r="H1255">
        <f>IF($G1255="","",SETUP!$C$195)</f>
        <v/>
      </c>
      <c r="I1255">
        <f>IF($G1255="","",$A$7)</f>
        <v/>
      </c>
      <c r="J1255">
        <f>IF($G1255="","",IF(COUNTIFS(DOC_TYPE,$I1255,DOC_EQP,$H1255,DOC_SCOPE,"Equipment",DOC_ACTIVE,1)+COUNTIFS(DOC_TYPE,$I1255,DOC_SYS,SETUP!$B$195,DOC_SCOPE,"System",DOC_ACTIVE,1)+COUNTIFS(DOC_TYPE,$I1255,DOC_SCOPE,"All",DOC_ACTIVE,1)&gt;0,"",IFERROR(IF($E$7&lt;&gt;"",$E$7-$C$7,SETUP!$D$195-$C$7),60000)+ROW()/1000000))</f>
        <v/>
      </c>
    </row>
    <row r="1256">
      <c r="G1256">
        <f>IF(OR(SETUP!$C$195="",$A$8="",$B$8&lt;&gt;"Equipment"),"","Equipment")</f>
        <v/>
      </c>
      <c r="H1256">
        <f>IF($G1256="","",SETUP!$C$195)</f>
        <v/>
      </c>
      <c r="I1256">
        <f>IF($G1256="","",$A$8)</f>
        <v/>
      </c>
      <c r="J1256">
        <f>IF($G1256="","",IF(COUNTIFS(DOC_TYPE,$I1256,DOC_EQP,$H1256,DOC_SCOPE,"Equipment",DOC_ACTIVE,1)+COUNTIFS(DOC_TYPE,$I1256,DOC_SYS,SETUP!$B$195,DOC_SCOPE,"System",DOC_ACTIVE,1)+COUNTIFS(DOC_TYPE,$I1256,DOC_SCOPE,"All",DOC_ACTIVE,1)&gt;0,"",IFERROR(IF($E$8&lt;&gt;"",$E$8-$C$8,SETUP!$D$195-$C$8),60000)+ROW()/1000000))</f>
        <v/>
      </c>
    </row>
    <row r="1257">
      <c r="G1257">
        <f>IF(OR(SETUP!$C$195="",$A$9="",$B$9&lt;&gt;"Equipment"),"","Equipment")</f>
        <v/>
      </c>
      <c r="H1257">
        <f>IF($G1257="","",SETUP!$C$195)</f>
        <v/>
      </c>
      <c r="I1257">
        <f>IF($G1257="","",$A$9)</f>
        <v/>
      </c>
      <c r="J1257">
        <f>IF($G1257="","",IF(COUNTIFS(DOC_TYPE,$I1257,DOC_EQP,$H1257,DOC_SCOPE,"Equipment",DOC_ACTIVE,1)+COUNTIFS(DOC_TYPE,$I1257,DOC_SYS,SETUP!$B$195,DOC_SCOPE,"System",DOC_ACTIVE,1)+COUNTIFS(DOC_TYPE,$I1257,DOC_SCOPE,"All",DOC_ACTIVE,1)&gt;0,"",IFERROR(IF($E$9&lt;&gt;"",$E$9-$C$9,SETUP!$D$195-$C$9),60000)+ROW()/1000000))</f>
        <v/>
      </c>
    </row>
    <row r="1258">
      <c r="G1258">
        <f>IF(OR(SETUP!$C$195="",$A$10="",$B$10&lt;&gt;"Equipment"),"","Equipment")</f>
        <v/>
      </c>
      <c r="H1258">
        <f>IF($G1258="","",SETUP!$C$195)</f>
        <v/>
      </c>
      <c r="I1258">
        <f>IF($G1258="","",$A$10)</f>
        <v/>
      </c>
      <c r="J1258">
        <f>IF($G1258="","",IF(COUNTIFS(DOC_TYPE,$I1258,DOC_EQP,$H1258,DOC_SCOPE,"Equipment",DOC_ACTIVE,1)+COUNTIFS(DOC_TYPE,$I1258,DOC_SYS,SETUP!$B$195,DOC_SCOPE,"System",DOC_ACTIVE,1)+COUNTIFS(DOC_TYPE,$I1258,DOC_SCOPE,"All",DOC_ACTIVE,1)&gt;0,"",IFERROR(IF($E$10&lt;&gt;"",$E$10-$C$10,SETUP!$D$195-$C$10),60000)+ROW()/1000000))</f>
        <v/>
      </c>
    </row>
    <row r="1259">
      <c r="G1259">
        <f>IF(OR(SETUP!$C$195="",$A$11="",$B$11&lt;&gt;"Equipment"),"","Equipment")</f>
        <v/>
      </c>
      <c r="H1259">
        <f>IF($G1259="","",SETUP!$C$195)</f>
        <v/>
      </c>
      <c r="I1259">
        <f>IF($G1259="","",$A$11)</f>
        <v/>
      </c>
      <c r="J1259">
        <f>IF($G1259="","",IF(COUNTIFS(DOC_TYPE,$I1259,DOC_EQP,$H1259,DOC_SCOPE,"Equipment",DOC_ACTIVE,1)+COUNTIFS(DOC_TYPE,$I1259,DOC_SYS,SETUP!$B$195,DOC_SCOPE,"System",DOC_ACTIVE,1)+COUNTIFS(DOC_TYPE,$I1259,DOC_SCOPE,"All",DOC_ACTIVE,1)&gt;0,"",IFERROR(IF($E$11&lt;&gt;"",$E$11-$C$11,SETUP!$D$195-$C$11),60000)+ROW()/1000000))</f>
        <v/>
      </c>
    </row>
    <row r="1260">
      <c r="G1260">
        <f>IF(OR(SETUP!$C$195="",$A$12="",$B$12&lt;&gt;"Equipment"),"","Equipment")</f>
        <v/>
      </c>
      <c r="H1260">
        <f>IF($G1260="","",SETUP!$C$195)</f>
        <v/>
      </c>
      <c r="I1260">
        <f>IF($G1260="","",$A$12)</f>
        <v/>
      </c>
      <c r="J1260">
        <f>IF($G1260="","",IF(COUNTIFS(DOC_TYPE,$I1260,DOC_EQP,$H1260,DOC_SCOPE,"Equipment",DOC_ACTIVE,1)+COUNTIFS(DOC_TYPE,$I1260,DOC_SYS,SETUP!$B$195,DOC_SCOPE,"System",DOC_ACTIVE,1)+COUNTIFS(DOC_TYPE,$I1260,DOC_SCOPE,"All",DOC_ACTIVE,1)&gt;0,"",IFERROR(IF($E$12&lt;&gt;"",$E$12-$C$12,SETUP!$D$195-$C$12),60000)+ROW()/1000000))</f>
        <v/>
      </c>
    </row>
    <row r="1261">
      <c r="G1261">
        <f>IF(OR(SETUP!$C$195="",$A$13="",$B$13&lt;&gt;"Equipment"),"","Equipment")</f>
        <v/>
      </c>
      <c r="H1261">
        <f>IF($G1261="","",SETUP!$C$195)</f>
        <v/>
      </c>
      <c r="I1261">
        <f>IF($G1261="","",$A$13)</f>
        <v/>
      </c>
      <c r="J1261">
        <f>IF($G1261="","",IF(COUNTIFS(DOC_TYPE,$I1261,DOC_EQP,$H1261,DOC_SCOPE,"Equipment",DOC_ACTIVE,1)+COUNTIFS(DOC_TYPE,$I1261,DOC_SYS,SETUP!$B$195,DOC_SCOPE,"System",DOC_ACTIVE,1)+COUNTIFS(DOC_TYPE,$I1261,DOC_SCOPE,"All",DOC_ACTIVE,1)&gt;0,"",IFERROR(IF($E$13&lt;&gt;"",$E$13-$C$13,SETUP!$D$195-$C$13),60000)+ROW()/1000000))</f>
        <v/>
      </c>
    </row>
    <row r="1262">
      <c r="G1262">
        <f>IF(OR(SETUP!$C$196="",$A$2="",$B$2&lt;&gt;"Equipment"),"","Equipment")</f>
        <v/>
      </c>
      <c r="H1262">
        <f>IF($G1262="","",SETUP!$C$196)</f>
        <v/>
      </c>
      <c r="I1262">
        <f>IF($G1262="","",$A$2)</f>
        <v/>
      </c>
      <c r="J1262">
        <f>IF($G1262="","",IF(COUNTIFS(DOC_TYPE,$I1262,DOC_EQP,$H1262,DOC_SCOPE,"Equipment",DOC_ACTIVE,1)+COUNTIFS(DOC_TYPE,$I1262,DOC_SYS,SETUP!$B$196,DOC_SCOPE,"System",DOC_ACTIVE,1)+COUNTIFS(DOC_TYPE,$I1262,DOC_SCOPE,"All",DOC_ACTIVE,1)&gt;0,"",IFERROR(IF($E$2&lt;&gt;"",$E$2-$C$2,SETUP!$D$196-$C$2),60000)+ROW()/1000000))</f>
        <v/>
      </c>
    </row>
    <row r="1263">
      <c r="G1263">
        <f>IF(OR(SETUP!$C$196="",$A$3="",$B$3&lt;&gt;"Equipment"),"","Equipment")</f>
        <v/>
      </c>
      <c r="H1263">
        <f>IF($G1263="","",SETUP!$C$196)</f>
        <v/>
      </c>
      <c r="I1263">
        <f>IF($G1263="","",$A$3)</f>
        <v/>
      </c>
      <c r="J1263">
        <f>IF($G1263="","",IF(COUNTIFS(DOC_TYPE,$I1263,DOC_EQP,$H1263,DOC_SCOPE,"Equipment",DOC_ACTIVE,1)+COUNTIFS(DOC_TYPE,$I1263,DOC_SYS,SETUP!$B$196,DOC_SCOPE,"System",DOC_ACTIVE,1)+COUNTIFS(DOC_TYPE,$I1263,DOC_SCOPE,"All",DOC_ACTIVE,1)&gt;0,"",IFERROR(IF($E$3&lt;&gt;"",$E$3-$C$3,SETUP!$D$196-$C$3),60000)+ROW()/1000000))</f>
        <v/>
      </c>
    </row>
    <row r="1264">
      <c r="G1264">
        <f>IF(OR(SETUP!$C$196="",$A$4="",$B$4&lt;&gt;"Equipment"),"","Equipment")</f>
        <v/>
      </c>
      <c r="H1264">
        <f>IF($G1264="","",SETUP!$C$196)</f>
        <v/>
      </c>
      <c r="I1264">
        <f>IF($G1264="","",$A$4)</f>
        <v/>
      </c>
      <c r="J1264">
        <f>IF($G1264="","",IF(COUNTIFS(DOC_TYPE,$I1264,DOC_EQP,$H1264,DOC_SCOPE,"Equipment",DOC_ACTIVE,1)+COUNTIFS(DOC_TYPE,$I1264,DOC_SYS,SETUP!$B$196,DOC_SCOPE,"System",DOC_ACTIVE,1)+COUNTIFS(DOC_TYPE,$I1264,DOC_SCOPE,"All",DOC_ACTIVE,1)&gt;0,"",IFERROR(IF($E$4&lt;&gt;"",$E$4-$C$4,SETUP!$D$196-$C$4),60000)+ROW()/1000000))</f>
        <v/>
      </c>
    </row>
    <row r="1265">
      <c r="G1265">
        <f>IF(OR(SETUP!$C$196="",$A$5="",$B$5&lt;&gt;"Equipment"),"","Equipment")</f>
        <v/>
      </c>
      <c r="H1265">
        <f>IF($G1265="","",SETUP!$C$196)</f>
        <v/>
      </c>
      <c r="I1265">
        <f>IF($G1265="","",$A$5)</f>
        <v/>
      </c>
      <c r="J1265">
        <f>IF($G1265="","",IF(COUNTIFS(DOC_TYPE,$I1265,DOC_EQP,$H1265,DOC_SCOPE,"Equipment",DOC_ACTIVE,1)+COUNTIFS(DOC_TYPE,$I1265,DOC_SYS,SETUP!$B$196,DOC_SCOPE,"System",DOC_ACTIVE,1)+COUNTIFS(DOC_TYPE,$I1265,DOC_SCOPE,"All",DOC_ACTIVE,1)&gt;0,"",IFERROR(IF($E$5&lt;&gt;"",$E$5-$C$5,SETUP!$D$196-$C$5),60000)+ROW()/1000000))</f>
        <v/>
      </c>
    </row>
    <row r="1266">
      <c r="G1266">
        <f>IF(OR(SETUP!$C$196="",$A$6="",$B$6&lt;&gt;"Equipment"),"","Equipment")</f>
        <v/>
      </c>
      <c r="H1266">
        <f>IF($G1266="","",SETUP!$C$196)</f>
        <v/>
      </c>
      <c r="I1266">
        <f>IF($G1266="","",$A$6)</f>
        <v/>
      </c>
      <c r="J1266">
        <f>IF($G1266="","",IF(COUNTIFS(DOC_TYPE,$I1266,DOC_EQP,$H1266,DOC_SCOPE,"Equipment",DOC_ACTIVE,1)+COUNTIFS(DOC_TYPE,$I1266,DOC_SYS,SETUP!$B$196,DOC_SCOPE,"System",DOC_ACTIVE,1)+COUNTIFS(DOC_TYPE,$I1266,DOC_SCOPE,"All",DOC_ACTIVE,1)&gt;0,"",IFERROR(IF($E$6&lt;&gt;"",$E$6-$C$6,SETUP!$D$196-$C$6),60000)+ROW()/1000000))</f>
        <v/>
      </c>
    </row>
    <row r="1267">
      <c r="G1267">
        <f>IF(OR(SETUP!$C$196="",$A$7="",$B$7&lt;&gt;"Equipment"),"","Equipment")</f>
        <v/>
      </c>
      <c r="H1267">
        <f>IF($G1267="","",SETUP!$C$196)</f>
        <v/>
      </c>
      <c r="I1267">
        <f>IF($G1267="","",$A$7)</f>
        <v/>
      </c>
      <c r="J1267">
        <f>IF($G1267="","",IF(COUNTIFS(DOC_TYPE,$I1267,DOC_EQP,$H1267,DOC_SCOPE,"Equipment",DOC_ACTIVE,1)+COUNTIFS(DOC_TYPE,$I1267,DOC_SYS,SETUP!$B$196,DOC_SCOPE,"System",DOC_ACTIVE,1)+COUNTIFS(DOC_TYPE,$I1267,DOC_SCOPE,"All",DOC_ACTIVE,1)&gt;0,"",IFERROR(IF($E$7&lt;&gt;"",$E$7-$C$7,SETUP!$D$196-$C$7),60000)+ROW()/1000000))</f>
        <v/>
      </c>
    </row>
    <row r="1268">
      <c r="G1268">
        <f>IF(OR(SETUP!$C$196="",$A$8="",$B$8&lt;&gt;"Equipment"),"","Equipment")</f>
        <v/>
      </c>
      <c r="H1268">
        <f>IF($G1268="","",SETUP!$C$196)</f>
        <v/>
      </c>
      <c r="I1268">
        <f>IF($G1268="","",$A$8)</f>
        <v/>
      </c>
      <c r="J1268">
        <f>IF($G1268="","",IF(COUNTIFS(DOC_TYPE,$I1268,DOC_EQP,$H1268,DOC_SCOPE,"Equipment",DOC_ACTIVE,1)+COUNTIFS(DOC_TYPE,$I1268,DOC_SYS,SETUP!$B$196,DOC_SCOPE,"System",DOC_ACTIVE,1)+COUNTIFS(DOC_TYPE,$I1268,DOC_SCOPE,"All",DOC_ACTIVE,1)&gt;0,"",IFERROR(IF($E$8&lt;&gt;"",$E$8-$C$8,SETUP!$D$196-$C$8),60000)+ROW()/1000000))</f>
        <v/>
      </c>
    </row>
    <row r="1269">
      <c r="G1269">
        <f>IF(OR(SETUP!$C$196="",$A$9="",$B$9&lt;&gt;"Equipment"),"","Equipment")</f>
        <v/>
      </c>
      <c r="H1269">
        <f>IF($G1269="","",SETUP!$C$196)</f>
        <v/>
      </c>
      <c r="I1269">
        <f>IF($G1269="","",$A$9)</f>
        <v/>
      </c>
      <c r="J1269">
        <f>IF($G1269="","",IF(COUNTIFS(DOC_TYPE,$I1269,DOC_EQP,$H1269,DOC_SCOPE,"Equipment",DOC_ACTIVE,1)+COUNTIFS(DOC_TYPE,$I1269,DOC_SYS,SETUP!$B$196,DOC_SCOPE,"System",DOC_ACTIVE,1)+COUNTIFS(DOC_TYPE,$I1269,DOC_SCOPE,"All",DOC_ACTIVE,1)&gt;0,"",IFERROR(IF($E$9&lt;&gt;"",$E$9-$C$9,SETUP!$D$196-$C$9),60000)+ROW()/1000000))</f>
        <v/>
      </c>
    </row>
    <row r="1270">
      <c r="G1270">
        <f>IF(OR(SETUP!$C$196="",$A$10="",$B$10&lt;&gt;"Equipment"),"","Equipment")</f>
        <v/>
      </c>
      <c r="H1270">
        <f>IF($G1270="","",SETUP!$C$196)</f>
        <v/>
      </c>
      <c r="I1270">
        <f>IF($G1270="","",$A$10)</f>
        <v/>
      </c>
      <c r="J1270">
        <f>IF($G1270="","",IF(COUNTIFS(DOC_TYPE,$I1270,DOC_EQP,$H1270,DOC_SCOPE,"Equipment",DOC_ACTIVE,1)+COUNTIFS(DOC_TYPE,$I1270,DOC_SYS,SETUP!$B$196,DOC_SCOPE,"System",DOC_ACTIVE,1)+COUNTIFS(DOC_TYPE,$I1270,DOC_SCOPE,"All",DOC_ACTIVE,1)&gt;0,"",IFERROR(IF($E$10&lt;&gt;"",$E$10-$C$10,SETUP!$D$196-$C$10),60000)+ROW()/1000000))</f>
        <v/>
      </c>
    </row>
    <row r="1271">
      <c r="G1271">
        <f>IF(OR(SETUP!$C$196="",$A$11="",$B$11&lt;&gt;"Equipment"),"","Equipment")</f>
        <v/>
      </c>
      <c r="H1271">
        <f>IF($G1271="","",SETUP!$C$196)</f>
        <v/>
      </c>
      <c r="I1271">
        <f>IF($G1271="","",$A$11)</f>
        <v/>
      </c>
      <c r="J1271">
        <f>IF($G1271="","",IF(COUNTIFS(DOC_TYPE,$I1271,DOC_EQP,$H1271,DOC_SCOPE,"Equipment",DOC_ACTIVE,1)+COUNTIFS(DOC_TYPE,$I1271,DOC_SYS,SETUP!$B$196,DOC_SCOPE,"System",DOC_ACTIVE,1)+COUNTIFS(DOC_TYPE,$I1271,DOC_SCOPE,"All",DOC_ACTIVE,1)&gt;0,"",IFERROR(IF($E$11&lt;&gt;"",$E$11-$C$11,SETUP!$D$196-$C$11),60000)+ROW()/1000000))</f>
        <v/>
      </c>
    </row>
    <row r="1272">
      <c r="G1272">
        <f>IF(OR(SETUP!$C$196="",$A$12="",$B$12&lt;&gt;"Equipment"),"","Equipment")</f>
        <v/>
      </c>
      <c r="H1272">
        <f>IF($G1272="","",SETUP!$C$196)</f>
        <v/>
      </c>
      <c r="I1272">
        <f>IF($G1272="","",$A$12)</f>
        <v/>
      </c>
      <c r="J1272">
        <f>IF($G1272="","",IF(COUNTIFS(DOC_TYPE,$I1272,DOC_EQP,$H1272,DOC_SCOPE,"Equipment",DOC_ACTIVE,1)+COUNTIFS(DOC_TYPE,$I1272,DOC_SYS,SETUP!$B$196,DOC_SCOPE,"System",DOC_ACTIVE,1)+COUNTIFS(DOC_TYPE,$I1272,DOC_SCOPE,"All",DOC_ACTIVE,1)&gt;0,"",IFERROR(IF($E$12&lt;&gt;"",$E$12-$C$12,SETUP!$D$196-$C$12),60000)+ROW()/1000000))</f>
        <v/>
      </c>
    </row>
    <row r="1273">
      <c r="G1273">
        <f>IF(OR(SETUP!$C$196="",$A$13="",$B$13&lt;&gt;"Equipment"),"","Equipment")</f>
        <v/>
      </c>
      <c r="H1273">
        <f>IF($G1273="","",SETUP!$C$196)</f>
        <v/>
      </c>
      <c r="I1273">
        <f>IF($G1273="","",$A$13)</f>
        <v/>
      </c>
      <c r="J1273">
        <f>IF($G1273="","",IF(COUNTIFS(DOC_TYPE,$I1273,DOC_EQP,$H1273,DOC_SCOPE,"Equipment",DOC_ACTIVE,1)+COUNTIFS(DOC_TYPE,$I1273,DOC_SYS,SETUP!$B$196,DOC_SCOPE,"System",DOC_ACTIVE,1)+COUNTIFS(DOC_TYPE,$I1273,DOC_SCOPE,"All",DOC_ACTIVE,1)&gt;0,"",IFERROR(IF($E$13&lt;&gt;"",$E$13-$C$13,SETUP!$D$196-$C$13),60000)+ROW()/1000000)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2026-08-25T10:33:37Z</dcterms:created>
  <dcterms:modified xsi:type="dcterms:W3CDTF">2026-08-25T10:33:37Z</dcterms:modified>
</cp:coreProperties>
</file>