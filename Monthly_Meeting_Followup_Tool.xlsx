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Meeting_Tracker" sheetId="1" state="visible" r:id="rId1"/>
    <sheet name="02_Action_Log" sheetId="2" state="visible" r:id="rId2"/>
    <sheet name="03_Meeting_History" sheetId="3" state="visible" r:id="rId3"/>
    <sheet name="04_Meeting_Summary" sheetId="4" state="visible" r:id="rId4"/>
    <sheet name="05_Lists_Config" sheetId="5" state="visible" r:id="rId5"/>
  </sheets>
  <definedNames>
    <definedName name="LIST_CATEGORY">'05_Lists_Config'!$B$6:$B$12</definedName>
    <definedName name="LIST_TOPIC_STATUS">'05_Lists_Config'!$C$6:$C$9</definedName>
    <definedName name="LIST_ACTION_STATUS">'05_Lists_Config'!$D$6:$D$9</definedName>
    <definedName name="LIST_YESNO">'05_Lists_Config'!$E$6:$E$7</definedName>
    <definedName name="NAME_TOPIC_IDS">Meeting_Tracker[Topic ID]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17">
    <font>
      <name val="Calibri"/>
      <family val="2"/>
      <color theme="1"/>
      <sz val="11"/>
      <scheme val="minor"/>
    </font>
    <font>
      <name val="Arial"/>
      <color rgb="00BFD3F2"/>
      <sz val="9"/>
      <u val="single"/>
    </font>
    <font>
      <name val="Arial"/>
      <b val="1"/>
      <color rgb="00FFFFFF"/>
      <sz val="9"/>
    </font>
    <font>
      <name val="Arial"/>
      <b val="1"/>
      <color rgb="001F3864"/>
      <sz val="18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i val="1"/>
      <color rgb="00595959"/>
      <sz val="9"/>
    </font>
    <font>
      <name val="Arial"/>
      <b val="1"/>
      <color rgb="0044546A"/>
      <sz val="10"/>
    </font>
    <font>
      <name val="Arial"/>
      <b val="1"/>
      <color rgb="001F3864"/>
      <sz val="14"/>
    </font>
    <font>
      <name val="Arial"/>
      <b val="1"/>
      <color rgb="00B00020"/>
      <sz val="14"/>
    </font>
    <font>
      <name val="Arial"/>
      <b val="1"/>
      <color rgb="009C6500"/>
      <sz val="14"/>
    </font>
    <font>
      <name val="Arial"/>
      <b val="1"/>
      <color rgb="001A1A1A"/>
      <sz val="10"/>
    </font>
    <font>
      <name val="Arial"/>
      <color rgb="001155CC"/>
      <sz val="10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b val="1"/>
      <color rgb="0044546A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B6EC4"/>
      </patternFill>
    </fill>
    <fill>
      <patternFill patternType="solid">
        <fgColor rgb="00F2F5FA"/>
      </patternFill>
    </fill>
    <fill>
      <patternFill patternType="solid">
        <fgColor rgb="0044546A"/>
      </patternFill>
    </fill>
    <fill>
      <patternFill patternType="solid">
        <fgColor rgb="005B7FB5"/>
      </patternFill>
    </fill>
    <fill>
      <patternFill patternType="solid">
        <fgColor rgb="00808080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AF1FE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165" fontId="13" fillId="0" borderId="1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left" vertical="top" wrapText="1"/>
    </xf>
    <xf numFmtId="0" fontId="14" fillId="8" borderId="0" pivotButton="0" quotePrefix="0" xfId="0"/>
    <xf numFmtId="165" fontId="13" fillId="9" borderId="1" pivotButton="0" quotePrefix="0" xfId="0"/>
    <xf numFmtId="0" fontId="13" fillId="10" borderId="1" pivotButton="0" quotePrefix="0" xfId="0"/>
    <xf numFmtId="0" fontId="15" fillId="5" borderId="1" pivotButton="0" quotePrefix="0" xfId="0"/>
    <xf numFmtId="0" fontId="16" fillId="4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top" wrapText="1"/>
    </xf>
    <xf numFmtId="165" fontId="6" fillId="11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ont>
        <color rgb="00B00020"/>
      </font>
      <fill>
        <patternFill patternType="solid">
          <fgColor rgb="00FBE4E4"/>
        </patternFill>
      </fill>
    </dxf>
    <dxf>
      <font>
        <color rgb="009C6500"/>
      </font>
      <fill>
        <patternFill patternType="solid">
          <fgColor rgb="00FFF3CD"/>
        </patternFill>
      </fill>
    </dxf>
    <dxf>
      <font>
        <color rgb="008A6D00"/>
      </font>
      <fill>
        <patternFill patternType="solid">
          <fgColor rgb="00FFF9DB"/>
        </patternFill>
      </fill>
    </dxf>
    <dxf>
      <font>
        <color rgb="001E7B34"/>
      </font>
      <fill>
        <patternFill patternType="solid">
          <fgColor rgb="00E2F0E4"/>
        </patternFill>
      </fill>
    </dxf>
    <dxf>
      <font>
        <color rgb="006E6E6E"/>
      </font>
      <fill>
        <patternFill patternType="solid">
          <fgColor rgb="00E8E8E8"/>
        </patternFill>
      </fill>
    </dxf>
    <dxf>
      <font>
        <i val="1"/>
        <color rgb="007A7A7A"/>
      </font>
      <fill>
        <patternFill patternType="solid">
          <fgColor rgb="00EF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Meeting_Tracker" displayName="Meeting_Tracker" ref="B7:N8" headerRowCount="1">
  <autoFilter ref="B7:N8"/>
  <tableColumns count="13">
    <tableColumn id="2" name="Topic ID"/>
    <tableColumn id="3" name="Category"/>
    <tableColumn id="4" name="Topic"/>
    <tableColumn id="5" name="Latest Position"/>
    <tableColumn id="6" name="What Needs Attention?"/>
    <tableColumn id="7" name="Current Action"/>
    <tableColumn id="8" name="Owner"/>
    <tableColumn id="9" name="Due Date"/>
    <tableColumn id="10" name="Status"/>
    <tableColumn id="11" name="Last Update Date"/>
    <tableColumn id="12" name="Discuss Next Meeting?"/>
    <tableColumn id="13" name="PQCP Ref."/>
    <tableColumn id="14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tion_Log" displayName="Action_Log" ref="B7:L8" headerRowCount="1">
  <autoFilter ref="B7:L8"/>
  <tableColumns count="11">
    <tableColumn id="2" name="Action ID"/>
    <tableColumn id="3" name="Topic ID"/>
    <tableColumn id="4" name="Topic"/>
    <tableColumn id="5" name="Action"/>
    <tableColumn id="6" name="Owner"/>
    <tableColumn id="7" name="Date Raised"/>
    <tableColumn id="8" name="Due Date"/>
    <tableColumn id="9" name="Status"/>
    <tableColumn id="10" name="Latest Update"/>
    <tableColumn id="11" name="Closure Date"/>
    <tableColumn id="12" name="Overdue?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eting_History" displayName="Meeting_History" ref="B7:I8" headerRowCount="1">
  <autoFilter ref="B7:I8"/>
  <tableColumns count="8">
    <tableColumn id="2" name="Meeting Date"/>
    <tableColumn id="3" name="Topic ID"/>
    <tableColumn id="4" name="Topic"/>
    <tableColumn id="5" name="Update / Discussion"/>
    <tableColumn id="6" name="Decision"/>
    <tableColumn id="7" name="Action Raised"/>
    <tableColumn id="8" name="Owner"/>
    <tableColumn id="9" name="Du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Meeting_Tracker'!A1" TargetMode="External" Id="rId1" /><Relationship Type="http://schemas.openxmlformats.org/officeDocument/2006/relationships/hyperlink" Target="#'02_Action_Log'!A1" TargetMode="External" Id="rId2" /><Relationship Type="http://schemas.openxmlformats.org/officeDocument/2006/relationships/hyperlink" Target="#'03_Meeting_History'!A1" TargetMode="External" Id="rId3" /><Relationship Type="http://schemas.openxmlformats.org/officeDocument/2006/relationships/hyperlink" Target="#'04_Meeting_Summary'!A1" TargetMode="External" Id="rId4" /><Relationship Type="http://schemas.openxmlformats.org/officeDocument/2006/relationships/hyperlink" Target="#'05_Lists_Config'!A1" TargetMode="External" Id="rId5" /><Relationship Type="http://schemas.openxmlformats.org/officeDocument/2006/relationships/table" Target="/xl/tables/table1.xml" Id="rId6" /></Relationships>
</file>

<file path=xl/worksheets/_rels/sheet2.xml.rels><Relationships xmlns="http://schemas.openxmlformats.org/package/2006/relationships"><Relationship Type="http://schemas.openxmlformats.org/officeDocument/2006/relationships/hyperlink" Target="#'01_Meeting_Tracker'!A1" TargetMode="External" Id="rId1" /><Relationship Type="http://schemas.openxmlformats.org/officeDocument/2006/relationships/hyperlink" Target="#'02_Action_Log'!A1" TargetMode="External" Id="rId2" /><Relationship Type="http://schemas.openxmlformats.org/officeDocument/2006/relationships/hyperlink" Target="#'03_Meeting_History'!A1" TargetMode="External" Id="rId3" /><Relationship Type="http://schemas.openxmlformats.org/officeDocument/2006/relationships/hyperlink" Target="#'04_Meeting_Summary'!A1" TargetMode="External" Id="rId4" /><Relationship Type="http://schemas.openxmlformats.org/officeDocument/2006/relationships/hyperlink" Target="#'05_Lists_Config'!A1" TargetMode="External" Id="rId5" /><Relationship Type="http://schemas.openxmlformats.org/officeDocument/2006/relationships/table" Target="/xl/tables/table2.xml" Id="rId6" /></Relationships>
</file>

<file path=xl/worksheets/_rels/sheet3.xml.rels><Relationships xmlns="http://schemas.openxmlformats.org/package/2006/relationships"><Relationship Type="http://schemas.openxmlformats.org/officeDocument/2006/relationships/hyperlink" Target="#'01_Meeting_Tracker'!A1" TargetMode="External" Id="rId1" /><Relationship Type="http://schemas.openxmlformats.org/officeDocument/2006/relationships/hyperlink" Target="#'02_Action_Log'!A1" TargetMode="External" Id="rId2" /><Relationship Type="http://schemas.openxmlformats.org/officeDocument/2006/relationships/hyperlink" Target="#'03_Meeting_History'!A1" TargetMode="External" Id="rId3" /><Relationship Type="http://schemas.openxmlformats.org/officeDocument/2006/relationships/hyperlink" Target="#'04_Meeting_Summary'!A1" TargetMode="External" Id="rId4" /><Relationship Type="http://schemas.openxmlformats.org/officeDocument/2006/relationships/hyperlink" Target="#'05_Lists_Config'!A1" TargetMode="External" Id="rId5" /><Relationship Type="http://schemas.openxmlformats.org/officeDocument/2006/relationships/table" Target="/xl/tables/table3.xml" Id="rId6" /></Relationships>
</file>

<file path=xl/worksheets/_rels/sheet4.xml.rels><Relationships xmlns="http://schemas.openxmlformats.org/package/2006/relationships"><Relationship Type="http://schemas.openxmlformats.org/officeDocument/2006/relationships/hyperlink" Target="#'01_Meeting_Tracker'!A1" TargetMode="External" Id="rId1" /><Relationship Type="http://schemas.openxmlformats.org/officeDocument/2006/relationships/hyperlink" Target="#'02_Action_Log'!A1" TargetMode="External" Id="rId2" /><Relationship Type="http://schemas.openxmlformats.org/officeDocument/2006/relationships/hyperlink" Target="#'03_Meeting_History'!A1" TargetMode="External" Id="rId3" /><Relationship Type="http://schemas.openxmlformats.org/officeDocument/2006/relationships/hyperlink" Target="#'04_Meeting_Summary'!A1" TargetMode="External" Id="rId4" /><Relationship Type="http://schemas.openxmlformats.org/officeDocument/2006/relationships/hyperlink" Target="#'05_Lists_Config'!A1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#'01_Meeting_Tracker'!A1" TargetMode="External" Id="rId1" /><Relationship Type="http://schemas.openxmlformats.org/officeDocument/2006/relationships/hyperlink" Target="#'02_Action_Log'!A1" TargetMode="External" Id="rId2" /><Relationship Type="http://schemas.openxmlformats.org/officeDocument/2006/relationships/hyperlink" Target="#'03_Meeting_History'!A1" TargetMode="External" Id="rId3" /><Relationship Type="http://schemas.openxmlformats.org/officeDocument/2006/relationships/hyperlink" Target="#'04_Meeting_Summary'!A1" TargetMode="External" Id="rId4" /><Relationship Type="http://schemas.openxmlformats.org/officeDocument/2006/relationships/hyperlink" Target="#'05_Lists_Config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0" customWidth="1" min="2" max="2"/>
    <col width="16" customWidth="1" min="3" max="3"/>
    <col width="28" customWidth="1" min="4" max="4"/>
    <col width="30" customWidth="1" min="5" max="5"/>
    <col width="30" customWidth="1" min="6" max="6"/>
    <col width="30" customWidth="1" min="7" max="7"/>
    <col width="14" customWidth="1" min="8" max="8"/>
    <col width="12" customWidth="1" min="9" max="9"/>
    <col width="16" customWidth="1" min="10" max="10"/>
    <col width="14" customWidth="1" min="11" max="11"/>
    <col width="14" customWidth="1" min="12" max="12"/>
    <col width="11" customWidth="1" min="13" max="13"/>
    <col width="8" customWidth="1" min="14" max="14"/>
  </cols>
  <sheetData>
    <row r="1" ht="20" customHeight="1">
      <c r="B1" s="1" t="inlineStr">
        <is>
          <t>Meeting Tracker</t>
        </is>
      </c>
      <c r="C1" s="2" t="inlineStr">
        <is>
          <t>Action Log</t>
        </is>
      </c>
      <c r="D1" s="2" t="inlineStr">
        <is>
          <t>Meeting History</t>
        </is>
      </c>
      <c r="E1" s="2" t="inlineStr">
        <is>
          <t>Meeting Summary</t>
        </is>
      </c>
      <c r="F1" s="2" t="inlineStr">
        <is>
          <t>Lists Config</t>
        </is>
      </c>
    </row>
    <row r="2" ht="26" customHeight="1">
      <c r="B2" s="3" t="inlineStr">
        <is>
          <t>Meeting Tracker</t>
        </is>
      </c>
    </row>
    <row r="3" ht="16" customHeight="1">
      <c r="B3" s="4" t="inlineStr">
        <is>
          <t>One row per recurring topic. Shows the latest position only - full history is in Meeting History. Sort or filter by Status to prepare the next meeting: Action Required, then To Discuss, then Monitoring, then Closed.</t>
        </is>
      </c>
    </row>
    <row r="5">
      <c r="B5" s="5" t="inlineStr">
        <is>
          <t>Legend: Blue = fill in yourself | Black = automatic, do not overtype | New row: type directly below the table and Excel extends it automatically</t>
        </is>
      </c>
      <c r="C5" s="6">
        <f>COUNTIFS(Action_Log[Action ID],"&lt;&gt;",Action_Log[Status],"&lt;&gt;Closed")</f>
        <v/>
      </c>
      <c r="E5" s="7" t="inlineStr">
        <is>
          <t>Overdue Actions:</t>
        </is>
      </c>
      <c r="F5" s="8">
        <f>COUNTIFS(Action_Log[Overdue?],"Yes")</f>
        <v/>
      </c>
      <c r="H5" s="7" t="inlineStr">
        <is>
          <t>Topics to Discuss:</t>
        </is>
      </c>
      <c r="I5" s="9">
        <f>COUNTIFS(Meeting_Tracker[Discuss Next Meeting?],"Yes")</f>
        <v/>
      </c>
    </row>
    <row r="6" ht="18" customHeight="1">
      <c r="B6" s="10" t="inlineStr">
        <is>
          <t>Identification</t>
        </is>
      </c>
      <c r="C6" s="11" t="n"/>
      <c r="D6" s="11" t="n"/>
      <c r="E6" s="12" t="inlineStr">
        <is>
          <t>Position</t>
        </is>
      </c>
      <c r="F6" s="13" t="n"/>
      <c r="G6" s="10" t="inlineStr">
        <is>
          <t>Action</t>
        </is>
      </c>
      <c r="H6" s="11" t="n"/>
      <c r="I6" s="11" t="n"/>
      <c r="J6" s="12" t="inlineStr">
        <is>
          <t>Status &amp; Review</t>
        </is>
      </c>
      <c r="K6" s="13" t="n"/>
      <c r="L6" s="13" t="n"/>
      <c r="M6" s="10" t="inlineStr">
        <is>
          <t>Reference</t>
        </is>
      </c>
      <c r="N6" s="14" t="inlineStr">
        <is>
          <t>Helper</t>
        </is>
      </c>
    </row>
    <row r="7" ht="32" customHeight="1">
      <c r="B7" s="15" t="inlineStr">
        <is>
          <t>Topic ID</t>
        </is>
      </c>
      <c r="C7" s="15" t="inlineStr">
        <is>
          <t>Category</t>
        </is>
      </c>
      <c r="D7" s="15" t="inlineStr">
        <is>
          <t>Topic</t>
        </is>
      </c>
      <c r="E7" s="15" t="inlineStr">
        <is>
          <t>Latest Position</t>
        </is>
      </c>
      <c r="F7" s="15" t="inlineStr">
        <is>
          <t>What Needs Attention?</t>
        </is>
      </c>
      <c r="G7" s="15" t="inlineStr">
        <is>
          <t>Current Action</t>
        </is>
      </c>
      <c r="H7" s="15" t="inlineStr">
        <is>
          <t>Owner</t>
        </is>
      </c>
      <c r="I7" s="15" t="inlineStr">
        <is>
          <t>Due Date</t>
        </is>
      </c>
      <c r="J7" s="15" t="inlineStr">
        <is>
          <t>Status</t>
        </is>
      </c>
      <c r="K7" s="15" t="inlineStr">
        <is>
          <t>Last Update Date</t>
        </is>
      </c>
      <c r="L7" s="15" t="inlineStr">
        <is>
          <t>Discuss Next Meeting?</t>
        </is>
      </c>
      <c r="M7" s="15" t="inlineStr">
        <is>
          <t>PQCP Ref.</t>
        </is>
      </c>
      <c r="N7" s="15" t="inlineStr">
        <is>
          <t>Priority</t>
        </is>
      </c>
    </row>
    <row r="8">
      <c r="B8" s="16">
        <f>IF($D8="","","T"&amp;TEXT(ROW()-7,"000"))</f>
        <v/>
      </c>
      <c r="C8" s="17" t="inlineStr">
        <is>
          <t>Technical</t>
        </is>
      </c>
      <c r="D8" s="17" t="inlineStr">
        <is>
          <t>Example topic - ventilation system commissioning strategy</t>
        </is>
      </c>
      <c r="E8" s="17" t="inlineStr">
        <is>
          <t>Draft strategy issued for internal review.</t>
        </is>
      </c>
      <c r="F8" s="17" t="inlineStr">
        <is>
          <t>Confirm the temporary supply date with Contractor A.</t>
        </is>
      </c>
      <c r="G8" s="17" t="inlineStr">
        <is>
          <t>Contractor A to issue an updated programme.</t>
        </is>
      </c>
      <c r="H8" s="17" t="inlineStr">
        <is>
          <t>Person A</t>
        </is>
      </c>
      <c r="I8" s="18" t="n">
        <v>46218</v>
      </c>
      <c r="J8" s="17" t="inlineStr">
        <is>
          <t>Action Required</t>
        </is>
      </c>
      <c r="K8" s="19">
        <f t="array" ref="K8">IF($B8="","",IFERROR(MAX(IF(Meeting_History[Topic ID]=$B8,Meeting_History[Meeting Date])),""))</f>
        <v/>
      </c>
      <c r="L8" s="17" t="inlineStr">
        <is>
          <t>Yes</t>
        </is>
      </c>
      <c r="M8" s="17" t="inlineStr">
        <is>
          <t>8.1</t>
        </is>
      </c>
      <c r="N8" s="20">
        <f>IF($B8="","",IF($J8="Action Required",1,IF($J8="To Discuss",2,IF($J8="Monitoring",3,IF($J8="Closed",4,5)))))</f>
        <v/>
      </c>
    </row>
  </sheetData>
  <mergeCells count="4">
    <mergeCell ref="G6:I6"/>
    <mergeCell ref="J6:L6"/>
    <mergeCell ref="B6:D6"/>
    <mergeCell ref="E6:F6"/>
  </mergeCells>
  <conditionalFormatting sqref="B8:N8">
    <cfRule type="expression" priority="1" dxfId="0">
      <formula>$J8="Action Required"</formula>
    </cfRule>
    <cfRule type="expression" priority="2" dxfId="1">
      <formula>$J8="To Discuss"</formula>
    </cfRule>
    <cfRule type="expression" priority="3" dxfId="2">
      <formula>$J8="Monitoring"</formula>
    </cfRule>
    <cfRule type="expression" priority="4" dxfId="3">
      <formula>$J8="Closed"</formula>
    </cfRule>
  </conditionalFormatting>
  <dataValidations count="3">
    <dataValidation sqref="C8" showDropDown="0" showInputMessage="0" showErrorMessage="0" allowBlank="1" type="list">
      <formula1>=LIST_CATEGORY</formula1>
    </dataValidation>
    <dataValidation sqref="J8" showDropDown="0" showInputMessage="0" showErrorMessage="0" allowBlank="1" type="list">
      <formula1>=LIST_TOPIC_STATUS</formula1>
    </dataValidation>
    <dataValidation sqref="L8" showDropDown="0" showInputMessage="0" showErrorMessage="0" allowBlank="1" type="list">
      <formula1>=LIST_YESNO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F1" r:id="rId5"/>
  </hyperlinks>
  <pageMargins left="0.75" right="0.75" top="1" bottom="1" header="0.5" footer="0.5"/>
  <tableParts count="1">
    <tablePart xmlns:r="http://schemas.openxmlformats.org/officeDocument/2006/relationships" r:id="rId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1" customWidth="1" min="2" max="2"/>
    <col width="10" customWidth="1" min="3" max="3"/>
    <col width="26" customWidth="1" min="4" max="4"/>
    <col width="34" customWidth="1" min="5" max="5"/>
    <col width="14" customWidth="1" min="6" max="6"/>
    <col width="12" customWidth="1" min="7" max="7"/>
    <col width="12" customWidth="1" min="8" max="8"/>
    <col width="14" customWidth="1" min="9" max="9"/>
    <col width="28" customWidth="1" min="10" max="10"/>
    <col width="12" customWidth="1" min="11" max="11"/>
    <col width="10" customWidth="1" min="12" max="12"/>
  </cols>
  <sheetData>
    <row r="1" ht="20" customHeight="1">
      <c r="B1" s="2" t="inlineStr">
        <is>
          <t>Meeting Tracker</t>
        </is>
      </c>
      <c r="C1" s="1" t="inlineStr">
        <is>
          <t>Action Log</t>
        </is>
      </c>
      <c r="D1" s="2" t="inlineStr">
        <is>
          <t>Meeting History</t>
        </is>
      </c>
      <c r="E1" s="2" t="inlineStr">
        <is>
          <t>Meeting Summary</t>
        </is>
      </c>
      <c r="F1" s="2" t="inlineStr">
        <is>
          <t>Lists Config</t>
        </is>
      </c>
    </row>
    <row r="2" ht="26" customHeight="1">
      <c r="B2" s="3" t="inlineStr">
        <is>
          <t>Action Log</t>
        </is>
      </c>
    </row>
    <row r="3" ht="16" customHeight="1">
      <c r="B3" s="4" t="inlineStr">
        <is>
          <t>Every action raised at a meeting. Closed actions stay in the table for traceability - never delete a row.</t>
        </is>
      </c>
    </row>
    <row r="5">
      <c r="B5" s="5" t="inlineStr">
        <is>
          <t>Legend: Blue = fill in yourself | Black = automatic, do not overtype | New row: type directly below the table and Excel extends it automatically</t>
        </is>
      </c>
    </row>
    <row r="6" ht="18" customHeight="1">
      <c r="B6" s="10" t="inlineStr">
        <is>
          <t>Identification</t>
        </is>
      </c>
      <c r="C6" s="11" t="n"/>
      <c r="D6" s="11" t="n"/>
      <c r="E6" s="12" t="inlineStr">
        <is>
          <t>Detail</t>
        </is>
      </c>
      <c r="F6" s="13" t="n"/>
      <c r="G6" s="10" t="inlineStr">
        <is>
          <t>Dates &amp; Status</t>
        </is>
      </c>
      <c r="H6" s="11" t="n"/>
      <c r="I6" s="11" t="n"/>
      <c r="J6" s="12" t="inlineStr">
        <is>
          <t>Tracking</t>
        </is>
      </c>
      <c r="K6" s="13" t="n"/>
      <c r="L6" s="14" t="inlineStr">
        <is>
          <t>Helper</t>
        </is>
      </c>
    </row>
    <row r="7" ht="32" customHeight="1">
      <c r="B7" s="15" t="inlineStr">
        <is>
          <t>Action ID</t>
        </is>
      </c>
      <c r="C7" s="15" t="inlineStr">
        <is>
          <t>Topic ID</t>
        </is>
      </c>
      <c r="D7" s="15" t="inlineStr">
        <is>
          <t>Topic</t>
        </is>
      </c>
      <c r="E7" s="15" t="inlineStr">
        <is>
          <t>Action</t>
        </is>
      </c>
      <c r="F7" s="15" t="inlineStr">
        <is>
          <t>Owner</t>
        </is>
      </c>
      <c r="G7" s="15" t="inlineStr">
        <is>
          <t>Date Raised</t>
        </is>
      </c>
      <c r="H7" s="15" t="inlineStr">
        <is>
          <t>Due Date</t>
        </is>
      </c>
      <c r="I7" s="15" t="inlineStr">
        <is>
          <t>Status</t>
        </is>
      </c>
      <c r="J7" s="15" t="inlineStr">
        <is>
          <t>Latest Update</t>
        </is>
      </c>
      <c r="K7" s="15" t="inlineStr">
        <is>
          <t>Closure Date</t>
        </is>
      </c>
      <c r="L7" s="15" t="inlineStr">
        <is>
          <t>Overdue?</t>
        </is>
      </c>
    </row>
    <row r="8">
      <c r="B8" s="16">
        <f>IF($E8="","","A"&amp;TEXT(ROW()-7,"000"))</f>
        <v/>
      </c>
      <c r="C8" s="17" t="inlineStr">
        <is>
          <t>T001</t>
        </is>
      </c>
      <c r="D8" s="16">
        <f t="array" ref="D8">IF($C8="","",IFERROR(INDEX(Meeting_Tracker[Topic],MATCH($C8,Meeting_Tracker[Topic ID],0)),""))</f>
        <v/>
      </c>
      <c r="E8" s="17" t="inlineStr">
        <is>
          <t>Contractor A to issue an updated programme confirming the temporary supply date.</t>
        </is>
      </c>
      <c r="F8" s="17" t="inlineStr">
        <is>
          <t>Person A</t>
        </is>
      </c>
      <c r="G8" s="18" t="n">
        <v>46175</v>
      </c>
      <c r="H8" s="18" t="n">
        <v>46218</v>
      </c>
      <c r="I8" s="17" t="inlineStr">
        <is>
          <t>In Progress</t>
        </is>
      </c>
      <c r="J8" s="17" t="inlineStr">
        <is>
          <t>Contractor A confirmed the programme is being finalised.</t>
        </is>
      </c>
      <c r="K8" s="18" t="n"/>
      <c r="L8" s="16">
        <f>IF($E8="","",IF(AND($I8&lt;&gt;"Closed",$H8&lt;&gt;"",$H8&lt;TODAY()),"Yes","No"))</f>
        <v/>
      </c>
    </row>
  </sheetData>
  <mergeCells count="4">
    <mergeCell ref="G6:I6"/>
    <mergeCell ref="J6:K6"/>
    <mergeCell ref="B6:D6"/>
    <mergeCell ref="E6:F6"/>
  </mergeCells>
  <conditionalFormatting sqref="B8:L8">
    <cfRule type="expression" priority="1" dxfId="0">
      <formula>AND($I8&lt;&gt;"Closed",$L8="Yes")</formula>
    </cfRule>
    <cfRule type="expression" priority="2" dxfId="4">
      <formula>$I8="Closed"</formula>
    </cfRule>
    <cfRule type="expression" priority="3" dxfId="5">
      <formula>$I8="Waiting"</formula>
    </cfRule>
  </conditionalFormatting>
  <dataValidations count="2">
    <dataValidation sqref="C8" showDropDown="0" showInputMessage="0" showErrorMessage="0" allowBlank="1" type="list">
      <formula1>=NAME_TOPIC_IDS</formula1>
    </dataValidation>
    <dataValidation sqref="I8" showDropDown="0" showInputMessage="0" showErrorMessage="0" allowBlank="1" type="list">
      <formula1>=LIST_ACTION_STATUS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F1" r:id="rId5"/>
  </hyperlinks>
  <pageMargins left="0.75" right="0.75" top="1" bottom="1" header="0.5" footer="0.5"/>
  <tableParts count="1"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3" customWidth="1" min="2" max="2"/>
    <col width="10" customWidth="1" min="3" max="3"/>
    <col width="26" customWidth="1" min="4" max="4"/>
    <col width="34" customWidth="1" min="5" max="5"/>
    <col width="26" customWidth="1" min="6" max="6"/>
    <col width="30" customWidth="1" min="7" max="7"/>
    <col width="14" customWidth="1" min="8" max="8"/>
    <col width="12" customWidth="1" min="9" max="9"/>
  </cols>
  <sheetData>
    <row r="1" ht="20" customHeight="1">
      <c r="B1" s="2" t="inlineStr">
        <is>
          <t>Meeting Tracker</t>
        </is>
      </c>
      <c r="C1" s="2" t="inlineStr">
        <is>
          <t>Action Log</t>
        </is>
      </c>
      <c r="D1" s="1" t="inlineStr">
        <is>
          <t>Meeting History</t>
        </is>
      </c>
      <c r="E1" s="2" t="inlineStr">
        <is>
          <t>Meeting Summary</t>
        </is>
      </c>
      <c r="F1" s="2" t="inlineStr">
        <is>
          <t>Lists Config</t>
        </is>
      </c>
    </row>
    <row r="2" ht="26" customHeight="1">
      <c r="B2" s="3" t="inlineStr">
        <is>
          <t>Meeting History</t>
        </is>
      </c>
    </row>
    <row r="3" ht="16" customHeight="1">
      <c r="B3" s="4" t="inlineStr">
        <is>
          <t>One row per meeting update. Add a new row every month - this is the permanent record. The Meeting Tracker only ever shows the current position, not this full trail.</t>
        </is>
      </c>
    </row>
    <row r="5">
      <c r="B5" s="5" t="inlineStr">
        <is>
          <t>Legend: Blue = fill in yourself | Black = automatic, do not overtype | New row: type directly below the table and Excel extends it automatically</t>
        </is>
      </c>
    </row>
    <row r="6" ht="18" customHeight="1">
      <c r="B6" s="10" t="inlineStr">
        <is>
          <t>Identification</t>
        </is>
      </c>
      <c r="C6" s="11" t="n"/>
      <c r="D6" s="11" t="n"/>
      <c r="E6" s="12" t="inlineStr">
        <is>
          <t>Content</t>
        </is>
      </c>
      <c r="F6" s="13" t="n"/>
      <c r="G6" s="10" t="inlineStr">
        <is>
          <t>Action Raised</t>
        </is>
      </c>
      <c r="H6" s="11" t="n"/>
      <c r="I6" s="11" t="n"/>
    </row>
    <row r="7" ht="32" customHeight="1">
      <c r="B7" s="15" t="inlineStr">
        <is>
          <t>Meeting Date</t>
        </is>
      </c>
      <c r="C7" s="15" t="inlineStr">
        <is>
          <t>Topic ID</t>
        </is>
      </c>
      <c r="D7" s="15" t="inlineStr">
        <is>
          <t>Topic</t>
        </is>
      </c>
      <c r="E7" s="15" t="inlineStr">
        <is>
          <t>Update / Discussion</t>
        </is>
      </c>
      <c r="F7" s="15" t="inlineStr">
        <is>
          <t>Decision</t>
        </is>
      </c>
      <c r="G7" s="15" t="inlineStr">
        <is>
          <t>Action Raised</t>
        </is>
      </c>
      <c r="H7" s="15" t="inlineStr">
        <is>
          <t>Owner</t>
        </is>
      </c>
      <c r="I7" s="15" t="inlineStr">
        <is>
          <t>Due Date</t>
        </is>
      </c>
    </row>
    <row r="8">
      <c r="B8" s="18" t="n">
        <v>46175</v>
      </c>
      <c r="C8" s="17" t="inlineStr">
        <is>
          <t>T001</t>
        </is>
      </c>
      <c r="D8" s="16">
        <f t="array" ref="D8">IF($C8="","",IFERROR(INDEX(Meeting_Tracker[Topic],MATCH($C8,Meeting_Tracker[Topic ID],0)),""))</f>
        <v/>
      </c>
      <c r="E8" s="17" t="inlineStr">
        <is>
          <t>Contractor A confirmed the temporary supply date is still to be finalised.</t>
        </is>
      </c>
      <c r="F8" s="17" t="inlineStr"/>
      <c r="G8" s="17" t="inlineStr">
        <is>
          <t>Contractor A to issue an updated programme.</t>
        </is>
      </c>
      <c r="H8" s="17" t="inlineStr">
        <is>
          <t>Person A</t>
        </is>
      </c>
      <c r="I8" s="18" t="n">
        <v>46218</v>
      </c>
    </row>
  </sheetData>
  <mergeCells count="3">
    <mergeCell ref="G6:I6"/>
    <mergeCell ref="B6:D6"/>
    <mergeCell ref="E6:F6"/>
  </mergeCells>
  <dataValidations count="1">
    <dataValidation sqref="C8" showDropDown="0" showInputMessage="0" showErrorMessage="0" allowBlank="1" type="list">
      <formula1>=NAME_TOPIC_IDS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F1" r:id="rId5"/>
  </hyperlinks>
  <pageMargins left="0.75" right="0.75" top="1" bottom="1" header="0.5" footer="0.5"/>
  <tableParts count="1">
    <tablePart xmlns:r="http://schemas.openxmlformats.org/officeDocument/2006/relationships" r:id="rId6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5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8" customWidth="1" min="2" max="2"/>
    <col width="40" customWidth="1" min="3" max="3"/>
    <col width="12" customWidth="1" min="4" max="4"/>
  </cols>
  <sheetData>
    <row r="1" ht="20" customHeight="1">
      <c r="B1" s="2" t="inlineStr">
        <is>
          <t>Meeting Tracker</t>
        </is>
      </c>
      <c r="C1" s="2" t="inlineStr">
        <is>
          <t>Action Log</t>
        </is>
      </c>
      <c r="D1" s="2" t="inlineStr">
        <is>
          <t>Meeting History</t>
        </is>
      </c>
      <c r="E1" s="1" t="inlineStr">
        <is>
          <t>Meeting Summary</t>
        </is>
      </c>
      <c r="F1" s="2" t="inlineStr">
        <is>
          <t>Lists Config</t>
        </is>
      </c>
    </row>
    <row r="2" ht="26" customHeight="1">
      <c r="B2" s="3" t="inlineStr">
        <is>
          <t>Meeting Summary</t>
        </is>
      </c>
    </row>
    <row r="3" ht="16" customHeight="1">
      <c r="B3" s="4" t="inlineStr">
        <is>
          <t>Fill in the meeting date and attendees. Every section below fills in automatically for that date - short enough to paste straight into minutes or an email.</t>
        </is>
      </c>
    </row>
    <row r="5">
      <c r="B5" s="7" t="inlineStr">
        <is>
          <t>Meeting Date:</t>
        </is>
      </c>
      <c r="C5" s="21" t="n">
        <v>46175</v>
      </c>
      <c r="E5" s="7" t="inlineStr">
        <is>
          <t>Attendees:</t>
        </is>
      </c>
      <c r="F5" s="22" t="inlineStr">
        <is>
          <t>Person A, Person B</t>
        </is>
      </c>
    </row>
    <row r="7" ht="22" customHeight="1">
      <c r="B7" s="23" t="inlineStr">
        <is>
          <t>KEY UPDATES</t>
        </is>
      </c>
      <c r="C7" s="23" t="n"/>
    </row>
    <row r="8">
      <c r="B8" s="24" t="inlineStr">
        <is>
          <t>Topic</t>
        </is>
      </c>
      <c r="C8" s="24" t="inlineStr">
        <is>
          <t>Update</t>
        </is>
      </c>
    </row>
    <row r="9" ht="26" customHeight="1">
      <c r="B9" s="16">
        <f t="array" ref="B9">IFERROR(INDEX(Meeting_History[Topic],SMALL(IF((Meeting_History[Meeting Date]=$C$5)*(Meeting_History[Decision]=""),ROW(Meeting_History[Meeting Date])-7),1)),"")</f>
        <v/>
      </c>
      <c r="C9" s="16">
        <f t="array" ref="C9">IFERROR(INDEX(Meeting_History[Update / Discussion],SMALL(IF((Meeting_History[Meeting Date]=$C$5)*(Meeting_History[Decision]=""),ROW(Meeting_History[Meeting Date])-7),1)),"")</f>
        <v/>
      </c>
    </row>
    <row r="10" ht="26" customHeight="1">
      <c r="B10" s="25">
        <f t="array" ref="B10">IFERROR(INDEX(Meeting_History[Topic],SMALL(IF((Meeting_History[Meeting Date]=$C$5)*(Meeting_History[Decision]=""),ROW(Meeting_History[Meeting Date])-7),2)),"")</f>
        <v/>
      </c>
      <c r="C10" s="25">
        <f t="array" ref="C10">IFERROR(INDEX(Meeting_History[Update / Discussion],SMALL(IF((Meeting_History[Meeting Date]=$C$5)*(Meeting_History[Decision]=""),ROW(Meeting_History[Meeting Date])-7),2)),"")</f>
        <v/>
      </c>
    </row>
    <row r="11" ht="26" customHeight="1">
      <c r="B11" s="16">
        <f t="array" ref="B11">IFERROR(INDEX(Meeting_History[Topic],SMALL(IF((Meeting_History[Meeting Date]=$C$5)*(Meeting_History[Decision]=""),ROW(Meeting_History[Meeting Date])-7),3)),"")</f>
        <v/>
      </c>
      <c r="C11" s="16">
        <f t="array" ref="C11">IFERROR(INDEX(Meeting_History[Update / Discussion],SMALL(IF((Meeting_History[Meeting Date]=$C$5)*(Meeting_History[Decision]=""),ROW(Meeting_History[Meeting Date])-7),3)),"")</f>
        <v/>
      </c>
    </row>
    <row r="12" ht="26" customHeight="1">
      <c r="B12" s="25">
        <f t="array" ref="B12">IFERROR(INDEX(Meeting_History[Topic],SMALL(IF((Meeting_History[Meeting Date]=$C$5)*(Meeting_History[Decision]=""),ROW(Meeting_History[Meeting Date])-7),4)),"")</f>
        <v/>
      </c>
      <c r="C12" s="25">
        <f t="array" ref="C12">IFERROR(INDEX(Meeting_History[Update / Discussion],SMALL(IF((Meeting_History[Meeting Date]=$C$5)*(Meeting_History[Decision]=""),ROW(Meeting_History[Meeting Date])-7),4)),"")</f>
        <v/>
      </c>
    </row>
    <row r="13" ht="26" customHeight="1">
      <c r="B13" s="16">
        <f t="array" ref="B13">IFERROR(INDEX(Meeting_History[Topic],SMALL(IF((Meeting_History[Meeting Date]=$C$5)*(Meeting_History[Decision]=""),ROW(Meeting_History[Meeting Date])-7),5)),"")</f>
        <v/>
      </c>
      <c r="C13" s="16">
        <f t="array" ref="C13">IFERROR(INDEX(Meeting_History[Update / Discussion],SMALL(IF((Meeting_History[Meeting Date]=$C$5)*(Meeting_History[Decision]=""),ROW(Meeting_History[Meeting Date])-7),5)),"")</f>
        <v/>
      </c>
    </row>
    <row r="14" ht="26" customHeight="1">
      <c r="B14" s="25">
        <f t="array" ref="B14">IFERROR(INDEX(Meeting_History[Topic],SMALL(IF((Meeting_History[Meeting Date]=$C$5)*(Meeting_History[Decision]=""),ROW(Meeting_History[Meeting Date])-7),6)),"")</f>
        <v/>
      </c>
      <c r="C14" s="25">
        <f t="array" ref="C14">IFERROR(INDEX(Meeting_History[Update / Discussion],SMALL(IF((Meeting_History[Meeting Date]=$C$5)*(Meeting_History[Decision]=""),ROW(Meeting_History[Meeting Date])-7),6)),"")</f>
        <v/>
      </c>
    </row>
    <row r="16" ht="22" customHeight="1">
      <c r="B16" s="23" t="inlineStr">
        <is>
          <t>DECISIONS</t>
        </is>
      </c>
      <c r="C16" s="23" t="n"/>
    </row>
    <row r="17">
      <c r="B17" s="24" t="inlineStr">
        <is>
          <t>Topic</t>
        </is>
      </c>
      <c r="C17" s="24" t="inlineStr">
        <is>
          <t>Decision</t>
        </is>
      </c>
    </row>
    <row r="18" ht="26" customHeight="1">
      <c r="B18" s="16">
        <f t="array" ref="B18">IFERROR(INDEX(Meeting_History[Topic],SMALL(IF((Meeting_History[Meeting Date]=$C$5)*(Meeting_History[Decision]&lt;&gt;""),ROW(Meeting_History[Meeting Date])-7),1)),"")</f>
        <v/>
      </c>
      <c r="C18" s="16">
        <f t="array" ref="C18">IFERROR(INDEX(Meeting_History[Decision],SMALL(IF((Meeting_History[Meeting Date]=$C$5)*(Meeting_History[Decision]&lt;&gt;""),ROW(Meeting_History[Meeting Date])-7),1)),"")</f>
        <v/>
      </c>
    </row>
    <row r="19" ht="26" customHeight="1">
      <c r="B19" s="25">
        <f t="array" ref="B19">IFERROR(INDEX(Meeting_History[Topic],SMALL(IF((Meeting_History[Meeting Date]=$C$5)*(Meeting_History[Decision]&lt;&gt;""),ROW(Meeting_History[Meeting Date])-7),2)),"")</f>
        <v/>
      </c>
      <c r="C19" s="25">
        <f t="array" ref="C19">IFERROR(INDEX(Meeting_History[Decision],SMALL(IF((Meeting_History[Meeting Date]=$C$5)*(Meeting_History[Decision]&lt;&gt;""),ROW(Meeting_History[Meeting Date])-7),2)),"")</f>
        <v/>
      </c>
    </row>
    <row r="20" ht="26" customHeight="1">
      <c r="B20" s="16">
        <f t="array" ref="B20">IFERROR(INDEX(Meeting_History[Topic],SMALL(IF((Meeting_History[Meeting Date]=$C$5)*(Meeting_History[Decision]&lt;&gt;""),ROW(Meeting_History[Meeting Date])-7),3)),"")</f>
        <v/>
      </c>
      <c r="C20" s="16">
        <f t="array" ref="C20">IFERROR(INDEX(Meeting_History[Decision],SMALL(IF((Meeting_History[Meeting Date]=$C$5)*(Meeting_History[Decision]&lt;&gt;""),ROW(Meeting_History[Meeting Date])-7),3)),"")</f>
        <v/>
      </c>
    </row>
    <row r="21" ht="26" customHeight="1">
      <c r="B21" s="25">
        <f t="array" ref="B21">IFERROR(INDEX(Meeting_History[Topic],SMALL(IF((Meeting_History[Meeting Date]=$C$5)*(Meeting_History[Decision]&lt;&gt;""),ROW(Meeting_History[Meeting Date])-7),4)),"")</f>
        <v/>
      </c>
      <c r="C21" s="25">
        <f t="array" ref="C21">IFERROR(INDEX(Meeting_History[Decision],SMALL(IF((Meeting_History[Meeting Date]=$C$5)*(Meeting_History[Decision]&lt;&gt;""),ROW(Meeting_History[Meeting Date])-7),4)),"")</f>
        <v/>
      </c>
    </row>
    <row r="22" ht="26" customHeight="1">
      <c r="B22" s="16">
        <f t="array" ref="B22">IFERROR(INDEX(Meeting_History[Topic],SMALL(IF((Meeting_History[Meeting Date]=$C$5)*(Meeting_History[Decision]&lt;&gt;""),ROW(Meeting_History[Meeting Date])-7),5)),"")</f>
        <v/>
      </c>
      <c r="C22" s="16">
        <f t="array" ref="C22">IFERROR(INDEX(Meeting_History[Decision],SMALL(IF((Meeting_History[Meeting Date]=$C$5)*(Meeting_History[Decision]&lt;&gt;""),ROW(Meeting_History[Meeting Date])-7),5)),"")</f>
        <v/>
      </c>
    </row>
    <row r="24" ht="22" customHeight="1">
      <c r="B24" s="23" t="inlineStr">
        <is>
          <t>ACTIONS</t>
        </is>
      </c>
      <c r="C24" s="23" t="n"/>
      <c r="D24" s="23" t="n"/>
    </row>
    <row r="25">
      <c r="B25" s="24" t="inlineStr">
        <is>
          <t>Action</t>
        </is>
      </c>
      <c r="C25" s="24" t="inlineStr">
        <is>
          <t>Owner</t>
        </is>
      </c>
      <c r="D25" s="24" t="inlineStr">
        <is>
          <t>Due Date</t>
        </is>
      </c>
    </row>
    <row r="26" ht="26" customHeight="1">
      <c r="B26" s="16">
        <f t="array" ref="B26">IFERROR(INDEX(Action_Log[Action],SMALL(IF(Action_Log[Date Raised]=$C$5,ROW(Action_Log[Date Raised])-7),1)),"")</f>
        <v/>
      </c>
      <c r="C26" s="16">
        <f t="array" ref="C26">IFERROR(INDEX(Action_Log[Owner],SMALL(IF(Action_Log[Date Raised]=$C$5,ROW(Action_Log[Date Raised])-7),1)),"")</f>
        <v/>
      </c>
      <c r="D26" s="19">
        <f t="array" ref="D26">IFERROR(INDEX(Action_Log[Due Date],SMALL(IF(Action_Log[Date Raised]=$C$5,ROW(Action_Log[Date Raised])-7),1)),"")</f>
        <v/>
      </c>
    </row>
    <row r="27" ht="26" customHeight="1">
      <c r="B27" s="25">
        <f t="array" ref="B27">IFERROR(INDEX(Action_Log[Action],SMALL(IF(Action_Log[Date Raised]=$C$5,ROW(Action_Log[Date Raised])-7),2)),"")</f>
        <v/>
      </c>
      <c r="C27" s="25">
        <f t="array" ref="C27">IFERROR(INDEX(Action_Log[Owner],SMALL(IF(Action_Log[Date Raised]=$C$5,ROW(Action_Log[Date Raised])-7),2)),"")</f>
        <v/>
      </c>
      <c r="D27" s="26">
        <f t="array" ref="D27">IFERROR(INDEX(Action_Log[Due Date],SMALL(IF(Action_Log[Date Raised]=$C$5,ROW(Action_Log[Date Raised])-7),2)),"")</f>
        <v/>
      </c>
    </row>
    <row r="28" ht="26" customHeight="1">
      <c r="B28" s="16">
        <f t="array" ref="B28">IFERROR(INDEX(Action_Log[Action],SMALL(IF(Action_Log[Date Raised]=$C$5,ROW(Action_Log[Date Raised])-7),3)),"")</f>
        <v/>
      </c>
      <c r="C28" s="16">
        <f t="array" ref="C28">IFERROR(INDEX(Action_Log[Owner],SMALL(IF(Action_Log[Date Raised]=$C$5,ROW(Action_Log[Date Raised])-7),3)),"")</f>
        <v/>
      </c>
      <c r="D28" s="19">
        <f t="array" ref="D28">IFERROR(INDEX(Action_Log[Due Date],SMALL(IF(Action_Log[Date Raised]=$C$5,ROW(Action_Log[Date Raised])-7),3)),"")</f>
        <v/>
      </c>
    </row>
    <row r="29" ht="26" customHeight="1">
      <c r="B29" s="25">
        <f t="array" ref="B29">IFERROR(INDEX(Action_Log[Action],SMALL(IF(Action_Log[Date Raised]=$C$5,ROW(Action_Log[Date Raised])-7),4)),"")</f>
        <v/>
      </c>
      <c r="C29" s="25">
        <f t="array" ref="C29">IFERROR(INDEX(Action_Log[Owner],SMALL(IF(Action_Log[Date Raised]=$C$5,ROW(Action_Log[Date Raised])-7),4)),"")</f>
        <v/>
      </c>
      <c r="D29" s="26">
        <f t="array" ref="D29">IFERROR(INDEX(Action_Log[Due Date],SMALL(IF(Action_Log[Date Raised]=$C$5,ROW(Action_Log[Date Raised])-7),4)),"")</f>
        <v/>
      </c>
    </row>
    <row r="30" ht="26" customHeight="1">
      <c r="B30" s="16">
        <f t="array" ref="B30">IFERROR(INDEX(Action_Log[Action],SMALL(IF(Action_Log[Date Raised]=$C$5,ROW(Action_Log[Date Raised])-7),5)),"")</f>
        <v/>
      </c>
      <c r="C30" s="16">
        <f t="array" ref="C30">IFERROR(INDEX(Action_Log[Owner],SMALL(IF(Action_Log[Date Raised]=$C$5,ROW(Action_Log[Date Raised])-7),5)),"")</f>
        <v/>
      </c>
      <c r="D30" s="19">
        <f t="array" ref="D30">IFERROR(INDEX(Action_Log[Due Date],SMALL(IF(Action_Log[Date Raised]=$C$5,ROW(Action_Log[Date Raised])-7),5)),"")</f>
        <v/>
      </c>
    </row>
    <row r="31" ht="26" customHeight="1">
      <c r="B31" s="25">
        <f t="array" ref="B31">IFERROR(INDEX(Action_Log[Action],SMALL(IF(Action_Log[Date Raised]=$C$5,ROW(Action_Log[Date Raised])-7),6)),"")</f>
        <v/>
      </c>
      <c r="C31" s="25">
        <f t="array" ref="C31">IFERROR(INDEX(Action_Log[Owner],SMALL(IF(Action_Log[Date Raised]=$C$5,ROW(Action_Log[Date Raised])-7),6)),"")</f>
        <v/>
      </c>
      <c r="D31" s="26">
        <f t="array" ref="D31">IFERROR(INDEX(Action_Log[Due Date],SMALL(IF(Action_Log[Date Raised]=$C$5,ROW(Action_Log[Date Raised])-7),6)),"")</f>
        <v/>
      </c>
    </row>
    <row r="33" ht="22" customHeight="1">
      <c r="B33" s="23" t="inlineStr">
        <is>
          <t>CLOSED ACTIONS</t>
        </is>
      </c>
      <c r="C33" s="23" t="n"/>
    </row>
    <row r="34">
      <c r="B34" s="24" t="inlineStr">
        <is>
          <t>Action</t>
        </is>
      </c>
      <c r="C34" s="24" t="inlineStr">
        <is>
          <t>Owner</t>
        </is>
      </c>
    </row>
    <row r="35" ht="26" customHeight="1">
      <c r="B35" s="16">
        <f t="array" ref="B35">IFERROR(INDEX(Action_Log[Action],SMALL(IF(Action_Log[Closure Date]=$C$5,ROW(Action_Log[Closure Date])-7),1)),"")</f>
        <v/>
      </c>
      <c r="C35" s="16">
        <f t="array" ref="C35">IFERROR(INDEX(Action_Log[Owner],SMALL(IF(Action_Log[Closure Date]=$C$5,ROW(Action_Log[Closure Date])-7),1)),"")</f>
        <v/>
      </c>
    </row>
    <row r="36" ht="26" customHeight="1">
      <c r="B36" s="25">
        <f t="array" ref="B36">IFERROR(INDEX(Action_Log[Action],SMALL(IF(Action_Log[Closure Date]=$C$5,ROW(Action_Log[Closure Date])-7),2)),"")</f>
        <v/>
      </c>
      <c r="C36" s="25">
        <f t="array" ref="C36">IFERROR(INDEX(Action_Log[Owner],SMALL(IF(Action_Log[Closure Date]=$C$5,ROW(Action_Log[Closure Date])-7),2)),"")</f>
        <v/>
      </c>
    </row>
    <row r="37" ht="26" customHeight="1">
      <c r="B37" s="16">
        <f t="array" ref="B37">IFERROR(INDEX(Action_Log[Action],SMALL(IF(Action_Log[Closure Date]=$C$5,ROW(Action_Log[Closure Date])-7),3)),"")</f>
        <v/>
      </c>
      <c r="C37" s="16">
        <f t="array" ref="C37">IFERROR(INDEX(Action_Log[Owner],SMALL(IF(Action_Log[Closure Date]=$C$5,ROW(Action_Log[Closure Date])-7),3)),"")</f>
        <v/>
      </c>
    </row>
    <row r="38" ht="26" customHeight="1">
      <c r="B38" s="25">
        <f t="array" ref="B38">IFERROR(INDEX(Action_Log[Action],SMALL(IF(Action_Log[Closure Date]=$C$5,ROW(Action_Log[Closure Date])-7),4)),"")</f>
        <v/>
      </c>
      <c r="C38" s="25">
        <f t="array" ref="C38">IFERROR(INDEX(Action_Log[Owner],SMALL(IF(Action_Log[Closure Date]=$C$5,ROW(Action_Log[Closure Date])-7),4)),"")</f>
        <v/>
      </c>
    </row>
    <row r="39" ht="26" customHeight="1">
      <c r="B39" s="16">
        <f t="array" ref="B39">IFERROR(INDEX(Action_Log[Action],SMALL(IF(Action_Log[Closure Date]=$C$5,ROW(Action_Log[Closure Date])-7),5)),"")</f>
        <v/>
      </c>
      <c r="C39" s="16">
        <f t="array" ref="C39">IFERROR(INDEX(Action_Log[Owner],SMALL(IF(Action_Log[Closure Date]=$C$5,ROW(Action_Log[Closure Date])-7),5)),"")</f>
        <v/>
      </c>
    </row>
    <row r="41" ht="22" customHeight="1">
      <c r="B41" s="23" t="inlineStr">
        <is>
          <t>ITEMS FOR NEXT MEETING</t>
        </is>
      </c>
      <c r="C41" s="23" t="n"/>
    </row>
    <row r="42">
      <c r="B42" s="24" t="inlineStr">
        <is>
          <t>Topic</t>
        </is>
      </c>
      <c r="C42" s="24" t="inlineStr">
        <is>
          <t>What Needs Attention?</t>
        </is>
      </c>
    </row>
    <row r="43" ht="26" customHeight="1">
      <c r="B43" s="16">
        <f t="array" ref="B43">IFERROR(INDEX(Meeting_Tracker[Topic],SMALL(IF(Meeting_Tracker[Discuss Next Meeting?]="Yes",ROW(Meeting_Tracker[Discuss Next Meeting?])-7),1)),"")</f>
        <v/>
      </c>
      <c r="C43" s="16">
        <f t="array" ref="C43">IFERROR(INDEX(Meeting_Tracker[What Needs Attention?],SMALL(IF(Meeting_Tracker[Discuss Next Meeting?]="Yes",ROW(Meeting_Tracker[Discuss Next Meeting?])-7),1)),"")</f>
        <v/>
      </c>
    </row>
    <row r="44" ht="26" customHeight="1">
      <c r="B44" s="25">
        <f t="array" ref="B44">IFERROR(INDEX(Meeting_Tracker[Topic],SMALL(IF(Meeting_Tracker[Discuss Next Meeting?]="Yes",ROW(Meeting_Tracker[Discuss Next Meeting?])-7),2)),"")</f>
        <v/>
      </c>
      <c r="C44" s="25">
        <f t="array" ref="C44">IFERROR(INDEX(Meeting_Tracker[What Needs Attention?],SMALL(IF(Meeting_Tracker[Discuss Next Meeting?]="Yes",ROW(Meeting_Tracker[Discuss Next Meeting?])-7),2)),"")</f>
        <v/>
      </c>
    </row>
    <row r="45" ht="26" customHeight="1">
      <c r="B45" s="16">
        <f t="array" ref="B45">IFERROR(INDEX(Meeting_Tracker[Topic],SMALL(IF(Meeting_Tracker[Discuss Next Meeting?]="Yes",ROW(Meeting_Tracker[Discuss Next Meeting?])-7),3)),"")</f>
        <v/>
      </c>
      <c r="C45" s="16">
        <f t="array" ref="C45">IFERROR(INDEX(Meeting_Tracker[What Needs Attention?],SMALL(IF(Meeting_Tracker[Discuss Next Meeting?]="Yes",ROW(Meeting_Tracker[Discuss Next Meeting?])-7),3)),"")</f>
        <v/>
      </c>
    </row>
    <row r="46" ht="26" customHeight="1">
      <c r="B46" s="25">
        <f t="array" ref="B46">IFERROR(INDEX(Meeting_Tracker[Topic],SMALL(IF(Meeting_Tracker[Discuss Next Meeting?]="Yes",ROW(Meeting_Tracker[Discuss Next Meeting?])-7),4)),"")</f>
        <v/>
      </c>
      <c r="C46" s="25">
        <f t="array" ref="C46">IFERROR(INDEX(Meeting_Tracker[What Needs Attention?],SMALL(IF(Meeting_Tracker[Discuss Next Meeting?]="Yes",ROW(Meeting_Tracker[Discuss Next Meeting?])-7),4)),"")</f>
        <v/>
      </c>
    </row>
    <row r="47" ht="26" customHeight="1">
      <c r="B47" s="16">
        <f t="array" ref="B47">IFERROR(INDEX(Meeting_Tracker[Topic],SMALL(IF(Meeting_Tracker[Discuss Next Meeting?]="Yes",ROW(Meeting_Tracker[Discuss Next Meeting?])-7),5)),"")</f>
        <v/>
      </c>
      <c r="C47" s="16">
        <f t="array" ref="C47">IFERROR(INDEX(Meeting_Tracker[What Needs Attention?],SMALL(IF(Meeting_Tracker[Discuss Next Meeting?]="Yes",ROW(Meeting_Tracker[Discuss Next Meeting?])-7),5)),"")</f>
        <v/>
      </c>
    </row>
    <row r="48" ht="26" customHeight="1">
      <c r="B48" s="25">
        <f t="array" ref="B48">IFERROR(INDEX(Meeting_Tracker[Topic],SMALL(IF(Meeting_Tracker[Discuss Next Meeting?]="Yes",ROW(Meeting_Tracker[Discuss Next Meeting?])-7),6)),"")</f>
        <v/>
      </c>
      <c r="C48" s="25">
        <f t="array" ref="C48">IFERROR(INDEX(Meeting_Tracker[What Needs Attention?],SMALL(IF(Meeting_Tracker[Discuss Next Meeting?]="Yes",ROW(Meeting_Tracker[Discuss Next Meeting?])-7),6)),"")</f>
        <v/>
      </c>
    </row>
    <row r="50">
      <c r="B50" s="5" t="inlineStr">
        <is>
          <t>Legend: Blue = fill in yourself | Black = automatic, do not overtype | New row: type directly below the table and Excel extends it automatically</t>
        </is>
      </c>
    </row>
  </sheetData>
  <mergeCells count="1">
    <mergeCell ref="F5:K5"/>
  </mergeCells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F1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1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0" customHeight="1">
      <c r="B1" s="2" t="inlineStr">
        <is>
          <t>Meeting Tracker</t>
        </is>
      </c>
      <c r="C1" s="2" t="inlineStr">
        <is>
          <t>Action Log</t>
        </is>
      </c>
      <c r="D1" s="2" t="inlineStr">
        <is>
          <t>Meeting History</t>
        </is>
      </c>
      <c r="E1" s="2" t="inlineStr">
        <is>
          <t>Meeting Summary</t>
        </is>
      </c>
      <c r="F1" s="1" t="inlineStr">
        <is>
          <t>Lists Config</t>
        </is>
      </c>
    </row>
    <row r="2" ht="26" customHeight="1">
      <c r="B2" s="3" t="inlineStr">
        <is>
          <t>Lists &amp; Configuration</t>
        </is>
      </c>
    </row>
    <row r="3" ht="16" customHeight="1">
      <c r="B3" s="4" t="inlineStr">
        <is>
          <t>Dropdown lists used across the workbook. Edit these to match your project's vocabulary - every dropdown updates automatically.</t>
        </is>
      </c>
    </row>
    <row r="5" ht="22" customHeight="1">
      <c r="B5" s="27" t="inlineStr">
        <is>
          <t>Category</t>
        </is>
      </c>
      <c r="C5" s="27" t="inlineStr">
        <is>
          <t>Topic Status</t>
        </is>
      </c>
      <c r="D5" s="27" t="inlineStr">
        <is>
          <t>Action Status</t>
        </is>
      </c>
      <c r="E5" s="27" t="inlineStr">
        <is>
          <t>Yes/No</t>
        </is>
      </c>
    </row>
    <row r="6">
      <c r="B6" s="28" t="inlineStr">
        <is>
          <t>Schedule</t>
        </is>
      </c>
      <c r="C6" s="28" t="inlineStr">
        <is>
          <t>Action Required</t>
        </is>
      </c>
      <c r="D6" s="28" t="inlineStr">
        <is>
          <t>Open</t>
        </is>
      </c>
      <c r="E6" s="28" t="inlineStr">
        <is>
          <t>Yes</t>
        </is>
      </c>
    </row>
    <row r="7">
      <c r="B7" s="29" t="inlineStr">
        <is>
          <t>Documentation</t>
        </is>
      </c>
      <c r="C7" s="29" t="inlineStr">
        <is>
          <t>To Discuss</t>
        </is>
      </c>
      <c r="D7" s="29" t="inlineStr">
        <is>
          <t>In Progress</t>
        </is>
      </c>
      <c r="E7" s="29" t="inlineStr">
        <is>
          <t>No</t>
        </is>
      </c>
    </row>
    <row r="8">
      <c r="B8" s="28" t="inlineStr">
        <is>
          <t>Technical</t>
        </is>
      </c>
      <c r="C8" s="28" t="inlineStr">
        <is>
          <t>Monitoring</t>
        </is>
      </c>
      <c r="D8" s="28" t="inlineStr">
        <is>
          <t>Waiting</t>
        </is>
      </c>
    </row>
    <row r="9">
      <c r="B9" s="29" t="inlineStr">
        <is>
          <t>Resources</t>
        </is>
      </c>
      <c r="C9" s="29" t="inlineStr">
        <is>
          <t>Closed</t>
        </is>
      </c>
      <c r="D9" s="29" t="inlineStr">
        <is>
          <t>Closed</t>
        </is>
      </c>
    </row>
    <row r="10">
      <c r="B10" s="28" t="inlineStr">
        <is>
          <t>Safety</t>
        </is>
      </c>
    </row>
    <row r="11">
      <c r="B11" s="29" t="inlineStr">
        <is>
          <t>Quality</t>
        </is>
      </c>
    </row>
    <row r="12">
      <c r="B12" s="28" t="inlineStr">
        <is>
          <t>Other</t>
        </is>
      </c>
    </row>
    <row r="14">
      <c r="B14" s="5" t="inlineStr">
        <is>
          <t>Legend: Blue = fill in yourself | Black = automatic, do not overtype | New row: type directly below the table and Excel extends it automatically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F1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2026-09-28T09:14:37Z</dcterms:created>
  <dcterms:modified xsi:type="dcterms:W3CDTF">2026-09-28T09:14:37Z</dcterms:modified>
</cp:coreProperties>
</file>