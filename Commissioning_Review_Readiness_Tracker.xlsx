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Dashboard" sheetId="1" state="visible" r:id="rId1"/>
    <sheet name="01_Next_Meeting" sheetId="2" state="visible" r:id="rId2"/>
    <sheet name="02_Topic_Register" sheetId="3" state="visible" r:id="rId3"/>
    <sheet name="03_Action_Register" sheetId="4" state="visible" r:id="rId4"/>
    <sheet name="04_Update_History" sheetId="5" state="visible" r:id="rId5"/>
    <sheet name="05_PQCP_Tracker" sheetId="6" state="visible" r:id="rId6"/>
    <sheet name="06_Document_Evidence" sheetId="7" state="visible" r:id="rId7"/>
    <sheet name="07_Meeting_Summary" sheetId="8" state="visible" r:id="rId8"/>
    <sheet name="08_Lists_Config" sheetId="9" state="visible" r:id="rId9"/>
  </sheets>
  <definedNames>
    <definedName name="LIST_CATEGORY">'08_Lists_Config'!$B$6:$B$15</definedName>
    <definedName name="LIST_TOPIC_STATUS">'08_Lists_Config'!$C$6:$C$8</definedName>
    <definedName name="LIST_PRIORITY">'08_Lists_Config'!$D$6:$D$9</definedName>
    <definedName name="LIST_YESNO">'08_Lists_Config'!$E$6:$E$7</definedName>
    <definedName name="LIST_ACTION_STATUS">'08_Lists_Config'!$F$6:$F$12</definedName>
    <definedName name="LIST_PQCP_STATUS">'08_Lists_Config'!$G$6:$G$12</definedName>
    <definedName name="LIST_EVIDENCE_AVAIL">'08_Lists_Config'!$H$6:$H$8</definedName>
    <definedName name="LIST_DOC_TYPE">'08_Lists_Config'!$I$6:$I$16</definedName>
    <definedName name="LIST_DOC_STATUS">'08_Lists_Config'!$J$6:$J$10</definedName>
    <definedName name="LIST_APPROVED">'08_Lists_Config'!$K$6:$K$8</definedName>
    <definedName name="DUE_SOON_DAYS">'08_Lists_Config'!$C$21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21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color rgb="001A1A1A"/>
      <sz val="10"/>
    </font>
    <font>
      <name val="Arial"/>
      <b val="1"/>
      <color rgb="001F3864"/>
      <sz val="12"/>
    </font>
    <font>
      <name val="Arial"/>
      <color rgb="001155CC"/>
      <sz val="10"/>
    </font>
    <font>
      <name val="Arial"/>
      <i val="1"/>
      <color rgb="00595959"/>
      <sz val="9"/>
    </font>
    <font>
      <name val="Arial"/>
      <i val="1"/>
      <color rgb="00808080"/>
      <sz val="9"/>
    </font>
    <font>
      <name val="Arial"/>
      <b val="1"/>
      <color rgb="00808080"/>
      <sz val="8"/>
    </font>
    <font>
      <name val="Arial"/>
      <b val="1"/>
      <color rgb="0044546A"/>
      <sz val="10"/>
    </font>
    <font>
      <name val="Arial"/>
      <b val="1"/>
      <color rgb="001F3864"/>
      <sz val="14"/>
    </font>
    <font>
      <name val="Arial"/>
      <b val="1"/>
      <color rgb="0044546A"/>
      <sz val="9"/>
    </font>
    <font>
      <name val="Arial"/>
      <b val="1"/>
      <color rgb="00595959"/>
      <sz val="9"/>
    </font>
    <font>
      <name val="Arial"/>
      <b val="1"/>
      <color rgb="001F3864"/>
      <sz val="11"/>
    </font>
    <font>
      <name val="Arial"/>
      <b val="1"/>
      <color rgb="001F3864"/>
      <sz val="22"/>
    </font>
    <font>
      <name val="Arial"/>
      <b val="1"/>
      <color rgb="00B00020"/>
      <sz val="22"/>
    </font>
    <font>
      <name val="Arial"/>
      <b val="1"/>
      <color rgb="009C6500"/>
      <sz val="22"/>
    </font>
    <font>
      <name val="Arial"/>
      <b val="1"/>
      <color rgb="001E7B34"/>
      <sz val="22"/>
    </font>
    <font>
      <name val="Arial"/>
      <b val="1"/>
      <sz val="12"/>
    </font>
    <font>
      <name val="Arial"/>
      <b val="1"/>
      <color rgb="001F3864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F9FC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44546A"/>
      </patternFill>
    </fill>
    <fill>
      <patternFill patternType="solid">
        <fgColor rgb="00F2F5FA"/>
      </patternFill>
    </fill>
  </fills>
  <borders count="3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0">
      <alignment horizontal="right"/>
    </xf>
    <xf numFmtId="165" fontId="14" fillId="0" borderId="0" pivotButton="0" quotePrefix="0" xfId="0"/>
    <xf numFmtId="0" fontId="2" fillId="0" borderId="0" pivotButton="0" quotePrefix="0" xfId="0"/>
    <xf numFmtId="1" fontId="15" fillId="0" borderId="1" applyAlignment="1" pivotButton="0" quotePrefix="0" xfId="0">
      <alignment horizontal="center" vertical="center"/>
    </xf>
    <xf numFmtId="0" fontId="0" fillId="0" borderId="1" pivotButton="0" quotePrefix="0" xfId="0"/>
    <xf numFmtId="1" fontId="16" fillId="0" borderId="1" applyAlignment="1" pivotButton="0" quotePrefix="0" xfId="0">
      <alignment horizontal="center" vertical="center"/>
    </xf>
    <xf numFmtId="1" fontId="17" fillId="0" borderId="1" applyAlignment="1" pivotButton="0" quotePrefix="0" xfId="0">
      <alignment horizontal="center" vertical="center"/>
    </xf>
    <xf numFmtId="1" fontId="18" fillId="0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 wrapText="1"/>
    </xf>
    <xf numFmtId="9" fontId="18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19" fillId="0" borderId="1" applyAlignment="1" pivotButton="0" quotePrefix="0" xfId="0">
      <alignment horizontal="center" vertical="center" wrapText="1"/>
    </xf>
    <xf numFmtId="0" fontId="2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left" vertical="center" wrapText="1"/>
    </xf>
    <xf numFmtId="0" fontId="7" fillId="0" borderId="0" pivotButton="0" quotePrefix="0" xfId="0"/>
    <xf numFmtId="165" fontId="6" fillId="4" borderId="1" pivotButton="0" quotePrefix="0" xfId="0"/>
    <xf numFmtId="0" fontId="11" fillId="0" borderId="0" pivotButton="0" quotePrefix="0" xfId="0"/>
    <xf numFmtId="0" fontId="9" fillId="5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5" borderId="2" pivotButton="0" quotePrefix="0" xfId="0"/>
    <xf numFmtId="0" fontId="6" fillId="3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left" vertical="center" wrapText="1"/>
    </xf>
    <xf numFmtId="9" fontId="6" fillId="0" borderId="1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9" fontId="6" fillId="3" borderId="1" applyAlignment="1" pivotButton="0" quotePrefix="0" xfId="0">
      <alignment horizontal="left" vertical="center" wrapText="1"/>
    </xf>
    <xf numFmtId="0" fontId="3" fillId="6" borderId="1" pivotButton="0" quotePrefix="0" xfId="0"/>
    <xf numFmtId="0" fontId="12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165" fontId="4" fillId="0" borderId="1" applyAlignment="1" pivotButton="0" quotePrefix="0" xfId="0">
      <alignment horizontal="left" vertical="top" wrapText="1"/>
    </xf>
    <xf numFmtId="165" fontId="4" fillId="3" borderId="1" applyAlignment="1" pivotButton="0" quotePrefix="0" xfId="0">
      <alignment horizontal="left" vertical="top" wrapText="1"/>
    </xf>
    <xf numFmtId="0" fontId="5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8">
    <dxf>
      <font>
        <b val="1"/>
        <color rgb="00B00020"/>
      </font>
      <fill>
        <patternFill patternType="solid">
          <fgColor rgb="00FBE4E4"/>
        </patternFill>
      </fill>
    </dxf>
    <dxf>
      <font>
        <b val="1"/>
        <color rgb="009C6500"/>
      </font>
      <fill>
        <patternFill patternType="solid">
          <fgColor rgb="00FFF3CD"/>
        </patternFill>
      </fill>
    </dxf>
    <dxf>
      <font>
        <color rgb="006E6E6E"/>
      </font>
      <fill>
        <patternFill patternType="solid">
          <fgColor rgb="00E8E8E8"/>
        </patternFill>
      </fill>
    </dxf>
    <dxf>
      <font>
        <color rgb="00B00020"/>
      </font>
      <fill>
        <patternFill patternType="solid">
          <fgColor rgb="00FBE4E4"/>
        </patternFill>
      </fill>
    </dxf>
    <dxf>
      <fill>
        <patternFill patternType="solid">
          <fgColor rgb="00FFF3CD"/>
        </patternFill>
      </fill>
    </dxf>
    <dxf>
      <font>
        <color rgb="009C6500"/>
      </font>
      <fill>
        <patternFill patternType="solid">
          <fgColor rgb="00FFF3CD"/>
        </patternFill>
      </fill>
    </dxf>
    <dxf>
      <font>
        <i val="1"/>
        <color rgb="007A7A7A"/>
      </font>
      <fill>
        <patternFill patternType="solid">
          <fgColor rgb="00EFEFEF"/>
        </patternFill>
      </fill>
    </dxf>
    <dxf>
      <fill>
        <patternFill patternType="solid">
          <fgColor rgb="00E2F0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2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1" customWidth="1" min="2" max="2"/>
    <col width="40" customWidth="1" min="3" max="3"/>
    <col width="16" customWidth="1" min="4" max="4"/>
    <col width="13" customWidth="1" min="5" max="5"/>
    <col width="16" customWidth="1" min="6" max="6"/>
    <col width="11" customWidth="1" min="7" max="7"/>
    <col width="12" customWidth="1" min="8" max="8"/>
    <col width="12" customWidth="1" min="9" max="9"/>
    <col width="12" customWidth="1" min="11" max="11"/>
    <col width="12" customWidth="1" min="12" max="12"/>
    <col width="12" customWidth="1" min="14" max="14"/>
    <col width="12" customWidth="1" min="15" max="15"/>
  </cols>
  <sheetData>
    <row r="2" ht="26" customHeight="1">
      <c r="B2" s="1" t="inlineStr">
        <is>
          <t>Commissioning Dashboard</t>
        </is>
      </c>
      <c r="O2" s="2" t="inlineStr">
        <is>
          <t>As of:</t>
        </is>
      </c>
      <c r="P2" s="3">
        <f>TODAY()</f>
        <v/>
      </c>
    </row>
    <row r="3" ht="16" customHeight="1">
      <c r="B3" s="4" t="inlineStr">
        <is>
          <t>Live counts pulled from the Topic, Action and PQCP registers. Nothing to fill in on this sheet.</t>
        </is>
      </c>
    </row>
    <row r="5">
      <c r="B5" s="5">
        <f>COUNTIFS('02_Topic_Register'!$B$4:$B$33,"&lt;&gt;",'02_Topic_Register'!$H$4:$H$33,"&lt;&gt;Closed")</f>
        <v/>
      </c>
      <c r="C5" s="6" t="n"/>
      <c r="E5" s="5">
        <f>COUNTIFS('03_Action_Register'!$B$4:$B$33,"&lt;&gt;",'03_Action_Register'!$I$4:$I$33,"&lt;&gt;Closed")</f>
        <v/>
      </c>
      <c r="F5" s="6" t="n"/>
      <c r="H5" s="7">
        <f>COUNTIFS('03_Action_Register'!$B$4:$B$33,"&lt;&gt;",'03_Action_Register'!$L$4:$L$33,"Yes")</f>
        <v/>
      </c>
      <c r="I5" s="6" t="n"/>
      <c r="K5" s="8">
        <f>COUNTIFS('03_Action_Register'!$B$4:$B$33,"&lt;&gt;",'03_Action_Register'!$I$4:$I$33,"&lt;&gt;Closed",'03_Action_Register'!$L$4:$L$33,"&lt;&gt;Yes",'03_Action_Register'!$H$4:$H$33,"&gt;="&amp;TODAY(),'03_Action_Register'!$H$4:$H$33,"&lt;="&amp;(TODAY()+DUE_SOON_DAYS))</f>
        <v/>
      </c>
      <c r="L5" s="6" t="n"/>
      <c r="N5" s="9">
        <f>COUNTIFS('03_Action_Register'!$B$4:$B$33,"&lt;&gt;",'03_Action_Register'!$I$4:$I$33,"Closed")</f>
        <v/>
      </c>
      <c r="O5" s="6" t="n"/>
    </row>
    <row r="6">
      <c r="B6" s="6" t="n"/>
      <c r="C6" s="6" t="n"/>
      <c r="E6" s="6" t="n"/>
      <c r="F6" s="6" t="n"/>
      <c r="H6" s="6" t="n"/>
      <c r="I6" s="6" t="n"/>
      <c r="K6" s="6" t="n"/>
      <c r="L6" s="6" t="n"/>
      <c r="N6" s="6" t="n"/>
      <c r="O6" s="6" t="n"/>
    </row>
    <row r="7">
      <c r="B7" s="6" t="n"/>
      <c r="C7" s="6" t="n"/>
      <c r="E7" s="6" t="n"/>
      <c r="F7" s="6" t="n"/>
      <c r="H7" s="6" t="n"/>
      <c r="I7" s="6" t="n"/>
      <c r="K7" s="6" t="n"/>
      <c r="L7" s="6" t="n"/>
      <c r="N7" s="6" t="n"/>
      <c r="O7" s="6" t="n"/>
    </row>
    <row r="8">
      <c r="B8" s="10" t="inlineStr">
        <is>
          <t>Open Topics</t>
        </is>
      </c>
      <c r="E8" s="10" t="inlineStr">
        <is>
          <t>Open Actions</t>
        </is>
      </c>
      <c r="H8" s="10" t="inlineStr">
        <is>
          <t>Overdue Actions</t>
        </is>
      </c>
      <c r="K8" s="10" t="inlineStr">
        <is>
          <t>Actions Due Soon</t>
        </is>
      </c>
      <c r="N8" s="10" t="inlineStr">
        <is>
          <t>Closed Actions</t>
        </is>
      </c>
    </row>
    <row r="10">
      <c r="B10" s="11">
        <f>IFERROR(COUNTIFS('05_PQCP_Tracker'!$B$4:$B$33,"&lt;&gt;",'05_PQCP_Tracker'!$H$4:$H$33,"Complete")/COUNTIFS('05_PQCP_Tracker'!$B$4:$B$33,"&lt;&gt;"),"")</f>
        <v/>
      </c>
      <c r="C10" s="6" t="n"/>
      <c r="E10" s="9">
        <f>COUNTIFS('05_PQCP_Tracker'!$B$4:$B$33,"&lt;&gt;",'05_PQCP_Tracker'!$H$4:$H$33,"Complete")</f>
        <v/>
      </c>
      <c r="F10" s="6" t="n"/>
      <c r="H10" s="8">
        <f>COUNTIFS('05_PQCP_Tracker'!$B$4:$B$33,"&lt;&gt;",'05_PQCP_Tracker'!$H$4:$H$33,"In Progress")</f>
        <v/>
      </c>
      <c r="I10" s="6" t="n"/>
      <c r="K10" s="7">
        <f>COUNTIFS('05_PQCP_Tracker'!$B$4:$B$33,"&lt;&gt;",'05_PQCP_Tracker'!$J$4:$J$33,"No")</f>
        <v/>
      </c>
      <c r="L10" s="6" t="n"/>
      <c r="N10" s="7">
        <f>COUNTIFS('05_PQCP_Tracker'!$B$4:$B$33,"&lt;&gt;",'05_PQCP_Tracker'!$H$4:$H$33,"Not Started")</f>
        <v/>
      </c>
      <c r="O10" s="6" t="n"/>
    </row>
    <row r="11">
      <c r="B11" s="6" t="n"/>
      <c r="C11" s="6" t="n"/>
      <c r="E11" s="6" t="n"/>
      <c r="F11" s="6" t="n"/>
      <c r="H11" s="6" t="n"/>
      <c r="I11" s="6" t="n"/>
      <c r="K11" s="6" t="n"/>
      <c r="L11" s="6" t="n"/>
      <c r="N11" s="6" t="n"/>
      <c r="O11" s="6" t="n"/>
    </row>
    <row r="12">
      <c r="B12" s="6" t="n"/>
      <c r="C12" s="6" t="n"/>
      <c r="E12" s="6" t="n"/>
      <c r="F12" s="6" t="n"/>
      <c r="H12" s="6" t="n"/>
      <c r="I12" s="6" t="n"/>
      <c r="K12" s="6" t="n"/>
      <c r="L12" s="6" t="n"/>
      <c r="N12" s="6" t="n"/>
      <c r="O12" s="6" t="n"/>
    </row>
    <row r="13">
      <c r="B13" s="10" t="inlineStr">
        <is>
          <t>PQCP Completion %</t>
        </is>
      </c>
      <c r="E13" s="10" t="inlineStr">
        <is>
          <t>PQCP Items Complete</t>
        </is>
      </c>
      <c r="H13" s="10" t="inlineStr">
        <is>
          <t>PQCP Items In Progress</t>
        </is>
      </c>
      <c r="K13" s="10" t="inlineStr">
        <is>
          <t>PQCP Missing Evidence</t>
        </is>
      </c>
      <c r="N13" s="10" t="inlineStr">
        <is>
          <t>PQCP Not Started</t>
        </is>
      </c>
    </row>
    <row r="14">
      <c r="B14" s="12" t="inlineStr">
        <is>
          <t>Overall Readiness</t>
        </is>
      </c>
      <c r="C14" s="13">
        <f>IFERROR(COUNTIFS('05_PQCP_Tracker'!$B$4:$B$33,"&lt;&gt;",'05_PQCP_Tracker'!$H$4:$H$33,"Complete")/COUNTIFS('05_PQCP_Tracker'!$B$4:$B$33,"&lt;&gt;"),"")</f>
        <v/>
      </c>
    </row>
    <row r="17">
      <c r="B17" s="14" t="inlineStr">
        <is>
          <t>Top 5 Blockers / Critical Open Items</t>
        </is>
      </c>
    </row>
    <row r="18">
      <c r="B18" s="15" t="inlineStr">
        <is>
          <t>Action ID</t>
        </is>
      </c>
      <c r="C18" s="15" t="inlineStr">
        <is>
          <t>Action</t>
        </is>
      </c>
      <c r="D18" s="15" t="inlineStr">
        <is>
          <t>Owner</t>
        </is>
      </c>
      <c r="E18" s="15" t="inlineStr">
        <is>
          <t>Due Date</t>
        </is>
      </c>
      <c r="F18" s="15" t="inlineStr">
        <is>
          <t>Status</t>
        </is>
      </c>
      <c r="G18" s="15" t="inlineStr">
        <is>
          <t>Priority</t>
        </is>
      </c>
    </row>
    <row r="19" ht="24" customHeight="1">
      <c r="B19" s="16">
        <f t="array" ref="B19">IF(IFERROR(MATCH(1,'03_Action_Register'!$T$4:$T$33,0)+3,"")="","",INDEX('03_Action_Register'!$B$4:$B$33,(IFERROR(MATCH(1,'03_Action_Register'!$T$4:$T$33,0)+3,"")-3)))</f>
        <v/>
      </c>
      <c r="C19" s="16">
        <f t="array" ref="C19">IF(IFERROR(MATCH(1,'03_Action_Register'!$T$4:$T$33,0)+3,"")="","",INDEX('03_Action_Register'!$D$4:$D$33,(IFERROR(MATCH(1,'03_Action_Register'!$T$4:$T$33,0)+3,"")-3)))</f>
        <v/>
      </c>
      <c r="D19" s="16">
        <f t="array" ref="D19">IF(IFERROR(MATCH(1,'03_Action_Register'!$T$4:$T$33,0)+3,"")="","",INDEX('03_Action_Register'!$E$4:$E$33,(IFERROR(MATCH(1,'03_Action_Register'!$T$4:$T$33,0)+3,"")-3)))</f>
        <v/>
      </c>
      <c r="E19" s="17">
        <f t="array" ref="E19">IF(IFERROR(MATCH(1,'03_Action_Register'!$T$4:$T$33,0)+3,"")="","",INDEX('03_Action_Register'!$H$4:$H$33,(IFERROR(MATCH(1,'03_Action_Register'!$T$4:$T$33,0)+3,"")-3)))</f>
        <v/>
      </c>
      <c r="F19" s="16">
        <f t="array" ref="F19">IF(IFERROR(MATCH(1,'03_Action_Register'!$T$4:$T$33,0)+3,"")="","",INDEX('03_Action_Register'!$I$4:$I$33,(IFERROR(MATCH(1,'03_Action_Register'!$T$4:$T$33,0)+3,"")-3)))</f>
        <v/>
      </c>
      <c r="G19" s="16">
        <f t="array" ref="G19">IF(IFERROR(MATCH(1,'03_Action_Register'!$T$4:$T$33,0)+3,"")="","",INDEX('03_Action_Register'!$J$4:$J$33,(IFERROR(MATCH(1,'03_Action_Register'!$T$4:$T$33,0)+3,"")-3)))</f>
        <v/>
      </c>
    </row>
    <row r="20" ht="24" customHeight="1">
      <c r="B20" s="18">
        <f t="array" ref="B20">IF(IFERROR(MATCH(2,'03_Action_Register'!$T$4:$T$33,0)+3,"")="","",INDEX('03_Action_Register'!$B$4:$B$33,(IFERROR(MATCH(2,'03_Action_Register'!$T$4:$T$33,0)+3,"")-3)))</f>
        <v/>
      </c>
      <c r="C20" s="18">
        <f t="array" ref="C20">IF(IFERROR(MATCH(2,'03_Action_Register'!$T$4:$T$33,0)+3,"")="","",INDEX('03_Action_Register'!$D$4:$D$33,(IFERROR(MATCH(2,'03_Action_Register'!$T$4:$T$33,0)+3,"")-3)))</f>
        <v/>
      </c>
      <c r="D20" s="18">
        <f t="array" ref="D20">IF(IFERROR(MATCH(2,'03_Action_Register'!$T$4:$T$33,0)+3,"")="","",INDEX('03_Action_Register'!$E$4:$E$33,(IFERROR(MATCH(2,'03_Action_Register'!$T$4:$T$33,0)+3,"")-3)))</f>
        <v/>
      </c>
      <c r="E20" s="19">
        <f t="array" ref="E20">IF(IFERROR(MATCH(2,'03_Action_Register'!$T$4:$T$33,0)+3,"")="","",INDEX('03_Action_Register'!$H$4:$H$33,(IFERROR(MATCH(2,'03_Action_Register'!$T$4:$T$33,0)+3,"")-3)))</f>
        <v/>
      </c>
      <c r="F20" s="18">
        <f t="array" ref="F20">IF(IFERROR(MATCH(2,'03_Action_Register'!$T$4:$T$33,0)+3,"")="","",INDEX('03_Action_Register'!$I$4:$I$33,(IFERROR(MATCH(2,'03_Action_Register'!$T$4:$T$33,0)+3,"")-3)))</f>
        <v/>
      </c>
      <c r="G20" s="18">
        <f t="array" ref="G20">IF(IFERROR(MATCH(2,'03_Action_Register'!$T$4:$T$33,0)+3,"")="","",INDEX('03_Action_Register'!$J$4:$J$33,(IFERROR(MATCH(2,'03_Action_Register'!$T$4:$T$33,0)+3,"")-3)))</f>
        <v/>
      </c>
    </row>
    <row r="21" ht="24" customHeight="1">
      <c r="B21" s="16">
        <f t="array" ref="B21">IF(IFERROR(MATCH(3,'03_Action_Register'!$T$4:$T$33,0)+3,"")="","",INDEX('03_Action_Register'!$B$4:$B$33,(IFERROR(MATCH(3,'03_Action_Register'!$T$4:$T$33,0)+3,"")-3)))</f>
        <v/>
      </c>
      <c r="C21" s="16">
        <f t="array" ref="C21">IF(IFERROR(MATCH(3,'03_Action_Register'!$T$4:$T$33,0)+3,"")="","",INDEX('03_Action_Register'!$D$4:$D$33,(IFERROR(MATCH(3,'03_Action_Register'!$T$4:$T$33,0)+3,"")-3)))</f>
        <v/>
      </c>
      <c r="D21" s="16">
        <f t="array" ref="D21">IF(IFERROR(MATCH(3,'03_Action_Register'!$T$4:$T$33,0)+3,"")="","",INDEX('03_Action_Register'!$E$4:$E$33,(IFERROR(MATCH(3,'03_Action_Register'!$T$4:$T$33,0)+3,"")-3)))</f>
        <v/>
      </c>
      <c r="E21" s="17">
        <f t="array" ref="E21">IF(IFERROR(MATCH(3,'03_Action_Register'!$T$4:$T$33,0)+3,"")="","",INDEX('03_Action_Register'!$H$4:$H$33,(IFERROR(MATCH(3,'03_Action_Register'!$T$4:$T$33,0)+3,"")-3)))</f>
        <v/>
      </c>
      <c r="F21" s="16">
        <f t="array" ref="F21">IF(IFERROR(MATCH(3,'03_Action_Register'!$T$4:$T$33,0)+3,"")="","",INDEX('03_Action_Register'!$I$4:$I$33,(IFERROR(MATCH(3,'03_Action_Register'!$T$4:$T$33,0)+3,"")-3)))</f>
        <v/>
      </c>
      <c r="G21" s="16">
        <f t="array" ref="G21">IF(IFERROR(MATCH(3,'03_Action_Register'!$T$4:$T$33,0)+3,"")="","",INDEX('03_Action_Register'!$J$4:$J$33,(IFERROR(MATCH(3,'03_Action_Register'!$T$4:$T$33,0)+3,"")-3)))</f>
        <v/>
      </c>
    </row>
    <row r="22" ht="24" customHeight="1">
      <c r="B22" s="18">
        <f t="array" ref="B22">IF(IFERROR(MATCH(4,'03_Action_Register'!$T$4:$T$33,0)+3,"")="","",INDEX('03_Action_Register'!$B$4:$B$33,(IFERROR(MATCH(4,'03_Action_Register'!$T$4:$T$33,0)+3,"")-3)))</f>
        <v/>
      </c>
      <c r="C22" s="18">
        <f t="array" ref="C22">IF(IFERROR(MATCH(4,'03_Action_Register'!$T$4:$T$33,0)+3,"")="","",INDEX('03_Action_Register'!$D$4:$D$33,(IFERROR(MATCH(4,'03_Action_Register'!$T$4:$T$33,0)+3,"")-3)))</f>
        <v/>
      </c>
      <c r="D22" s="18">
        <f t="array" ref="D22">IF(IFERROR(MATCH(4,'03_Action_Register'!$T$4:$T$33,0)+3,"")="","",INDEX('03_Action_Register'!$E$4:$E$33,(IFERROR(MATCH(4,'03_Action_Register'!$T$4:$T$33,0)+3,"")-3)))</f>
        <v/>
      </c>
      <c r="E22" s="19">
        <f t="array" ref="E22">IF(IFERROR(MATCH(4,'03_Action_Register'!$T$4:$T$33,0)+3,"")="","",INDEX('03_Action_Register'!$H$4:$H$33,(IFERROR(MATCH(4,'03_Action_Register'!$T$4:$T$33,0)+3,"")-3)))</f>
        <v/>
      </c>
      <c r="F22" s="18">
        <f t="array" ref="F22">IF(IFERROR(MATCH(4,'03_Action_Register'!$T$4:$T$33,0)+3,"")="","",INDEX('03_Action_Register'!$I$4:$I$33,(IFERROR(MATCH(4,'03_Action_Register'!$T$4:$T$33,0)+3,"")-3)))</f>
        <v/>
      </c>
      <c r="G22" s="18">
        <f t="array" ref="G22">IF(IFERROR(MATCH(4,'03_Action_Register'!$T$4:$T$33,0)+3,"")="","",INDEX('03_Action_Register'!$J$4:$J$33,(IFERROR(MATCH(4,'03_Action_Register'!$T$4:$T$33,0)+3,"")-3)))</f>
        <v/>
      </c>
    </row>
    <row r="23" ht="24" customHeight="1">
      <c r="B23" s="16">
        <f t="array" ref="B23">IF(IFERROR(MATCH(5,'03_Action_Register'!$T$4:$T$33,0)+3,"")="","",INDEX('03_Action_Register'!$B$4:$B$33,(IFERROR(MATCH(5,'03_Action_Register'!$T$4:$T$33,0)+3,"")-3)))</f>
        <v/>
      </c>
      <c r="C23" s="16">
        <f t="array" ref="C23">IF(IFERROR(MATCH(5,'03_Action_Register'!$T$4:$T$33,0)+3,"")="","",INDEX('03_Action_Register'!$D$4:$D$33,(IFERROR(MATCH(5,'03_Action_Register'!$T$4:$T$33,0)+3,"")-3)))</f>
        <v/>
      </c>
      <c r="D23" s="16">
        <f t="array" ref="D23">IF(IFERROR(MATCH(5,'03_Action_Register'!$T$4:$T$33,0)+3,"")="","",INDEX('03_Action_Register'!$E$4:$E$33,(IFERROR(MATCH(5,'03_Action_Register'!$T$4:$T$33,0)+3,"")-3)))</f>
        <v/>
      </c>
      <c r="E23" s="17">
        <f t="array" ref="E23">IF(IFERROR(MATCH(5,'03_Action_Register'!$T$4:$T$33,0)+3,"")="","",INDEX('03_Action_Register'!$H$4:$H$33,(IFERROR(MATCH(5,'03_Action_Register'!$T$4:$T$33,0)+3,"")-3)))</f>
        <v/>
      </c>
      <c r="F23" s="16">
        <f t="array" ref="F23">IF(IFERROR(MATCH(5,'03_Action_Register'!$T$4:$T$33,0)+3,"")="","",INDEX('03_Action_Register'!$I$4:$I$33,(IFERROR(MATCH(5,'03_Action_Register'!$T$4:$T$33,0)+3,"")-3)))</f>
        <v/>
      </c>
      <c r="G23" s="16">
        <f t="array" ref="G23">IF(IFERROR(MATCH(5,'03_Action_Register'!$T$4:$T$33,0)+3,"")="","",INDEX('03_Action_Register'!$J$4:$J$33,(IFERROR(MATCH(5,'03_Action_Register'!$T$4:$T$33,0)+3,"")-3)))</f>
        <v/>
      </c>
    </row>
    <row r="25">
      <c r="B25" s="20" t="inlineStr">
        <is>
          <t>Legend:  Blue text = fill in yourself   |   Black text = automatic formula, do not overtype   |   Grey columns = automation helpers, do not edit</t>
        </is>
      </c>
    </row>
  </sheetData>
  <mergeCells count="21">
    <mergeCell ref="H5:I7"/>
    <mergeCell ref="E8:F8"/>
    <mergeCell ref="E5:F7"/>
    <mergeCell ref="K5:L7"/>
    <mergeCell ref="H10:I12"/>
    <mergeCell ref="E13:F13"/>
    <mergeCell ref="B8:C8"/>
    <mergeCell ref="B10:C12"/>
    <mergeCell ref="N8:O8"/>
    <mergeCell ref="C14:F14"/>
    <mergeCell ref="N5:O7"/>
    <mergeCell ref="B13:C13"/>
    <mergeCell ref="E10:F12"/>
    <mergeCell ref="K8:L8"/>
    <mergeCell ref="H13:I13"/>
    <mergeCell ref="N13:O13"/>
    <mergeCell ref="N10:O12"/>
    <mergeCell ref="B5:C7"/>
    <mergeCell ref="K10:L12"/>
    <mergeCell ref="H8:I8"/>
    <mergeCell ref="K13:L13"/>
  </mergeCells>
  <conditionalFormatting sqref="C14:F14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G19:G23">
    <cfRule type="cellIs" priority="2" operator="equal" dxfId="0">
      <formula>"Critical"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8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0" customWidth="1" min="2" max="2"/>
    <col width="24" customWidth="1" min="3" max="3"/>
    <col width="30" customWidth="1" min="4" max="4"/>
    <col width="30" customWidth="1" min="5" max="5"/>
    <col width="26" customWidth="1" min="6" max="6"/>
    <col width="30" customWidth="1" min="7" max="7"/>
    <col width="14" customWidth="1" min="8" max="8"/>
    <col width="12" customWidth="1" min="9" max="9"/>
    <col width="22" customWidth="1" min="10" max="10"/>
  </cols>
  <sheetData>
    <row r="2" ht="26" customHeight="1">
      <c r="B2" s="20" t="inlineStr">
        <is>
          <t>Legend:  Blue text = fill in yourself   |   Black text = automatic formula, do not overtype   |   Grey columns = automation helpers, do not edit</t>
        </is>
      </c>
    </row>
    <row r="3" ht="16" customHeight="1">
      <c r="B3" s="4" t="inlineStr">
        <is>
          <t>Chair the meeting directly from this sheet. Rows below fill in automatically for every topic flagged 'Discuss at Next Meeting = Yes', with an overdue action, or with an open question - nothing to maintain here.</t>
        </is>
      </c>
    </row>
    <row r="5">
      <c r="B5" s="12" t="inlineStr">
        <is>
          <t>Meeting Date:</t>
        </is>
      </c>
      <c r="C5" s="21" t="n">
        <v>46239</v>
      </c>
      <c r="E5" s="12" t="inlineStr">
        <is>
          <t>Topics on agenda:</t>
        </is>
      </c>
      <c r="G5" s="22">
        <f>COUNTA(B9:B28)</f>
        <v/>
      </c>
    </row>
    <row r="8" ht="30" customHeight="1">
      <c r="B8" s="15" t="inlineStr">
        <is>
          <t>Topic ID</t>
        </is>
      </c>
      <c r="C8" s="15" t="inlineStr">
        <is>
          <t>Topic</t>
        </is>
      </c>
      <c r="D8" s="15" t="inlineStr">
        <is>
          <t>Current Position</t>
        </is>
      </c>
      <c r="E8" s="15" t="inlineStr">
        <is>
          <t>Latest Update</t>
        </is>
      </c>
      <c r="F8" s="15" t="inlineStr">
        <is>
          <t>Open Point / Question</t>
        </is>
      </c>
      <c r="G8" s="15" t="inlineStr">
        <is>
          <t>Action</t>
        </is>
      </c>
      <c r="H8" s="15" t="inlineStr">
        <is>
          <t>Owner</t>
        </is>
      </c>
      <c r="I8" s="15" t="inlineStr">
        <is>
          <t>Due Date</t>
        </is>
      </c>
      <c r="J8" s="15" t="inlineStr">
        <is>
          <t>Input / Decision Required</t>
        </is>
      </c>
    </row>
    <row r="9" ht="30" customHeight="1">
      <c r="B9" s="16">
        <f t="array" ref="B9">IF(IFERROR(MATCH(1,'02_Topic_Register'!$R$4:$R$33,0)+3,"")="","",INDEX('02_Topic_Register'!$B$4:$B$33,(IFERROR(MATCH(1,'02_Topic_Register'!$R$4:$R$33,0)+3,"")-3)))</f>
        <v/>
      </c>
      <c r="C9" s="16">
        <f t="array" ref="C9">IF($B9="","",INDEX('02_Topic_Register'!$E$4:$E$33,(IFERROR(MATCH(1,'02_Topic_Register'!$R$4:$R$33,0)+3,"")-3)))</f>
        <v/>
      </c>
      <c r="D9" s="16">
        <f t="array" ref="D9">IF($B9="","",INDEX('02_Topic_Register'!$F$4:$F$33,(IFERROR(MATCH(1,'02_Topic_Register'!$R$4:$R$33,0)+3,"")-3)))</f>
        <v/>
      </c>
      <c r="E9" s="16">
        <f t="array" ref="E9">IF($B9="","",IF(IFERROR(MAX(IF('04_Update_History'!$D$4:$D$153=INDEX('02_Topic_Register'!$B$4:$B$33,(IFERROR(MATCH(1,'02_Topic_Register'!$R$4:$R$33,0)+3,"")-3)),ROW('04_Update_History'!$D$4:$D$153))),0)=0,"",INDEX('04_Update_History'!$F$4:$F$153,(IFERROR(MAX(IF('04_Update_History'!$D$4:$D$153=INDEX('02_Topic_Register'!$B$4:$B$33,(IFERROR(MATCH(1,'02_Topic_Register'!$R$4:$R$33,0)+3,"")-3)),ROW('04_Update_History'!$D$4:$D$153))),0)-3))))</f>
        <v/>
      </c>
      <c r="F9" s="16">
        <f t="array" ref="F9">IF($B9="","",INDEX('02_Topic_Register'!$G$4:$G$33,(IFERROR(MATCH(1,'02_Topic_Register'!$R$4:$R$33,0)+3,"")-3)))</f>
        <v/>
      </c>
      <c r="G9" s="16">
        <f t="array" ref="G9">IF($B9="","",IF(IFERROR(MATCH(IFERROR(INDEX('02_Topic_Register'!$N$4:$N$33,(IFERROR(MATCH(1,'02_Topic_Register'!$R$4:$R$33,0)+3,"")-3)),""),'03_Action_Register'!$B$4:$B$33,0),"")="","",INDEX('03_Action_Register'!$D$4:$D$33,IFERROR(MATCH(IFERROR(INDEX('02_Topic_Register'!$N$4:$N$33,(IFERROR(MATCH(1,'02_Topic_Register'!$R$4:$R$33,0)+3,"")-3)),""),'03_Action_Register'!$B$4:$B$33,0),""))))</f>
        <v/>
      </c>
      <c r="H9" s="16">
        <f t="array" ref="H9">IF($B9="","",IF(IFERROR(MATCH(IFERROR(INDEX('02_Topic_Register'!$N$4:$N$33,(IFERROR(MATCH(1,'02_Topic_Register'!$R$4:$R$33,0)+3,"")-3)),""),'03_Action_Register'!$B$4:$B$33,0),"")="","",INDEX('03_Action_Register'!$E$4:$E$33,IFERROR(MATCH(IFERROR(INDEX('02_Topic_Register'!$N$4:$N$33,(IFERROR(MATCH(1,'02_Topic_Register'!$R$4:$R$33,0)+3,"")-3)),""),'03_Action_Register'!$B$4:$B$33,0),""))))</f>
        <v/>
      </c>
      <c r="I9" s="17">
        <f t="array" ref="I9">IF($B9="","",IF(IFERROR(MATCH(IFERROR(INDEX('02_Topic_Register'!$N$4:$N$33,(IFERROR(MATCH(1,'02_Topic_Register'!$R$4:$R$33,0)+3,"")-3)),""),'03_Action_Register'!$B$4:$B$33,0),"")="","",INDEX('03_Action_Register'!$H$4:$H$33,IFERROR(MATCH(IFERROR(INDEX('02_Topic_Register'!$N$4:$N$33,(IFERROR(MATCH(1,'02_Topic_Register'!$R$4:$R$33,0)+3,"")-3)),""),'03_Action_Register'!$B$4:$B$33,0),""))))</f>
        <v/>
      </c>
      <c r="J9" s="16">
        <f>IF($B9="","",IF($F9&lt;&gt;"","Yes - input needed","Update only"))</f>
        <v/>
      </c>
    </row>
    <row r="10" ht="30" customHeight="1">
      <c r="B10" s="18">
        <f t="array" ref="B10">IF(IFERROR(MATCH(2,'02_Topic_Register'!$R$4:$R$33,0)+3,"")="","",INDEX('02_Topic_Register'!$B$4:$B$33,(IFERROR(MATCH(2,'02_Topic_Register'!$R$4:$R$33,0)+3,"")-3)))</f>
        <v/>
      </c>
      <c r="C10" s="18">
        <f t="array" ref="C10">IF($B10="","",INDEX('02_Topic_Register'!$E$4:$E$33,(IFERROR(MATCH(2,'02_Topic_Register'!$R$4:$R$33,0)+3,"")-3)))</f>
        <v/>
      </c>
      <c r="D10" s="18">
        <f t="array" ref="D10">IF($B10="","",INDEX('02_Topic_Register'!$F$4:$F$33,(IFERROR(MATCH(2,'02_Topic_Register'!$R$4:$R$33,0)+3,"")-3)))</f>
        <v/>
      </c>
      <c r="E10" s="18">
        <f t="array" ref="E10">IF($B10="","",IF(IFERROR(MAX(IF('04_Update_History'!$D$4:$D$153=INDEX('02_Topic_Register'!$B$4:$B$33,(IFERROR(MATCH(2,'02_Topic_Register'!$R$4:$R$33,0)+3,"")-3)),ROW('04_Update_History'!$D$4:$D$153))),0)=0,"",INDEX('04_Update_History'!$F$4:$F$153,(IFERROR(MAX(IF('04_Update_History'!$D$4:$D$153=INDEX('02_Topic_Register'!$B$4:$B$33,(IFERROR(MATCH(2,'02_Topic_Register'!$R$4:$R$33,0)+3,"")-3)),ROW('04_Update_History'!$D$4:$D$153))),0)-3))))</f>
        <v/>
      </c>
      <c r="F10" s="18">
        <f t="array" ref="F10">IF($B10="","",INDEX('02_Topic_Register'!$G$4:$G$33,(IFERROR(MATCH(2,'02_Topic_Register'!$R$4:$R$33,0)+3,"")-3)))</f>
        <v/>
      </c>
      <c r="G10" s="18">
        <f t="array" ref="G10">IF($B10="","",IF(IFERROR(MATCH(IFERROR(INDEX('02_Topic_Register'!$N$4:$N$33,(IFERROR(MATCH(2,'02_Topic_Register'!$R$4:$R$33,0)+3,"")-3)),""),'03_Action_Register'!$B$4:$B$33,0),"")="","",INDEX('03_Action_Register'!$D$4:$D$33,IFERROR(MATCH(IFERROR(INDEX('02_Topic_Register'!$N$4:$N$33,(IFERROR(MATCH(2,'02_Topic_Register'!$R$4:$R$33,0)+3,"")-3)),""),'03_Action_Register'!$B$4:$B$33,0),""))))</f>
        <v/>
      </c>
      <c r="H10" s="18">
        <f t="array" ref="H10">IF($B10="","",IF(IFERROR(MATCH(IFERROR(INDEX('02_Topic_Register'!$N$4:$N$33,(IFERROR(MATCH(2,'02_Topic_Register'!$R$4:$R$33,0)+3,"")-3)),""),'03_Action_Register'!$B$4:$B$33,0),"")="","",INDEX('03_Action_Register'!$E$4:$E$33,IFERROR(MATCH(IFERROR(INDEX('02_Topic_Register'!$N$4:$N$33,(IFERROR(MATCH(2,'02_Topic_Register'!$R$4:$R$33,0)+3,"")-3)),""),'03_Action_Register'!$B$4:$B$33,0),""))))</f>
        <v/>
      </c>
      <c r="I10" s="19">
        <f t="array" ref="I10">IF($B10="","",IF(IFERROR(MATCH(IFERROR(INDEX('02_Topic_Register'!$N$4:$N$33,(IFERROR(MATCH(2,'02_Topic_Register'!$R$4:$R$33,0)+3,"")-3)),""),'03_Action_Register'!$B$4:$B$33,0),"")="","",INDEX('03_Action_Register'!$H$4:$H$33,IFERROR(MATCH(IFERROR(INDEX('02_Topic_Register'!$N$4:$N$33,(IFERROR(MATCH(2,'02_Topic_Register'!$R$4:$R$33,0)+3,"")-3)),""),'03_Action_Register'!$B$4:$B$33,0),""))))</f>
        <v/>
      </c>
      <c r="J10" s="18">
        <f>IF($B10="","",IF($F10&lt;&gt;"","Yes - input needed","Update only"))</f>
        <v/>
      </c>
    </row>
    <row r="11" ht="30" customHeight="1">
      <c r="B11" s="16">
        <f t="array" ref="B11">IF(IFERROR(MATCH(3,'02_Topic_Register'!$R$4:$R$33,0)+3,"")="","",INDEX('02_Topic_Register'!$B$4:$B$33,(IFERROR(MATCH(3,'02_Topic_Register'!$R$4:$R$33,0)+3,"")-3)))</f>
        <v/>
      </c>
      <c r="C11" s="16">
        <f t="array" ref="C11">IF($B11="","",INDEX('02_Topic_Register'!$E$4:$E$33,(IFERROR(MATCH(3,'02_Topic_Register'!$R$4:$R$33,0)+3,"")-3)))</f>
        <v/>
      </c>
      <c r="D11" s="16">
        <f t="array" ref="D11">IF($B11="","",INDEX('02_Topic_Register'!$F$4:$F$33,(IFERROR(MATCH(3,'02_Topic_Register'!$R$4:$R$33,0)+3,"")-3)))</f>
        <v/>
      </c>
      <c r="E11" s="16">
        <f t="array" ref="E11">IF($B11="","",IF(IFERROR(MAX(IF('04_Update_History'!$D$4:$D$153=INDEX('02_Topic_Register'!$B$4:$B$33,(IFERROR(MATCH(3,'02_Topic_Register'!$R$4:$R$33,0)+3,"")-3)),ROW('04_Update_History'!$D$4:$D$153))),0)=0,"",INDEX('04_Update_History'!$F$4:$F$153,(IFERROR(MAX(IF('04_Update_History'!$D$4:$D$153=INDEX('02_Topic_Register'!$B$4:$B$33,(IFERROR(MATCH(3,'02_Topic_Register'!$R$4:$R$33,0)+3,"")-3)),ROW('04_Update_History'!$D$4:$D$153))),0)-3))))</f>
        <v/>
      </c>
      <c r="F11" s="16">
        <f t="array" ref="F11">IF($B11="","",INDEX('02_Topic_Register'!$G$4:$G$33,(IFERROR(MATCH(3,'02_Topic_Register'!$R$4:$R$33,0)+3,"")-3)))</f>
        <v/>
      </c>
      <c r="G11" s="16">
        <f t="array" ref="G11">IF($B11="","",IF(IFERROR(MATCH(IFERROR(INDEX('02_Topic_Register'!$N$4:$N$33,(IFERROR(MATCH(3,'02_Topic_Register'!$R$4:$R$33,0)+3,"")-3)),""),'03_Action_Register'!$B$4:$B$33,0),"")="","",INDEX('03_Action_Register'!$D$4:$D$33,IFERROR(MATCH(IFERROR(INDEX('02_Topic_Register'!$N$4:$N$33,(IFERROR(MATCH(3,'02_Topic_Register'!$R$4:$R$33,0)+3,"")-3)),""),'03_Action_Register'!$B$4:$B$33,0),""))))</f>
        <v/>
      </c>
      <c r="H11" s="16">
        <f t="array" ref="H11">IF($B11="","",IF(IFERROR(MATCH(IFERROR(INDEX('02_Topic_Register'!$N$4:$N$33,(IFERROR(MATCH(3,'02_Topic_Register'!$R$4:$R$33,0)+3,"")-3)),""),'03_Action_Register'!$B$4:$B$33,0),"")="","",INDEX('03_Action_Register'!$E$4:$E$33,IFERROR(MATCH(IFERROR(INDEX('02_Topic_Register'!$N$4:$N$33,(IFERROR(MATCH(3,'02_Topic_Register'!$R$4:$R$33,0)+3,"")-3)),""),'03_Action_Register'!$B$4:$B$33,0),""))))</f>
        <v/>
      </c>
      <c r="I11" s="17">
        <f t="array" ref="I11">IF($B11="","",IF(IFERROR(MATCH(IFERROR(INDEX('02_Topic_Register'!$N$4:$N$33,(IFERROR(MATCH(3,'02_Topic_Register'!$R$4:$R$33,0)+3,"")-3)),""),'03_Action_Register'!$B$4:$B$33,0),"")="","",INDEX('03_Action_Register'!$H$4:$H$33,IFERROR(MATCH(IFERROR(INDEX('02_Topic_Register'!$N$4:$N$33,(IFERROR(MATCH(3,'02_Topic_Register'!$R$4:$R$33,0)+3,"")-3)),""),'03_Action_Register'!$B$4:$B$33,0),""))))</f>
        <v/>
      </c>
      <c r="J11" s="16">
        <f>IF($B11="","",IF($F11&lt;&gt;"","Yes - input needed","Update only"))</f>
        <v/>
      </c>
    </row>
    <row r="12" ht="30" customHeight="1">
      <c r="B12" s="18">
        <f t="array" ref="B12">IF(IFERROR(MATCH(4,'02_Topic_Register'!$R$4:$R$33,0)+3,"")="","",INDEX('02_Topic_Register'!$B$4:$B$33,(IFERROR(MATCH(4,'02_Topic_Register'!$R$4:$R$33,0)+3,"")-3)))</f>
        <v/>
      </c>
      <c r="C12" s="18">
        <f t="array" ref="C12">IF($B12="","",INDEX('02_Topic_Register'!$E$4:$E$33,(IFERROR(MATCH(4,'02_Topic_Register'!$R$4:$R$33,0)+3,"")-3)))</f>
        <v/>
      </c>
      <c r="D12" s="18">
        <f t="array" ref="D12">IF($B12="","",INDEX('02_Topic_Register'!$F$4:$F$33,(IFERROR(MATCH(4,'02_Topic_Register'!$R$4:$R$33,0)+3,"")-3)))</f>
        <v/>
      </c>
      <c r="E12" s="18">
        <f t="array" ref="E12">IF($B12="","",IF(IFERROR(MAX(IF('04_Update_History'!$D$4:$D$153=INDEX('02_Topic_Register'!$B$4:$B$33,(IFERROR(MATCH(4,'02_Topic_Register'!$R$4:$R$33,0)+3,"")-3)),ROW('04_Update_History'!$D$4:$D$153))),0)=0,"",INDEX('04_Update_History'!$F$4:$F$153,(IFERROR(MAX(IF('04_Update_History'!$D$4:$D$153=INDEX('02_Topic_Register'!$B$4:$B$33,(IFERROR(MATCH(4,'02_Topic_Register'!$R$4:$R$33,0)+3,"")-3)),ROW('04_Update_History'!$D$4:$D$153))),0)-3))))</f>
        <v/>
      </c>
      <c r="F12" s="18">
        <f t="array" ref="F12">IF($B12="","",INDEX('02_Topic_Register'!$G$4:$G$33,(IFERROR(MATCH(4,'02_Topic_Register'!$R$4:$R$33,0)+3,"")-3)))</f>
        <v/>
      </c>
      <c r="G12" s="18">
        <f t="array" ref="G12">IF($B12="","",IF(IFERROR(MATCH(IFERROR(INDEX('02_Topic_Register'!$N$4:$N$33,(IFERROR(MATCH(4,'02_Topic_Register'!$R$4:$R$33,0)+3,"")-3)),""),'03_Action_Register'!$B$4:$B$33,0),"")="","",INDEX('03_Action_Register'!$D$4:$D$33,IFERROR(MATCH(IFERROR(INDEX('02_Topic_Register'!$N$4:$N$33,(IFERROR(MATCH(4,'02_Topic_Register'!$R$4:$R$33,0)+3,"")-3)),""),'03_Action_Register'!$B$4:$B$33,0),""))))</f>
        <v/>
      </c>
      <c r="H12" s="18">
        <f t="array" ref="H12">IF($B12="","",IF(IFERROR(MATCH(IFERROR(INDEX('02_Topic_Register'!$N$4:$N$33,(IFERROR(MATCH(4,'02_Topic_Register'!$R$4:$R$33,0)+3,"")-3)),""),'03_Action_Register'!$B$4:$B$33,0),"")="","",INDEX('03_Action_Register'!$E$4:$E$33,IFERROR(MATCH(IFERROR(INDEX('02_Topic_Register'!$N$4:$N$33,(IFERROR(MATCH(4,'02_Topic_Register'!$R$4:$R$33,0)+3,"")-3)),""),'03_Action_Register'!$B$4:$B$33,0),""))))</f>
        <v/>
      </c>
      <c r="I12" s="19">
        <f t="array" ref="I12">IF($B12="","",IF(IFERROR(MATCH(IFERROR(INDEX('02_Topic_Register'!$N$4:$N$33,(IFERROR(MATCH(4,'02_Topic_Register'!$R$4:$R$33,0)+3,"")-3)),""),'03_Action_Register'!$B$4:$B$33,0),"")="","",INDEX('03_Action_Register'!$H$4:$H$33,IFERROR(MATCH(IFERROR(INDEX('02_Topic_Register'!$N$4:$N$33,(IFERROR(MATCH(4,'02_Topic_Register'!$R$4:$R$33,0)+3,"")-3)),""),'03_Action_Register'!$B$4:$B$33,0),""))))</f>
        <v/>
      </c>
      <c r="J12" s="18">
        <f>IF($B12="","",IF($F12&lt;&gt;"","Yes - input needed","Update only"))</f>
        <v/>
      </c>
    </row>
    <row r="13" ht="30" customHeight="1">
      <c r="B13" s="16">
        <f t="array" ref="B13">IF(IFERROR(MATCH(5,'02_Topic_Register'!$R$4:$R$33,0)+3,"")="","",INDEX('02_Topic_Register'!$B$4:$B$33,(IFERROR(MATCH(5,'02_Topic_Register'!$R$4:$R$33,0)+3,"")-3)))</f>
        <v/>
      </c>
      <c r="C13" s="16">
        <f t="array" ref="C13">IF($B13="","",INDEX('02_Topic_Register'!$E$4:$E$33,(IFERROR(MATCH(5,'02_Topic_Register'!$R$4:$R$33,0)+3,"")-3)))</f>
        <v/>
      </c>
      <c r="D13" s="16">
        <f t="array" ref="D13">IF($B13="","",INDEX('02_Topic_Register'!$F$4:$F$33,(IFERROR(MATCH(5,'02_Topic_Register'!$R$4:$R$33,0)+3,"")-3)))</f>
        <v/>
      </c>
      <c r="E13" s="16">
        <f t="array" ref="E13">IF($B13="","",IF(IFERROR(MAX(IF('04_Update_History'!$D$4:$D$153=INDEX('02_Topic_Register'!$B$4:$B$33,(IFERROR(MATCH(5,'02_Topic_Register'!$R$4:$R$33,0)+3,"")-3)),ROW('04_Update_History'!$D$4:$D$153))),0)=0,"",INDEX('04_Update_History'!$F$4:$F$153,(IFERROR(MAX(IF('04_Update_History'!$D$4:$D$153=INDEX('02_Topic_Register'!$B$4:$B$33,(IFERROR(MATCH(5,'02_Topic_Register'!$R$4:$R$33,0)+3,"")-3)),ROW('04_Update_History'!$D$4:$D$153))),0)-3))))</f>
        <v/>
      </c>
      <c r="F13" s="16">
        <f t="array" ref="F13">IF($B13="","",INDEX('02_Topic_Register'!$G$4:$G$33,(IFERROR(MATCH(5,'02_Topic_Register'!$R$4:$R$33,0)+3,"")-3)))</f>
        <v/>
      </c>
      <c r="G13" s="16">
        <f t="array" ref="G13">IF($B13="","",IF(IFERROR(MATCH(IFERROR(INDEX('02_Topic_Register'!$N$4:$N$33,(IFERROR(MATCH(5,'02_Topic_Register'!$R$4:$R$33,0)+3,"")-3)),""),'03_Action_Register'!$B$4:$B$33,0),"")="","",INDEX('03_Action_Register'!$D$4:$D$33,IFERROR(MATCH(IFERROR(INDEX('02_Topic_Register'!$N$4:$N$33,(IFERROR(MATCH(5,'02_Topic_Register'!$R$4:$R$33,0)+3,"")-3)),""),'03_Action_Register'!$B$4:$B$33,0),""))))</f>
        <v/>
      </c>
      <c r="H13" s="16">
        <f t="array" ref="H13">IF($B13="","",IF(IFERROR(MATCH(IFERROR(INDEX('02_Topic_Register'!$N$4:$N$33,(IFERROR(MATCH(5,'02_Topic_Register'!$R$4:$R$33,0)+3,"")-3)),""),'03_Action_Register'!$B$4:$B$33,0),"")="","",INDEX('03_Action_Register'!$E$4:$E$33,IFERROR(MATCH(IFERROR(INDEX('02_Topic_Register'!$N$4:$N$33,(IFERROR(MATCH(5,'02_Topic_Register'!$R$4:$R$33,0)+3,"")-3)),""),'03_Action_Register'!$B$4:$B$33,0),""))))</f>
        <v/>
      </c>
      <c r="I13" s="17">
        <f t="array" ref="I13">IF($B13="","",IF(IFERROR(MATCH(IFERROR(INDEX('02_Topic_Register'!$N$4:$N$33,(IFERROR(MATCH(5,'02_Topic_Register'!$R$4:$R$33,0)+3,"")-3)),""),'03_Action_Register'!$B$4:$B$33,0),"")="","",INDEX('03_Action_Register'!$H$4:$H$33,IFERROR(MATCH(IFERROR(INDEX('02_Topic_Register'!$N$4:$N$33,(IFERROR(MATCH(5,'02_Topic_Register'!$R$4:$R$33,0)+3,"")-3)),""),'03_Action_Register'!$B$4:$B$33,0),""))))</f>
        <v/>
      </c>
      <c r="J13" s="16">
        <f>IF($B13="","",IF($F13&lt;&gt;"","Yes - input needed","Update only"))</f>
        <v/>
      </c>
    </row>
    <row r="14" ht="30" customHeight="1">
      <c r="B14" s="18">
        <f t="array" ref="B14">IF(IFERROR(MATCH(6,'02_Topic_Register'!$R$4:$R$33,0)+3,"")="","",INDEX('02_Topic_Register'!$B$4:$B$33,(IFERROR(MATCH(6,'02_Topic_Register'!$R$4:$R$33,0)+3,"")-3)))</f>
        <v/>
      </c>
      <c r="C14" s="18">
        <f t="array" ref="C14">IF($B14="","",INDEX('02_Topic_Register'!$E$4:$E$33,(IFERROR(MATCH(6,'02_Topic_Register'!$R$4:$R$33,0)+3,"")-3)))</f>
        <v/>
      </c>
      <c r="D14" s="18">
        <f t="array" ref="D14">IF($B14="","",INDEX('02_Topic_Register'!$F$4:$F$33,(IFERROR(MATCH(6,'02_Topic_Register'!$R$4:$R$33,0)+3,"")-3)))</f>
        <v/>
      </c>
      <c r="E14" s="18">
        <f t="array" ref="E14">IF($B14="","",IF(IFERROR(MAX(IF('04_Update_History'!$D$4:$D$153=INDEX('02_Topic_Register'!$B$4:$B$33,(IFERROR(MATCH(6,'02_Topic_Register'!$R$4:$R$33,0)+3,"")-3)),ROW('04_Update_History'!$D$4:$D$153))),0)=0,"",INDEX('04_Update_History'!$F$4:$F$153,(IFERROR(MAX(IF('04_Update_History'!$D$4:$D$153=INDEX('02_Topic_Register'!$B$4:$B$33,(IFERROR(MATCH(6,'02_Topic_Register'!$R$4:$R$33,0)+3,"")-3)),ROW('04_Update_History'!$D$4:$D$153))),0)-3))))</f>
        <v/>
      </c>
      <c r="F14" s="18">
        <f t="array" ref="F14">IF($B14="","",INDEX('02_Topic_Register'!$G$4:$G$33,(IFERROR(MATCH(6,'02_Topic_Register'!$R$4:$R$33,0)+3,"")-3)))</f>
        <v/>
      </c>
      <c r="G14" s="18">
        <f t="array" ref="G14">IF($B14="","",IF(IFERROR(MATCH(IFERROR(INDEX('02_Topic_Register'!$N$4:$N$33,(IFERROR(MATCH(6,'02_Topic_Register'!$R$4:$R$33,0)+3,"")-3)),""),'03_Action_Register'!$B$4:$B$33,0),"")="","",INDEX('03_Action_Register'!$D$4:$D$33,IFERROR(MATCH(IFERROR(INDEX('02_Topic_Register'!$N$4:$N$33,(IFERROR(MATCH(6,'02_Topic_Register'!$R$4:$R$33,0)+3,"")-3)),""),'03_Action_Register'!$B$4:$B$33,0),""))))</f>
        <v/>
      </c>
      <c r="H14" s="18">
        <f t="array" ref="H14">IF($B14="","",IF(IFERROR(MATCH(IFERROR(INDEX('02_Topic_Register'!$N$4:$N$33,(IFERROR(MATCH(6,'02_Topic_Register'!$R$4:$R$33,0)+3,"")-3)),""),'03_Action_Register'!$B$4:$B$33,0),"")="","",INDEX('03_Action_Register'!$E$4:$E$33,IFERROR(MATCH(IFERROR(INDEX('02_Topic_Register'!$N$4:$N$33,(IFERROR(MATCH(6,'02_Topic_Register'!$R$4:$R$33,0)+3,"")-3)),""),'03_Action_Register'!$B$4:$B$33,0),""))))</f>
        <v/>
      </c>
      <c r="I14" s="19">
        <f t="array" ref="I14">IF($B14="","",IF(IFERROR(MATCH(IFERROR(INDEX('02_Topic_Register'!$N$4:$N$33,(IFERROR(MATCH(6,'02_Topic_Register'!$R$4:$R$33,0)+3,"")-3)),""),'03_Action_Register'!$B$4:$B$33,0),"")="","",INDEX('03_Action_Register'!$H$4:$H$33,IFERROR(MATCH(IFERROR(INDEX('02_Topic_Register'!$N$4:$N$33,(IFERROR(MATCH(6,'02_Topic_Register'!$R$4:$R$33,0)+3,"")-3)),""),'03_Action_Register'!$B$4:$B$33,0),""))))</f>
        <v/>
      </c>
      <c r="J14" s="18">
        <f>IF($B14="","",IF($F14&lt;&gt;"","Yes - input needed","Update only"))</f>
        <v/>
      </c>
    </row>
    <row r="15" ht="30" customHeight="1">
      <c r="B15" s="16">
        <f t="array" ref="B15">IF(IFERROR(MATCH(7,'02_Topic_Register'!$R$4:$R$33,0)+3,"")="","",INDEX('02_Topic_Register'!$B$4:$B$33,(IFERROR(MATCH(7,'02_Topic_Register'!$R$4:$R$33,0)+3,"")-3)))</f>
        <v/>
      </c>
      <c r="C15" s="16">
        <f t="array" ref="C15">IF($B15="","",INDEX('02_Topic_Register'!$E$4:$E$33,(IFERROR(MATCH(7,'02_Topic_Register'!$R$4:$R$33,0)+3,"")-3)))</f>
        <v/>
      </c>
      <c r="D15" s="16">
        <f t="array" ref="D15">IF($B15="","",INDEX('02_Topic_Register'!$F$4:$F$33,(IFERROR(MATCH(7,'02_Topic_Register'!$R$4:$R$33,0)+3,"")-3)))</f>
        <v/>
      </c>
      <c r="E15" s="16">
        <f t="array" ref="E15">IF($B15="","",IF(IFERROR(MAX(IF('04_Update_History'!$D$4:$D$153=INDEX('02_Topic_Register'!$B$4:$B$33,(IFERROR(MATCH(7,'02_Topic_Register'!$R$4:$R$33,0)+3,"")-3)),ROW('04_Update_History'!$D$4:$D$153))),0)=0,"",INDEX('04_Update_History'!$F$4:$F$153,(IFERROR(MAX(IF('04_Update_History'!$D$4:$D$153=INDEX('02_Topic_Register'!$B$4:$B$33,(IFERROR(MATCH(7,'02_Topic_Register'!$R$4:$R$33,0)+3,"")-3)),ROW('04_Update_History'!$D$4:$D$153))),0)-3))))</f>
        <v/>
      </c>
      <c r="F15" s="16">
        <f t="array" ref="F15">IF($B15="","",INDEX('02_Topic_Register'!$G$4:$G$33,(IFERROR(MATCH(7,'02_Topic_Register'!$R$4:$R$33,0)+3,"")-3)))</f>
        <v/>
      </c>
      <c r="G15" s="16">
        <f t="array" ref="G15">IF($B15="","",IF(IFERROR(MATCH(IFERROR(INDEX('02_Topic_Register'!$N$4:$N$33,(IFERROR(MATCH(7,'02_Topic_Register'!$R$4:$R$33,0)+3,"")-3)),""),'03_Action_Register'!$B$4:$B$33,0),"")="","",INDEX('03_Action_Register'!$D$4:$D$33,IFERROR(MATCH(IFERROR(INDEX('02_Topic_Register'!$N$4:$N$33,(IFERROR(MATCH(7,'02_Topic_Register'!$R$4:$R$33,0)+3,"")-3)),""),'03_Action_Register'!$B$4:$B$33,0),""))))</f>
        <v/>
      </c>
      <c r="H15" s="16">
        <f t="array" ref="H15">IF($B15="","",IF(IFERROR(MATCH(IFERROR(INDEX('02_Topic_Register'!$N$4:$N$33,(IFERROR(MATCH(7,'02_Topic_Register'!$R$4:$R$33,0)+3,"")-3)),""),'03_Action_Register'!$B$4:$B$33,0),"")="","",INDEX('03_Action_Register'!$E$4:$E$33,IFERROR(MATCH(IFERROR(INDEX('02_Topic_Register'!$N$4:$N$33,(IFERROR(MATCH(7,'02_Topic_Register'!$R$4:$R$33,0)+3,"")-3)),""),'03_Action_Register'!$B$4:$B$33,0),""))))</f>
        <v/>
      </c>
      <c r="I15" s="17">
        <f t="array" ref="I15">IF($B15="","",IF(IFERROR(MATCH(IFERROR(INDEX('02_Topic_Register'!$N$4:$N$33,(IFERROR(MATCH(7,'02_Topic_Register'!$R$4:$R$33,0)+3,"")-3)),""),'03_Action_Register'!$B$4:$B$33,0),"")="","",INDEX('03_Action_Register'!$H$4:$H$33,IFERROR(MATCH(IFERROR(INDEX('02_Topic_Register'!$N$4:$N$33,(IFERROR(MATCH(7,'02_Topic_Register'!$R$4:$R$33,0)+3,"")-3)),""),'03_Action_Register'!$B$4:$B$33,0),""))))</f>
        <v/>
      </c>
      <c r="J15" s="16">
        <f>IF($B15="","",IF($F15&lt;&gt;"","Yes - input needed","Update only"))</f>
        <v/>
      </c>
    </row>
    <row r="16" ht="30" customHeight="1">
      <c r="B16" s="18">
        <f t="array" ref="B16">IF(IFERROR(MATCH(8,'02_Topic_Register'!$R$4:$R$33,0)+3,"")="","",INDEX('02_Topic_Register'!$B$4:$B$33,(IFERROR(MATCH(8,'02_Topic_Register'!$R$4:$R$33,0)+3,"")-3)))</f>
        <v/>
      </c>
      <c r="C16" s="18">
        <f t="array" ref="C16">IF($B16="","",INDEX('02_Topic_Register'!$E$4:$E$33,(IFERROR(MATCH(8,'02_Topic_Register'!$R$4:$R$33,0)+3,"")-3)))</f>
        <v/>
      </c>
      <c r="D16" s="18">
        <f t="array" ref="D16">IF($B16="","",INDEX('02_Topic_Register'!$F$4:$F$33,(IFERROR(MATCH(8,'02_Topic_Register'!$R$4:$R$33,0)+3,"")-3)))</f>
        <v/>
      </c>
      <c r="E16" s="18">
        <f t="array" ref="E16">IF($B16="","",IF(IFERROR(MAX(IF('04_Update_History'!$D$4:$D$153=INDEX('02_Topic_Register'!$B$4:$B$33,(IFERROR(MATCH(8,'02_Topic_Register'!$R$4:$R$33,0)+3,"")-3)),ROW('04_Update_History'!$D$4:$D$153))),0)=0,"",INDEX('04_Update_History'!$F$4:$F$153,(IFERROR(MAX(IF('04_Update_History'!$D$4:$D$153=INDEX('02_Topic_Register'!$B$4:$B$33,(IFERROR(MATCH(8,'02_Topic_Register'!$R$4:$R$33,0)+3,"")-3)),ROW('04_Update_History'!$D$4:$D$153))),0)-3))))</f>
        <v/>
      </c>
      <c r="F16" s="18">
        <f t="array" ref="F16">IF($B16="","",INDEX('02_Topic_Register'!$G$4:$G$33,(IFERROR(MATCH(8,'02_Topic_Register'!$R$4:$R$33,0)+3,"")-3)))</f>
        <v/>
      </c>
      <c r="G16" s="18">
        <f t="array" ref="G16">IF($B16="","",IF(IFERROR(MATCH(IFERROR(INDEX('02_Topic_Register'!$N$4:$N$33,(IFERROR(MATCH(8,'02_Topic_Register'!$R$4:$R$33,0)+3,"")-3)),""),'03_Action_Register'!$B$4:$B$33,0),"")="","",INDEX('03_Action_Register'!$D$4:$D$33,IFERROR(MATCH(IFERROR(INDEX('02_Topic_Register'!$N$4:$N$33,(IFERROR(MATCH(8,'02_Topic_Register'!$R$4:$R$33,0)+3,"")-3)),""),'03_Action_Register'!$B$4:$B$33,0),""))))</f>
        <v/>
      </c>
      <c r="H16" s="18">
        <f t="array" ref="H16">IF($B16="","",IF(IFERROR(MATCH(IFERROR(INDEX('02_Topic_Register'!$N$4:$N$33,(IFERROR(MATCH(8,'02_Topic_Register'!$R$4:$R$33,0)+3,"")-3)),""),'03_Action_Register'!$B$4:$B$33,0),"")="","",INDEX('03_Action_Register'!$E$4:$E$33,IFERROR(MATCH(IFERROR(INDEX('02_Topic_Register'!$N$4:$N$33,(IFERROR(MATCH(8,'02_Topic_Register'!$R$4:$R$33,0)+3,"")-3)),""),'03_Action_Register'!$B$4:$B$33,0),""))))</f>
        <v/>
      </c>
      <c r="I16" s="19">
        <f t="array" ref="I16">IF($B16="","",IF(IFERROR(MATCH(IFERROR(INDEX('02_Topic_Register'!$N$4:$N$33,(IFERROR(MATCH(8,'02_Topic_Register'!$R$4:$R$33,0)+3,"")-3)),""),'03_Action_Register'!$B$4:$B$33,0),"")="","",INDEX('03_Action_Register'!$H$4:$H$33,IFERROR(MATCH(IFERROR(INDEX('02_Topic_Register'!$N$4:$N$33,(IFERROR(MATCH(8,'02_Topic_Register'!$R$4:$R$33,0)+3,"")-3)),""),'03_Action_Register'!$B$4:$B$33,0),""))))</f>
        <v/>
      </c>
      <c r="J16" s="18">
        <f>IF($B16="","",IF($F16&lt;&gt;"","Yes - input needed","Update only"))</f>
        <v/>
      </c>
    </row>
    <row r="17" ht="30" customHeight="1">
      <c r="B17" s="16">
        <f t="array" ref="B17">IF(IFERROR(MATCH(9,'02_Topic_Register'!$R$4:$R$33,0)+3,"")="","",INDEX('02_Topic_Register'!$B$4:$B$33,(IFERROR(MATCH(9,'02_Topic_Register'!$R$4:$R$33,0)+3,"")-3)))</f>
        <v/>
      </c>
      <c r="C17" s="16">
        <f t="array" ref="C17">IF($B17="","",INDEX('02_Topic_Register'!$E$4:$E$33,(IFERROR(MATCH(9,'02_Topic_Register'!$R$4:$R$33,0)+3,"")-3)))</f>
        <v/>
      </c>
      <c r="D17" s="16">
        <f t="array" ref="D17">IF($B17="","",INDEX('02_Topic_Register'!$F$4:$F$33,(IFERROR(MATCH(9,'02_Topic_Register'!$R$4:$R$33,0)+3,"")-3)))</f>
        <v/>
      </c>
      <c r="E17" s="16">
        <f t="array" ref="E17">IF($B17="","",IF(IFERROR(MAX(IF('04_Update_History'!$D$4:$D$153=INDEX('02_Topic_Register'!$B$4:$B$33,(IFERROR(MATCH(9,'02_Topic_Register'!$R$4:$R$33,0)+3,"")-3)),ROW('04_Update_History'!$D$4:$D$153))),0)=0,"",INDEX('04_Update_History'!$F$4:$F$153,(IFERROR(MAX(IF('04_Update_History'!$D$4:$D$153=INDEX('02_Topic_Register'!$B$4:$B$33,(IFERROR(MATCH(9,'02_Topic_Register'!$R$4:$R$33,0)+3,"")-3)),ROW('04_Update_History'!$D$4:$D$153))),0)-3))))</f>
        <v/>
      </c>
      <c r="F17" s="16">
        <f t="array" ref="F17">IF($B17="","",INDEX('02_Topic_Register'!$G$4:$G$33,(IFERROR(MATCH(9,'02_Topic_Register'!$R$4:$R$33,0)+3,"")-3)))</f>
        <v/>
      </c>
      <c r="G17" s="16">
        <f t="array" ref="G17">IF($B17="","",IF(IFERROR(MATCH(IFERROR(INDEX('02_Topic_Register'!$N$4:$N$33,(IFERROR(MATCH(9,'02_Topic_Register'!$R$4:$R$33,0)+3,"")-3)),""),'03_Action_Register'!$B$4:$B$33,0),"")="","",INDEX('03_Action_Register'!$D$4:$D$33,IFERROR(MATCH(IFERROR(INDEX('02_Topic_Register'!$N$4:$N$33,(IFERROR(MATCH(9,'02_Topic_Register'!$R$4:$R$33,0)+3,"")-3)),""),'03_Action_Register'!$B$4:$B$33,0),""))))</f>
        <v/>
      </c>
      <c r="H17" s="16">
        <f t="array" ref="H17">IF($B17="","",IF(IFERROR(MATCH(IFERROR(INDEX('02_Topic_Register'!$N$4:$N$33,(IFERROR(MATCH(9,'02_Topic_Register'!$R$4:$R$33,0)+3,"")-3)),""),'03_Action_Register'!$B$4:$B$33,0),"")="","",INDEX('03_Action_Register'!$E$4:$E$33,IFERROR(MATCH(IFERROR(INDEX('02_Topic_Register'!$N$4:$N$33,(IFERROR(MATCH(9,'02_Topic_Register'!$R$4:$R$33,0)+3,"")-3)),""),'03_Action_Register'!$B$4:$B$33,0),""))))</f>
        <v/>
      </c>
      <c r="I17" s="17">
        <f t="array" ref="I17">IF($B17="","",IF(IFERROR(MATCH(IFERROR(INDEX('02_Topic_Register'!$N$4:$N$33,(IFERROR(MATCH(9,'02_Topic_Register'!$R$4:$R$33,0)+3,"")-3)),""),'03_Action_Register'!$B$4:$B$33,0),"")="","",INDEX('03_Action_Register'!$H$4:$H$33,IFERROR(MATCH(IFERROR(INDEX('02_Topic_Register'!$N$4:$N$33,(IFERROR(MATCH(9,'02_Topic_Register'!$R$4:$R$33,0)+3,"")-3)),""),'03_Action_Register'!$B$4:$B$33,0),""))))</f>
        <v/>
      </c>
      <c r="J17" s="16">
        <f>IF($B17="","",IF($F17&lt;&gt;"","Yes - input needed","Update only"))</f>
        <v/>
      </c>
    </row>
    <row r="18" ht="30" customHeight="1">
      <c r="B18" s="18">
        <f t="array" ref="B18">IF(IFERROR(MATCH(10,'02_Topic_Register'!$R$4:$R$33,0)+3,"")="","",INDEX('02_Topic_Register'!$B$4:$B$33,(IFERROR(MATCH(10,'02_Topic_Register'!$R$4:$R$33,0)+3,"")-3)))</f>
        <v/>
      </c>
      <c r="C18" s="18">
        <f t="array" ref="C18">IF($B18="","",INDEX('02_Topic_Register'!$E$4:$E$33,(IFERROR(MATCH(10,'02_Topic_Register'!$R$4:$R$33,0)+3,"")-3)))</f>
        <v/>
      </c>
      <c r="D18" s="18">
        <f t="array" ref="D18">IF($B18="","",INDEX('02_Topic_Register'!$F$4:$F$33,(IFERROR(MATCH(10,'02_Topic_Register'!$R$4:$R$33,0)+3,"")-3)))</f>
        <v/>
      </c>
      <c r="E18" s="18">
        <f t="array" ref="E18">IF($B18="","",IF(IFERROR(MAX(IF('04_Update_History'!$D$4:$D$153=INDEX('02_Topic_Register'!$B$4:$B$33,(IFERROR(MATCH(10,'02_Topic_Register'!$R$4:$R$33,0)+3,"")-3)),ROW('04_Update_History'!$D$4:$D$153))),0)=0,"",INDEX('04_Update_History'!$F$4:$F$153,(IFERROR(MAX(IF('04_Update_History'!$D$4:$D$153=INDEX('02_Topic_Register'!$B$4:$B$33,(IFERROR(MATCH(10,'02_Topic_Register'!$R$4:$R$33,0)+3,"")-3)),ROW('04_Update_History'!$D$4:$D$153))),0)-3))))</f>
        <v/>
      </c>
      <c r="F18" s="18">
        <f t="array" ref="F18">IF($B18="","",INDEX('02_Topic_Register'!$G$4:$G$33,(IFERROR(MATCH(10,'02_Topic_Register'!$R$4:$R$33,0)+3,"")-3)))</f>
        <v/>
      </c>
      <c r="G18" s="18">
        <f t="array" ref="G18">IF($B18="","",IF(IFERROR(MATCH(IFERROR(INDEX('02_Topic_Register'!$N$4:$N$33,(IFERROR(MATCH(10,'02_Topic_Register'!$R$4:$R$33,0)+3,"")-3)),""),'03_Action_Register'!$B$4:$B$33,0),"")="","",INDEX('03_Action_Register'!$D$4:$D$33,IFERROR(MATCH(IFERROR(INDEX('02_Topic_Register'!$N$4:$N$33,(IFERROR(MATCH(10,'02_Topic_Register'!$R$4:$R$33,0)+3,"")-3)),""),'03_Action_Register'!$B$4:$B$33,0),""))))</f>
        <v/>
      </c>
      <c r="H18" s="18">
        <f t="array" ref="H18">IF($B18="","",IF(IFERROR(MATCH(IFERROR(INDEX('02_Topic_Register'!$N$4:$N$33,(IFERROR(MATCH(10,'02_Topic_Register'!$R$4:$R$33,0)+3,"")-3)),""),'03_Action_Register'!$B$4:$B$33,0),"")="","",INDEX('03_Action_Register'!$E$4:$E$33,IFERROR(MATCH(IFERROR(INDEX('02_Topic_Register'!$N$4:$N$33,(IFERROR(MATCH(10,'02_Topic_Register'!$R$4:$R$33,0)+3,"")-3)),""),'03_Action_Register'!$B$4:$B$33,0),""))))</f>
        <v/>
      </c>
      <c r="I18" s="19">
        <f t="array" ref="I18">IF($B18="","",IF(IFERROR(MATCH(IFERROR(INDEX('02_Topic_Register'!$N$4:$N$33,(IFERROR(MATCH(10,'02_Topic_Register'!$R$4:$R$33,0)+3,"")-3)),""),'03_Action_Register'!$B$4:$B$33,0),"")="","",INDEX('03_Action_Register'!$H$4:$H$33,IFERROR(MATCH(IFERROR(INDEX('02_Topic_Register'!$N$4:$N$33,(IFERROR(MATCH(10,'02_Topic_Register'!$R$4:$R$33,0)+3,"")-3)),""),'03_Action_Register'!$B$4:$B$33,0),""))))</f>
        <v/>
      </c>
      <c r="J18" s="18">
        <f>IF($B18="","",IF($F18&lt;&gt;"","Yes - input needed","Update only"))</f>
        <v/>
      </c>
    </row>
    <row r="19" ht="30" customHeight="1">
      <c r="B19" s="16">
        <f t="array" ref="B19">IF(IFERROR(MATCH(11,'02_Topic_Register'!$R$4:$R$33,0)+3,"")="","",INDEX('02_Topic_Register'!$B$4:$B$33,(IFERROR(MATCH(11,'02_Topic_Register'!$R$4:$R$33,0)+3,"")-3)))</f>
        <v/>
      </c>
      <c r="C19" s="16">
        <f t="array" ref="C19">IF($B19="","",INDEX('02_Topic_Register'!$E$4:$E$33,(IFERROR(MATCH(11,'02_Topic_Register'!$R$4:$R$33,0)+3,"")-3)))</f>
        <v/>
      </c>
      <c r="D19" s="16">
        <f t="array" ref="D19">IF($B19="","",INDEX('02_Topic_Register'!$F$4:$F$33,(IFERROR(MATCH(11,'02_Topic_Register'!$R$4:$R$33,0)+3,"")-3)))</f>
        <v/>
      </c>
      <c r="E19" s="16">
        <f t="array" ref="E19">IF($B19="","",IF(IFERROR(MAX(IF('04_Update_History'!$D$4:$D$153=INDEX('02_Topic_Register'!$B$4:$B$33,(IFERROR(MATCH(11,'02_Topic_Register'!$R$4:$R$33,0)+3,"")-3)),ROW('04_Update_History'!$D$4:$D$153))),0)=0,"",INDEX('04_Update_History'!$F$4:$F$153,(IFERROR(MAX(IF('04_Update_History'!$D$4:$D$153=INDEX('02_Topic_Register'!$B$4:$B$33,(IFERROR(MATCH(11,'02_Topic_Register'!$R$4:$R$33,0)+3,"")-3)),ROW('04_Update_History'!$D$4:$D$153))),0)-3))))</f>
        <v/>
      </c>
      <c r="F19" s="16">
        <f t="array" ref="F19">IF($B19="","",INDEX('02_Topic_Register'!$G$4:$G$33,(IFERROR(MATCH(11,'02_Topic_Register'!$R$4:$R$33,0)+3,"")-3)))</f>
        <v/>
      </c>
      <c r="G19" s="16">
        <f t="array" ref="G19">IF($B19="","",IF(IFERROR(MATCH(IFERROR(INDEX('02_Topic_Register'!$N$4:$N$33,(IFERROR(MATCH(11,'02_Topic_Register'!$R$4:$R$33,0)+3,"")-3)),""),'03_Action_Register'!$B$4:$B$33,0),"")="","",INDEX('03_Action_Register'!$D$4:$D$33,IFERROR(MATCH(IFERROR(INDEX('02_Topic_Register'!$N$4:$N$33,(IFERROR(MATCH(11,'02_Topic_Register'!$R$4:$R$33,0)+3,"")-3)),""),'03_Action_Register'!$B$4:$B$33,0),""))))</f>
        <v/>
      </c>
      <c r="H19" s="16">
        <f t="array" ref="H19">IF($B19="","",IF(IFERROR(MATCH(IFERROR(INDEX('02_Topic_Register'!$N$4:$N$33,(IFERROR(MATCH(11,'02_Topic_Register'!$R$4:$R$33,0)+3,"")-3)),""),'03_Action_Register'!$B$4:$B$33,0),"")="","",INDEX('03_Action_Register'!$E$4:$E$33,IFERROR(MATCH(IFERROR(INDEX('02_Topic_Register'!$N$4:$N$33,(IFERROR(MATCH(11,'02_Topic_Register'!$R$4:$R$33,0)+3,"")-3)),""),'03_Action_Register'!$B$4:$B$33,0),""))))</f>
        <v/>
      </c>
      <c r="I19" s="17">
        <f t="array" ref="I19">IF($B19="","",IF(IFERROR(MATCH(IFERROR(INDEX('02_Topic_Register'!$N$4:$N$33,(IFERROR(MATCH(11,'02_Topic_Register'!$R$4:$R$33,0)+3,"")-3)),""),'03_Action_Register'!$B$4:$B$33,0),"")="","",INDEX('03_Action_Register'!$H$4:$H$33,IFERROR(MATCH(IFERROR(INDEX('02_Topic_Register'!$N$4:$N$33,(IFERROR(MATCH(11,'02_Topic_Register'!$R$4:$R$33,0)+3,"")-3)),""),'03_Action_Register'!$B$4:$B$33,0),""))))</f>
        <v/>
      </c>
      <c r="J19" s="16">
        <f>IF($B19="","",IF($F19&lt;&gt;"","Yes - input needed","Update only"))</f>
        <v/>
      </c>
    </row>
    <row r="20" ht="30" customHeight="1">
      <c r="B20" s="18">
        <f t="array" ref="B20">IF(IFERROR(MATCH(12,'02_Topic_Register'!$R$4:$R$33,0)+3,"")="","",INDEX('02_Topic_Register'!$B$4:$B$33,(IFERROR(MATCH(12,'02_Topic_Register'!$R$4:$R$33,0)+3,"")-3)))</f>
        <v/>
      </c>
      <c r="C20" s="18">
        <f t="array" ref="C20">IF($B20="","",INDEX('02_Topic_Register'!$E$4:$E$33,(IFERROR(MATCH(12,'02_Topic_Register'!$R$4:$R$33,0)+3,"")-3)))</f>
        <v/>
      </c>
      <c r="D20" s="18">
        <f t="array" ref="D20">IF($B20="","",INDEX('02_Topic_Register'!$F$4:$F$33,(IFERROR(MATCH(12,'02_Topic_Register'!$R$4:$R$33,0)+3,"")-3)))</f>
        <v/>
      </c>
      <c r="E20" s="18">
        <f t="array" ref="E20">IF($B20="","",IF(IFERROR(MAX(IF('04_Update_History'!$D$4:$D$153=INDEX('02_Topic_Register'!$B$4:$B$33,(IFERROR(MATCH(12,'02_Topic_Register'!$R$4:$R$33,0)+3,"")-3)),ROW('04_Update_History'!$D$4:$D$153))),0)=0,"",INDEX('04_Update_History'!$F$4:$F$153,(IFERROR(MAX(IF('04_Update_History'!$D$4:$D$153=INDEX('02_Topic_Register'!$B$4:$B$33,(IFERROR(MATCH(12,'02_Topic_Register'!$R$4:$R$33,0)+3,"")-3)),ROW('04_Update_History'!$D$4:$D$153))),0)-3))))</f>
        <v/>
      </c>
      <c r="F20" s="18">
        <f t="array" ref="F20">IF($B20="","",INDEX('02_Topic_Register'!$G$4:$G$33,(IFERROR(MATCH(12,'02_Topic_Register'!$R$4:$R$33,0)+3,"")-3)))</f>
        <v/>
      </c>
      <c r="G20" s="18">
        <f t="array" ref="G20">IF($B20="","",IF(IFERROR(MATCH(IFERROR(INDEX('02_Topic_Register'!$N$4:$N$33,(IFERROR(MATCH(12,'02_Topic_Register'!$R$4:$R$33,0)+3,"")-3)),""),'03_Action_Register'!$B$4:$B$33,0),"")="","",INDEX('03_Action_Register'!$D$4:$D$33,IFERROR(MATCH(IFERROR(INDEX('02_Topic_Register'!$N$4:$N$33,(IFERROR(MATCH(12,'02_Topic_Register'!$R$4:$R$33,0)+3,"")-3)),""),'03_Action_Register'!$B$4:$B$33,0),""))))</f>
        <v/>
      </c>
      <c r="H20" s="18">
        <f t="array" ref="H20">IF($B20="","",IF(IFERROR(MATCH(IFERROR(INDEX('02_Topic_Register'!$N$4:$N$33,(IFERROR(MATCH(12,'02_Topic_Register'!$R$4:$R$33,0)+3,"")-3)),""),'03_Action_Register'!$B$4:$B$33,0),"")="","",INDEX('03_Action_Register'!$E$4:$E$33,IFERROR(MATCH(IFERROR(INDEX('02_Topic_Register'!$N$4:$N$33,(IFERROR(MATCH(12,'02_Topic_Register'!$R$4:$R$33,0)+3,"")-3)),""),'03_Action_Register'!$B$4:$B$33,0),""))))</f>
        <v/>
      </c>
      <c r="I20" s="19">
        <f t="array" ref="I20">IF($B20="","",IF(IFERROR(MATCH(IFERROR(INDEX('02_Topic_Register'!$N$4:$N$33,(IFERROR(MATCH(12,'02_Topic_Register'!$R$4:$R$33,0)+3,"")-3)),""),'03_Action_Register'!$B$4:$B$33,0),"")="","",INDEX('03_Action_Register'!$H$4:$H$33,IFERROR(MATCH(IFERROR(INDEX('02_Topic_Register'!$N$4:$N$33,(IFERROR(MATCH(12,'02_Topic_Register'!$R$4:$R$33,0)+3,"")-3)),""),'03_Action_Register'!$B$4:$B$33,0),""))))</f>
        <v/>
      </c>
      <c r="J20" s="18">
        <f>IF($B20="","",IF($F20&lt;&gt;"","Yes - input needed","Update only"))</f>
        <v/>
      </c>
    </row>
    <row r="21" ht="30" customHeight="1">
      <c r="B21" s="16">
        <f t="array" ref="B21">IF(IFERROR(MATCH(13,'02_Topic_Register'!$R$4:$R$33,0)+3,"")="","",INDEX('02_Topic_Register'!$B$4:$B$33,(IFERROR(MATCH(13,'02_Topic_Register'!$R$4:$R$33,0)+3,"")-3)))</f>
        <v/>
      </c>
      <c r="C21" s="16">
        <f t="array" ref="C21">IF($B21="","",INDEX('02_Topic_Register'!$E$4:$E$33,(IFERROR(MATCH(13,'02_Topic_Register'!$R$4:$R$33,0)+3,"")-3)))</f>
        <v/>
      </c>
      <c r="D21" s="16">
        <f t="array" ref="D21">IF($B21="","",INDEX('02_Topic_Register'!$F$4:$F$33,(IFERROR(MATCH(13,'02_Topic_Register'!$R$4:$R$33,0)+3,"")-3)))</f>
        <v/>
      </c>
      <c r="E21" s="16">
        <f t="array" ref="E21">IF($B21="","",IF(IFERROR(MAX(IF('04_Update_History'!$D$4:$D$153=INDEX('02_Topic_Register'!$B$4:$B$33,(IFERROR(MATCH(13,'02_Topic_Register'!$R$4:$R$33,0)+3,"")-3)),ROW('04_Update_History'!$D$4:$D$153))),0)=0,"",INDEX('04_Update_History'!$F$4:$F$153,(IFERROR(MAX(IF('04_Update_History'!$D$4:$D$153=INDEX('02_Topic_Register'!$B$4:$B$33,(IFERROR(MATCH(13,'02_Topic_Register'!$R$4:$R$33,0)+3,"")-3)),ROW('04_Update_History'!$D$4:$D$153))),0)-3))))</f>
        <v/>
      </c>
      <c r="F21" s="16">
        <f t="array" ref="F21">IF($B21="","",INDEX('02_Topic_Register'!$G$4:$G$33,(IFERROR(MATCH(13,'02_Topic_Register'!$R$4:$R$33,0)+3,"")-3)))</f>
        <v/>
      </c>
      <c r="G21" s="16">
        <f t="array" ref="G21">IF($B21="","",IF(IFERROR(MATCH(IFERROR(INDEX('02_Topic_Register'!$N$4:$N$33,(IFERROR(MATCH(13,'02_Topic_Register'!$R$4:$R$33,0)+3,"")-3)),""),'03_Action_Register'!$B$4:$B$33,0),"")="","",INDEX('03_Action_Register'!$D$4:$D$33,IFERROR(MATCH(IFERROR(INDEX('02_Topic_Register'!$N$4:$N$33,(IFERROR(MATCH(13,'02_Topic_Register'!$R$4:$R$33,0)+3,"")-3)),""),'03_Action_Register'!$B$4:$B$33,0),""))))</f>
        <v/>
      </c>
      <c r="H21" s="16">
        <f t="array" ref="H21">IF($B21="","",IF(IFERROR(MATCH(IFERROR(INDEX('02_Topic_Register'!$N$4:$N$33,(IFERROR(MATCH(13,'02_Topic_Register'!$R$4:$R$33,0)+3,"")-3)),""),'03_Action_Register'!$B$4:$B$33,0),"")="","",INDEX('03_Action_Register'!$E$4:$E$33,IFERROR(MATCH(IFERROR(INDEX('02_Topic_Register'!$N$4:$N$33,(IFERROR(MATCH(13,'02_Topic_Register'!$R$4:$R$33,0)+3,"")-3)),""),'03_Action_Register'!$B$4:$B$33,0),""))))</f>
        <v/>
      </c>
      <c r="I21" s="17">
        <f t="array" ref="I21">IF($B21="","",IF(IFERROR(MATCH(IFERROR(INDEX('02_Topic_Register'!$N$4:$N$33,(IFERROR(MATCH(13,'02_Topic_Register'!$R$4:$R$33,0)+3,"")-3)),""),'03_Action_Register'!$B$4:$B$33,0),"")="","",INDEX('03_Action_Register'!$H$4:$H$33,IFERROR(MATCH(IFERROR(INDEX('02_Topic_Register'!$N$4:$N$33,(IFERROR(MATCH(13,'02_Topic_Register'!$R$4:$R$33,0)+3,"")-3)),""),'03_Action_Register'!$B$4:$B$33,0),""))))</f>
        <v/>
      </c>
      <c r="J21" s="16">
        <f>IF($B21="","",IF($F21&lt;&gt;"","Yes - input needed","Update only"))</f>
        <v/>
      </c>
    </row>
    <row r="22" ht="30" customHeight="1">
      <c r="B22" s="18">
        <f t="array" ref="B22">IF(IFERROR(MATCH(14,'02_Topic_Register'!$R$4:$R$33,0)+3,"")="","",INDEX('02_Topic_Register'!$B$4:$B$33,(IFERROR(MATCH(14,'02_Topic_Register'!$R$4:$R$33,0)+3,"")-3)))</f>
        <v/>
      </c>
      <c r="C22" s="18">
        <f t="array" ref="C22">IF($B22="","",INDEX('02_Topic_Register'!$E$4:$E$33,(IFERROR(MATCH(14,'02_Topic_Register'!$R$4:$R$33,0)+3,"")-3)))</f>
        <v/>
      </c>
      <c r="D22" s="18">
        <f t="array" ref="D22">IF($B22="","",INDEX('02_Topic_Register'!$F$4:$F$33,(IFERROR(MATCH(14,'02_Topic_Register'!$R$4:$R$33,0)+3,"")-3)))</f>
        <v/>
      </c>
      <c r="E22" s="18">
        <f t="array" ref="E22">IF($B22="","",IF(IFERROR(MAX(IF('04_Update_History'!$D$4:$D$153=INDEX('02_Topic_Register'!$B$4:$B$33,(IFERROR(MATCH(14,'02_Topic_Register'!$R$4:$R$33,0)+3,"")-3)),ROW('04_Update_History'!$D$4:$D$153))),0)=0,"",INDEX('04_Update_History'!$F$4:$F$153,(IFERROR(MAX(IF('04_Update_History'!$D$4:$D$153=INDEX('02_Topic_Register'!$B$4:$B$33,(IFERROR(MATCH(14,'02_Topic_Register'!$R$4:$R$33,0)+3,"")-3)),ROW('04_Update_History'!$D$4:$D$153))),0)-3))))</f>
        <v/>
      </c>
      <c r="F22" s="18">
        <f t="array" ref="F22">IF($B22="","",INDEX('02_Topic_Register'!$G$4:$G$33,(IFERROR(MATCH(14,'02_Topic_Register'!$R$4:$R$33,0)+3,"")-3)))</f>
        <v/>
      </c>
      <c r="G22" s="18">
        <f t="array" ref="G22">IF($B22="","",IF(IFERROR(MATCH(IFERROR(INDEX('02_Topic_Register'!$N$4:$N$33,(IFERROR(MATCH(14,'02_Topic_Register'!$R$4:$R$33,0)+3,"")-3)),""),'03_Action_Register'!$B$4:$B$33,0),"")="","",INDEX('03_Action_Register'!$D$4:$D$33,IFERROR(MATCH(IFERROR(INDEX('02_Topic_Register'!$N$4:$N$33,(IFERROR(MATCH(14,'02_Topic_Register'!$R$4:$R$33,0)+3,"")-3)),""),'03_Action_Register'!$B$4:$B$33,0),""))))</f>
        <v/>
      </c>
      <c r="H22" s="18">
        <f t="array" ref="H22">IF($B22="","",IF(IFERROR(MATCH(IFERROR(INDEX('02_Topic_Register'!$N$4:$N$33,(IFERROR(MATCH(14,'02_Topic_Register'!$R$4:$R$33,0)+3,"")-3)),""),'03_Action_Register'!$B$4:$B$33,0),"")="","",INDEX('03_Action_Register'!$E$4:$E$33,IFERROR(MATCH(IFERROR(INDEX('02_Topic_Register'!$N$4:$N$33,(IFERROR(MATCH(14,'02_Topic_Register'!$R$4:$R$33,0)+3,"")-3)),""),'03_Action_Register'!$B$4:$B$33,0),""))))</f>
        <v/>
      </c>
      <c r="I22" s="19">
        <f t="array" ref="I22">IF($B22="","",IF(IFERROR(MATCH(IFERROR(INDEX('02_Topic_Register'!$N$4:$N$33,(IFERROR(MATCH(14,'02_Topic_Register'!$R$4:$R$33,0)+3,"")-3)),""),'03_Action_Register'!$B$4:$B$33,0),"")="","",INDEX('03_Action_Register'!$H$4:$H$33,IFERROR(MATCH(IFERROR(INDEX('02_Topic_Register'!$N$4:$N$33,(IFERROR(MATCH(14,'02_Topic_Register'!$R$4:$R$33,0)+3,"")-3)),""),'03_Action_Register'!$B$4:$B$33,0),""))))</f>
        <v/>
      </c>
      <c r="J22" s="18">
        <f>IF($B22="","",IF($F22&lt;&gt;"","Yes - input needed","Update only"))</f>
        <v/>
      </c>
    </row>
    <row r="23" ht="30" customHeight="1">
      <c r="B23" s="16">
        <f t="array" ref="B23">IF(IFERROR(MATCH(15,'02_Topic_Register'!$R$4:$R$33,0)+3,"")="","",INDEX('02_Topic_Register'!$B$4:$B$33,(IFERROR(MATCH(15,'02_Topic_Register'!$R$4:$R$33,0)+3,"")-3)))</f>
        <v/>
      </c>
      <c r="C23" s="16">
        <f t="array" ref="C23">IF($B23="","",INDEX('02_Topic_Register'!$E$4:$E$33,(IFERROR(MATCH(15,'02_Topic_Register'!$R$4:$R$33,0)+3,"")-3)))</f>
        <v/>
      </c>
      <c r="D23" s="16">
        <f t="array" ref="D23">IF($B23="","",INDEX('02_Topic_Register'!$F$4:$F$33,(IFERROR(MATCH(15,'02_Topic_Register'!$R$4:$R$33,0)+3,"")-3)))</f>
        <v/>
      </c>
      <c r="E23" s="16">
        <f t="array" ref="E23">IF($B23="","",IF(IFERROR(MAX(IF('04_Update_History'!$D$4:$D$153=INDEX('02_Topic_Register'!$B$4:$B$33,(IFERROR(MATCH(15,'02_Topic_Register'!$R$4:$R$33,0)+3,"")-3)),ROW('04_Update_History'!$D$4:$D$153))),0)=0,"",INDEX('04_Update_History'!$F$4:$F$153,(IFERROR(MAX(IF('04_Update_History'!$D$4:$D$153=INDEX('02_Topic_Register'!$B$4:$B$33,(IFERROR(MATCH(15,'02_Topic_Register'!$R$4:$R$33,0)+3,"")-3)),ROW('04_Update_History'!$D$4:$D$153))),0)-3))))</f>
        <v/>
      </c>
      <c r="F23" s="16">
        <f t="array" ref="F23">IF($B23="","",INDEX('02_Topic_Register'!$G$4:$G$33,(IFERROR(MATCH(15,'02_Topic_Register'!$R$4:$R$33,0)+3,"")-3)))</f>
        <v/>
      </c>
      <c r="G23" s="16">
        <f t="array" ref="G23">IF($B23="","",IF(IFERROR(MATCH(IFERROR(INDEX('02_Topic_Register'!$N$4:$N$33,(IFERROR(MATCH(15,'02_Topic_Register'!$R$4:$R$33,0)+3,"")-3)),""),'03_Action_Register'!$B$4:$B$33,0),"")="","",INDEX('03_Action_Register'!$D$4:$D$33,IFERROR(MATCH(IFERROR(INDEX('02_Topic_Register'!$N$4:$N$33,(IFERROR(MATCH(15,'02_Topic_Register'!$R$4:$R$33,0)+3,"")-3)),""),'03_Action_Register'!$B$4:$B$33,0),""))))</f>
        <v/>
      </c>
      <c r="H23" s="16">
        <f t="array" ref="H23">IF($B23="","",IF(IFERROR(MATCH(IFERROR(INDEX('02_Topic_Register'!$N$4:$N$33,(IFERROR(MATCH(15,'02_Topic_Register'!$R$4:$R$33,0)+3,"")-3)),""),'03_Action_Register'!$B$4:$B$33,0),"")="","",INDEX('03_Action_Register'!$E$4:$E$33,IFERROR(MATCH(IFERROR(INDEX('02_Topic_Register'!$N$4:$N$33,(IFERROR(MATCH(15,'02_Topic_Register'!$R$4:$R$33,0)+3,"")-3)),""),'03_Action_Register'!$B$4:$B$33,0),""))))</f>
        <v/>
      </c>
      <c r="I23" s="17">
        <f t="array" ref="I23">IF($B23="","",IF(IFERROR(MATCH(IFERROR(INDEX('02_Topic_Register'!$N$4:$N$33,(IFERROR(MATCH(15,'02_Topic_Register'!$R$4:$R$33,0)+3,"")-3)),""),'03_Action_Register'!$B$4:$B$33,0),"")="","",INDEX('03_Action_Register'!$H$4:$H$33,IFERROR(MATCH(IFERROR(INDEX('02_Topic_Register'!$N$4:$N$33,(IFERROR(MATCH(15,'02_Topic_Register'!$R$4:$R$33,0)+3,"")-3)),""),'03_Action_Register'!$B$4:$B$33,0),""))))</f>
        <v/>
      </c>
      <c r="J23" s="16">
        <f>IF($B23="","",IF($F23&lt;&gt;"","Yes - input needed","Update only"))</f>
        <v/>
      </c>
    </row>
    <row r="24" ht="30" customHeight="1">
      <c r="B24" s="18">
        <f t="array" ref="B24">IF(IFERROR(MATCH(16,'02_Topic_Register'!$R$4:$R$33,0)+3,"")="","",INDEX('02_Topic_Register'!$B$4:$B$33,(IFERROR(MATCH(16,'02_Topic_Register'!$R$4:$R$33,0)+3,"")-3)))</f>
        <v/>
      </c>
      <c r="C24" s="18">
        <f t="array" ref="C24">IF($B24="","",INDEX('02_Topic_Register'!$E$4:$E$33,(IFERROR(MATCH(16,'02_Topic_Register'!$R$4:$R$33,0)+3,"")-3)))</f>
        <v/>
      </c>
      <c r="D24" s="18">
        <f t="array" ref="D24">IF($B24="","",INDEX('02_Topic_Register'!$F$4:$F$33,(IFERROR(MATCH(16,'02_Topic_Register'!$R$4:$R$33,0)+3,"")-3)))</f>
        <v/>
      </c>
      <c r="E24" s="18">
        <f t="array" ref="E24">IF($B24="","",IF(IFERROR(MAX(IF('04_Update_History'!$D$4:$D$153=INDEX('02_Topic_Register'!$B$4:$B$33,(IFERROR(MATCH(16,'02_Topic_Register'!$R$4:$R$33,0)+3,"")-3)),ROW('04_Update_History'!$D$4:$D$153))),0)=0,"",INDEX('04_Update_History'!$F$4:$F$153,(IFERROR(MAX(IF('04_Update_History'!$D$4:$D$153=INDEX('02_Topic_Register'!$B$4:$B$33,(IFERROR(MATCH(16,'02_Topic_Register'!$R$4:$R$33,0)+3,"")-3)),ROW('04_Update_History'!$D$4:$D$153))),0)-3))))</f>
        <v/>
      </c>
      <c r="F24" s="18">
        <f t="array" ref="F24">IF($B24="","",INDEX('02_Topic_Register'!$G$4:$G$33,(IFERROR(MATCH(16,'02_Topic_Register'!$R$4:$R$33,0)+3,"")-3)))</f>
        <v/>
      </c>
      <c r="G24" s="18">
        <f t="array" ref="G24">IF($B24="","",IF(IFERROR(MATCH(IFERROR(INDEX('02_Topic_Register'!$N$4:$N$33,(IFERROR(MATCH(16,'02_Topic_Register'!$R$4:$R$33,0)+3,"")-3)),""),'03_Action_Register'!$B$4:$B$33,0),"")="","",INDEX('03_Action_Register'!$D$4:$D$33,IFERROR(MATCH(IFERROR(INDEX('02_Topic_Register'!$N$4:$N$33,(IFERROR(MATCH(16,'02_Topic_Register'!$R$4:$R$33,0)+3,"")-3)),""),'03_Action_Register'!$B$4:$B$33,0),""))))</f>
        <v/>
      </c>
      <c r="H24" s="18">
        <f t="array" ref="H24">IF($B24="","",IF(IFERROR(MATCH(IFERROR(INDEX('02_Topic_Register'!$N$4:$N$33,(IFERROR(MATCH(16,'02_Topic_Register'!$R$4:$R$33,0)+3,"")-3)),""),'03_Action_Register'!$B$4:$B$33,0),"")="","",INDEX('03_Action_Register'!$E$4:$E$33,IFERROR(MATCH(IFERROR(INDEX('02_Topic_Register'!$N$4:$N$33,(IFERROR(MATCH(16,'02_Topic_Register'!$R$4:$R$33,0)+3,"")-3)),""),'03_Action_Register'!$B$4:$B$33,0),""))))</f>
        <v/>
      </c>
      <c r="I24" s="19">
        <f t="array" ref="I24">IF($B24="","",IF(IFERROR(MATCH(IFERROR(INDEX('02_Topic_Register'!$N$4:$N$33,(IFERROR(MATCH(16,'02_Topic_Register'!$R$4:$R$33,0)+3,"")-3)),""),'03_Action_Register'!$B$4:$B$33,0),"")="","",INDEX('03_Action_Register'!$H$4:$H$33,IFERROR(MATCH(IFERROR(INDEX('02_Topic_Register'!$N$4:$N$33,(IFERROR(MATCH(16,'02_Topic_Register'!$R$4:$R$33,0)+3,"")-3)),""),'03_Action_Register'!$B$4:$B$33,0),""))))</f>
        <v/>
      </c>
      <c r="J24" s="18">
        <f>IF($B24="","",IF($F24&lt;&gt;"","Yes - input needed","Update only"))</f>
        <v/>
      </c>
    </row>
    <row r="25" ht="30" customHeight="1">
      <c r="B25" s="16">
        <f t="array" ref="B25">IF(IFERROR(MATCH(17,'02_Topic_Register'!$R$4:$R$33,0)+3,"")="","",INDEX('02_Topic_Register'!$B$4:$B$33,(IFERROR(MATCH(17,'02_Topic_Register'!$R$4:$R$33,0)+3,"")-3)))</f>
        <v/>
      </c>
      <c r="C25" s="16">
        <f t="array" ref="C25">IF($B25="","",INDEX('02_Topic_Register'!$E$4:$E$33,(IFERROR(MATCH(17,'02_Topic_Register'!$R$4:$R$33,0)+3,"")-3)))</f>
        <v/>
      </c>
      <c r="D25" s="16">
        <f t="array" ref="D25">IF($B25="","",INDEX('02_Topic_Register'!$F$4:$F$33,(IFERROR(MATCH(17,'02_Topic_Register'!$R$4:$R$33,0)+3,"")-3)))</f>
        <v/>
      </c>
      <c r="E25" s="16">
        <f t="array" ref="E25">IF($B25="","",IF(IFERROR(MAX(IF('04_Update_History'!$D$4:$D$153=INDEX('02_Topic_Register'!$B$4:$B$33,(IFERROR(MATCH(17,'02_Topic_Register'!$R$4:$R$33,0)+3,"")-3)),ROW('04_Update_History'!$D$4:$D$153))),0)=0,"",INDEX('04_Update_History'!$F$4:$F$153,(IFERROR(MAX(IF('04_Update_History'!$D$4:$D$153=INDEX('02_Topic_Register'!$B$4:$B$33,(IFERROR(MATCH(17,'02_Topic_Register'!$R$4:$R$33,0)+3,"")-3)),ROW('04_Update_History'!$D$4:$D$153))),0)-3))))</f>
        <v/>
      </c>
      <c r="F25" s="16">
        <f t="array" ref="F25">IF($B25="","",INDEX('02_Topic_Register'!$G$4:$G$33,(IFERROR(MATCH(17,'02_Topic_Register'!$R$4:$R$33,0)+3,"")-3)))</f>
        <v/>
      </c>
      <c r="G25" s="16">
        <f t="array" ref="G25">IF($B25="","",IF(IFERROR(MATCH(IFERROR(INDEX('02_Topic_Register'!$N$4:$N$33,(IFERROR(MATCH(17,'02_Topic_Register'!$R$4:$R$33,0)+3,"")-3)),""),'03_Action_Register'!$B$4:$B$33,0),"")="","",INDEX('03_Action_Register'!$D$4:$D$33,IFERROR(MATCH(IFERROR(INDEX('02_Topic_Register'!$N$4:$N$33,(IFERROR(MATCH(17,'02_Topic_Register'!$R$4:$R$33,0)+3,"")-3)),""),'03_Action_Register'!$B$4:$B$33,0),""))))</f>
        <v/>
      </c>
      <c r="H25" s="16">
        <f t="array" ref="H25">IF($B25="","",IF(IFERROR(MATCH(IFERROR(INDEX('02_Topic_Register'!$N$4:$N$33,(IFERROR(MATCH(17,'02_Topic_Register'!$R$4:$R$33,0)+3,"")-3)),""),'03_Action_Register'!$B$4:$B$33,0),"")="","",INDEX('03_Action_Register'!$E$4:$E$33,IFERROR(MATCH(IFERROR(INDEX('02_Topic_Register'!$N$4:$N$33,(IFERROR(MATCH(17,'02_Topic_Register'!$R$4:$R$33,0)+3,"")-3)),""),'03_Action_Register'!$B$4:$B$33,0),""))))</f>
        <v/>
      </c>
      <c r="I25" s="17">
        <f t="array" ref="I25">IF($B25="","",IF(IFERROR(MATCH(IFERROR(INDEX('02_Topic_Register'!$N$4:$N$33,(IFERROR(MATCH(17,'02_Topic_Register'!$R$4:$R$33,0)+3,"")-3)),""),'03_Action_Register'!$B$4:$B$33,0),"")="","",INDEX('03_Action_Register'!$H$4:$H$33,IFERROR(MATCH(IFERROR(INDEX('02_Topic_Register'!$N$4:$N$33,(IFERROR(MATCH(17,'02_Topic_Register'!$R$4:$R$33,0)+3,"")-3)),""),'03_Action_Register'!$B$4:$B$33,0),""))))</f>
        <v/>
      </c>
      <c r="J25" s="16">
        <f>IF($B25="","",IF($F25&lt;&gt;"","Yes - input needed","Update only"))</f>
        <v/>
      </c>
    </row>
    <row r="26" ht="30" customHeight="1">
      <c r="B26" s="18">
        <f t="array" ref="B26">IF(IFERROR(MATCH(18,'02_Topic_Register'!$R$4:$R$33,0)+3,"")="","",INDEX('02_Topic_Register'!$B$4:$B$33,(IFERROR(MATCH(18,'02_Topic_Register'!$R$4:$R$33,0)+3,"")-3)))</f>
        <v/>
      </c>
      <c r="C26" s="18">
        <f t="array" ref="C26">IF($B26="","",INDEX('02_Topic_Register'!$E$4:$E$33,(IFERROR(MATCH(18,'02_Topic_Register'!$R$4:$R$33,0)+3,"")-3)))</f>
        <v/>
      </c>
      <c r="D26" s="18">
        <f t="array" ref="D26">IF($B26="","",INDEX('02_Topic_Register'!$F$4:$F$33,(IFERROR(MATCH(18,'02_Topic_Register'!$R$4:$R$33,0)+3,"")-3)))</f>
        <v/>
      </c>
      <c r="E26" s="18">
        <f t="array" ref="E26">IF($B26="","",IF(IFERROR(MAX(IF('04_Update_History'!$D$4:$D$153=INDEX('02_Topic_Register'!$B$4:$B$33,(IFERROR(MATCH(18,'02_Topic_Register'!$R$4:$R$33,0)+3,"")-3)),ROW('04_Update_History'!$D$4:$D$153))),0)=0,"",INDEX('04_Update_History'!$F$4:$F$153,(IFERROR(MAX(IF('04_Update_History'!$D$4:$D$153=INDEX('02_Topic_Register'!$B$4:$B$33,(IFERROR(MATCH(18,'02_Topic_Register'!$R$4:$R$33,0)+3,"")-3)),ROW('04_Update_History'!$D$4:$D$153))),0)-3))))</f>
        <v/>
      </c>
      <c r="F26" s="18">
        <f t="array" ref="F26">IF($B26="","",INDEX('02_Topic_Register'!$G$4:$G$33,(IFERROR(MATCH(18,'02_Topic_Register'!$R$4:$R$33,0)+3,"")-3)))</f>
        <v/>
      </c>
      <c r="G26" s="18">
        <f t="array" ref="G26">IF($B26="","",IF(IFERROR(MATCH(IFERROR(INDEX('02_Topic_Register'!$N$4:$N$33,(IFERROR(MATCH(18,'02_Topic_Register'!$R$4:$R$33,0)+3,"")-3)),""),'03_Action_Register'!$B$4:$B$33,0),"")="","",INDEX('03_Action_Register'!$D$4:$D$33,IFERROR(MATCH(IFERROR(INDEX('02_Topic_Register'!$N$4:$N$33,(IFERROR(MATCH(18,'02_Topic_Register'!$R$4:$R$33,0)+3,"")-3)),""),'03_Action_Register'!$B$4:$B$33,0),""))))</f>
        <v/>
      </c>
      <c r="H26" s="18">
        <f t="array" ref="H26">IF($B26="","",IF(IFERROR(MATCH(IFERROR(INDEX('02_Topic_Register'!$N$4:$N$33,(IFERROR(MATCH(18,'02_Topic_Register'!$R$4:$R$33,0)+3,"")-3)),""),'03_Action_Register'!$B$4:$B$33,0),"")="","",INDEX('03_Action_Register'!$E$4:$E$33,IFERROR(MATCH(IFERROR(INDEX('02_Topic_Register'!$N$4:$N$33,(IFERROR(MATCH(18,'02_Topic_Register'!$R$4:$R$33,0)+3,"")-3)),""),'03_Action_Register'!$B$4:$B$33,0),""))))</f>
        <v/>
      </c>
      <c r="I26" s="19">
        <f t="array" ref="I26">IF($B26="","",IF(IFERROR(MATCH(IFERROR(INDEX('02_Topic_Register'!$N$4:$N$33,(IFERROR(MATCH(18,'02_Topic_Register'!$R$4:$R$33,0)+3,"")-3)),""),'03_Action_Register'!$B$4:$B$33,0),"")="","",INDEX('03_Action_Register'!$H$4:$H$33,IFERROR(MATCH(IFERROR(INDEX('02_Topic_Register'!$N$4:$N$33,(IFERROR(MATCH(18,'02_Topic_Register'!$R$4:$R$33,0)+3,"")-3)),""),'03_Action_Register'!$B$4:$B$33,0),""))))</f>
        <v/>
      </c>
      <c r="J26" s="18">
        <f>IF($B26="","",IF($F26&lt;&gt;"","Yes - input needed","Update only"))</f>
        <v/>
      </c>
    </row>
    <row r="27" ht="30" customHeight="1">
      <c r="B27" s="16">
        <f t="array" ref="B27">IF(IFERROR(MATCH(19,'02_Topic_Register'!$R$4:$R$33,0)+3,"")="","",INDEX('02_Topic_Register'!$B$4:$B$33,(IFERROR(MATCH(19,'02_Topic_Register'!$R$4:$R$33,0)+3,"")-3)))</f>
        <v/>
      </c>
      <c r="C27" s="16">
        <f t="array" ref="C27">IF($B27="","",INDEX('02_Topic_Register'!$E$4:$E$33,(IFERROR(MATCH(19,'02_Topic_Register'!$R$4:$R$33,0)+3,"")-3)))</f>
        <v/>
      </c>
      <c r="D27" s="16">
        <f t="array" ref="D27">IF($B27="","",INDEX('02_Topic_Register'!$F$4:$F$33,(IFERROR(MATCH(19,'02_Topic_Register'!$R$4:$R$33,0)+3,"")-3)))</f>
        <v/>
      </c>
      <c r="E27" s="16">
        <f t="array" ref="E27">IF($B27="","",IF(IFERROR(MAX(IF('04_Update_History'!$D$4:$D$153=INDEX('02_Topic_Register'!$B$4:$B$33,(IFERROR(MATCH(19,'02_Topic_Register'!$R$4:$R$33,0)+3,"")-3)),ROW('04_Update_History'!$D$4:$D$153))),0)=0,"",INDEX('04_Update_History'!$F$4:$F$153,(IFERROR(MAX(IF('04_Update_History'!$D$4:$D$153=INDEX('02_Topic_Register'!$B$4:$B$33,(IFERROR(MATCH(19,'02_Topic_Register'!$R$4:$R$33,0)+3,"")-3)),ROW('04_Update_History'!$D$4:$D$153))),0)-3))))</f>
        <v/>
      </c>
      <c r="F27" s="16">
        <f t="array" ref="F27">IF($B27="","",INDEX('02_Topic_Register'!$G$4:$G$33,(IFERROR(MATCH(19,'02_Topic_Register'!$R$4:$R$33,0)+3,"")-3)))</f>
        <v/>
      </c>
      <c r="G27" s="16">
        <f t="array" ref="G27">IF($B27="","",IF(IFERROR(MATCH(IFERROR(INDEX('02_Topic_Register'!$N$4:$N$33,(IFERROR(MATCH(19,'02_Topic_Register'!$R$4:$R$33,0)+3,"")-3)),""),'03_Action_Register'!$B$4:$B$33,0),"")="","",INDEX('03_Action_Register'!$D$4:$D$33,IFERROR(MATCH(IFERROR(INDEX('02_Topic_Register'!$N$4:$N$33,(IFERROR(MATCH(19,'02_Topic_Register'!$R$4:$R$33,0)+3,"")-3)),""),'03_Action_Register'!$B$4:$B$33,0),""))))</f>
        <v/>
      </c>
      <c r="H27" s="16">
        <f t="array" ref="H27">IF($B27="","",IF(IFERROR(MATCH(IFERROR(INDEX('02_Topic_Register'!$N$4:$N$33,(IFERROR(MATCH(19,'02_Topic_Register'!$R$4:$R$33,0)+3,"")-3)),""),'03_Action_Register'!$B$4:$B$33,0),"")="","",INDEX('03_Action_Register'!$E$4:$E$33,IFERROR(MATCH(IFERROR(INDEX('02_Topic_Register'!$N$4:$N$33,(IFERROR(MATCH(19,'02_Topic_Register'!$R$4:$R$33,0)+3,"")-3)),""),'03_Action_Register'!$B$4:$B$33,0),""))))</f>
        <v/>
      </c>
      <c r="I27" s="17">
        <f t="array" ref="I27">IF($B27="","",IF(IFERROR(MATCH(IFERROR(INDEX('02_Topic_Register'!$N$4:$N$33,(IFERROR(MATCH(19,'02_Topic_Register'!$R$4:$R$33,0)+3,"")-3)),""),'03_Action_Register'!$B$4:$B$33,0),"")="","",INDEX('03_Action_Register'!$H$4:$H$33,IFERROR(MATCH(IFERROR(INDEX('02_Topic_Register'!$N$4:$N$33,(IFERROR(MATCH(19,'02_Topic_Register'!$R$4:$R$33,0)+3,"")-3)),""),'03_Action_Register'!$B$4:$B$33,0),""))))</f>
        <v/>
      </c>
      <c r="J27" s="16">
        <f>IF($B27="","",IF($F27&lt;&gt;"","Yes - input needed","Update only"))</f>
        <v/>
      </c>
    </row>
    <row r="28" ht="30" customHeight="1">
      <c r="B28" s="18">
        <f t="array" ref="B28">IF(IFERROR(MATCH(20,'02_Topic_Register'!$R$4:$R$33,0)+3,"")="","",INDEX('02_Topic_Register'!$B$4:$B$33,(IFERROR(MATCH(20,'02_Topic_Register'!$R$4:$R$33,0)+3,"")-3)))</f>
        <v/>
      </c>
      <c r="C28" s="18">
        <f t="array" ref="C28">IF($B28="","",INDEX('02_Topic_Register'!$E$4:$E$33,(IFERROR(MATCH(20,'02_Topic_Register'!$R$4:$R$33,0)+3,"")-3)))</f>
        <v/>
      </c>
      <c r="D28" s="18">
        <f t="array" ref="D28">IF($B28="","",INDEX('02_Topic_Register'!$F$4:$F$33,(IFERROR(MATCH(20,'02_Topic_Register'!$R$4:$R$33,0)+3,"")-3)))</f>
        <v/>
      </c>
      <c r="E28" s="18">
        <f t="array" ref="E28">IF($B28="","",IF(IFERROR(MAX(IF('04_Update_History'!$D$4:$D$153=INDEX('02_Topic_Register'!$B$4:$B$33,(IFERROR(MATCH(20,'02_Topic_Register'!$R$4:$R$33,0)+3,"")-3)),ROW('04_Update_History'!$D$4:$D$153))),0)=0,"",INDEX('04_Update_History'!$F$4:$F$153,(IFERROR(MAX(IF('04_Update_History'!$D$4:$D$153=INDEX('02_Topic_Register'!$B$4:$B$33,(IFERROR(MATCH(20,'02_Topic_Register'!$R$4:$R$33,0)+3,"")-3)),ROW('04_Update_History'!$D$4:$D$153))),0)-3))))</f>
        <v/>
      </c>
      <c r="F28" s="18">
        <f t="array" ref="F28">IF($B28="","",INDEX('02_Topic_Register'!$G$4:$G$33,(IFERROR(MATCH(20,'02_Topic_Register'!$R$4:$R$33,0)+3,"")-3)))</f>
        <v/>
      </c>
      <c r="G28" s="18">
        <f t="array" ref="G28">IF($B28="","",IF(IFERROR(MATCH(IFERROR(INDEX('02_Topic_Register'!$N$4:$N$33,(IFERROR(MATCH(20,'02_Topic_Register'!$R$4:$R$33,0)+3,"")-3)),""),'03_Action_Register'!$B$4:$B$33,0),"")="","",INDEX('03_Action_Register'!$D$4:$D$33,IFERROR(MATCH(IFERROR(INDEX('02_Topic_Register'!$N$4:$N$33,(IFERROR(MATCH(20,'02_Topic_Register'!$R$4:$R$33,0)+3,"")-3)),""),'03_Action_Register'!$B$4:$B$33,0),""))))</f>
        <v/>
      </c>
      <c r="H28" s="18">
        <f t="array" ref="H28">IF($B28="","",IF(IFERROR(MATCH(IFERROR(INDEX('02_Topic_Register'!$N$4:$N$33,(IFERROR(MATCH(20,'02_Topic_Register'!$R$4:$R$33,0)+3,"")-3)),""),'03_Action_Register'!$B$4:$B$33,0),"")="","",INDEX('03_Action_Register'!$E$4:$E$33,IFERROR(MATCH(IFERROR(INDEX('02_Topic_Register'!$N$4:$N$33,(IFERROR(MATCH(20,'02_Topic_Register'!$R$4:$R$33,0)+3,"")-3)),""),'03_Action_Register'!$B$4:$B$33,0),""))))</f>
        <v/>
      </c>
      <c r="I28" s="19">
        <f t="array" ref="I28">IF($B28="","",IF(IFERROR(MATCH(IFERROR(INDEX('02_Topic_Register'!$N$4:$N$33,(IFERROR(MATCH(20,'02_Topic_Register'!$R$4:$R$33,0)+3,"")-3)),""),'03_Action_Register'!$B$4:$B$33,0),"")="","",INDEX('03_Action_Register'!$H$4:$H$33,IFERROR(MATCH(IFERROR(INDEX('02_Topic_Register'!$N$4:$N$33,(IFERROR(MATCH(20,'02_Topic_Register'!$R$4:$R$33,0)+3,"")-3)),""),'03_Action_Register'!$B$4:$B$33,0),""))))</f>
        <v/>
      </c>
      <c r="J28" s="18">
        <f>IF($B28="","",IF($F28&lt;&gt;"","Yes - input needed","Update only"))</f>
        <v/>
      </c>
    </row>
  </sheetData>
  <conditionalFormatting sqref="J9:J28">
    <cfRule type="cellIs" priority="1" operator="equal" dxfId="1">
      <formula>"Yes - input needed"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R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0" customWidth="1" min="2" max="2"/>
    <col width="16" customWidth="1" min="3" max="3"/>
    <col width="16" customWidth="1" min="4" max="4"/>
    <col width="26" customWidth="1" min="5" max="5"/>
    <col width="30" customWidth="1" min="6" max="6"/>
    <col width="28" customWidth="1" min="7" max="7"/>
    <col width="13" customWidth="1" min="8" max="8"/>
    <col width="11" customWidth="1" min="9" max="9"/>
    <col width="14" customWidth="1" min="10" max="10"/>
    <col width="12" customWidth="1" min="11" max="11"/>
    <col width="24" customWidth="1" min="12" max="12"/>
    <col width="14" customWidth="1" min="13" max="13"/>
    <col width="12" customWidth="1" min="14" max="14"/>
    <col width="14" customWidth="1" min="15" max="15"/>
    <col width="14" customWidth="1" min="16" max="16"/>
    <col width="8" customWidth="1" min="17" max="17"/>
    <col width="8" customWidth="1" min="18" max="18"/>
  </cols>
  <sheetData>
    <row r="2" ht="26" customHeight="1">
      <c r="B2" s="1" t="inlineStr">
        <is>
          <t>Topic Register</t>
        </is>
      </c>
      <c r="G2" s="20" t="inlineStr">
        <is>
          <t>Legend:  Blue text = fill in yourself   |   Black text = automatic formula, do not overtype   |   Grey columns = automation helpers, do not edit</t>
        </is>
      </c>
    </row>
    <row r="3" ht="30" customHeight="1">
      <c r="B3" s="15" t="inlineStr">
        <is>
          <t>Topic ID</t>
        </is>
      </c>
      <c r="C3" s="15" t="inlineStr">
        <is>
          <t>Category</t>
        </is>
      </c>
      <c r="D3" s="15" t="inlineStr">
        <is>
          <t>Sub-category</t>
        </is>
      </c>
      <c r="E3" s="15" t="inlineStr">
        <is>
          <t>Topic</t>
        </is>
      </c>
      <c r="F3" s="15" t="inlineStr">
        <is>
          <t>Current Position</t>
        </is>
      </c>
      <c r="G3" s="15" t="inlineStr">
        <is>
          <t>Outstanding Point / Question</t>
        </is>
      </c>
      <c r="H3" s="15" t="inlineStr">
        <is>
          <t>Status</t>
        </is>
      </c>
      <c r="I3" s="15" t="inlineStr">
        <is>
          <t>Priority</t>
        </is>
      </c>
      <c r="J3" s="15" t="inlineStr">
        <is>
          <t>Owner</t>
        </is>
      </c>
      <c r="K3" s="15" t="inlineStr">
        <is>
          <t>Last Update</t>
        </is>
      </c>
      <c r="L3" s="15" t="inlineStr">
        <is>
          <t>Next Step</t>
        </is>
      </c>
      <c r="M3" s="15" t="inlineStr">
        <is>
          <t>Discuss at Next Meeting?</t>
        </is>
      </c>
      <c r="N3" s="15" t="inlineStr">
        <is>
          <t>Related Action ID</t>
        </is>
      </c>
      <c r="O3" s="15" t="inlineStr">
        <is>
          <t>Related PQCP Requirement</t>
        </is>
      </c>
      <c r="P3" s="15" t="inlineStr">
        <is>
          <t>Related Document / Evidence</t>
        </is>
      </c>
      <c r="Q3" s="23" t="inlineStr">
        <is>
          <t>Flag</t>
        </is>
      </c>
      <c r="R3" s="23" t="inlineStr">
        <is>
          <t>Rank</t>
        </is>
      </c>
    </row>
    <row r="4" ht="30" customHeight="1">
      <c r="B4" s="16">
        <f>IF(COUNTA($E4)=0,"","T"&amp;TEXT(ROW()-3,"000"))</f>
        <v/>
      </c>
      <c r="C4" s="24" t="inlineStr">
        <is>
          <t>Systems &amp; Equipment</t>
        </is>
      </c>
      <c r="D4" s="24" t="inlineStr">
        <is>
          <t>Pump Skid A</t>
        </is>
      </c>
      <c r="E4" s="24" t="inlineStr">
        <is>
          <t>Pump skid A commissioning sequence</t>
        </is>
      </c>
      <c r="F4" s="24" t="inlineStr">
        <is>
          <t>Functional test completed; awaiting punch list closure.</t>
        </is>
      </c>
      <c r="G4" s="24" t="inlineStr">
        <is>
          <t>Punch list item #4 (instrumentation calibration) still open.</t>
        </is>
      </c>
      <c r="H4" s="24" t="inlineStr">
        <is>
          <t>Open</t>
        </is>
      </c>
      <c r="I4" s="24" t="inlineStr">
        <is>
          <t>High</t>
        </is>
      </c>
      <c r="J4" s="24" t="inlineStr">
        <is>
          <t>J. Smith</t>
        </is>
      </c>
      <c r="K4" s="17">
        <f t="array" ref="K4">IF($B4="","",IF(IFERROR(MAX(IF('04_Update_History'!$D$4:$D$153=$B4,ROW('04_Update_History'!$D$4:$D$153))),0)=0,"",INDEX('04_Update_History'!$C$4:$C$153,IFERROR(MAX(IF('04_Update_History'!$D$4:$D$153=$B4,ROW('04_Update_History'!$D$4:$D$153))),0)-3)))</f>
        <v/>
      </c>
      <c r="L4" s="24" t="inlineStr">
        <is>
          <t>Confirm calibration certificate received.</t>
        </is>
      </c>
      <c r="M4" s="24" t="inlineStr">
        <is>
          <t>Yes</t>
        </is>
      </c>
      <c r="N4" s="24" t="inlineStr">
        <is>
          <t>A001</t>
        </is>
      </c>
      <c r="O4" s="24" t="inlineStr">
        <is>
          <t>P001</t>
        </is>
      </c>
      <c r="P4" s="24" t="inlineStr">
        <is>
          <t>E001</t>
        </is>
      </c>
      <c r="Q4" s="25">
        <f>IF($B4="",0,IF(OR($M4="Yes",COUNTIFS('03_Action_Register'!$C$4:$C$33,$B4,'03_Action_Register'!$M$4:$M$33,"Yes")&gt;0,$G4&lt;&gt;""),1,0))</f>
        <v/>
      </c>
      <c r="R4" s="25">
        <f>IF($Q4=1,SUM($Q$4:$Q4),"")</f>
        <v/>
      </c>
    </row>
    <row r="5" ht="30" customHeight="1">
      <c r="B5" s="18">
        <f>IF(COUNTA($E5)=0,"","T"&amp;TEXT(ROW()-3,"000"))</f>
        <v/>
      </c>
      <c r="C5" s="26" t="inlineStr">
        <is>
          <t>Documentation</t>
        </is>
      </c>
      <c r="D5" s="26" t="inlineStr">
        <is>
          <t>ITP Register</t>
        </is>
      </c>
      <c r="E5" s="26" t="inlineStr">
        <is>
          <t>Inspection &amp; Test Plan sign-off backlog</t>
        </is>
      </c>
      <c r="F5" s="26" t="inlineStr">
        <is>
          <t>6 of 10 ITPs signed off by the contractor.</t>
        </is>
      </c>
      <c r="G5" s="26" t="inlineStr">
        <is>
          <t>4 ITPs pending contractor signature.</t>
        </is>
      </c>
      <c r="H5" s="26" t="inlineStr">
        <is>
          <t>Monitoring</t>
        </is>
      </c>
      <c r="I5" s="26" t="inlineStr">
        <is>
          <t>Medium</t>
        </is>
      </c>
      <c r="J5" s="26" t="inlineStr">
        <is>
          <t>A. Diallo</t>
        </is>
      </c>
      <c r="K5" s="19">
        <f t="array" ref="K5">IF($B5="","",IF(IFERROR(MAX(IF('04_Update_History'!$D$4:$D$153=$B5,ROW('04_Update_History'!$D$4:$D$153))),0)=0,"",INDEX('04_Update_History'!$C$4:$C$153,IFERROR(MAX(IF('04_Update_History'!$D$4:$D$153=$B5,ROW('04_Update_History'!$D$4:$D$153))),0)-3)))</f>
        <v/>
      </c>
      <c r="L5" s="26" t="inlineStr">
        <is>
          <t>Escalate to contractor PM if no response.</t>
        </is>
      </c>
      <c r="M5" s="26" t="inlineStr">
        <is>
          <t>No</t>
        </is>
      </c>
      <c r="N5" s="26" t="inlineStr">
        <is>
          <t>A002</t>
        </is>
      </c>
      <c r="O5" s="26" t="inlineStr">
        <is>
          <t>P002</t>
        </is>
      </c>
      <c r="P5" s="26" t="inlineStr">
        <is>
          <t>E002</t>
        </is>
      </c>
      <c r="Q5" s="25">
        <f>IF($B5="",0,IF(OR($M5="Yes",COUNTIFS('03_Action_Register'!$C$4:$C$33,$B5,'03_Action_Register'!$M$4:$M$33,"Yes")&gt;0,$G5&lt;&gt;""),1,0))</f>
        <v/>
      </c>
      <c r="R5" s="25">
        <f>IF($Q5=1,SUM($Q$4:$Q5),"")</f>
        <v/>
      </c>
    </row>
    <row r="6" ht="30" customHeight="1">
      <c r="B6" s="16">
        <f>IF(COUNTA($E6)=0,"","T"&amp;TEXT(ROW()-3,"000"))</f>
        <v/>
      </c>
      <c r="C6" s="24" t="inlineStr">
        <is>
          <t>Interfaces</t>
        </is>
      </c>
      <c r="D6" s="24" t="inlineStr">
        <is>
          <t>Electrical / Mechanical</t>
        </is>
      </c>
      <c r="E6" s="24" t="inlineStr">
        <is>
          <t>Interface clearance for Skid B power feed</t>
        </is>
      </c>
      <c r="F6" s="24" t="inlineStr">
        <is>
          <t>Interface closed - confirmed by both parties.</t>
        </is>
      </c>
      <c r="G6" s="24" t="inlineStr"/>
      <c r="H6" s="24" t="inlineStr">
        <is>
          <t>Closed</t>
        </is>
      </c>
      <c r="I6" s="24" t="inlineStr">
        <is>
          <t>Low</t>
        </is>
      </c>
      <c r="J6" s="24" t="inlineStr">
        <is>
          <t>M. Chen</t>
        </is>
      </c>
      <c r="K6" s="17">
        <f t="array" ref="K6">IF($B6="","",IF(IFERROR(MAX(IF('04_Update_History'!$D$4:$D$153=$B6,ROW('04_Update_History'!$D$4:$D$153))),0)=0,"",INDEX('04_Update_History'!$C$4:$C$153,IFERROR(MAX(IF('04_Update_History'!$D$4:$D$153=$B6,ROW('04_Update_History'!$D$4:$D$153))),0)-3)))</f>
        <v/>
      </c>
      <c r="L6" s="24" t="inlineStr">
        <is>
          <t>None - closed.</t>
        </is>
      </c>
      <c r="M6" s="24" t="inlineStr">
        <is>
          <t>No</t>
        </is>
      </c>
      <c r="N6" s="24" t="inlineStr">
        <is>
          <t>A003</t>
        </is>
      </c>
      <c r="O6" s="24" t="inlineStr"/>
      <c r="P6" s="24" t="inlineStr">
        <is>
          <t>E002</t>
        </is>
      </c>
      <c r="Q6" s="25">
        <f>IF($B6="",0,IF(OR($M6="Yes",COUNTIFS('03_Action_Register'!$C$4:$C$33,$B6,'03_Action_Register'!$M$4:$M$33,"Yes")&gt;0,$G6&lt;&gt;""),1,0))</f>
        <v/>
      </c>
      <c r="R6" s="25">
        <f>IF($Q6=1,SUM($Q$4:$Q6),"")</f>
        <v/>
      </c>
    </row>
    <row r="7" ht="30" customHeight="1">
      <c r="B7" s="18">
        <f>IF(COUNTA($E7)=0,"","T"&amp;TEXT(ROW()-3,"000"))</f>
        <v/>
      </c>
      <c r="C7" s="26" t="n"/>
      <c r="D7" s="26" t="n"/>
      <c r="E7" s="26" t="n"/>
      <c r="F7" s="26" t="n"/>
      <c r="G7" s="26" t="n"/>
      <c r="H7" s="26" t="n"/>
      <c r="I7" s="26" t="n"/>
      <c r="J7" s="26" t="n"/>
      <c r="K7" s="19">
        <f t="array" ref="K7">IF($B7="","",IF(IFERROR(MAX(IF('04_Update_History'!$D$4:$D$153=$B7,ROW('04_Update_History'!$D$4:$D$153))),0)=0,"",INDEX('04_Update_History'!$C$4:$C$153,IFERROR(MAX(IF('04_Update_History'!$D$4:$D$153=$B7,ROW('04_Update_History'!$D$4:$D$153))),0)-3)))</f>
        <v/>
      </c>
      <c r="L7" s="26" t="n"/>
      <c r="M7" s="26" t="n"/>
      <c r="N7" s="26" t="n"/>
      <c r="O7" s="26" t="n"/>
      <c r="P7" s="26" t="n"/>
      <c r="Q7" s="25">
        <f>IF($B7="",0,IF(OR($M7="Yes",COUNTIFS('03_Action_Register'!$C$4:$C$33,$B7,'03_Action_Register'!$M$4:$M$33,"Yes")&gt;0,$G7&lt;&gt;""),1,0))</f>
        <v/>
      </c>
      <c r="R7" s="25">
        <f>IF($Q7=1,SUM($Q$4:$Q7),"")</f>
        <v/>
      </c>
    </row>
    <row r="8" ht="30" customHeight="1">
      <c r="B8" s="16">
        <f>IF(COUNTA($E8)=0,"","T"&amp;TEXT(ROW()-3,"000"))</f>
        <v/>
      </c>
      <c r="C8" s="24" t="n"/>
      <c r="D8" s="24" t="n"/>
      <c r="E8" s="24" t="n"/>
      <c r="F8" s="24" t="n"/>
      <c r="G8" s="24" t="n"/>
      <c r="H8" s="24" t="n"/>
      <c r="I8" s="24" t="n"/>
      <c r="J8" s="24" t="n"/>
      <c r="K8" s="17">
        <f t="array" ref="K8">IF($B8="","",IF(IFERROR(MAX(IF('04_Update_History'!$D$4:$D$153=$B8,ROW('04_Update_History'!$D$4:$D$153))),0)=0,"",INDEX('04_Update_History'!$C$4:$C$153,IFERROR(MAX(IF('04_Update_History'!$D$4:$D$153=$B8,ROW('04_Update_History'!$D$4:$D$153))),0)-3)))</f>
        <v/>
      </c>
      <c r="L8" s="24" t="n"/>
      <c r="M8" s="24" t="n"/>
      <c r="N8" s="24" t="n"/>
      <c r="O8" s="24" t="n"/>
      <c r="P8" s="24" t="n"/>
      <c r="Q8" s="25">
        <f>IF($B8="",0,IF(OR($M8="Yes",COUNTIFS('03_Action_Register'!$C$4:$C$33,$B8,'03_Action_Register'!$M$4:$M$33,"Yes")&gt;0,$G8&lt;&gt;""),1,0))</f>
        <v/>
      </c>
      <c r="R8" s="25">
        <f>IF($Q8=1,SUM($Q$4:$Q8),"")</f>
        <v/>
      </c>
    </row>
    <row r="9" ht="30" customHeight="1">
      <c r="B9" s="18">
        <f>IF(COUNTA($E9)=0,"","T"&amp;TEXT(ROW()-3,"000"))</f>
        <v/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19">
        <f t="array" ref="K9">IF($B9="","",IF(IFERROR(MAX(IF('04_Update_History'!$D$4:$D$153=$B9,ROW('04_Update_History'!$D$4:$D$153))),0)=0,"",INDEX('04_Update_History'!$C$4:$C$153,IFERROR(MAX(IF('04_Update_History'!$D$4:$D$153=$B9,ROW('04_Update_History'!$D$4:$D$153))),0)-3)))</f>
        <v/>
      </c>
      <c r="L9" s="26" t="n"/>
      <c r="M9" s="26" t="n"/>
      <c r="N9" s="26" t="n"/>
      <c r="O9" s="26" t="n"/>
      <c r="P9" s="26" t="n"/>
      <c r="Q9" s="25">
        <f>IF($B9="",0,IF(OR($M9="Yes",COUNTIFS('03_Action_Register'!$C$4:$C$33,$B9,'03_Action_Register'!$M$4:$M$33,"Yes")&gt;0,$G9&lt;&gt;""),1,0))</f>
        <v/>
      </c>
      <c r="R9" s="25">
        <f>IF($Q9=1,SUM($Q$4:$Q9),"")</f>
        <v/>
      </c>
    </row>
    <row r="10" ht="30" customHeight="1">
      <c r="B10" s="16">
        <f>IF(COUNTA($E10)=0,"","T"&amp;TEXT(ROW()-3,"000"))</f>
        <v/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17">
        <f t="array" ref="K10">IF($B10="","",IF(IFERROR(MAX(IF('04_Update_History'!$D$4:$D$153=$B10,ROW('04_Update_History'!$D$4:$D$153))),0)=0,"",INDEX('04_Update_History'!$C$4:$C$153,IFERROR(MAX(IF('04_Update_History'!$D$4:$D$153=$B10,ROW('04_Update_History'!$D$4:$D$153))),0)-3)))</f>
        <v/>
      </c>
      <c r="L10" s="24" t="n"/>
      <c r="M10" s="24" t="n"/>
      <c r="N10" s="24" t="n"/>
      <c r="O10" s="24" t="n"/>
      <c r="P10" s="24" t="n"/>
      <c r="Q10" s="25">
        <f>IF($B10="",0,IF(OR($M10="Yes",COUNTIFS('03_Action_Register'!$C$4:$C$33,$B10,'03_Action_Register'!$M$4:$M$33,"Yes")&gt;0,$G10&lt;&gt;""),1,0))</f>
        <v/>
      </c>
      <c r="R10" s="25">
        <f>IF($Q10=1,SUM($Q$4:$Q10),"")</f>
        <v/>
      </c>
    </row>
    <row r="11" ht="30" customHeight="1">
      <c r="B11" s="18">
        <f>IF(COUNTA($E11)=0,"","T"&amp;TEXT(ROW()-3,"000"))</f>
        <v/>
      </c>
      <c r="C11" s="26" t="n"/>
      <c r="D11" s="26" t="n"/>
      <c r="E11" s="26" t="n"/>
      <c r="F11" s="26" t="n"/>
      <c r="G11" s="26" t="n"/>
      <c r="H11" s="26" t="n"/>
      <c r="I11" s="26" t="n"/>
      <c r="J11" s="26" t="n"/>
      <c r="K11" s="19">
        <f t="array" ref="K11">IF($B11="","",IF(IFERROR(MAX(IF('04_Update_History'!$D$4:$D$153=$B11,ROW('04_Update_History'!$D$4:$D$153))),0)=0,"",INDEX('04_Update_History'!$C$4:$C$153,IFERROR(MAX(IF('04_Update_History'!$D$4:$D$153=$B11,ROW('04_Update_History'!$D$4:$D$153))),0)-3)))</f>
        <v/>
      </c>
      <c r="L11" s="26" t="n"/>
      <c r="M11" s="26" t="n"/>
      <c r="N11" s="26" t="n"/>
      <c r="O11" s="26" t="n"/>
      <c r="P11" s="26" t="n"/>
      <c r="Q11" s="25">
        <f>IF($B11="",0,IF(OR($M11="Yes",COUNTIFS('03_Action_Register'!$C$4:$C$33,$B11,'03_Action_Register'!$M$4:$M$33,"Yes")&gt;0,$G11&lt;&gt;""),1,0))</f>
        <v/>
      </c>
      <c r="R11" s="25">
        <f>IF($Q11=1,SUM($Q$4:$Q11),"")</f>
        <v/>
      </c>
    </row>
    <row r="12" ht="30" customHeight="1">
      <c r="B12" s="16">
        <f>IF(COUNTA($E12)=0,"","T"&amp;TEXT(ROW()-3,"000"))</f>
        <v/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17">
        <f t="array" ref="K12">IF($B12="","",IF(IFERROR(MAX(IF('04_Update_History'!$D$4:$D$153=$B12,ROW('04_Update_History'!$D$4:$D$153))),0)=0,"",INDEX('04_Update_History'!$C$4:$C$153,IFERROR(MAX(IF('04_Update_History'!$D$4:$D$153=$B12,ROW('04_Update_History'!$D$4:$D$153))),0)-3)))</f>
        <v/>
      </c>
      <c r="L12" s="24" t="n"/>
      <c r="M12" s="24" t="n"/>
      <c r="N12" s="24" t="n"/>
      <c r="O12" s="24" t="n"/>
      <c r="P12" s="24" t="n"/>
      <c r="Q12" s="25">
        <f>IF($B12="",0,IF(OR($M12="Yes",COUNTIFS('03_Action_Register'!$C$4:$C$33,$B12,'03_Action_Register'!$M$4:$M$33,"Yes")&gt;0,$G12&lt;&gt;""),1,0))</f>
        <v/>
      </c>
      <c r="R12" s="25">
        <f>IF($Q12=1,SUM($Q$4:$Q12),"")</f>
        <v/>
      </c>
    </row>
    <row r="13" ht="30" customHeight="1">
      <c r="B13" s="18">
        <f>IF(COUNTA($E13)=0,"","T"&amp;TEXT(ROW()-3,"000"))</f>
        <v/>
      </c>
      <c r="C13" s="26" t="n"/>
      <c r="D13" s="26" t="n"/>
      <c r="E13" s="26" t="n"/>
      <c r="F13" s="26" t="n"/>
      <c r="G13" s="26" t="n"/>
      <c r="H13" s="26" t="n"/>
      <c r="I13" s="26" t="n"/>
      <c r="J13" s="26" t="n"/>
      <c r="K13" s="19">
        <f t="array" ref="K13">IF($B13="","",IF(IFERROR(MAX(IF('04_Update_History'!$D$4:$D$153=$B13,ROW('04_Update_History'!$D$4:$D$153))),0)=0,"",INDEX('04_Update_History'!$C$4:$C$153,IFERROR(MAX(IF('04_Update_History'!$D$4:$D$153=$B13,ROW('04_Update_History'!$D$4:$D$153))),0)-3)))</f>
        <v/>
      </c>
      <c r="L13" s="26" t="n"/>
      <c r="M13" s="26" t="n"/>
      <c r="N13" s="26" t="n"/>
      <c r="O13" s="26" t="n"/>
      <c r="P13" s="26" t="n"/>
      <c r="Q13" s="25">
        <f>IF($B13="",0,IF(OR($M13="Yes",COUNTIFS('03_Action_Register'!$C$4:$C$33,$B13,'03_Action_Register'!$M$4:$M$33,"Yes")&gt;0,$G13&lt;&gt;""),1,0))</f>
        <v/>
      </c>
      <c r="R13" s="25">
        <f>IF($Q13=1,SUM($Q$4:$Q13),"")</f>
        <v/>
      </c>
    </row>
    <row r="14" ht="30" customHeight="1">
      <c r="B14" s="16">
        <f>IF(COUNTA($E14)=0,"","T"&amp;TEXT(ROW()-3,"000"))</f>
        <v/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17">
        <f t="array" ref="K14">IF($B14="","",IF(IFERROR(MAX(IF('04_Update_History'!$D$4:$D$153=$B14,ROW('04_Update_History'!$D$4:$D$153))),0)=0,"",INDEX('04_Update_History'!$C$4:$C$153,IFERROR(MAX(IF('04_Update_History'!$D$4:$D$153=$B14,ROW('04_Update_History'!$D$4:$D$153))),0)-3)))</f>
        <v/>
      </c>
      <c r="L14" s="24" t="n"/>
      <c r="M14" s="24" t="n"/>
      <c r="N14" s="24" t="n"/>
      <c r="O14" s="24" t="n"/>
      <c r="P14" s="24" t="n"/>
      <c r="Q14" s="25">
        <f>IF($B14="",0,IF(OR($M14="Yes",COUNTIFS('03_Action_Register'!$C$4:$C$33,$B14,'03_Action_Register'!$M$4:$M$33,"Yes")&gt;0,$G14&lt;&gt;""),1,0))</f>
        <v/>
      </c>
      <c r="R14" s="25">
        <f>IF($Q14=1,SUM($Q$4:$Q14),"")</f>
        <v/>
      </c>
    </row>
    <row r="15" ht="30" customHeight="1">
      <c r="B15" s="18">
        <f>IF(COUNTA($E15)=0,"","T"&amp;TEXT(ROW()-3,"000"))</f>
        <v/>
      </c>
      <c r="C15" s="26" t="n"/>
      <c r="D15" s="26" t="n"/>
      <c r="E15" s="26" t="n"/>
      <c r="F15" s="26" t="n"/>
      <c r="G15" s="26" t="n"/>
      <c r="H15" s="26" t="n"/>
      <c r="I15" s="26" t="n"/>
      <c r="J15" s="26" t="n"/>
      <c r="K15" s="19">
        <f t="array" ref="K15">IF($B15="","",IF(IFERROR(MAX(IF('04_Update_History'!$D$4:$D$153=$B15,ROW('04_Update_History'!$D$4:$D$153))),0)=0,"",INDEX('04_Update_History'!$C$4:$C$153,IFERROR(MAX(IF('04_Update_History'!$D$4:$D$153=$B15,ROW('04_Update_History'!$D$4:$D$153))),0)-3)))</f>
        <v/>
      </c>
      <c r="L15" s="26" t="n"/>
      <c r="M15" s="26" t="n"/>
      <c r="N15" s="26" t="n"/>
      <c r="O15" s="26" t="n"/>
      <c r="P15" s="26" t="n"/>
      <c r="Q15" s="25">
        <f>IF($B15="",0,IF(OR($M15="Yes",COUNTIFS('03_Action_Register'!$C$4:$C$33,$B15,'03_Action_Register'!$M$4:$M$33,"Yes")&gt;0,$G15&lt;&gt;""),1,0))</f>
        <v/>
      </c>
      <c r="R15" s="25">
        <f>IF($Q15=1,SUM($Q$4:$Q15),"")</f>
        <v/>
      </c>
    </row>
    <row r="16" ht="30" customHeight="1">
      <c r="B16" s="16">
        <f>IF(COUNTA($E16)=0,"","T"&amp;TEXT(ROW()-3,"000"))</f>
        <v/>
      </c>
      <c r="C16" s="24" t="n"/>
      <c r="D16" s="24" t="n"/>
      <c r="E16" s="24" t="n"/>
      <c r="F16" s="24" t="n"/>
      <c r="G16" s="24" t="n"/>
      <c r="H16" s="24" t="n"/>
      <c r="I16" s="24" t="n"/>
      <c r="J16" s="24" t="n"/>
      <c r="K16" s="17">
        <f t="array" ref="K16">IF($B16="","",IF(IFERROR(MAX(IF('04_Update_History'!$D$4:$D$153=$B16,ROW('04_Update_History'!$D$4:$D$153))),0)=0,"",INDEX('04_Update_History'!$C$4:$C$153,IFERROR(MAX(IF('04_Update_History'!$D$4:$D$153=$B16,ROW('04_Update_History'!$D$4:$D$153))),0)-3)))</f>
        <v/>
      </c>
      <c r="L16" s="24" t="n"/>
      <c r="M16" s="24" t="n"/>
      <c r="N16" s="24" t="n"/>
      <c r="O16" s="24" t="n"/>
      <c r="P16" s="24" t="n"/>
      <c r="Q16" s="25">
        <f>IF($B16="",0,IF(OR($M16="Yes",COUNTIFS('03_Action_Register'!$C$4:$C$33,$B16,'03_Action_Register'!$M$4:$M$33,"Yes")&gt;0,$G16&lt;&gt;""),1,0))</f>
        <v/>
      </c>
      <c r="R16" s="25">
        <f>IF($Q16=1,SUM($Q$4:$Q16),"")</f>
        <v/>
      </c>
    </row>
    <row r="17" ht="30" customHeight="1">
      <c r="B17" s="18">
        <f>IF(COUNTA($E17)=0,"","T"&amp;TEXT(ROW()-3,"000"))</f>
        <v/>
      </c>
      <c r="C17" s="26" t="n"/>
      <c r="D17" s="26" t="n"/>
      <c r="E17" s="26" t="n"/>
      <c r="F17" s="26" t="n"/>
      <c r="G17" s="26" t="n"/>
      <c r="H17" s="26" t="n"/>
      <c r="I17" s="26" t="n"/>
      <c r="J17" s="26" t="n"/>
      <c r="K17" s="19">
        <f t="array" ref="K17">IF($B17="","",IF(IFERROR(MAX(IF('04_Update_History'!$D$4:$D$153=$B17,ROW('04_Update_History'!$D$4:$D$153))),0)=0,"",INDEX('04_Update_History'!$C$4:$C$153,IFERROR(MAX(IF('04_Update_History'!$D$4:$D$153=$B17,ROW('04_Update_History'!$D$4:$D$153))),0)-3)))</f>
        <v/>
      </c>
      <c r="L17" s="26" t="n"/>
      <c r="M17" s="26" t="n"/>
      <c r="N17" s="26" t="n"/>
      <c r="O17" s="26" t="n"/>
      <c r="P17" s="26" t="n"/>
      <c r="Q17" s="25">
        <f>IF($B17="",0,IF(OR($M17="Yes",COUNTIFS('03_Action_Register'!$C$4:$C$33,$B17,'03_Action_Register'!$M$4:$M$33,"Yes")&gt;0,$G17&lt;&gt;""),1,0))</f>
        <v/>
      </c>
      <c r="R17" s="25">
        <f>IF($Q17=1,SUM($Q$4:$Q17),"")</f>
        <v/>
      </c>
    </row>
    <row r="18" ht="30" customHeight="1">
      <c r="B18" s="16">
        <f>IF(COUNTA($E18)=0,"","T"&amp;TEXT(ROW()-3,"000"))</f>
        <v/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17">
        <f t="array" ref="K18">IF($B18="","",IF(IFERROR(MAX(IF('04_Update_History'!$D$4:$D$153=$B18,ROW('04_Update_History'!$D$4:$D$153))),0)=0,"",INDEX('04_Update_History'!$C$4:$C$153,IFERROR(MAX(IF('04_Update_History'!$D$4:$D$153=$B18,ROW('04_Update_History'!$D$4:$D$153))),0)-3)))</f>
        <v/>
      </c>
      <c r="L18" s="24" t="n"/>
      <c r="M18" s="24" t="n"/>
      <c r="N18" s="24" t="n"/>
      <c r="O18" s="24" t="n"/>
      <c r="P18" s="24" t="n"/>
      <c r="Q18" s="25">
        <f>IF($B18="",0,IF(OR($M18="Yes",COUNTIFS('03_Action_Register'!$C$4:$C$33,$B18,'03_Action_Register'!$M$4:$M$33,"Yes")&gt;0,$G18&lt;&gt;""),1,0))</f>
        <v/>
      </c>
      <c r="R18" s="25">
        <f>IF($Q18=1,SUM($Q$4:$Q18),"")</f>
        <v/>
      </c>
    </row>
    <row r="19" ht="30" customHeight="1">
      <c r="B19" s="18">
        <f>IF(COUNTA($E19)=0,"","T"&amp;TEXT(ROW()-3,"000"))</f>
        <v/>
      </c>
      <c r="C19" s="26" t="n"/>
      <c r="D19" s="26" t="n"/>
      <c r="E19" s="26" t="n"/>
      <c r="F19" s="26" t="n"/>
      <c r="G19" s="26" t="n"/>
      <c r="H19" s="26" t="n"/>
      <c r="I19" s="26" t="n"/>
      <c r="J19" s="26" t="n"/>
      <c r="K19" s="19">
        <f t="array" ref="K19">IF($B19="","",IF(IFERROR(MAX(IF('04_Update_History'!$D$4:$D$153=$B19,ROW('04_Update_History'!$D$4:$D$153))),0)=0,"",INDEX('04_Update_History'!$C$4:$C$153,IFERROR(MAX(IF('04_Update_History'!$D$4:$D$153=$B19,ROW('04_Update_History'!$D$4:$D$153))),0)-3)))</f>
        <v/>
      </c>
      <c r="L19" s="26" t="n"/>
      <c r="M19" s="26" t="n"/>
      <c r="N19" s="26" t="n"/>
      <c r="O19" s="26" t="n"/>
      <c r="P19" s="26" t="n"/>
      <c r="Q19" s="25">
        <f>IF($B19="",0,IF(OR($M19="Yes",COUNTIFS('03_Action_Register'!$C$4:$C$33,$B19,'03_Action_Register'!$M$4:$M$33,"Yes")&gt;0,$G19&lt;&gt;""),1,0))</f>
        <v/>
      </c>
      <c r="R19" s="25">
        <f>IF($Q19=1,SUM($Q$4:$Q19),"")</f>
        <v/>
      </c>
    </row>
    <row r="20" ht="30" customHeight="1">
      <c r="B20" s="16">
        <f>IF(COUNTA($E20)=0,"","T"&amp;TEXT(ROW()-3,"000"))</f>
        <v/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17">
        <f t="array" ref="K20">IF($B20="","",IF(IFERROR(MAX(IF('04_Update_History'!$D$4:$D$153=$B20,ROW('04_Update_History'!$D$4:$D$153))),0)=0,"",INDEX('04_Update_History'!$C$4:$C$153,IFERROR(MAX(IF('04_Update_History'!$D$4:$D$153=$B20,ROW('04_Update_History'!$D$4:$D$153))),0)-3)))</f>
        <v/>
      </c>
      <c r="L20" s="24" t="n"/>
      <c r="M20" s="24" t="n"/>
      <c r="N20" s="24" t="n"/>
      <c r="O20" s="24" t="n"/>
      <c r="P20" s="24" t="n"/>
      <c r="Q20" s="25">
        <f>IF($B20="",0,IF(OR($M20="Yes",COUNTIFS('03_Action_Register'!$C$4:$C$33,$B20,'03_Action_Register'!$M$4:$M$33,"Yes")&gt;0,$G20&lt;&gt;""),1,0))</f>
        <v/>
      </c>
      <c r="R20" s="25">
        <f>IF($Q20=1,SUM($Q$4:$Q20),"")</f>
        <v/>
      </c>
    </row>
    <row r="21" ht="30" customHeight="1">
      <c r="B21" s="18">
        <f>IF(COUNTA($E21)=0,"","T"&amp;TEXT(ROW()-3,"000"))</f>
        <v/>
      </c>
      <c r="C21" s="26" t="n"/>
      <c r="D21" s="26" t="n"/>
      <c r="E21" s="26" t="n"/>
      <c r="F21" s="26" t="n"/>
      <c r="G21" s="26" t="n"/>
      <c r="H21" s="26" t="n"/>
      <c r="I21" s="26" t="n"/>
      <c r="J21" s="26" t="n"/>
      <c r="K21" s="19">
        <f t="array" ref="K21">IF($B21="","",IF(IFERROR(MAX(IF('04_Update_History'!$D$4:$D$153=$B21,ROW('04_Update_History'!$D$4:$D$153))),0)=0,"",INDEX('04_Update_History'!$C$4:$C$153,IFERROR(MAX(IF('04_Update_History'!$D$4:$D$153=$B21,ROW('04_Update_History'!$D$4:$D$153))),0)-3)))</f>
        <v/>
      </c>
      <c r="L21" s="26" t="n"/>
      <c r="M21" s="26" t="n"/>
      <c r="N21" s="26" t="n"/>
      <c r="O21" s="26" t="n"/>
      <c r="P21" s="26" t="n"/>
      <c r="Q21" s="25">
        <f>IF($B21="",0,IF(OR($M21="Yes",COUNTIFS('03_Action_Register'!$C$4:$C$33,$B21,'03_Action_Register'!$M$4:$M$33,"Yes")&gt;0,$G21&lt;&gt;""),1,0))</f>
        <v/>
      </c>
      <c r="R21" s="25">
        <f>IF($Q21=1,SUM($Q$4:$Q21),"")</f>
        <v/>
      </c>
    </row>
    <row r="22" ht="30" customHeight="1">
      <c r="B22" s="16">
        <f>IF(COUNTA($E22)=0,"","T"&amp;TEXT(ROW()-3,"000"))</f>
        <v/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17">
        <f t="array" ref="K22">IF($B22="","",IF(IFERROR(MAX(IF('04_Update_History'!$D$4:$D$153=$B22,ROW('04_Update_History'!$D$4:$D$153))),0)=0,"",INDEX('04_Update_History'!$C$4:$C$153,IFERROR(MAX(IF('04_Update_History'!$D$4:$D$153=$B22,ROW('04_Update_History'!$D$4:$D$153))),0)-3)))</f>
        <v/>
      </c>
      <c r="L22" s="24" t="n"/>
      <c r="M22" s="24" t="n"/>
      <c r="N22" s="24" t="n"/>
      <c r="O22" s="24" t="n"/>
      <c r="P22" s="24" t="n"/>
      <c r="Q22" s="25">
        <f>IF($B22="",0,IF(OR($M22="Yes",COUNTIFS('03_Action_Register'!$C$4:$C$33,$B22,'03_Action_Register'!$M$4:$M$33,"Yes")&gt;0,$G22&lt;&gt;""),1,0))</f>
        <v/>
      </c>
      <c r="R22" s="25">
        <f>IF($Q22=1,SUM($Q$4:$Q22),"")</f>
        <v/>
      </c>
    </row>
    <row r="23" ht="30" customHeight="1">
      <c r="B23" s="18">
        <f>IF(COUNTA($E23)=0,"","T"&amp;TEXT(ROW()-3,"000"))</f>
        <v/>
      </c>
      <c r="C23" s="26" t="n"/>
      <c r="D23" s="26" t="n"/>
      <c r="E23" s="26" t="n"/>
      <c r="F23" s="26" t="n"/>
      <c r="G23" s="26" t="n"/>
      <c r="H23" s="26" t="n"/>
      <c r="I23" s="26" t="n"/>
      <c r="J23" s="26" t="n"/>
      <c r="K23" s="19">
        <f t="array" ref="K23">IF($B23="","",IF(IFERROR(MAX(IF('04_Update_History'!$D$4:$D$153=$B23,ROW('04_Update_History'!$D$4:$D$153))),0)=0,"",INDEX('04_Update_History'!$C$4:$C$153,IFERROR(MAX(IF('04_Update_History'!$D$4:$D$153=$B23,ROW('04_Update_History'!$D$4:$D$153))),0)-3)))</f>
        <v/>
      </c>
      <c r="L23" s="26" t="n"/>
      <c r="M23" s="26" t="n"/>
      <c r="N23" s="26" t="n"/>
      <c r="O23" s="26" t="n"/>
      <c r="P23" s="26" t="n"/>
      <c r="Q23" s="25">
        <f>IF($B23="",0,IF(OR($M23="Yes",COUNTIFS('03_Action_Register'!$C$4:$C$33,$B23,'03_Action_Register'!$M$4:$M$33,"Yes")&gt;0,$G23&lt;&gt;""),1,0))</f>
        <v/>
      </c>
      <c r="R23" s="25">
        <f>IF($Q23=1,SUM($Q$4:$Q23),"")</f>
        <v/>
      </c>
    </row>
    <row r="24" ht="30" customHeight="1">
      <c r="B24" s="16">
        <f>IF(COUNTA($E24)=0,"","T"&amp;TEXT(ROW()-3,"000"))</f>
        <v/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17">
        <f t="array" ref="K24">IF($B24="","",IF(IFERROR(MAX(IF('04_Update_History'!$D$4:$D$153=$B24,ROW('04_Update_History'!$D$4:$D$153))),0)=0,"",INDEX('04_Update_History'!$C$4:$C$153,IFERROR(MAX(IF('04_Update_History'!$D$4:$D$153=$B24,ROW('04_Update_History'!$D$4:$D$153))),0)-3)))</f>
        <v/>
      </c>
      <c r="L24" s="24" t="n"/>
      <c r="M24" s="24" t="n"/>
      <c r="N24" s="24" t="n"/>
      <c r="O24" s="24" t="n"/>
      <c r="P24" s="24" t="n"/>
      <c r="Q24" s="25">
        <f>IF($B24="",0,IF(OR($M24="Yes",COUNTIFS('03_Action_Register'!$C$4:$C$33,$B24,'03_Action_Register'!$M$4:$M$33,"Yes")&gt;0,$G24&lt;&gt;""),1,0))</f>
        <v/>
      </c>
      <c r="R24" s="25">
        <f>IF($Q24=1,SUM($Q$4:$Q24),"")</f>
        <v/>
      </c>
    </row>
    <row r="25" ht="30" customHeight="1">
      <c r="B25" s="18">
        <f>IF(COUNTA($E25)=0,"","T"&amp;TEXT(ROW()-3,"000"))</f>
        <v/>
      </c>
      <c r="C25" s="26" t="n"/>
      <c r="D25" s="26" t="n"/>
      <c r="E25" s="26" t="n"/>
      <c r="F25" s="26" t="n"/>
      <c r="G25" s="26" t="n"/>
      <c r="H25" s="26" t="n"/>
      <c r="I25" s="26" t="n"/>
      <c r="J25" s="26" t="n"/>
      <c r="K25" s="19">
        <f t="array" ref="K25">IF($B25="","",IF(IFERROR(MAX(IF('04_Update_History'!$D$4:$D$153=$B25,ROW('04_Update_History'!$D$4:$D$153))),0)=0,"",INDEX('04_Update_History'!$C$4:$C$153,IFERROR(MAX(IF('04_Update_History'!$D$4:$D$153=$B25,ROW('04_Update_History'!$D$4:$D$153))),0)-3)))</f>
        <v/>
      </c>
      <c r="L25" s="26" t="n"/>
      <c r="M25" s="26" t="n"/>
      <c r="N25" s="26" t="n"/>
      <c r="O25" s="26" t="n"/>
      <c r="P25" s="26" t="n"/>
      <c r="Q25" s="25">
        <f>IF($B25="",0,IF(OR($M25="Yes",COUNTIFS('03_Action_Register'!$C$4:$C$33,$B25,'03_Action_Register'!$M$4:$M$33,"Yes")&gt;0,$G25&lt;&gt;""),1,0))</f>
        <v/>
      </c>
      <c r="R25" s="25">
        <f>IF($Q25=1,SUM($Q$4:$Q25),"")</f>
        <v/>
      </c>
    </row>
    <row r="26" ht="30" customHeight="1">
      <c r="B26" s="16">
        <f>IF(COUNTA($E26)=0,"","T"&amp;TEXT(ROW()-3,"000"))</f>
        <v/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17">
        <f t="array" ref="K26">IF($B26="","",IF(IFERROR(MAX(IF('04_Update_History'!$D$4:$D$153=$B26,ROW('04_Update_History'!$D$4:$D$153))),0)=0,"",INDEX('04_Update_History'!$C$4:$C$153,IFERROR(MAX(IF('04_Update_History'!$D$4:$D$153=$B26,ROW('04_Update_History'!$D$4:$D$153))),0)-3)))</f>
        <v/>
      </c>
      <c r="L26" s="24" t="n"/>
      <c r="M26" s="24" t="n"/>
      <c r="N26" s="24" t="n"/>
      <c r="O26" s="24" t="n"/>
      <c r="P26" s="24" t="n"/>
      <c r="Q26" s="25">
        <f>IF($B26="",0,IF(OR($M26="Yes",COUNTIFS('03_Action_Register'!$C$4:$C$33,$B26,'03_Action_Register'!$M$4:$M$33,"Yes")&gt;0,$G26&lt;&gt;""),1,0))</f>
        <v/>
      </c>
      <c r="R26" s="25">
        <f>IF($Q26=1,SUM($Q$4:$Q26),"")</f>
        <v/>
      </c>
    </row>
    <row r="27" ht="30" customHeight="1">
      <c r="B27" s="18">
        <f>IF(COUNTA($E27)=0,"","T"&amp;TEXT(ROW()-3,"000"))</f>
        <v/>
      </c>
      <c r="C27" s="26" t="n"/>
      <c r="D27" s="26" t="n"/>
      <c r="E27" s="26" t="n"/>
      <c r="F27" s="26" t="n"/>
      <c r="G27" s="26" t="n"/>
      <c r="H27" s="26" t="n"/>
      <c r="I27" s="26" t="n"/>
      <c r="J27" s="26" t="n"/>
      <c r="K27" s="19">
        <f t="array" ref="K27">IF($B27="","",IF(IFERROR(MAX(IF('04_Update_History'!$D$4:$D$153=$B27,ROW('04_Update_History'!$D$4:$D$153))),0)=0,"",INDEX('04_Update_History'!$C$4:$C$153,IFERROR(MAX(IF('04_Update_History'!$D$4:$D$153=$B27,ROW('04_Update_History'!$D$4:$D$153))),0)-3)))</f>
        <v/>
      </c>
      <c r="L27" s="26" t="n"/>
      <c r="M27" s="26" t="n"/>
      <c r="N27" s="26" t="n"/>
      <c r="O27" s="26" t="n"/>
      <c r="P27" s="26" t="n"/>
      <c r="Q27" s="25">
        <f>IF($B27="",0,IF(OR($M27="Yes",COUNTIFS('03_Action_Register'!$C$4:$C$33,$B27,'03_Action_Register'!$M$4:$M$33,"Yes")&gt;0,$G27&lt;&gt;""),1,0))</f>
        <v/>
      </c>
      <c r="R27" s="25">
        <f>IF($Q27=1,SUM($Q$4:$Q27),"")</f>
        <v/>
      </c>
    </row>
    <row r="28" ht="30" customHeight="1">
      <c r="B28" s="16">
        <f>IF(COUNTA($E28)=0,"","T"&amp;TEXT(ROW()-3,"000"))</f>
        <v/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17">
        <f t="array" ref="K28">IF($B28="","",IF(IFERROR(MAX(IF('04_Update_History'!$D$4:$D$153=$B28,ROW('04_Update_History'!$D$4:$D$153))),0)=0,"",INDEX('04_Update_History'!$C$4:$C$153,IFERROR(MAX(IF('04_Update_History'!$D$4:$D$153=$B28,ROW('04_Update_History'!$D$4:$D$153))),0)-3)))</f>
        <v/>
      </c>
      <c r="L28" s="24" t="n"/>
      <c r="M28" s="24" t="n"/>
      <c r="N28" s="24" t="n"/>
      <c r="O28" s="24" t="n"/>
      <c r="P28" s="24" t="n"/>
      <c r="Q28" s="25">
        <f>IF($B28="",0,IF(OR($M28="Yes",COUNTIFS('03_Action_Register'!$C$4:$C$33,$B28,'03_Action_Register'!$M$4:$M$33,"Yes")&gt;0,$G28&lt;&gt;""),1,0))</f>
        <v/>
      </c>
      <c r="R28" s="25">
        <f>IF($Q28=1,SUM($Q$4:$Q28),"")</f>
        <v/>
      </c>
    </row>
    <row r="29" ht="30" customHeight="1">
      <c r="B29" s="18">
        <f>IF(COUNTA($E29)=0,"","T"&amp;TEXT(ROW()-3,"000"))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19">
        <f t="array" ref="K29">IF($B29="","",IF(IFERROR(MAX(IF('04_Update_History'!$D$4:$D$153=$B29,ROW('04_Update_History'!$D$4:$D$153))),0)=0,"",INDEX('04_Update_History'!$C$4:$C$153,IFERROR(MAX(IF('04_Update_History'!$D$4:$D$153=$B29,ROW('04_Update_History'!$D$4:$D$153))),0)-3)))</f>
        <v/>
      </c>
      <c r="L29" s="26" t="n"/>
      <c r="M29" s="26" t="n"/>
      <c r="N29" s="26" t="n"/>
      <c r="O29" s="26" t="n"/>
      <c r="P29" s="26" t="n"/>
      <c r="Q29" s="25">
        <f>IF($B29="",0,IF(OR($M29="Yes",COUNTIFS('03_Action_Register'!$C$4:$C$33,$B29,'03_Action_Register'!$M$4:$M$33,"Yes")&gt;0,$G29&lt;&gt;""),1,0))</f>
        <v/>
      </c>
      <c r="R29" s="25">
        <f>IF($Q29=1,SUM($Q$4:$Q29),"")</f>
        <v/>
      </c>
    </row>
    <row r="30" ht="30" customHeight="1">
      <c r="B30" s="16">
        <f>IF(COUNTA($E30)=0,"","T"&amp;TEXT(ROW()-3,"000"))</f>
        <v/>
      </c>
      <c r="C30" s="24" t="n"/>
      <c r="D30" s="24" t="n"/>
      <c r="E30" s="24" t="n"/>
      <c r="F30" s="24" t="n"/>
      <c r="G30" s="24" t="n"/>
      <c r="H30" s="24" t="n"/>
      <c r="I30" s="24" t="n"/>
      <c r="J30" s="24" t="n"/>
      <c r="K30" s="17">
        <f t="array" ref="K30">IF($B30="","",IF(IFERROR(MAX(IF('04_Update_History'!$D$4:$D$153=$B30,ROW('04_Update_History'!$D$4:$D$153))),0)=0,"",INDEX('04_Update_History'!$C$4:$C$153,IFERROR(MAX(IF('04_Update_History'!$D$4:$D$153=$B30,ROW('04_Update_History'!$D$4:$D$153))),0)-3)))</f>
        <v/>
      </c>
      <c r="L30" s="24" t="n"/>
      <c r="M30" s="24" t="n"/>
      <c r="N30" s="24" t="n"/>
      <c r="O30" s="24" t="n"/>
      <c r="P30" s="24" t="n"/>
      <c r="Q30" s="25">
        <f>IF($B30="",0,IF(OR($M30="Yes",COUNTIFS('03_Action_Register'!$C$4:$C$33,$B30,'03_Action_Register'!$M$4:$M$33,"Yes")&gt;0,$G30&lt;&gt;""),1,0))</f>
        <v/>
      </c>
      <c r="R30" s="25">
        <f>IF($Q30=1,SUM($Q$4:$Q30),"")</f>
        <v/>
      </c>
    </row>
    <row r="31" ht="30" customHeight="1">
      <c r="B31" s="18">
        <f>IF(COUNTA($E31)=0,"","T"&amp;TEXT(ROW()-3,"000"))</f>
        <v/>
      </c>
      <c r="C31" s="26" t="n"/>
      <c r="D31" s="26" t="n"/>
      <c r="E31" s="26" t="n"/>
      <c r="F31" s="26" t="n"/>
      <c r="G31" s="26" t="n"/>
      <c r="H31" s="26" t="n"/>
      <c r="I31" s="26" t="n"/>
      <c r="J31" s="26" t="n"/>
      <c r="K31" s="19">
        <f t="array" ref="K31">IF($B31="","",IF(IFERROR(MAX(IF('04_Update_History'!$D$4:$D$153=$B31,ROW('04_Update_History'!$D$4:$D$153))),0)=0,"",INDEX('04_Update_History'!$C$4:$C$153,IFERROR(MAX(IF('04_Update_History'!$D$4:$D$153=$B31,ROW('04_Update_History'!$D$4:$D$153))),0)-3)))</f>
        <v/>
      </c>
      <c r="L31" s="26" t="n"/>
      <c r="M31" s="26" t="n"/>
      <c r="N31" s="26" t="n"/>
      <c r="O31" s="26" t="n"/>
      <c r="P31" s="26" t="n"/>
      <c r="Q31" s="25">
        <f>IF($B31="",0,IF(OR($M31="Yes",COUNTIFS('03_Action_Register'!$C$4:$C$33,$B31,'03_Action_Register'!$M$4:$M$33,"Yes")&gt;0,$G31&lt;&gt;""),1,0))</f>
        <v/>
      </c>
      <c r="R31" s="25">
        <f>IF($Q31=1,SUM($Q$4:$Q31),"")</f>
        <v/>
      </c>
    </row>
    <row r="32" ht="30" customHeight="1">
      <c r="B32" s="16">
        <f>IF(COUNTA($E32)=0,"","T"&amp;TEXT(ROW()-3,"000"))</f>
        <v/>
      </c>
      <c r="C32" s="24" t="n"/>
      <c r="D32" s="24" t="n"/>
      <c r="E32" s="24" t="n"/>
      <c r="F32" s="24" t="n"/>
      <c r="G32" s="24" t="n"/>
      <c r="H32" s="24" t="n"/>
      <c r="I32" s="24" t="n"/>
      <c r="J32" s="24" t="n"/>
      <c r="K32" s="17">
        <f t="array" ref="K32">IF($B32="","",IF(IFERROR(MAX(IF('04_Update_History'!$D$4:$D$153=$B32,ROW('04_Update_History'!$D$4:$D$153))),0)=0,"",INDEX('04_Update_History'!$C$4:$C$153,IFERROR(MAX(IF('04_Update_History'!$D$4:$D$153=$B32,ROW('04_Update_History'!$D$4:$D$153))),0)-3)))</f>
        <v/>
      </c>
      <c r="L32" s="24" t="n"/>
      <c r="M32" s="24" t="n"/>
      <c r="N32" s="24" t="n"/>
      <c r="O32" s="24" t="n"/>
      <c r="P32" s="24" t="n"/>
      <c r="Q32" s="25">
        <f>IF($B32="",0,IF(OR($M32="Yes",COUNTIFS('03_Action_Register'!$C$4:$C$33,$B32,'03_Action_Register'!$M$4:$M$33,"Yes")&gt;0,$G32&lt;&gt;""),1,0))</f>
        <v/>
      </c>
      <c r="R32" s="25">
        <f>IF($Q32=1,SUM($Q$4:$Q32),"")</f>
        <v/>
      </c>
    </row>
    <row r="33" ht="30" customHeight="1">
      <c r="B33" s="18">
        <f>IF(COUNTA($E33)=0,"","T"&amp;TEXT(ROW()-3,"000"))</f>
        <v/>
      </c>
      <c r="C33" s="26" t="n"/>
      <c r="D33" s="26" t="n"/>
      <c r="E33" s="26" t="n"/>
      <c r="F33" s="26" t="n"/>
      <c r="G33" s="26" t="n"/>
      <c r="H33" s="26" t="n"/>
      <c r="I33" s="26" t="n"/>
      <c r="J33" s="26" t="n"/>
      <c r="K33" s="19">
        <f t="array" ref="K33">IF($B33="","",IF(IFERROR(MAX(IF('04_Update_History'!$D$4:$D$153=$B33,ROW('04_Update_History'!$D$4:$D$153))),0)=0,"",INDEX('04_Update_History'!$C$4:$C$153,IFERROR(MAX(IF('04_Update_History'!$D$4:$D$153=$B33,ROW('04_Update_History'!$D$4:$D$153))),0)-3)))</f>
        <v/>
      </c>
      <c r="L33" s="26" t="n"/>
      <c r="M33" s="26" t="n"/>
      <c r="N33" s="26" t="n"/>
      <c r="O33" s="26" t="n"/>
      <c r="P33" s="26" t="n"/>
      <c r="Q33" s="25">
        <f>IF($B33="",0,IF(OR($M33="Yes",COUNTIFS('03_Action_Register'!$C$4:$C$33,$B33,'03_Action_Register'!$M$4:$M$33,"Yes")&gt;0,$G33&lt;&gt;""),1,0))</f>
        <v/>
      </c>
      <c r="R33" s="25">
        <f>IF($Q33=1,SUM($Q$4:$Q33),"")</f>
        <v/>
      </c>
    </row>
  </sheetData>
  <conditionalFormatting sqref="B4:P33">
    <cfRule type="expression" priority="1" dxfId="2">
      <formula>$H4="Closed"</formula>
    </cfRule>
    <cfRule type="expression" priority="2" dxfId="3">
      <formula>AND($H4&lt;&gt;"Closed",$I4="Critical")</formula>
    </cfRule>
    <cfRule type="expression" priority="3" dxfId="4">
      <formula>AND($H4&lt;&gt;"Closed",$I4="High")</formula>
    </cfRule>
  </conditionalFormatting>
  <dataValidations count="7">
    <dataValidation sqref="C4:C33" showDropDown="0" showInputMessage="0" showErrorMessage="0" allowBlank="1" type="list">
      <formula1>=LIST_CATEGORY</formula1>
    </dataValidation>
    <dataValidation sqref="H4:H33" showDropDown="0" showInputMessage="0" showErrorMessage="0" allowBlank="1" type="list">
      <formula1>=LIST_TOPIC_STATUS</formula1>
    </dataValidation>
    <dataValidation sqref="I4:I33" showDropDown="0" showInputMessage="0" showErrorMessage="0" allowBlank="1" type="list">
      <formula1>=LIST_PRIORITY</formula1>
    </dataValidation>
    <dataValidation sqref="M4:M33" showDropDown="0" showInputMessage="0" showErrorMessage="0" allowBlank="1" type="list">
      <formula1>=LIST_YESNO</formula1>
    </dataValidation>
    <dataValidation sqref="N4:N33" showDropDown="0" showInputMessage="0" showErrorMessage="0" allowBlank="1" type="list">
      <formula1>='03_Action_Register'!$B$4:$B$33</formula1>
    </dataValidation>
    <dataValidation sqref="O4:O33" showDropDown="0" showInputMessage="0" showErrorMessage="0" allowBlank="1" type="list">
      <formula1>='05_PQCP_Tracker'!$B$4:$B$33</formula1>
    </dataValidation>
    <dataValidation sqref="P4:P33" showDropDown="0" showInputMessage="0" showErrorMessage="0" allowBlank="1" type="list">
      <formula1>='06_Document_Evidence'!$B$4:$B$33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T3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1" customWidth="1" min="2" max="2"/>
    <col width="10" customWidth="1" min="3" max="3"/>
    <col width="34" customWidth="1" min="4" max="4"/>
    <col width="14" customWidth="1" min="5" max="5"/>
    <col width="16" customWidth="1" min="6" max="6"/>
    <col width="13" customWidth="1" min="7" max="7"/>
    <col width="13" customWidth="1" min="8" max="8"/>
    <col width="18" customWidth="1" min="9" max="9"/>
    <col width="11" customWidth="1" min="10" max="10"/>
    <col width="11" customWidth="1" min="11" max="11"/>
    <col width="10" customWidth="1" min="12" max="12"/>
    <col width="30" customWidth="1" min="13" max="13"/>
    <col width="26" customWidth="1" min="14" max="14"/>
    <col width="13" customWidth="1" min="15" max="15"/>
    <col width="24" customWidth="1" min="16" max="16"/>
    <col width="15" customWidth="1" min="17" max="17"/>
    <col width="8" customWidth="1" min="19" max="19"/>
    <col width="8" customWidth="1" min="20" max="20"/>
  </cols>
  <sheetData>
    <row r="2" ht="26" customHeight="1">
      <c r="B2" s="1" t="inlineStr">
        <is>
          <t>Action Register</t>
        </is>
      </c>
      <c r="H2" s="20" t="inlineStr">
        <is>
          <t>Legend:  Blue text = fill in yourself   |   Black text = automatic formula, do not overtype   |   Grey columns = automation helpers, do not edit</t>
        </is>
      </c>
    </row>
    <row r="3" ht="30" customHeight="1">
      <c r="B3" s="15" t="inlineStr">
        <is>
          <t>Action ID</t>
        </is>
      </c>
      <c r="C3" s="15" t="inlineStr">
        <is>
          <t>Topic ID</t>
        </is>
      </c>
      <c r="D3" s="15" t="inlineStr">
        <is>
          <t>Action</t>
        </is>
      </c>
      <c r="E3" s="15" t="inlineStr">
        <is>
          <t>Owner</t>
        </is>
      </c>
      <c r="F3" s="15" t="inlineStr">
        <is>
          <t>Organisation</t>
        </is>
      </c>
      <c r="G3" s="15" t="inlineStr">
        <is>
          <t>Date Raised</t>
        </is>
      </c>
      <c r="H3" s="15" t="inlineStr">
        <is>
          <t>Due Date</t>
        </is>
      </c>
      <c r="I3" s="15" t="inlineStr">
        <is>
          <t>Status</t>
        </is>
      </c>
      <c r="J3" s="15" t="inlineStr">
        <is>
          <t>Priority</t>
        </is>
      </c>
      <c r="K3" s="15" t="inlineStr">
        <is>
          <t>Days Open</t>
        </is>
      </c>
      <c r="L3" s="15" t="inlineStr">
        <is>
          <t>Overdue</t>
        </is>
      </c>
      <c r="M3" s="15" t="inlineStr">
        <is>
          <t>Latest Update</t>
        </is>
      </c>
      <c r="N3" s="15" t="inlineStr">
        <is>
          <t>Next Step</t>
        </is>
      </c>
      <c r="O3" s="15" t="inlineStr">
        <is>
          <t>Closure Date</t>
        </is>
      </c>
      <c r="P3" s="15" t="inlineStr">
        <is>
          <t>Closure Evidence</t>
        </is>
      </c>
      <c r="Q3" s="15" t="inlineStr">
        <is>
          <t>Source Meeting Date</t>
        </is>
      </c>
      <c r="S3" s="23" t="inlineStr">
        <is>
          <t>Flag</t>
        </is>
      </c>
      <c r="T3" s="23" t="inlineStr">
        <is>
          <t>Rank</t>
        </is>
      </c>
    </row>
    <row r="4" ht="30" customHeight="1">
      <c r="B4" s="16">
        <f>IF(COUNTA($D4)=0,"","A"&amp;TEXT(ROW()-3,"000"))</f>
        <v/>
      </c>
      <c r="C4" s="24" t="inlineStr">
        <is>
          <t>T001</t>
        </is>
      </c>
      <c r="D4" s="24" t="inlineStr">
        <is>
          <t>Chase contractor for instrumentation calibration certificate (Punch item #4)</t>
        </is>
      </c>
      <c r="E4" s="24" t="inlineStr">
        <is>
          <t>J. Smith</t>
        </is>
      </c>
      <c r="F4" s="24" t="inlineStr">
        <is>
          <t>Acme Mechanical Ltd</t>
        </is>
      </c>
      <c r="G4" s="27" t="n">
        <v>46206</v>
      </c>
      <c r="H4" s="27" t="n">
        <v>46249</v>
      </c>
      <c r="I4" s="24" t="inlineStr">
        <is>
          <t>In Progress</t>
        </is>
      </c>
      <c r="J4" s="24" t="inlineStr">
        <is>
          <t>High</t>
        </is>
      </c>
      <c r="K4" s="16">
        <f>IF($C4="","",IF(O4&lt;&gt;"",O4-G4,TODAY()-G4))</f>
        <v/>
      </c>
      <c r="L4" s="16">
        <f>IF(OR($C4="",I4="Closed",H4=""),"No",IF(H4&lt;TODAY(),"Yes","No"))</f>
        <v/>
      </c>
      <c r="M4" s="24" t="inlineStr">
        <is>
          <t>Certificate requested, contractor to issue by end of week.</t>
        </is>
      </c>
      <c r="N4" s="24" t="inlineStr">
        <is>
          <t>Follow up if not received by due date</t>
        </is>
      </c>
      <c r="O4" s="27" t="n"/>
      <c r="P4" s="24" t="inlineStr"/>
      <c r="Q4" s="27" t="n">
        <v>46206</v>
      </c>
      <c r="S4" s="25">
        <f>IF($B4="",0,IF(OR($L4="Yes",$J4="Critical"),1,0))</f>
        <v/>
      </c>
      <c r="T4" s="25">
        <f>IF($S4=1,SUM($S$4:$S4),"")</f>
        <v/>
      </c>
    </row>
    <row r="5" ht="30" customHeight="1">
      <c r="B5" s="18">
        <f>IF(COUNTA($D5)=0,"","A"&amp;TEXT(ROW()-3,"000"))</f>
        <v/>
      </c>
      <c r="C5" s="26" t="inlineStr">
        <is>
          <t>T002</t>
        </is>
      </c>
      <c r="D5" s="26" t="inlineStr">
        <is>
          <t>Escalate outstanding ITP sign-offs to contractor project manager</t>
        </is>
      </c>
      <c r="E5" s="26" t="inlineStr">
        <is>
          <t>A. Diallo</t>
        </is>
      </c>
      <c r="F5" s="26" t="inlineStr">
        <is>
          <t>Northwind Engineering</t>
        </is>
      </c>
      <c r="G5" s="28" t="n">
        <v>46178</v>
      </c>
      <c r="H5" s="28" t="n">
        <v>46204</v>
      </c>
      <c r="I5" s="26" t="inlineStr">
        <is>
          <t>Awaiting Contractor</t>
        </is>
      </c>
      <c r="J5" s="26" t="inlineStr">
        <is>
          <t>Medium</t>
        </is>
      </c>
      <c r="K5" s="18">
        <f>IF($C5="","",IF(O5&lt;&gt;"",O5-G5,TODAY()-G5))</f>
        <v/>
      </c>
      <c r="L5" s="18">
        <f>IF(OR($C5="",I5="Closed",H5=""),"No",IF(H5&lt;TODAY(),"Yes","No"))</f>
        <v/>
      </c>
      <c r="M5" s="26" t="inlineStr">
        <is>
          <t>Escalation email sent, awaiting contractor response.</t>
        </is>
      </c>
      <c r="N5" s="26" t="inlineStr">
        <is>
          <t>Re-escalate if no response in 5 days</t>
        </is>
      </c>
      <c r="O5" s="28" t="n"/>
      <c r="P5" s="26" t="inlineStr"/>
      <c r="Q5" s="28" t="n">
        <v>46178</v>
      </c>
      <c r="S5" s="25">
        <f>IF($B5="",0,IF(OR($L5="Yes",$J5="Critical"),1,0))</f>
        <v/>
      </c>
      <c r="T5" s="25">
        <f>IF($S5=1,SUM($S$4:$S5),"")</f>
        <v/>
      </c>
    </row>
    <row r="6" ht="30" customHeight="1">
      <c r="B6" s="16">
        <f>IF(COUNTA($D6)=0,"","A"&amp;TEXT(ROW()-3,"000"))</f>
        <v/>
      </c>
      <c r="C6" s="24" t="inlineStr">
        <is>
          <t>T003</t>
        </is>
      </c>
      <c r="D6" s="24" t="inlineStr">
        <is>
          <t>Confirm interface clearance sign-off filed in document register</t>
        </is>
      </c>
      <c r="E6" s="24" t="inlineStr">
        <is>
          <t>M. Chen</t>
        </is>
      </c>
      <c r="F6" s="24" t="inlineStr">
        <is>
          <t>Acme Mechanical Ltd</t>
        </is>
      </c>
      <c r="G6" s="27" t="n">
        <v>46144</v>
      </c>
      <c r="H6" s="27" t="n">
        <v>46162</v>
      </c>
      <c r="I6" s="24" t="inlineStr">
        <is>
          <t>Closed</t>
        </is>
      </c>
      <c r="J6" s="24" t="inlineStr">
        <is>
          <t>Low</t>
        </is>
      </c>
      <c r="K6" s="16">
        <f>IF($C6="","",IF(O6&lt;&gt;"",O6-G6,TODAY()-G6))</f>
        <v/>
      </c>
      <c r="L6" s="16">
        <f>IF(OR($C6="",I6="Closed",H6=""),"No",IF(H6&lt;TODAY(),"Yes","No"))</f>
        <v/>
      </c>
      <c r="M6" s="24" t="inlineStr">
        <is>
          <t>Sign-off confirmed and filed.</t>
        </is>
      </c>
      <c r="N6" s="24" t="inlineStr">
        <is>
          <t>None - closed</t>
        </is>
      </c>
      <c r="O6" s="27" t="n">
        <v>46160</v>
      </c>
      <c r="P6" s="24" t="inlineStr">
        <is>
          <t>E002 - Interface Clearance Record rev B</t>
        </is>
      </c>
      <c r="Q6" s="27" t="n">
        <v>46144</v>
      </c>
      <c r="S6" s="25">
        <f>IF($B6="",0,IF(OR($L6="Yes",$J6="Critical"),1,0))</f>
        <v/>
      </c>
      <c r="T6" s="25">
        <f>IF($S6=1,SUM($S$4:$S6),"")</f>
        <v/>
      </c>
    </row>
    <row r="7" ht="30" customHeight="1">
      <c r="B7" s="18">
        <f>IF(COUNTA($D7)=0,"","A"&amp;TEXT(ROW()-3,"000"))</f>
        <v/>
      </c>
      <c r="C7" s="26" t="n"/>
      <c r="D7" s="26" t="n"/>
      <c r="E7" s="26" t="n"/>
      <c r="F7" s="26" t="n"/>
      <c r="G7" s="28" t="n"/>
      <c r="H7" s="28" t="n"/>
      <c r="I7" s="26" t="n"/>
      <c r="J7" s="26" t="n"/>
      <c r="K7" s="18">
        <f>IF($C7="","",IF(O7&lt;&gt;"",O7-G7,TODAY()-G7))</f>
        <v/>
      </c>
      <c r="L7" s="18">
        <f>IF(OR($C7="",I7="Closed",H7=""),"No",IF(H7&lt;TODAY(),"Yes","No"))</f>
        <v/>
      </c>
      <c r="M7" s="26" t="n"/>
      <c r="N7" s="26" t="n"/>
      <c r="O7" s="28" t="n"/>
      <c r="P7" s="26" t="n"/>
      <c r="Q7" s="28" t="n"/>
      <c r="S7" s="25">
        <f>IF($B7="",0,IF(OR($L7="Yes",$J7="Critical"),1,0))</f>
        <v/>
      </c>
      <c r="T7" s="25">
        <f>IF($S7=1,SUM($S$4:$S7),"")</f>
        <v/>
      </c>
    </row>
    <row r="8" ht="30" customHeight="1">
      <c r="B8" s="16">
        <f>IF(COUNTA($D8)=0,"","A"&amp;TEXT(ROW()-3,"000"))</f>
        <v/>
      </c>
      <c r="C8" s="24" t="n"/>
      <c r="D8" s="24" t="n"/>
      <c r="E8" s="24" t="n"/>
      <c r="F8" s="24" t="n"/>
      <c r="G8" s="27" t="n"/>
      <c r="H8" s="27" t="n"/>
      <c r="I8" s="24" t="n"/>
      <c r="J8" s="24" t="n"/>
      <c r="K8" s="16">
        <f>IF($C8="","",IF(O8&lt;&gt;"",O8-G8,TODAY()-G8))</f>
        <v/>
      </c>
      <c r="L8" s="16">
        <f>IF(OR($C8="",I8="Closed",H8=""),"No",IF(H8&lt;TODAY(),"Yes","No"))</f>
        <v/>
      </c>
      <c r="M8" s="24" t="n"/>
      <c r="N8" s="24" t="n"/>
      <c r="O8" s="27" t="n"/>
      <c r="P8" s="24" t="n"/>
      <c r="Q8" s="27" t="n"/>
      <c r="S8" s="25">
        <f>IF($B8="",0,IF(OR($L8="Yes",$J8="Critical"),1,0))</f>
        <v/>
      </c>
      <c r="T8" s="25">
        <f>IF($S8=1,SUM($S$4:$S8),"")</f>
        <v/>
      </c>
    </row>
    <row r="9" ht="30" customHeight="1">
      <c r="B9" s="18">
        <f>IF(COUNTA($D9)=0,"","A"&amp;TEXT(ROW()-3,"000"))</f>
        <v/>
      </c>
      <c r="C9" s="26" t="n"/>
      <c r="D9" s="26" t="n"/>
      <c r="E9" s="26" t="n"/>
      <c r="F9" s="26" t="n"/>
      <c r="G9" s="28" t="n"/>
      <c r="H9" s="28" t="n"/>
      <c r="I9" s="26" t="n"/>
      <c r="J9" s="26" t="n"/>
      <c r="K9" s="18">
        <f>IF($C9="","",IF(O9&lt;&gt;"",O9-G9,TODAY()-G9))</f>
        <v/>
      </c>
      <c r="L9" s="18">
        <f>IF(OR($C9="",I9="Closed",H9=""),"No",IF(H9&lt;TODAY(),"Yes","No"))</f>
        <v/>
      </c>
      <c r="M9" s="26" t="n"/>
      <c r="N9" s="26" t="n"/>
      <c r="O9" s="28" t="n"/>
      <c r="P9" s="26" t="n"/>
      <c r="Q9" s="28" t="n"/>
      <c r="S9" s="25">
        <f>IF($B9="",0,IF(OR($L9="Yes",$J9="Critical"),1,0))</f>
        <v/>
      </c>
      <c r="T9" s="25">
        <f>IF($S9=1,SUM($S$4:$S9),"")</f>
        <v/>
      </c>
    </row>
    <row r="10" ht="30" customHeight="1">
      <c r="B10" s="16">
        <f>IF(COUNTA($D10)=0,"","A"&amp;TEXT(ROW()-3,"000"))</f>
        <v/>
      </c>
      <c r="C10" s="24" t="n"/>
      <c r="D10" s="24" t="n"/>
      <c r="E10" s="24" t="n"/>
      <c r="F10" s="24" t="n"/>
      <c r="G10" s="27" t="n"/>
      <c r="H10" s="27" t="n"/>
      <c r="I10" s="24" t="n"/>
      <c r="J10" s="24" t="n"/>
      <c r="K10" s="16">
        <f>IF($C10="","",IF(O10&lt;&gt;"",O10-G10,TODAY()-G10))</f>
        <v/>
      </c>
      <c r="L10" s="16">
        <f>IF(OR($C10="",I10="Closed",H10=""),"No",IF(H10&lt;TODAY(),"Yes","No"))</f>
        <v/>
      </c>
      <c r="M10" s="24" t="n"/>
      <c r="N10" s="24" t="n"/>
      <c r="O10" s="27" t="n"/>
      <c r="P10" s="24" t="n"/>
      <c r="Q10" s="27" t="n"/>
      <c r="S10" s="25">
        <f>IF($B10="",0,IF(OR($L10="Yes",$J10="Critical"),1,0))</f>
        <v/>
      </c>
      <c r="T10" s="25">
        <f>IF($S10=1,SUM($S$4:$S10),"")</f>
        <v/>
      </c>
    </row>
    <row r="11" ht="30" customHeight="1">
      <c r="B11" s="18">
        <f>IF(COUNTA($D11)=0,"","A"&amp;TEXT(ROW()-3,"000"))</f>
        <v/>
      </c>
      <c r="C11" s="26" t="n"/>
      <c r="D11" s="26" t="n"/>
      <c r="E11" s="26" t="n"/>
      <c r="F11" s="26" t="n"/>
      <c r="G11" s="28" t="n"/>
      <c r="H11" s="28" t="n"/>
      <c r="I11" s="26" t="n"/>
      <c r="J11" s="26" t="n"/>
      <c r="K11" s="18">
        <f>IF($C11="","",IF(O11&lt;&gt;"",O11-G11,TODAY()-G11))</f>
        <v/>
      </c>
      <c r="L11" s="18">
        <f>IF(OR($C11="",I11="Closed",H11=""),"No",IF(H11&lt;TODAY(),"Yes","No"))</f>
        <v/>
      </c>
      <c r="M11" s="26" t="n"/>
      <c r="N11" s="26" t="n"/>
      <c r="O11" s="28" t="n"/>
      <c r="P11" s="26" t="n"/>
      <c r="Q11" s="28" t="n"/>
      <c r="S11" s="25">
        <f>IF($B11="",0,IF(OR($L11="Yes",$J11="Critical"),1,0))</f>
        <v/>
      </c>
      <c r="T11" s="25">
        <f>IF($S11=1,SUM($S$4:$S11),"")</f>
        <v/>
      </c>
    </row>
    <row r="12" ht="30" customHeight="1">
      <c r="B12" s="16">
        <f>IF(COUNTA($D12)=0,"","A"&amp;TEXT(ROW()-3,"000"))</f>
        <v/>
      </c>
      <c r="C12" s="24" t="n"/>
      <c r="D12" s="24" t="n"/>
      <c r="E12" s="24" t="n"/>
      <c r="F12" s="24" t="n"/>
      <c r="G12" s="27" t="n"/>
      <c r="H12" s="27" t="n"/>
      <c r="I12" s="24" t="n"/>
      <c r="J12" s="24" t="n"/>
      <c r="K12" s="16">
        <f>IF($C12="","",IF(O12&lt;&gt;"",O12-G12,TODAY()-G12))</f>
        <v/>
      </c>
      <c r="L12" s="16">
        <f>IF(OR($C12="",I12="Closed",H12=""),"No",IF(H12&lt;TODAY(),"Yes","No"))</f>
        <v/>
      </c>
      <c r="M12" s="24" t="n"/>
      <c r="N12" s="24" t="n"/>
      <c r="O12" s="27" t="n"/>
      <c r="P12" s="24" t="n"/>
      <c r="Q12" s="27" t="n"/>
      <c r="S12" s="25">
        <f>IF($B12="",0,IF(OR($L12="Yes",$J12="Critical"),1,0))</f>
        <v/>
      </c>
      <c r="T12" s="25">
        <f>IF($S12=1,SUM($S$4:$S12),"")</f>
        <v/>
      </c>
    </row>
    <row r="13" ht="30" customHeight="1">
      <c r="B13" s="18">
        <f>IF(COUNTA($D13)=0,"","A"&amp;TEXT(ROW()-3,"000"))</f>
        <v/>
      </c>
      <c r="C13" s="26" t="n"/>
      <c r="D13" s="26" t="n"/>
      <c r="E13" s="26" t="n"/>
      <c r="F13" s="26" t="n"/>
      <c r="G13" s="28" t="n"/>
      <c r="H13" s="28" t="n"/>
      <c r="I13" s="26" t="n"/>
      <c r="J13" s="26" t="n"/>
      <c r="K13" s="18">
        <f>IF($C13="","",IF(O13&lt;&gt;"",O13-G13,TODAY()-G13))</f>
        <v/>
      </c>
      <c r="L13" s="18">
        <f>IF(OR($C13="",I13="Closed",H13=""),"No",IF(H13&lt;TODAY(),"Yes","No"))</f>
        <v/>
      </c>
      <c r="M13" s="26" t="n"/>
      <c r="N13" s="26" t="n"/>
      <c r="O13" s="28" t="n"/>
      <c r="P13" s="26" t="n"/>
      <c r="Q13" s="28" t="n"/>
      <c r="S13" s="25">
        <f>IF($B13="",0,IF(OR($L13="Yes",$J13="Critical"),1,0))</f>
        <v/>
      </c>
      <c r="T13" s="25">
        <f>IF($S13=1,SUM($S$4:$S13),"")</f>
        <v/>
      </c>
    </row>
    <row r="14" ht="30" customHeight="1">
      <c r="B14" s="16">
        <f>IF(COUNTA($D14)=0,"","A"&amp;TEXT(ROW()-3,"000"))</f>
        <v/>
      </c>
      <c r="C14" s="24" t="n"/>
      <c r="D14" s="24" t="n"/>
      <c r="E14" s="24" t="n"/>
      <c r="F14" s="24" t="n"/>
      <c r="G14" s="27" t="n"/>
      <c r="H14" s="27" t="n"/>
      <c r="I14" s="24" t="n"/>
      <c r="J14" s="24" t="n"/>
      <c r="K14" s="16">
        <f>IF($C14="","",IF(O14&lt;&gt;"",O14-G14,TODAY()-G14))</f>
        <v/>
      </c>
      <c r="L14" s="16">
        <f>IF(OR($C14="",I14="Closed",H14=""),"No",IF(H14&lt;TODAY(),"Yes","No"))</f>
        <v/>
      </c>
      <c r="M14" s="24" t="n"/>
      <c r="N14" s="24" t="n"/>
      <c r="O14" s="27" t="n"/>
      <c r="P14" s="24" t="n"/>
      <c r="Q14" s="27" t="n"/>
      <c r="S14" s="25">
        <f>IF($B14="",0,IF(OR($L14="Yes",$J14="Critical"),1,0))</f>
        <v/>
      </c>
      <c r="T14" s="25">
        <f>IF($S14=1,SUM($S$4:$S14),"")</f>
        <v/>
      </c>
    </row>
    <row r="15" ht="30" customHeight="1">
      <c r="B15" s="18">
        <f>IF(COUNTA($D15)=0,"","A"&amp;TEXT(ROW()-3,"000"))</f>
        <v/>
      </c>
      <c r="C15" s="26" t="n"/>
      <c r="D15" s="26" t="n"/>
      <c r="E15" s="26" t="n"/>
      <c r="F15" s="26" t="n"/>
      <c r="G15" s="28" t="n"/>
      <c r="H15" s="28" t="n"/>
      <c r="I15" s="26" t="n"/>
      <c r="J15" s="26" t="n"/>
      <c r="K15" s="18">
        <f>IF($C15="","",IF(O15&lt;&gt;"",O15-G15,TODAY()-G15))</f>
        <v/>
      </c>
      <c r="L15" s="18">
        <f>IF(OR($C15="",I15="Closed",H15=""),"No",IF(H15&lt;TODAY(),"Yes","No"))</f>
        <v/>
      </c>
      <c r="M15" s="26" t="n"/>
      <c r="N15" s="26" t="n"/>
      <c r="O15" s="28" t="n"/>
      <c r="P15" s="26" t="n"/>
      <c r="Q15" s="28" t="n"/>
      <c r="S15" s="25">
        <f>IF($B15="",0,IF(OR($L15="Yes",$J15="Critical"),1,0))</f>
        <v/>
      </c>
      <c r="T15" s="25">
        <f>IF($S15=1,SUM($S$4:$S15),"")</f>
        <v/>
      </c>
    </row>
    <row r="16" ht="30" customHeight="1">
      <c r="B16" s="16">
        <f>IF(COUNTA($D16)=0,"","A"&amp;TEXT(ROW()-3,"000"))</f>
        <v/>
      </c>
      <c r="C16" s="24" t="n"/>
      <c r="D16" s="24" t="n"/>
      <c r="E16" s="24" t="n"/>
      <c r="F16" s="24" t="n"/>
      <c r="G16" s="27" t="n"/>
      <c r="H16" s="27" t="n"/>
      <c r="I16" s="24" t="n"/>
      <c r="J16" s="24" t="n"/>
      <c r="K16" s="16">
        <f>IF($C16="","",IF(O16&lt;&gt;"",O16-G16,TODAY()-G16))</f>
        <v/>
      </c>
      <c r="L16" s="16">
        <f>IF(OR($C16="",I16="Closed",H16=""),"No",IF(H16&lt;TODAY(),"Yes","No"))</f>
        <v/>
      </c>
      <c r="M16" s="24" t="n"/>
      <c r="N16" s="24" t="n"/>
      <c r="O16" s="27" t="n"/>
      <c r="P16" s="24" t="n"/>
      <c r="Q16" s="27" t="n"/>
      <c r="S16" s="25">
        <f>IF($B16="",0,IF(OR($L16="Yes",$J16="Critical"),1,0))</f>
        <v/>
      </c>
      <c r="T16" s="25">
        <f>IF($S16=1,SUM($S$4:$S16),"")</f>
        <v/>
      </c>
    </row>
    <row r="17" ht="30" customHeight="1">
      <c r="B17" s="18">
        <f>IF(COUNTA($D17)=0,"","A"&amp;TEXT(ROW()-3,"000"))</f>
        <v/>
      </c>
      <c r="C17" s="26" t="n"/>
      <c r="D17" s="26" t="n"/>
      <c r="E17" s="26" t="n"/>
      <c r="F17" s="26" t="n"/>
      <c r="G17" s="28" t="n"/>
      <c r="H17" s="28" t="n"/>
      <c r="I17" s="26" t="n"/>
      <c r="J17" s="26" t="n"/>
      <c r="K17" s="18">
        <f>IF($C17="","",IF(O17&lt;&gt;"",O17-G17,TODAY()-G17))</f>
        <v/>
      </c>
      <c r="L17" s="18">
        <f>IF(OR($C17="",I17="Closed",H17=""),"No",IF(H17&lt;TODAY(),"Yes","No"))</f>
        <v/>
      </c>
      <c r="M17" s="26" t="n"/>
      <c r="N17" s="26" t="n"/>
      <c r="O17" s="28" t="n"/>
      <c r="P17" s="26" t="n"/>
      <c r="Q17" s="28" t="n"/>
      <c r="S17" s="25">
        <f>IF($B17="",0,IF(OR($L17="Yes",$J17="Critical"),1,0))</f>
        <v/>
      </c>
      <c r="T17" s="25">
        <f>IF($S17=1,SUM($S$4:$S17),"")</f>
        <v/>
      </c>
    </row>
    <row r="18" ht="30" customHeight="1">
      <c r="B18" s="16">
        <f>IF(COUNTA($D18)=0,"","A"&amp;TEXT(ROW()-3,"000"))</f>
        <v/>
      </c>
      <c r="C18" s="24" t="n"/>
      <c r="D18" s="24" t="n"/>
      <c r="E18" s="24" t="n"/>
      <c r="F18" s="24" t="n"/>
      <c r="G18" s="27" t="n"/>
      <c r="H18" s="27" t="n"/>
      <c r="I18" s="24" t="n"/>
      <c r="J18" s="24" t="n"/>
      <c r="K18" s="16">
        <f>IF($C18="","",IF(O18&lt;&gt;"",O18-G18,TODAY()-G18))</f>
        <v/>
      </c>
      <c r="L18" s="16">
        <f>IF(OR($C18="",I18="Closed",H18=""),"No",IF(H18&lt;TODAY(),"Yes","No"))</f>
        <v/>
      </c>
      <c r="M18" s="24" t="n"/>
      <c r="N18" s="24" t="n"/>
      <c r="O18" s="27" t="n"/>
      <c r="P18" s="24" t="n"/>
      <c r="Q18" s="27" t="n"/>
      <c r="S18" s="25">
        <f>IF($B18="",0,IF(OR($L18="Yes",$J18="Critical"),1,0))</f>
        <v/>
      </c>
      <c r="T18" s="25">
        <f>IF($S18=1,SUM($S$4:$S18),"")</f>
        <v/>
      </c>
    </row>
    <row r="19" ht="30" customHeight="1">
      <c r="B19" s="18">
        <f>IF(COUNTA($D19)=0,"","A"&amp;TEXT(ROW()-3,"000"))</f>
        <v/>
      </c>
      <c r="C19" s="26" t="n"/>
      <c r="D19" s="26" t="n"/>
      <c r="E19" s="26" t="n"/>
      <c r="F19" s="26" t="n"/>
      <c r="G19" s="28" t="n"/>
      <c r="H19" s="28" t="n"/>
      <c r="I19" s="26" t="n"/>
      <c r="J19" s="26" t="n"/>
      <c r="K19" s="18">
        <f>IF($C19="","",IF(O19&lt;&gt;"",O19-G19,TODAY()-G19))</f>
        <v/>
      </c>
      <c r="L19" s="18">
        <f>IF(OR($C19="",I19="Closed",H19=""),"No",IF(H19&lt;TODAY(),"Yes","No"))</f>
        <v/>
      </c>
      <c r="M19" s="26" t="n"/>
      <c r="N19" s="26" t="n"/>
      <c r="O19" s="28" t="n"/>
      <c r="P19" s="26" t="n"/>
      <c r="Q19" s="28" t="n"/>
      <c r="S19" s="25">
        <f>IF($B19="",0,IF(OR($L19="Yes",$J19="Critical"),1,0))</f>
        <v/>
      </c>
      <c r="T19" s="25">
        <f>IF($S19=1,SUM($S$4:$S19),"")</f>
        <v/>
      </c>
    </row>
    <row r="20" ht="30" customHeight="1">
      <c r="B20" s="16">
        <f>IF(COUNTA($D20)=0,"","A"&amp;TEXT(ROW()-3,"000"))</f>
        <v/>
      </c>
      <c r="C20" s="24" t="n"/>
      <c r="D20" s="24" t="n"/>
      <c r="E20" s="24" t="n"/>
      <c r="F20" s="24" t="n"/>
      <c r="G20" s="27" t="n"/>
      <c r="H20" s="27" t="n"/>
      <c r="I20" s="24" t="n"/>
      <c r="J20" s="24" t="n"/>
      <c r="K20" s="16">
        <f>IF($C20="","",IF(O20&lt;&gt;"",O20-G20,TODAY()-G20))</f>
        <v/>
      </c>
      <c r="L20" s="16">
        <f>IF(OR($C20="",I20="Closed",H20=""),"No",IF(H20&lt;TODAY(),"Yes","No"))</f>
        <v/>
      </c>
      <c r="M20" s="24" t="n"/>
      <c r="N20" s="24" t="n"/>
      <c r="O20" s="27" t="n"/>
      <c r="P20" s="24" t="n"/>
      <c r="Q20" s="27" t="n"/>
      <c r="S20" s="25">
        <f>IF($B20="",0,IF(OR($L20="Yes",$J20="Critical"),1,0))</f>
        <v/>
      </c>
      <c r="T20" s="25">
        <f>IF($S20=1,SUM($S$4:$S20),"")</f>
        <v/>
      </c>
    </row>
    <row r="21" ht="30" customHeight="1">
      <c r="B21" s="18">
        <f>IF(COUNTA($D21)=0,"","A"&amp;TEXT(ROW()-3,"000"))</f>
        <v/>
      </c>
      <c r="C21" s="26" t="n"/>
      <c r="D21" s="26" t="n"/>
      <c r="E21" s="26" t="n"/>
      <c r="F21" s="26" t="n"/>
      <c r="G21" s="28" t="n"/>
      <c r="H21" s="28" t="n"/>
      <c r="I21" s="26" t="n"/>
      <c r="J21" s="26" t="n"/>
      <c r="K21" s="18">
        <f>IF($C21="","",IF(O21&lt;&gt;"",O21-G21,TODAY()-G21))</f>
        <v/>
      </c>
      <c r="L21" s="18">
        <f>IF(OR($C21="",I21="Closed",H21=""),"No",IF(H21&lt;TODAY(),"Yes","No"))</f>
        <v/>
      </c>
      <c r="M21" s="26" t="n"/>
      <c r="N21" s="26" t="n"/>
      <c r="O21" s="28" t="n"/>
      <c r="P21" s="26" t="n"/>
      <c r="Q21" s="28" t="n"/>
      <c r="S21" s="25">
        <f>IF($B21="",0,IF(OR($L21="Yes",$J21="Critical"),1,0))</f>
        <v/>
      </c>
      <c r="T21" s="25">
        <f>IF($S21=1,SUM($S$4:$S21),"")</f>
        <v/>
      </c>
    </row>
    <row r="22" ht="30" customHeight="1">
      <c r="B22" s="16">
        <f>IF(COUNTA($D22)=0,"","A"&amp;TEXT(ROW()-3,"000"))</f>
        <v/>
      </c>
      <c r="C22" s="24" t="n"/>
      <c r="D22" s="24" t="n"/>
      <c r="E22" s="24" t="n"/>
      <c r="F22" s="24" t="n"/>
      <c r="G22" s="27" t="n"/>
      <c r="H22" s="27" t="n"/>
      <c r="I22" s="24" t="n"/>
      <c r="J22" s="24" t="n"/>
      <c r="K22" s="16">
        <f>IF($C22="","",IF(O22&lt;&gt;"",O22-G22,TODAY()-G22))</f>
        <v/>
      </c>
      <c r="L22" s="16">
        <f>IF(OR($C22="",I22="Closed",H22=""),"No",IF(H22&lt;TODAY(),"Yes","No"))</f>
        <v/>
      </c>
      <c r="M22" s="24" t="n"/>
      <c r="N22" s="24" t="n"/>
      <c r="O22" s="27" t="n"/>
      <c r="P22" s="24" t="n"/>
      <c r="Q22" s="27" t="n"/>
      <c r="S22" s="25">
        <f>IF($B22="",0,IF(OR($L22="Yes",$J22="Critical"),1,0))</f>
        <v/>
      </c>
      <c r="T22" s="25">
        <f>IF($S22=1,SUM($S$4:$S22),"")</f>
        <v/>
      </c>
    </row>
    <row r="23" ht="30" customHeight="1">
      <c r="B23" s="18">
        <f>IF(COUNTA($D23)=0,"","A"&amp;TEXT(ROW()-3,"000"))</f>
        <v/>
      </c>
      <c r="C23" s="26" t="n"/>
      <c r="D23" s="26" t="n"/>
      <c r="E23" s="26" t="n"/>
      <c r="F23" s="26" t="n"/>
      <c r="G23" s="28" t="n"/>
      <c r="H23" s="28" t="n"/>
      <c r="I23" s="26" t="n"/>
      <c r="J23" s="26" t="n"/>
      <c r="K23" s="18">
        <f>IF($C23="","",IF(O23&lt;&gt;"",O23-G23,TODAY()-G23))</f>
        <v/>
      </c>
      <c r="L23" s="18">
        <f>IF(OR($C23="",I23="Closed",H23=""),"No",IF(H23&lt;TODAY(),"Yes","No"))</f>
        <v/>
      </c>
      <c r="M23" s="26" t="n"/>
      <c r="N23" s="26" t="n"/>
      <c r="O23" s="28" t="n"/>
      <c r="P23" s="26" t="n"/>
      <c r="Q23" s="28" t="n"/>
      <c r="S23" s="25">
        <f>IF($B23="",0,IF(OR($L23="Yes",$J23="Critical"),1,0))</f>
        <v/>
      </c>
      <c r="T23" s="25">
        <f>IF($S23=1,SUM($S$4:$S23),"")</f>
        <v/>
      </c>
    </row>
    <row r="24" ht="30" customHeight="1">
      <c r="B24" s="16">
        <f>IF(COUNTA($D24)=0,"","A"&amp;TEXT(ROW()-3,"000"))</f>
        <v/>
      </c>
      <c r="C24" s="24" t="n"/>
      <c r="D24" s="24" t="n"/>
      <c r="E24" s="24" t="n"/>
      <c r="F24" s="24" t="n"/>
      <c r="G24" s="27" t="n"/>
      <c r="H24" s="27" t="n"/>
      <c r="I24" s="24" t="n"/>
      <c r="J24" s="24" t="n"/>
      <c r="K24" s="16">
        <f>IF($C24="","",IF(O24&lt;&gt;"",O24-G24,TODAY()-G24))</f>
        <v/>
      </c>
      <c r="L24" s="16">
        <f>IF(OR($C24="",I24="Closed",H24=""),"No",IF(H24&lt;TODAY(),"Yes","No"))</f>
        <v/>
      </c>
      <c r="M24" s="24" t="n"/>
      <c r="N24" s="24" t="n"/>
      <c r="O24" s="27" t="n"/>
      <c r="P24" s="24" t="n"/>
      <c r="Q24" s="27" t="n"/>
      <c r="S24" s="25">
        <f>IF($B24="",0,IF(OR($L24="Yes",$J24="Critical"),1,0))</f>
        <v/>
      </c>
      <c r="T24" s="25">
        <f>IF($S24=1,SUM($S$4:$S24),"")</f>
        <v/>
      </c>
    </row>
    <row r="25" ht="30" customHeight="1">
      <c r="B25" s="18">
        <f>IF(COUNTA($D25)=0,"","A"&amp;TEXT(ROW()-3,"000"))</f>
        <v/>
      </c>
      <c r="C25" s="26" t="n"/>
      <c r="D25" s="26" t="n"/>
      <c r="E25" s="26" t="n"/>
      <c r="F25" s="26" t="n"/>
      <c r="G25" s="28" t="n"/>
      <c r="H25" s="28" t="n"/>
      <c r="I25" s="26" t="n"/>
      <c r="J25" s="26" t="n"/>
      <c r="K25" s="18">
        <f>IF($C25="","",IF(O25&lt;&gt;"",O25-G25,TODAY()-G25))</f>
        <v/>
      </c>
      <c r="L25" s="18">
        <f>IF(OR($C25="",I25="Closed",H25=""),"No",IF(H25&lt;TODAY(),"Yes","No"))</f>
        <v/>
      </c>
      <c r="M25" s="26" t="n"/>
      <c r="N25" s="26" t="n"/>
      <c r="O25" s="28" t="n"/>
      <c r="P25" s="26" t="n"/>
      <c r="Q25" s="28" t="n"/>
      <c r="S25" s="25">
        <f>IF($B25="",0,IF(OR($L25="Yes",$J25="Critical"),1,0))</f>
        <v/>
      </c>
      <c r="T25" s="25">
        <f>IF($S25=1,SUM($S$4:$S25),"")</f>
        <v/>
      </c>
    </row>
    <row r="26" ht="30" customHeight="1">
      <c r="B26" s="16">
        <f>IF(COUNTA($D26)=0,"","A"&amp;TEXT(ROW()-3,"000"))</f>
        <v/>
      </c>
      <c r="C26" s="24" t="n"/>
      <c r="D26" s="24" t="n"/>
      <c r="E26" s="24" t="n"/>
      <c r="F26" s="24" t="n"/>
      <c r="G26" s="27" t="n"/>
      <c r="H26" s="27" t="n"/>
      <c r="I26" s="24" t="n"/>
      <c r="J26" s="24" t="n"/>
      <c r="K26" s="16">
        <f>IF($C26="","",IF(O26&lt;&gt;"",O26-G26,TODAY()-G26))</f>
        <v/>
      </c>
      <c r="L26" s="16">
        <f>IF(OR($C26="",I26="Closed",H26=""),"No",IF(H26&lt;TODAY(),"Yes","No"))</f>
        <v/>
      </c>
      <c r="M26" s="24" t="n"/>
      <c r="N26" s="24" t="n"/>
      <c r="O26" s="27" t="n"/>
      <c r="P26" s="24" t="n"/>
      <c r="Q26" s="27" t="n"/>
      <c r="S26" s="25">
        <f>IF($B26="",0,IF(OR($L26="Yes",$J26="Critical"),1,0))</f>
        <v/>
      </c>
      <c r="T26" s="25">
        <f>IF($S26=1,SUM($S$4:$S26),"")</f>
        <v/>
      </c>
    </row>
    <row r="27" ht="30" customHeight="1">
      <c r="B27" s="18">
        <f>IF(COUNTA($D27)=0,"","A"&amp;TEXT(ROW()-3,"000"))</f>
        <v/>
      </c>
      <c r="C27" s="26" t="n"/>
      <c r="D27" s="26" t="n"/>
      <c r="E27" s="26" t="n"/>
      <c r="F27" s="26" t="n"/>
      <c r="G27" s="28" t="n"/>
      <c r="H27" s="28" t="n"/>
      <c r="I27" s="26" t="n"/>
      <c r="J27" s="26" t="n"/>
      <c r="K27" s="18">
        <f>IF($C27="","",IF(O27&lt;&gt;"",O27-G27,TODAY()-G27))</f>
        <v/>
      </c>
      <c r="L27" s="18">
        <f>IF(OR($C27="",I27="Closed",H27=""),"No",IF(H27&lt;TODAY(),"Yes","No"))</f>
        <v/>
      </c>
      <c r="M27" s="26" t="n"/>
      <c r="N27" s="26" t="n"/>
      <c r="O27" s="28" t="n"/>
      <c r="P27" s="26" t="n"/>
      <c r="Q27" s="28" t="n"/>
      <c r="S27" s="25">
        <f>IF($B27="",0,IF(OR($L27="Yes",$J27="Critical"),1,0))</f>
        <v/>
      </c>
      <c r="T27" s="25">
        <f>IF($S27=1,SUM($S$4:$S27),"")</f>
        <v/>
      </c>
    </row>
    <row r="28" ht="30" customHeight="1">
      <c r="B28" s="16">
        <f>IF(COUNTA($D28)=0,"","A"&amp;TEXT(ROW()-3,"000"))</f>
        <v/>
      </c>
      <c r="C28" s="24" t="n"/>
      <c r="D28" s="24" t="n"/>
      <c r="E28" s="24" t="n"/>
      <c r="F28" s="24" t="n"/>
      <c r="G28" s="27" t="n"/>
      <c r="H28" s="27" t="n"/>
      <c r="I28" s="24" t="n"/>
      <c r="J28" s="24" t="n"/>
      <c r="K28" s="16">
        <f>IF($C28="","",IF(O28&lt;&gt;"",O28-G28,TODAY()-G28))</f>
        <v/>
      </c>
      <c r="L28" s="16">
        <f>IF(OR($C28="",I28="Closed",H28=""),"No",IF(H28&lt;TODAY(),"Yes","No"))</f>
        <v/>
      </c>
      <c r="M28" s="24" t="n"/>
      <c r="N28" s="24" t="n"/>
      <c r="O28" s="27" t="n"/>
      <c r="P28" s="24" t="n"/>
      <c r="Q28" s="27" t="n"/>
      <c r="S28" s="25">
        <f>IF($B28="",0,IF(OR($L28="Yes",$J28="Critical"),1,0))</f>
        <v/>
      </c>
      <c r="T28" s="25">
        <f>IF($S28=1,SUM($S$4:$S28),"")</f>
        <v/>
      </c>
    </row>
    <row r="29" ht="30" customHeight="1">
      <c r="B29" s="18">
        <f>IF(COUNTA($D29)=0,"","A"&amp;TEXT(ROW()-3,"000"))</f>
        <v/>
      </c>
      <c r="C29" s="26" t="n"/>
      <c r="D29" s="26" t="n"/>
      <c r="E29" s="26" t="n"/>
      <c r="F29" s="26" t="n"/>
      <c r="G29" s="28" t="n"/>
      <c r="H29" s="28" t="n"/>
      <c r="I29" s="26" t="n"/>
      <c r="J29" s="26" t="n"/>
      <c r="K29" s="18">
        <f>IF($C29="","",IF(O29&lt;&gt;"",O29-G29,TODAY()-G29))</f>
        <v/>
      </c>
      <c r="L29" s="18">
        <f>IF(OR($C29="",I29="Closed",H29=""),"No",IF(H29&lt;TODAY(),"Yes","No"))</f>
        <v/>
      </c>
      <c r="M29" s="26" t="n"/>
      <c r="N29" s="26" t="n"/>
      <c r="O29" s="28" t="n"/>
      <c r="P29" s="26" t="n"/>
      <c r="Q29" s="28" t="n"/>
      <c r="S29" s="25">
        <f>IF($B29="",0,IF(OR($L29="Yes",$J29="Critical"),1,0))</f>
        <v/>
      </c>
      <c r="T29" s="25">
        <f>IF($S29=1,SUM($S$4:$S29),"")</f>
        <v/>
      </c>
    </row>
    <row r="30" ht="30" customHeight="1">
      <c r="B30" s="16">
        <f>IF(COUNTA($D30)=0,"","A"&amp;TEXT(ROW()-3,"000"))</f>
        <v/>
      </c>
      <c r="C30" s="24" t="n"/>
      <c r="D30" s="24" t="n"/>
      <c r="E30" s="24" t="n"/>
      <c r="F30" s="24" t="n"/>
      <c r="G30" s="27" t="n"/>
      <c r="H30" s="27" t="n"/>
      <c r="I30" s="24" t="n"/>
      <c r="J30" s="24" t="n"/>
      <c r="K30" s="16">
        <f>IF($C30="","",IF(O30&lt;&gt;"",O30-G30,TODAY()-G30))</f>
        <v/>
      </c>
      <c r="L30" s="16">
        <f>IF(OR($C30="",I30="Closed",H30=""),"No",IF(H30&lt;TODAY(),"Yes","No"))</f>
        <v/>
      </c>
      <c r="M30" s="24" t="n"/>
      <c r="N30" s="24" t="n"/>
      <c r="O30" s="27" t="n"/>
      <c r="P30" s="24" t="n"/>
      <c r="Q30" s="27" t="n"/>
      <c r="S30" s="25">
        <f>IF($B30="",0,IF(OR($L30="Yes",$J30="Critical"),1,0))</f>
        <v/>
      </c>
      <c r="T30" s="25">
        <f>IF($S30=1,SUM($S$4:$S30),"")</f>
        <v/>
      </c>
    </row>
    <row r="31" ht="30" customHeight="1">
      <c r="B31" s="18">
        <f>IF(COUNTA($D31)=0,"","A"&amp;TEXT(ROW()-3,"000"))</f>
        <v/>
      </c>
      <c r="C31" s="26" t="n"/>
      <c r="D31" s="26" t="n"/>
      <c r="E31" s="26" t="n"/>
      <c r="F31" s="26" t="n"/>
      <c r="G31" s="28" t="n"/>
      <c r="H31" s="28" t="n"/>
      <c r="I31" s="26" t="n"/>
      <c r="J31" s="26" t="n"/>
      <c r="K31" s="18">
        <f>IF($C31="","",IF(O31&lt;&gt;"",O31-G31,TODAY()-G31))</f>
        <v/>
      </c>
      <c r="L31" s="18">
        <f>IF(OR($C31="",I31="Closed",H31=""),"No",IF(H31&lt;TODAY(),"Yes","No"))</f>
        <v/>
      </c>
      <c r="M31" s="26" t="n"/>
      <c r="N31" s="26" t="n"/>
      <c r="O31" s="28" t="n"/>
      <c r="P31" s="26" t="n"/>
      <c r="Q31" s="28" t="n"/>
      <c r="S31" s="25">
        <f>IF($B31="",0,IF(OR($L31="Yes",$J31="Critical"),1,0))</f>
        <v/>
      </c>
      <c r="T31" s="25">
        <f>IF($S31=1,SUM($S$4:$S31),"")</f>
        <v/>
      </c>
    </row>
    <row r="32" ht="30" customHeight="1">
      <c r="B32" s="16">
        <f>IF(COUNTA($D32)=0,"","A"&amp;TEXT(ROW()-3,"000"))</f>
        <v/>
      </c>
      <c r="C32" s="24" t="n"/>
      <c r="D32" s="24" t="n"/>
      <c r="E32" s="24" t="n"/>
      <c r="F32" s="24" t="n"/>
      <c r="G32" s="27" t="n"/>
      <c r="H32" s="27" t="n"/>
      <c r="I32" s="24" t="n"/>
      <c r="J32" s="24" t="n"/>
      <c r="K32" s="16">
        <f>IF($C32="","",IF(O32&lt;&gt;"",O32-G32,TODAY()-G32))</f>
        <v/>
      </c>
      <c r="L32" s="16">
        <f>IF(OR($C32="",I32="Closed",H32=""),"No",IF(H32&lt;TODAY(),"Yes","No"))</f>
        <v/>
      </c>
      <c r="M32" s="24" t="n"/>
      <c r="N32" s="24" t="n"/>
      <c r="O32" s="27" t="n"/>
      <c r="P32" s="24" t="n"/>
      <c r="Q32" s="27" t="n"/>
      <c r="S32" s="25">
        <f>IF($B32="",0,IF(OR($L32="Yes",$J32="Critical"),1,0))</f>
        <v/>
      </c>
      <c r="T32" s="25">
        <f>IF($S32=1,SUM($S$4:$S32),"")</f>
        <v/>
      </c>
    </row>
    <row r="33" ht="30" customHeight="1">
      <c r="B33" s="18">
        <f>IF(COUNTA($D33)=0,"","A"&amp;TEXT(ROW()-3,"000"))</f>
        <v/>
      </c>
      <c r="C33" s="26" t="n"/>
      <c r="D33" s="26" t="n"/>
      <c r="E33" s="26" t="n"/>
      <c r="F33" s="26" t="n"/>
      <c r="G33" s="28" t="n"/>
      <c r="H33" s="28" t="n"/>
      <c r="I33" s="26" t="n"/>
      <c r="J33" s="26" t="n"/>
      <c r="K33" s="18">
        <f>IF($C33="","",IF(O33&lt;&gt;"",O33-G33,TODAY()-G33))</f>
        <v/>
      </c>
      <c r="L33" s="18">
        <f>IF(OR($C33="",I33="Closed",H33=""),"No",IF(H33&lt;TODAY(),"Yes","No"))</f>
        <v/>
      </c>
      <c r="M33" s="26" t="n"/>
      <c r="N33" s="26" t="n"/>
      <c r="O33" s="28" t="n"/>
      <c r="P33" s="26" t="n"/>
      <c r="Q33" s="28" t="n"/>
      <c r="S33" s="25">
        <f>IF($B33="",0,IF(OR($L33="Yes",$J33="Critical"),1,0))</f>
        <v/>
      </c>
      <c r="T33" s="25">
        <f>IF($S33=1,SUM($S$4:$S33),"")</f>
        <v/>
      </c>
    </row>
  </sheetData>
  <conditionalFormatting sqref="B4:Q33">
    <cfRule type="expression" priority="1" dxfId="3">
      <formula>AND($I4&lt;&gt;"Closed",$L4="Yes")</formula>
    </cfRule>
    <cfRule type="expression" priority="2" dxfId="5">
      <formula>AND($I4&lt;&gt;"Closed",$L4&lt;&gt;"Yes",$H4&lt;&gt;"",$H4&lt;=TODAY()+DUE_SOON_DAYS)</formula>
    </cfRule>
    <cfRule type="expression" priority="3" dxfId="2">
      <formula>$I4="Closed"</formula>
    </cfRule>
    <cfRule type="expression" priority="4" dxfId="6">
      <formula>$I4="On Hold"</formula>
    </cfRule>
    <cfRule type="expression" priority="5" dxfId="7">
      <formula>AND($I4&lt;&gt;"Closed",$I4&lt;&gt;"On Hold",$L4&lt;&gt;"Yes",OR($H4="",$H4&gt;TODAY()+DUE_SOON_DAYS))</formula>
    </cfRule>
  </conditionalFormatting>
  <dataValidations count="3">
    <dataValidation sqref="C4:C33" showDropDown="0" showInputMessage="0" showErrorMessage="0" allowBlank="1" type="list">
      <formula1>='02_Topic_Register'!$B$4:$B$33</formula1>
    </dataValidation>
    <dataValidation sqref="I4:I33" showDropDown="0" showInputMessage="0" showErrorMessage="0" allowBlank="1" type="list">
      <formula1>=LIST_ACTION_STATUS</formula1>
    </dataValidation>
    <dataValidation sqref="J4:J33" showDropDown="0" showInputMessage="0" showErrorMessage="0" allowBlank="1" type="list">
      <formula1>=LIST_PRIORITY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15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1" customWidth="1" min="2" max="2"/>
    <col width="13" customWidth="1" min="3" max="3"/>
    <col width="10" customWidth="1" min="4" max="4"/>
    <col width="10" customWidth="1" min="5" max="5"/>
    <col width="34" customWidth="1" min="6" max="6"/>
    <col width="26" customWidth="1" min="7" max="7"/>
    <col width="15" customWidth="1" min="8" max="8"/>
    <col width="15" customWidth="1" min="9" max="9"/>
    <col width="14" customWidth="1" min="10" max="10"/>
  </cols>
  <sheetData>
    <row r="2" ht="26" customHeight="1">
      <c r="B2" s="1" t="inlineStr">
        <is>
          <t>Update History</t>
        </is>
      </c>
      <c r="F2" s="20" t="inlineStr">
        <is>
          <t>Legend:  Blue text = fill in yourself   |   Black text = automatic formula, do not overtype   |   Grey columns = automation helpers, do not edit</t>
        </is>
      </c>
    </row>
    <row r="3" ht="30" customHeight="1">
      <c r="B3" s="15" t="inlineStr">
        <is>
          <t>Update ID</t>
        </is>
      </c>
      <c r="C3" s="15" t="inlineStr">
        <is>
          <t>Meeting Date</t>
        </is>
      </c>
      <c r="D3" s="15" t="inlineStr">
        <is>
          <t>Topic ID</t>
        </is>
      </c>
      <c r="E3" s="15" t="inlineStr">
        <is>
          <t>Action ID</t>
        </is>
      </c>
      <c r="F3" s="15" t="inlineStr">
        <is>
          <t>Update</t>
        </is>
      </c>
      <c r="G3" s="15" t="inlineStr">
        <is>
          <t>Decision</t>
        </is>
      </c>
      <c r="H3" s="15" t="inlineStr">
        <is>
          <t>Previous Status</t>
        </is>
      </c>
      <c r="I3" s="15" t="inlineStr">
        <is>
          <t>New Status</t>
        </is>
      </c>
      <c r="J3" s="15" t="inlineStr">
        <is>
          <t>Updated By</t>
        </is>
      </c>
    </row>
    <row r="4" ht="30" customHeight="1">
      <c r="B4" s="16">
        <f>IF(COUNTA($C4)=0,"","U"&amp;TEXT(ROW()-3,"0000"))</f>
        <v/>
      </c>
      <c r="C4" s="27" t="n">
        <v>46206</v>
      </c>
      <c r="D4" s="24" t="inlineStr">
        <is>
          <t>T001</t>
        </is>
      </c>
      <c r="E4" s="24" t="inlineStr">
        <is>
          <t>A001</t>
        </is>
      </c>
      <c r="F4" s="24" t="inlineStr">
        <is>
          <t>Functional test complete. One punch item remains (instrumentation calibration).</t>
        </is>
      </c>
      <c r="G4" s="24" t="inlineStr"/>
      <c r="H4" s="24" t="inlineStr">
        <is>
          <t>Monitoring</t>
        </is>
      </c>
      <c r="I4" s="24" t="inlineStr">
        <is>
          <t>Open</t>
        </is>
      </c>
      <c r="J4" s="24" t="inlineStr">
        <is>
          <t>J. Smith</t>
        </is>
      </c>
    </row>
    <row r="5" ht="30" customHeight="1">
      <c r="B5" s="18">
        <f>IF(COUNTA($C5)=0,"","U"&amp;TEXT(ROW()-3,"0000"))</f>
        <v/>
      </c>
      <c r="C5" s="28" t="n">
        <v>46178</v>
      </c>
      <c r="D5" s="26" t="inlineStr">
        <is>
          <t>T002</t>
        </is>
      </c>
      <c r="E5" s="26" t="inlineStr">
        <is>
          <t>A002</t>
        </is>
      </c>
      <c r="F5" s="26" t="inlineStr">
        <is>
          <t>6 of 10 ITPs signed off; contractor slow to close remaining 4.</t>
        </is>
      </c>
      <c r="G5" s="26" t="inlineStr">
        <is>
          <t>Agreed to formally escalate to contractor PM.</t>
        </is>
      </c>
      <c r="H5" s="26" t="inlineStr">
        <is>
          <t>Open</t>
        </is>
      </c>
      <c r="I5" s="26" t="inlineStr">
        <is>
          <t>Monitoring</t>
        </is>
      </c>
      <c r="J5" s="26" t="inlineStr">
        <is>
          <t>A. Diallo</t>
        </is>
      </c>
    </row>
    <row r="6" ht="30" customHeight="1">
      <c r="B6" s="16">
        <f>IF(COUNTA($C6)=0,"","U"&amp;TEXT(ROW()-3,"0000"))</f>
        <v/>
      </c>
      <c r="C6" s="27" t="n">
        <v>46144</v>
      </c>
      <c r="D6" s="24" t="inlineStr">
        <is>
          <t>T003</t>
        </is>
      </c>
      <c r="E6" s="24" t="inlineStr">
        <is>
          <t>A003</t>
        </is>
      </c>
      <c r="F6" s="24" t="inlineStr">
        <is>
          <t>Interface clearance confirmed by both mechanical and electrical leads.</t>
        </is>
      </c>
      <c r="G6" s="24" t="inlineStr">
        <is>
          <t>Topic closed.</t>
        </is>
      </c>
      <c r="H6" s="24" t="inlineStr">
        <is>
          <t>Open</t>
        </is>
      </c>
      <c r="I6" s="24" t="inlineStr">
        <is>
          <t>Closed</t>
        </is>
      </c>
      <c r="J6" s="24" t="inlineStr">
        <is>
          <t>M. Chen</t>
        </is>
      </c>
    </row>
    <row r="7" ht="30" customHeight="1">
      <c r="B7" s="18">
        <f>IF(COUNTA($C7)=0,"","U"&amp;TEXT(ROW()-3,"0000"))</f>
        <v/>
      </c>
      <c r="C7" s="28" t="n"/>
      <c r="D7" s="26" t="n"/>
      <c r="E7" s="26" t="n"/>
      <c r="F7" s="26" t="n"/>
      <c r="G7" s="26" t="n"/>
      <c r="H7" s="26" t="n"/>
      <c r="I7" s="26" t="n"/>
      <c r="J7" s="26" t="n"/>
    </row>
    <row r="8" ht="30" customHeight="1">
      <c r="B8" s="16">
        <f>IF(COUNTA($C8)=0,"","U"&amp;TEXT(ROW()-3,"0000"))</f>
        <v/>
      </c>
      <c r="C8" s="27" t="n"/>
      <c r="D8" s="24" t="n"/>
      <c r="E8" s="24" t="n"/>
      <c r="F8" s="24" t="n"/>
      <c r="G8" s="24" t="n"/>
      <c r="H8" s="24" t="n"/>
      <c r="I8" s="24" t="n"/>
      <c r="J8" s="24" t="n"/>
    </row>
    <row r="9" ht="30" customHeight="1">
      <c r="B9" s="18">
        <f>IF(COUNTA($C9)=0,"","U"&amp;TEXT(ROW()-3,"0000"))</f>
        <v/>
      </c>
      <c r="C9" s="28" t="n"/>
      <c r="D9" s="26" t="n"/>
      <c r="E9" s="26" t="n"/>
      <c r="F9" s="26" t="n"/>
      <c r="G9" s="26" t="n"/>
      <c r="H9" s="26" t="n"/>
      <c r="I9" s="26" t="n"/>
      <c r="J9" s="26" t="n"/>
    </row>
    <row r="10" ht="30" customHeight="1">
      <c r="B10" s="16">
        <f>IF(COUNTA($C10)=0,"","U"&amp;TEXT(ROW()-3,"0000"))</f>
        <v/>
      </c>
      <c r="C10" s="27" t="n"/>
      <c r="D10" s="24" t="n"/>
      <c r="E10" s="24" t="n"/>
      <c r="F10" s="24" t="n"/>
      <c r="G10" s="24" t="n"/>
      <c r="H10" s="24" t="n"/>
      <c r="I10" s="24" t="n"/>
      <c r="J10" s="24" t="n"/>
    </row>
    <row r="11" ht="30" customHeight="1">
      <c r="B11" s="18">
        <f>IF(COUNTA($C11)=0,"","U"&amp;TEXT(ROW()-3,"0000"))</f>
        <v/>
      </c>
      <c r="C11" s="28" t="n"/>
      <c r="D11" s="26" t="n"/>
      <c r="E11" s="26" t="n"/>
      <c r="F11" s="26" t="n"/>
      <c r="G11" s="26" t="n"/>
      <c r="H11" s="26" t="n"/>
      <c r="I11" s="26" t="n"/>
      <c r="J11" s="26" t="n"/>
    </row>
    <row r="12" ht="30" customHeight="1">
      <c r="B12" s="16">
        <f>IF(COUNTA($C12)=0,"","U"&amp;TEXT(ROW()-3,"0000"))</f>
        <v/>
      </c>
      <c r="C12" s="27" t="n"/>
      <c r="D12" s="24" t="n"/>
      <c r="E12" s="24" t="n"/>
      <c r="F12" s="24" t="n"/>
      <c r="G12" s="24" t="n"/>
      <c r="H12" s="24" t="n"/>
      <c r="I12" s="24" t="n"/>
      <c r="J12" s="24" t="n"/>
    </row>
    <row r="13" ht="30" customHeight="1">
      <c r="B13" s="18">
        <f>IF(COUNTA($C13)=0,"","U"&amp;TEXT(ROW()-3,"0000"))</f>
        <v/>
      </c>
      <c r="C13" s="28" t="n"/>
      <c r="D13" s="26" t="n"/>
      <c r="E13" s="26" t="n"/>
      <c r="F13" s="26" t="n"/>
      <c r="G13" s="26" t="n"/>
      <c r="H13" s="26" t="n"/>
      <c r="I13" s="26" t="n"/>
      <c r="J13" s="26" t="n"/>
    </row>
    <row r="14" ht="30" customHeight="1">
      <c r="B14" s="16">
        <f>IF(COUNTA($C14)=0,"","U"&amp;TEXT(ROW()-3,"0000"))</f>
        <v/>
      </c>
      <c r="C14" s="27" t="n"/>
      <c r="D14" s="24" t="n"/>
      <c r="E14" s="24" t="n"/>
      <c r="F14" s="24" t="n"/>
      <c r="G14" s="24" t="n"/>
      <c r="H14" s="24" t="n"/>
      <c r="I14" s="24" t="n"/>
      <c r="J14" s="24" t="n"/>
    </row>
    <row r="15" ht="30" customHeight="1">
      <c r="B15" s="18">
        <f>IF(COUNTA($C15)=0,"","U"&amp;TEXT(ROW()-3,"0000"))</f>
        <v/>
      </c>
      <c r="C15" s="28" t="n"/>
      <c r="D15" s="26" t="n"/>
      <c r="E15" s="26" t="n"/>
      <c r="F15" s="26" t="n"/>
      <c r="G15" s="26" t="n"/>
      <c r="H15" s="26" t="n"/>
      <c r="I15" s="26" t="n"/>
      <c r="J15" s="26" t="n"/>
    </row>
    <row r="16" ht="30" customHeight="1">
      <c r="B16" s="16">
        <f>IF(COUNTA($C16)=0,"","U"&amp;TEXT(ROW()-3,"0000"))</f>
        <v/>
      </c>
      <c r="C16" s="27" t="n"/>
      <c r="D16" s="24" t="n"/>
      <c r="E16" s="24" t="n"/>
      <c r="F16" s="24" t="n"/>
      <c r="G16" s="24" t="n"/>
      <c r="H16" s="24" t="n"/>
      <c r="I16" s="24" t="n"/>
      <c r="J16" s="24" t="n"/>
    </row>
    <row r="17" ht="30" customHeight="1">
      <c r="B17" s="18">
        <f>IF(COUNTA($C17)=0,"","U"&amp;TEXT(ROW()-3,"0000"))</f>
        <v/>
      </c>
      <c r="C17" s="28" t="n"/>
      <c r="D17" s="26" t="n"/>
      <c r="E17" s="26" t="n"/>
      <c r="F17" s="26" t="n"/>
      <c r="G17" s="26" t="n"/>
      <c r="H17" s="26" t="n"/>
      <c r="I17" s="26" t="n"/>
      <c r="J17" s="26" t="n"/>
    </row>
    <row r="18" ht="30" customHeight="1">
      <c r="B18" s="16">
        <f>IF(COUNTA($C18)=0,"","U"&amp;TEXT(ROW()-3,"0000"))</f>
        <v/>
      </c>
      <c r="C18" s="27" t="n"/>
      <c r="D18" s="24" t="n"/>
      <c r="E18" s="24" t="n"/>
      <c r="F18" s="24" t="n"/>
      <c r="G18" s="24" t="n"/>
      <c r="H18" s="24" t="n"/>
      <c r="I18" s="24" t="n"/>
      <c r="J18" s="24" t="n"/>
    </row>
    <row r="19" ht="30" customHeight="1">
      <c r="B19" s="18">
        <f>IF(COUNTA($C19)=0,"","U"&amp;TEXT(ROW()-3,"0000"))</f>
        <v/>
      </c>
      <c r="C19" s="28" t="n"/>
      <c r="D19" s="26" t="n"/>
      <c r="E19" s="26" t="n"/>
      <c r="F19" s="26" t="n"/>
      <c r="G19" s="26" t="n"/>
      <c r="H19" s="26" t="n"/>
      <c r="I19" s="26" t="n"/>
      <c r="J19" s="26" t="n"/>
    </row>
    <row r="20" ht="30" customHeight="1">
      <c r="B20" s="16">
        <f>IF(COUNTA($C20)=0,"","U"&amp;TEXT(ROW()-3,"0000"))</f>
        <v/>
      </c>
      <c r="C20" s="27" t="n"/>
      <c r="D20" s="24" t="n"/>
      <c r="E20" s="24" t="n"/>
      <c r="F20" s="24" t="n"/>
      <c r="G20" s="24" t="n"/>
      <c r="H20" s="24" t="n"/>
      <c r="I20" s="24" t="n"/>
      <c r="J20" s="24" t="n"/>
    </row>
    <row r="21" ht="30" customHeight="1">
      <c r="B21" s="18">
        <f>IF(COUNTA($C21)=0,"","U"&amp;TEXT(ROW()-3,"0000"))</f>
        <v/>
      </c>
      <c r="C21" s="28" t="n"/>
      <c r="D21" s="26" t="n"/>
      <c r="E21" s="26" t="n"/>
      <c r="F21" s="26" t="n"/>
      <c r="G21" s="26" t="n"/>
      <c r="H21" s="26" t="n"/>
      <c r="I21" s="26" t="n"/>
      <c r="J21" s="26" t="n"/>
    </row>
    <row r="22" ht="30" customHeight="1">
      <c r="B22" s="16">
        <f>IF(COUNTA($C22)=0,"","U"&amp;TEXT(ROW()-3,"0000"))</f>
        <v/>
      </c>
      <c r="C22" s="27" t="n"/>
      <c r="D22" s="24" t="n"/>
      <c r="E22" s="24" t="n"/>
      <c r="F22" s="24" t="n"/>
      <c r="G22" s="24" t="n"/>
      <c r="H22" s="24" t="n"/>
      <c r="I22" s="24" t="n"/>
      <c r="J22" s="24" t="n"/>
    </row>
    <row r="23" ht="30" customHeight="1">
      <c r="B23" s="18">
        <f>IF(COUNTA($C23)=0,"","U"&amp;TEXT(ROW()-3,"0000"))</f>
        <v/>
      </c>
      <c r="C23" s="28" t="n"/>
      <c r="D23" s="26" t="n"/>
      <c r="E23" s="26" t="n"/>
      <c r="F23" s="26" t="n"/>
      <c r="G23" s="26" t="n"/>
      <c r="H23" s="26" t="n"/>
      <c r="I23" s="26" t="n"/>
      <c r="J23" s="26" t="n"/>
    </row>
    <row r="24" ht="30" customHeight="1">
      <c r="B24" s="16">
        <f>IF(COUNTA($C24)=0,"","U"&amp;TEXT(ROW()-3,"0000"))</f>
        <v/>
      </c>
      <c r="C24" s="27" t="n"/>
      <c r="D24" s="24" t="n"/>
      <c r="E24" s="24" t="n"/>
      <c r="F24" s="24" t="n"/>
      <c r="G24" s="24" t="n"/>
      <c r="H24" s="24" t="n"/>
      <c r="I24" s="24" t="n"/>
      <c r="J24" s="24" t="n"/>
    </row>
    <row r="25" ht="30" customHeight="1">
      <c r="B25" s="18">
        <f>IF(COUNTA($C25)=0,"","U"&amp;TEXT(ROW()-3,"0000"))</f>
        <v/>
      </c>
      <c r="C25" s="28" t="n"/>
      <c r="D25" s="26" t="n"/>
      <c r="E25" s="26" t="n"/>
      <c r="F25" s="26" t="n"/>
      <c r="G25" s="26" t="n"/>
      <c r="H25" s="26" t="n"/>
      <c r="I25" s="26" t="n"/>
      <c r="J25" s="26" t="n"/>
    </row>
    <row r="26" ht="30" customHeight="1">
      <c r="B26" s="16">
        <f>IF(COUNTA($C26)=0,"","U"&amp;TEXT(ROW()-3,"0000"))</f>
        <v/>
      </c>
      <c r="C26" s="27" t="n"/>
      <c r="D26" s="24" t="n"/>
      <c r="E26" s="24" t="n"/>
      <c r="F26" s="24" t="n"/>
      <c r="G26" s="24" t="n"/>
      <c r="H26" s="24" t="n"/>
      <c r="I26" s="24" t="n"/>
      <c r="J26" s="24" t="n"/>
    </row>
    <row r="27" ht="30" customHeight="1">
      <c r="B27" s="18">
        <f>IF(COUNTA($C27)=0,"","U"&amp;TEXT(ROW()-3,"0000"))</f>
        <v/>
      </c>
      <c r="C27" s="28" t="n"/>
      <c r="D27" s="26" t="n"/>
      <c r="E27" s="26" t="n"/>
      <c r="F27" s="26" t="n"/>
      <c r="G27" s="26" t="n"/>
      <c r="H27" s="26" t="n"/>
      <c r="I27" s="26" t="n"/>
      <c r="J27" s="26" t="n"/>
    </row>
    <row r="28" ht="30" customHeight="1">
      <c r="B28" s="16">
        <f>IF(COUNTA($C28)=0,"","U"&amp;TEXT(ROW()-3,"0000"))</f>
        <v/>
      </c>
      <c r="C28" s="27" t="n"/>
      <c r="D28" s="24" t="n"/>
      <c r="E28" s="24" t="n"/>
      <c r="F28" s="24" t="n"/>
      <c r="G28" s="24" t="n"/>
      <c r="H28" s="24" t="n"/>
      <c r="I28" s="24" t="n"/>
      <c r="J28" s="24" t="n"/>
    </row>
    <row r="29" ht="30" customHeight="1">
      <c r="B29" s="18">
        <f>IF(COUNTA($C29)=0,"","U"&amp;TEXT(ROW()-3,"0000"))</f>
        <v/>
      </c>
      <c r="C29" s="28" t="n"/>
      <c r="D29" s="26" t="n"/>
      <c r="E29" s="26" t="n"/>
      <c r="F29" s="26" t="n"/>
      <c r="G29" s="26" t="n"/>
      <c r="H29" s="26" t="n"/>
      <c r="I29" s="26" t="n"/>
      <c r="J29" s="26" t="n"/>
    </row>
    <row r="30" ht="30" customHeight="1">
      <c r="B30" s="16">
        <f>IF(COUNTA($C30)=0,"","U"&amp;TEXT(ROW()-3,"0000"))</f>
        <v/>
      </c>
      <c r="C30" s="27" t="n"/>
      <c r="D30" s="24" t="n"/>
      <c r="E30" s="24" t="n"/>
      <c r="F30" s="24" t="n"/>
      <c r="G30" s="24" t="n"/>
      <c r="H30" s="24" t="n"/>
      <c r="I30" s="24" t="n"/>
      <c r="J30" s="24" t="n"/>
    </row>
    <row r="31" ht="30" customHeight="1">
      <c r="B31" s="18">
        <f>IF(COUNTA($C31)=0,"","U"&amp;TEXT(ROW()-3,"0000"))</f>
        <v/>
      </c>
      <c r="C31" s="28" t="n"/>
      <c r="D31" s="26" t="n"/>
      <c r="E31" s="26" t="n"/>
      <c r="F31" s="26" t="n"/>
      <c r="G31" s="26" t="n"/>
      <c r="H31" s="26" t="n"/>
      <c r="I31" s="26" t="n"/>
      <c r="J31" s="26" t="n"/>
    </row>
    <row r="32" ht="30" customHeight="1">
      <c r="B32" s="16">
        <f>IF(COUNTA($C32)=0,"","U"&amp;TEXT(ROW()-3,"0000"))</f>
        <v/>
      </c>
      <c r="C32" s="27" t="n"/>
      <c r="D32" s="24" t="n"/>
      <c r="E32" s="24" t="n"/>
      <c r="F32" s="24" t="n"/>
      <c r="G32" s="24" t="n"/>
      <c r="H32" s="24" t="n"/>
      <c r="I32" s="24" t="n"/>
      <c r="J32" s="24" t="n"/>
    </row>
    <row r="33" ht="30" customHeight="1">
      <c r="B33" s="18">
        <f>IF(COUNTA($C33)=0,"","U"&amp;TEXT(ROW()-3,"0000"))</f>
        <v/>
      </c>
      <c r="C33" s="28" t="n"/>
      <c r="D33" s="26" t="n"/>
      <c r="E33" s="26" t="n"/>
      <c r="F33" s="26" t="n"/>
      <c r="G33" s="26" t="n"/>
      <c r="H33" s="26" t="n"/>
      <c r="I33" s="26" t="n"/>
      <c r="J33" s="26" t="n"/>
    </row>
    <row r="34" ht="30" customHeight="1">
      <c r="B34" s="16">
        <f>IF(COUNTA($C34)=0,"","U"&amp;TEXT(ROW()-3,"0000"))</f>
        <v/>
      </c>
      <c r="C34" s="27" t="n"/>
      <c r="D34" s="24" t="n"/>
      <c r="E34" s="24" t="n"/>
      <c r="F34" s="24" t="n"/>
      <c r="G34" s="24" t="n"/>
      <c r="H34" s="24" t="n"/>
      <c r="I34" s="24" t="n"/>
      <c r="J34" s="24" t="n"/>
    </row>
    <row r="35" ht="30" customHeight="1">
      <c r="B35" s="18">
        <f>IF(COUNTA($C35)=0,"","U"&amp;TEXT(ROW()-3,"0000"))</f>
        <v/>
      </c>
      <c r="C35" s="28" t="n"/>
      <c r="D35" s="26" t="n"/>
      <c r="E35" s="26" t="n"/>
      <c r="F35" s="26" t="n"/>
      <c r="G35" s="26" t="n"/>
      <c r="H35" s="26" t="n"/>
      <c r="I35" s="26" t="n"/>
      <c r="J35" s="26" t="n"/>
    </row>
    <row r="36" ht="30" customHeight="1">
      <c r="B36" s="16">
        <f>IF(COUNTA($C36)=0,"","U"&amp;TEXT(ROW()-3,"0000"))</f>
        <v/>
      </c>
      <c r="C36" s="27" t="n"/>
      <c r="D36" s="24" t="n"/>
      <c r="E36" s="24" t="n"/>
      <c r="F36" s="24" t="n"/>
      <c r="G36" s="24" t="n"/>
      <c r="H36" s="24" t="n"/>
      <c r="I36" s="24" t="n"/>
      <c r="J36" s="24" t="n"/>
    </row>
    <row r="37" ht="30" customHeight="1">
      <c r="B37" s="18">
        <f>IF(COUNTA($C37)=0,"","U"&amp;TEXT(ROW()-3,"0000"))</f>
        <v/>
      </c>
      <c r="C37" s="28" t="n"/>
      <c r="D37" s="26" t="n"/>
      <c r="E37" s="26" t="n"/>
      <c r="F37" s="26" t="n"/>
      <c r="G37" s="26" t="n"/>
      <c r="H37" s="26" t="n"/>
      <c r="I37" s="26" t="n"/>
      <c r="J37" s="26" t="n"/>
    </row>
    <row r="38" ht="30" customHeight="1">
      <c r="B38" s="16">
        <f>IF(COUNTA($C38)=0,"","U"&amp;TEXT(ROW()-3,"0000"))</f>
        <v/>
      </c>
      <c r="C38" s="27" t="n"/>
      <c r="D38" s="24" t="n"/>
      <c r="E38" s="24" t="n"/>
      <c r="F38" s="24" t="n"/>
      <c r="G38" s="24" t="n"/>
      <c r="H38" s="24" t="n"/>
      <c r="I38" s="24" t="n"/>
      <c r="J38" s="24" t="n"/>
    </row>
    <row r="39" ht="30" customHeight="1">
      <c r="B39" s="18">
        <f>IF(COUNTA($C39)=0,"","U"&amp;TEXT(ROW()-3,"0000"))</f>
        <v/>
      </c>
      <c r="C39" s="28" t="n"/>
      <c r="D39" s="26" t="n"/>
      <c r="E39" s="26" t="n"/>
      <c r="F39" s="26" t="n"/>
      <c r="G39" s="26" t="n"/>
      <c r="H39" s="26" t="n"/>
      <c r="I39" s="26" t="n"/>
      <c r="J39" s="26" t="n"/>
    </row>
    <row r="40" ht="30" customHeight="1">
      <c r="B40" s="16">
        <f>IF(COUNTA($C40)=0,"","U"&amp;TEXT(ROW()-3,"0000"))</f>
        <v/>
      </c>
      <c r="C40" s="27" t="n"/>
      <c r="D40" s="24" t="n"/>
      <c r="E40" s="24" t="n"/>
      <c r="F40" s="24" t="n"/>
      <c r="G40" s="24" t="n"/>
      <c r="H40" s="24" t="n"/>
      <c r="I40" s="24" t="n"/>
      <c r="J40" s="24" t="n"/>
    </row>
    <row r="41" ht="30" customHeight="1">
      <c r="B41" s="18">
        <f>IF(COUNTA($C41)=0,"","U"&amp;TEXT(ROW()-3,"0000"))</f>
        <v/>
      </c>
      <c r="C41" s="28" t="n"/>
      <c r="D41" s="26" t="n"/>
      <c r="E41" s="26" t="n"/>
      <c r="F41" s="26" t="n"/>
      <c r="G41" s="26" t="n"/>
      <c r="H41" s="26" t="n"/>
      <c r="I41" s="26" t="n"/>
      <c r="J41" s="26" t="n"/>
    </row>
    <row r="42" ht="30" customHeight="1">
      <c r="B42" s="16">
        <f>IF(COUNTA($C42)=0,"","U"&amp;TEXT(ROW()-3,"0000"))</f>
        <v/>
      </c>
      <c r="C42" s="27" t="n"/>
      <c r="D42" s="24" t="n"/>
      <c r="E42" s="24" t="n"/>
      <c r="F42" s="24" t="n"/>
      <c r="G42" s="24" t="n"/>
      <c r="H42" s="24" t="n"/>
      <c r="I42" s="24" t="n"/>
      <c r="J42" s="24" t="n"/>
    </row>
    <row r="43" ht="30" customHeight="1">
      <c r="B43" s="18">
        <f>IF(COUNTA($C43)=0,"","U"&amp;TEXT(ROW()-3,"0000"))</f>
        <v/>
      </c>
      <c r="C43" s="28" t="n"/>
      <c r="D43" s="26" t="n"/>
      <c r="E43" s="26" t="n"/>
      <c r="F43" s="26" t="n"/>
      <c r="G43" s="26" t="n"/>
      <c r="H43" s="26" t="n"/>
      <c r="I43" s="26" t="n"/>
      <c r="J43" s="26" t="n"/>
    </row>
    <row r="44" ht="30" customHeight="1">
      <c r="B44" s="16">
        <f>IF(COUNTA($C44)=0,"","U"&amp;TEXT(ROW()-3,"0000"))</f>
        <v/>
      </c>
      <c r="C44" s="27" t="n"/>
      <c r="D44" s="24" t="n"/>
      <c r="E44" s="24" t="n"/>
      <c r="F44" s="24" t="n"/>
      <c r="G44" s="24" t="n"/>
      <c r="H44" s="24" t="n"/>
      <c r="I44" s="24" t="n"/>
      <c r="J44" s="24" t="n"/>
    </row>
    <row r="45" ht="30" customHeight="1">
      <c r="B45" s="18">
        <f>IF(COUNTA($C45)=0,"","U"&amp;TEXT(ROW()-3,"0000"))</f>
        <v/>
      </c>
      <c r="C45" s="28" t="n"/>
      <c r="D45" s="26" t="n"/>
      <c r="E45" s="26" t="n"/>
      <c r="F45" s="26" t="n"/>
      <c r="G45" s="26" t="n"/>
      <c r="H45" s="26" t="n"/>
      <c r="I45" s="26" t="n"/>
      <c r="J45" s="26" t="n"/>
    </row>
    <row r="46" ht="30" customHeight="1">
      <c r="B46" s="16">
        <f>IF(COUNTA($C46)=0,"","U"&amp;TEXT(ROW()-3,"0000"))</f>
        <v/>
      </c>
      <c r="C46" s="27" t="n"/>
      <c r="D46" s="24" t="n"/>
      <c r="E46" s="24" t="n"/>
      <c r="F46" s="24" t="n"/>
      <c r="G46" s="24" t="n"/>
      <c r="H46" s="24" t="n"/>
      <c r="I46" s="24" t="n"/>
      <c r="J46" s="24" t="n"/>
    </row>
    <row r="47" ht="30" customHeight="1">
      <c r="B47" s="18">
        <f>IF(COUNTA($C47)=0,"","U"&amp;TEXT(ROW()-3,"0000"))</f>
        <v/>
      </c>
      <c r="C47" s="28" t="n"/>
      <c r="D47" s="26" t="n"/>
      <c r="E47" s="26" t="n"/>
      <c r="F47" s="26" t="n"/>
      <c r="G47" s="26" t="n"/>
      <c r="H47" s="26" t="n"/>
      <c r="I47" s="26" t="n"/>
      <c r="J47" s="26" t="n"/>
    </row>
    <row r="48" ht="30" customHeight="1">
      <c r="B48" s="16">
        <f>IF(COUNTA($C48)=0,"","U"&amp;TEXT(ROW()-3,"0000"))</f>
        <v/>
      </c>
      <c r="C48" s="27" t="n"/>
      <c r="D48" s="24" t="n"/>
      <c r="E48" s="24" t="n"/>
      <c r="F48" s="24" t="n"/>
      <c r="G48" s="24" t="n"/>
      <c r="H48" s="24" t="n"/>
      <c r="I48" s="24" t="n"/>
      <c r="J48" s="24" t="n"/>
    </row>
    <row r="49" ht="30" customHeight="1">
      <c r="B49" s="18">
        <f>IF(COUNTA($C49)=0,"","U"&amp;TEXT(ROW()-3,"0000"))</f>
        <v/>
      </c>
      <c r="C49" s="28" t="n"/>
      <c r="D49" s="26" t="n"/>
      <c r="E49" s="26" t="n"/>
      <c r="F49" s="26" t="n"/>
      <c r="G49" s="26" t="n"/>
      <c r="H49" s="26" t="n"/>
      <c r="I49" s="26" t="n"/>
      <c r="J49" s="26" t="n"/>
    </row>
    <row r="50" ht="30" customHeight="1">
      <c r="B50" s="16">
        <f>IF(COUNTA($C50)=0,"","U"&amp;TEXT(ROW()-3,"0000"))</f>
        <v/>
      </c>
      <c r="C50" s="27" t="n"/>
      <c r="D50" s="24" t="n"/>
      <c r="E50" s="24" t="n"/>
      <c r="F50" s="24" t="n"/>
      <c r="G50" s="24" t="n"/>
      <c r="H50" s="24" t="n"/>
      <c r="I50" s="24" t="n"/>
      <c r="J50" s="24" t="n"/>
    </row>
    <row r="51" ht="30" customHeight="1">
      <c r="B51" s="18">
        <f>IF(COUNTA($C51)=0,"","U"&amp;TEXT(ROW()-3,"0000"))</f>
        <v/>
      </c>
      <c r="C51" s="28" t="n"/>
      <c r="D51" s="26" t="n"/>
      <c r="E51" s="26" t="n"/>
      <c r="F51" s="26" t="n"/>
      <c r="G51" s="26" t="n"/>
      <c r="H51" s="26" t="n"/>
      <c r="I51" s="26" t="n"/>
      <c r="J51" s="26" t="n"/>
    </row>
    <row r="52" ht="30" customHeight="1">
      <c r="B52" s="16">
        <f>IF(COUNTA($C52)=0,"","U"&amp;TEXT(ROW()-3,"0000"))</f>
        <v/>
      </c>
      <c r="C52" s="27" t="n"/>
      <c r="D52" s="24" t="n"/>
      <c r="E52" s="24" t="n"/>
      <c r="F52" s="24" t="n"/>
      <c r="G52" s="24" t="n"/>
      <c r="H52" s="24" t="n"/>
      <c r="I52" s="24" t="n"/>
      <c r="J52" s="24" t="n"/>
    </row>
    <row r="53" ht="30" customHeight="1">
      <c r="B53" s="18">
        <f>IF(COUNTA($C53)=0,"","U"&amp;TEXT(ROW()-3,"0000"))</f>
        <v/>
      </c>
      <c r="C53" s="28" t="n"/>
      <c r="D53" s="26" t="n"/>
      <c r="E53" s="26" t="n"/>
      <c r="F53" s="26" t="n"/>
      <c r="G53" s="26" t="n"/>
      <c r="H53" s="26" t="n"/>
      <c r="I53" s="26" t="n"/>
      <c r="J53" s="26" t="n"/>
    </row>
    <row r="54" ht="30" customHeight="1">
      <c r="B54" s="16">
        <f>IF(COUNTA($C54)=0,"","U"&amp;TEXT(ROW()-3,"0000"))</f>
        <v/>
      </c>
      <c r="C54" s="27" t="n"/>
      <c r="D54" s="24" t="n"/>
      <c r="E54" s="24" t="n"/>
      <c r="F54" s="24" t="n"/>
      <c r="G54" s="24" t="n"/>
      <c r="H54" s="24" t="n"/>
      <c r="I54" s="24" t="n"/>
      <c r="J54" s="24" t="n"/>
    </row>
    <row r="55" ht="30" customHeight="1">
      <c r="B55" s="18">
        <f>IF(COUNTA($C55)=0,"","U"&amp;TEXT(ROW()-3,"0000"))</f>
        <v/>
      </c>
      <c r="C55" s="28" t="n"/>
      <c r="D55" s="26" t="n"/>
      <c r="E55" s="26" t="n"/>
      <c r="F55" s="26" t="n"/>
      <c r="G55" s="26" t="n"/>
      <c r="H55" s="26" t="n"/>
      <c r="I55" s="26" t="n"/>
      <c r="J55" s="26" t="n"/>
    </row>
    <row r="56" ht="30" customHeight="1">
      <c r="B56" s="16">
        <f>IF(COUNTA($C56)=0,"","U"&amp;TEXT(ROW()-3,"0000"))</f>
        <v/>
      </c>
      <c r="C56" s="27" t="n"/>
      <c r="D56" s="24" t="n"/>
      <c r="E56" s="24" t="n"/>
      <c r="F56" s="24" t="n"/>
      <c r="G56" s="24" t="n"/>
      <c r="H56" s="24" t="n"/>
      <c r="I56" s="24" t="n"/>
      <c r="J56" s="24" t="n"/>
    </row>
    <row r="57" ht="30" customHeight="1">
      <c r="B57" s="18">
        <f>IF(COUNTA($C57)=0,"","U"&amp;TEXT(ROW()-3,"0000"))</f>
        <v/>
      </c>
      <c r="C57" s="28" t="n"/>
      <c r="D57" s="26" t="n"/>
      <c r="E57" s="26" t="n"/>
      <c r="F57" s="26" t="n"/>
      <c r="G57" s="26" t="n"/>
      <c r="H57" s="26" t="n"/>
      <c r="I57" s="26" t="n"/>
      <c r="J57" s="26" t="n"/>
    </row>
    <row r="58" ht="30" customHeight="1">
      <c r="B58" s="16">
        <f>IF(COUNTA($C58)=0,"","U"&amp;TEXT(ROW()-3,"0000"))</f>
        <v/>
      </c>
      <c r="C58" s="27" t="n"/>
      <c r="D58" s="24" t="n"/>
      <c r="E58" s="24" t="n"/>
      <c r="F58" s="24" t="n"/>
      <c r="G58" s="24" t="n"/>
      <c r="H58" s="24" t="n"/>
      <c r="I58" s="24" t="n"/>
      <c r="J58" s="24" t="n"/>
    </row>
    <row r="59" ht="30" customHeight="1">
      <c r="B59" s="18">
        <f>IF(COUNTA($C59)=0,"","U"&amp;TEXT(ROW()-3,"0000"))</f>
        <v/>
      </c>
      <c r="C59" s="28" t="n"/>
      <c r="D59" s="26" t="n"/>
      <c r="E59" s="26" t="n"/>
      <c r="F59" s="26" t="n"/>
      <c r="G59" s="26" t="n"/>
      <c r="H59" s="26" t="n"/>
      <c r="I59" s="26" t="n"/>
      <c r="J59" s="26" t="n"/>
    </row>
    <row r="60" ht="30" customHeight="1">
      <c r="B60" s="16">
        <f>IF(COUNTA($C60)=0,"","U"&amp;TEXT(ROW()-3,"0000"))</f>
        <v/>
      </c>
      <c r="C60" s="27" t="n"/>
      <c r="D60" s="24" t="n"/>
      <c r="E60" s="24" t="n"/>
      <c r="F60" s="24" t="n"/>
      <c r="G60" s="24" t="n"/>
      <c r="H60" s="24" t="n"/>
      <c r="I60" s="24" t="n"/>
      <c r="J60" s="24" t="n"/>
    </row>
    <row r="61" ht="30" customHeight="1">
      <c r="B61" s="18">
        <f>IF(COUNTA($C61)=0,"","U"&amp;TEXT(ROW()-3,"0000"))</f>
        <v/>
      </c>
      <c r="C61" s="28" t="n"/>
      <c r="D61" s="26" t="n"/>
      <c r="E61" s="26" t="n"/>
      <c r="F61" s="26" t="n"/>
      <c r="G61" s="26" t="n"/>
      <c r="H61" s="26" t="n"/>
      <c r="I61" s="26" t="n"/>
      <c r="J61" s="26" t="n"/>
    </row>
    <row r="62" ht="30" customHeight="1">
      <c r="B62" s="16">
        <f>IF(COUNTA($C62)=0,"","U"&amp;TEXT(ROW()-3,"0000"))</f>
        <v/>
      </c>
      <c r="C62" s="27" t="n"/>
      <c r="D62" s="24" t="n"/>
      <c r="E62" s="24" t="n"/>
      <c r="F62" s="24" t="n"/>
      <c r="G62" s="24" t="n"/>
      <c r="H62" s="24" t="n"/>
      <c r="I62" s="24" t="n"/>
      <c r="J62" s="24" t="n"/>
    </row>
    <row r="63" ht="30" customHeight="1">
      <c r="B63" s="18">
        <f>IF(COUNTA($C63)=0,"","U"&amp;TEXT(ROW()-3,"0000"))</f>
        <v/>
      </c>
      <c r="C63" s="28" t="n"/>
      <c r="D63" s="26" t="n"/>
      <c r="E63" s="26" t="n"/>
      <c r="F63" s="26" t="n"/>
      <c r="G63" s="26" t="n"/>
      <c r="H63" s="26" t="n"/>
      <c r="I63" s="26" t="n"/>
      <c r="J63" s="26" t="n"/>
    </row>
    <row r="64" ht="30" customHeight="1">
      <c r="B64" s="16">
        <f>IF(COUNTA($C64)=0,"","U"&amp;TEXT(ROW()-3,"0000"))</f>
        <v/>
      </c>
      <c r="C64" s="27" t="n"/>
      <c r="D64" s="24" t="n"/>
      <c r="E64" s="24" t="n"/>
      <c r="F64" s="24" t="n"/>
      <c r="G64" s="24" t="n"/>
      <c r="H64" s="24" t="n"/>
      <c r="I64" s="24" t="n"/>
      <c r="J64" s="24" t="n"/>
    </row>
    <row r="65" ht="30" customHeight="1">
      <c r="B65" s="18">
        <f>IF(COUNTA($C65)=0,"","U"&amp;TEXT(ROW()-3,"0000"))</f>
        <v/>
      </c>
      <c r="C65" s="28" t="n"/>
      <c r="D65" s="26" t="n"/>
      <c r="E65" s="26" t="n"/>
      <c r="F65" s="26" t="n"/>
      <c r="G65" s="26" t="n"/>
      <c r="H65" s="26" t="n"/>
      <c r="I65" s="26" t="n"/>
      <c r="J65" s="26" t="n"/>
    </row>
    <row r="66" ht="30" customHeight="1">
      <c r="B66" s="16">
        <f>IF(COUNTA($C66)=0,"","U"&amp;TEXT(ROW()-3,"0000"))</f>
        <v/>
      </c>
      <c r="C66" s="27" t="n"/>
      <c r="D66" s="24" t="n"/>
      <c r="E66" s="24" t="n"/>
      <c r="F66" s="24" t="n"/>
      <c r="G66" s="24" t="n"/>
      <c r="H66" s="24" t="n"/>
      <c r="I66" s="24" t="n"/>
      <c r="J66" s="24" t="n"/>
    </row>
    <row r="67" ht="30" customHeight="1">
      <c r="B67" s="18">
        <f>IF(COUNTA($C67)=0,"","U"&amp;TEXT(ROW()-3,"0000"))</f>
        <v/>
      </c>
      <c r="C67" s="28" t="n"/>
      <c r="D67" s="26" t="n"/>
      <c r="E67" s="26" t="n"/>
      <c r="F67" s="26" t="n"/>
      <c r="G67" s="26" t="n"/>
      <c r="H67" s="26" t="n"/>
      <c r="I67" s="26" t="n"/>
      <c r="J67" s="26" t="n"/>
    </row>
    <row r="68" ht="30" customHeight="1">
      <c r="B68" s="16">
        <f>IF(COUNTA($C68)=0,"","U"&amp;TEXT(ROW()-3,"0000"))</f>
        <v/>
      </c>
      <c r="C68" s="27" t="n"/>
      <c r="D68" s="24" t="n"/>
      <c r="E68" s="24" t="n"/>
      <c r="F68" s="24" t="n"/>
      <c r="G68" s="24" t="n"/>
      <c r="H68" s="24" t="n"/>
      <c r="I68" s="24" t="n"/>
      <c r="J68" s="24" t="n"/>
    </row>
    <row r="69" ht="30" customHeight="1">
      <c r="B69" s="18">
        <f>IF(COUNTA($C69)=0,"","U"&amp;TEXT(ROW()-3,"0000"))</f>
        <v/>
      </c>
      <c r="C69" s="28" t="n"/>
      <c r="D69" s="26" t="n"/>
      <c r="E69" s="26" t="n"/>
      <c r="F69" s="26" t="n"/>
      <c r="G69" s="26" t="n"/>
      <c r="H69" s="26" t="n"/>
      <c r="I69" s="26" t="n"/>
      <c r="J69" s="26" t="n"/>
    </row>
    <row r="70" ht="30" customHeight="1">
      <c r="B70" s="16">
        <f>IF(COUNTA($C70)=0,"","U"&amp;TEXT(ROW()-3,"0000"))</f>
        <v/>
      </c>
      <c r="C70" s="27" t="n"/>
      <c r="D70" s="24" t="n"/>
      <c r="E70" s="24" t="n"/>
      <c r="F70" s="24" t="n"/>
      <c r="G70" s="24" t="n"/>
      <c r="H70" s="24" t="n"/>
      <c r="I70" s="24" t="n"/>
      <c r="J70" s="24" t="n"/>
    </row>
    <row r="71" ht="30" customHeight="1">
      <c r="B71" s="18">
        <f>IF(COUNTA($C71)=0,"","U"&amp;TEXT(ROW()-3,"0000"))</f>
        <v/>
      </c>
      <c r="C71" s="28" t="n"/>
      <c r="D71" s="26" t="n"/>
      <c r="E71" s="26" t="n"/>
      <c r="F71" s="26" t="n"/>
      <c r="G71" s="26" t="n"/>
      <c r="H71" s="26" t="n"/>
      <c r="I71" s="26" t="n"/>
      <c r="J71" s="26" t="n"/>
    </row>
    <row r="72" ht="30" customHeight="1">
      <c r="B72" s="16">
        <f>IF(COUNTA($C72)=0,"","U"&amp;TEXT(ROW()-3,"0000"))</f>
        <v/>
      </c>
      <c r="C72" s="27" t="n"/>
      <c r="D72" s="24" t="n"/>
      <c r="E72" s="24" t="n"/>
      <c r="F72" s="24" t="n"/>
      <c r="G72" s="24" t="n"/>
      <c r="H72" s="24" t="n"/>
      <c r="I72" s="24" t="n"/>
      <c r="J72" s="24" t="n"/>
    </row>
    <row r="73" ht="30" customHeight="1">
      <c r="B73" s="18">
        <f>IF(COUNTA($C73)=0,"","U"&amp;TEXT(ROW()-3,"0000"))</f>
        <v/>
      </c>
      <c r="C73" s="28" t="n"/>
      <c r="D73" s="26" t="n"/>
      <c r="E73" s="26" t="n"/>
      <c r="F73" s="26" t="n"/>
      <c r="G73" s="26" t="n"/>
      <c r="H73" s="26" t="n"/>
      <c r="I73" s="26" t="n"/>
      <c r="J73" s="26" t="n"/>
    </row>
    <row r="74" ht="30" customHeight="1">
      <c r="B74" s="16">
        <f>IF(COUNTA($C74)=0,"","U"&amp;TEXT(ROW()-3,"0000"))</f>
        <v/>
      </c>
      <c r="C74" s="27" t="n"/>
      <c r="D74" s="24" t="n"/>
      <c r="E74" s="24" t="n"/>
      <c r="F74" s="24" t="n"/>
      <c r="G74" s="24" t="n"/>
      <c r="H74" s="24" t="n"/>
      <c r="I74" s="24" t="n"/>
      <c r="J74" s="24" t="n"/>
    </row>
    <row r="75" ht="30" customHeight="1">
      <c r="B75" s="18">
        <f>IF(COUNTA($C75)=0,"","U"&amp;TEXT(ROW()-3,"0000"))</f>
        <v/>
      </c>
      <c r="C75" s="28" t="n"/>
      <c r="D75" s="26" t="n"/>
      <c r="E75" s="26" t="n"/>
      <c r="F75" s="26" t="n"/>
      <c r="G75" s="26" t="n"/>
      <c r="H75" s="26" t="n"/>
      <c r="I75" s="26" t="n"/>
      <c r="J75" s="26" t="n"/>
    </row>
    <row r="76" ht="30" customHeight="1">
      <c r="B76" s="16">
        <f>IF(COUNTA($C76)=0,"","U"&amp;TEXT(ROW()-3,"0000"))</f>
        <v/>
      </c>
      <c r="C76" s="27" t="n"/>
      <c r="D76" s="24" t="n"/>
      <c r="E76" s="24" t="n"/>
      <c r="F76" s="24" t="n"/>
      <c r="G76" s="24" t="n"/>
      <c r="H76" s="24" t="n"/>
      <c r="I76" s="24" t="n"/>
      <c r="J76" s="24" t="n"/>
    </row>
    <row r="77" ht="30" customHeight="1">
      <c r="B77" s="18">
        <f>IF(COUNTA($C77)=0,"","U"&amp;TEXT(ROW()-3,"0000"))</f>
        <v/>
      </c>
      <c r="C77" s="28" t="n"/>
      <c r="D77" s="26" t="n"/>
      <c r="E77" s="26" t="n"/>
      <c r="F77" s="26" t="n"/>
      <c r="G77" s="26" t="n"/>
      <c r="H77" s="26" t="n"/>
      <c r="I77" s="26" t="n"/>
      <c r="J77" s="26" t="n"/>
    </row>
    <row r="78" ht="30" customHeight="1">
      <c r="B78" s="16">
        <f>IF(COUNTA($C78)=0,"","U"&amp;TEXT(ROW()-3,"0000"))</f>
        <v/>
      </c>
      <c r="C78" s="27" t="n"/>
      <c r="D78" s="24" t="n"/>
      <c r="E78" s="24" t="n"/>
      <c r="F78" s="24" t="n"/>
      <c r="G78" s="24" t="n"/>
      <c r="H78" s="24" t="n"/>
      <c r="I78" s="24" t="n"/>
      <c r="J78" s="24" t="n"/>
    </row>
    <row r="79" ht="30" customHeight="1">
      <c r="B79" s="18">
        <f>IF(COUNTA($C79)=0,"","U"&amp;TEXT(ROW()-3,"0000"))</f>
        <v/>
      </c>
      <c r="C79" s="28" t="n"/>
      <c r="D79" s="26" t="n"/>
      <c r="E79" s="26" t="n"/>
      <c r="F79" s="26" t="n"/>
      <c r="G79" s="26" t="n"/>
      <c r="H79" s="26" t="n"/>
      <c r="I79" s="26" t="n"/>
      <c r="J79" s="26" t="n"/>
    </row>
    <row r="80" ht="30" customHeight="1">
      <c r="B80" s="16">
        <f>IF(COUNTA($C80)=0,"","U"&amp;TEXT(ROW()-3,"0000"))</f>
        <v/>
      </c>
      <c r="C80" s="27" t="n"/>
      <c r="D80" s="24" t="n"/>
      <c r="E80" s="24" t="n"/>
      <c r="F80" s="24" t="n"/>
      <c r="G80" s="24" t="n"/>
      <c r="H80" s="24" t="n"/>
      <c r="I80" s="24" t="n"/>
      <c r="J80" s="24" t="n"/>
    </row>
    <row r="81" ht="30" customHeight="1">
      <c r="B81" s="18">
        <f>IF(COUNTA($C81)=0,"","U"&amp;TEXT(ROW()-3,"0000"))</f>
        <v/>
      </c>
      <c r="C81" s="28" t="n"/>
      <c r="D81" s="26" t="n"/>
      <c r="E81" s="26" t="n"/>
      <c r="F81" s="26" t="n"/>
      <c r="G81" s="26" t="n"/>
      <c r="H81" s="26" t="n"/>
      <c r="I81" s="26" t="n"/>
      <c r="J81" s="26" t="n"/>
    </row>
    <row r="82" ht="30" customHeight="1">
      <c r="B82" s="16">
        <f>IF(COUNTA($C82)=0,"","U"&amp;TEXT(ROW()-3,"0000"))</f>
        <v/>
      </c>
      <c r="C82" s="27" t="n"/>
      <c r="D82" s="24" t="n"/>
      <c r="E82" s="24" t="n"/>
      <c r="F82" s="24" t="n"/>
      <c r="G82" s="24" t="n"/>
      <c r="H82" s="24" t="n"/>
      <c r="I82" s="24" t="n"/>
      <c r="J82" s="24" t="n"/>
    </row>
    <row r="83" ht="30" customHeight="1">
      <c r="B83" s="18">
        <f>IF(COUNTA($C83)=0,"","U"&amp;TEXT(ROW()-3,"0000"))</f>
        <v/>
      </c>
      <c r="C83" s="28" t="n"/>
      <c r="D83" s="26" t="n"/>
      <c r="E83" s="26" t="n"/>
      <c r="F83" s="26" t="n"/>
      <c r="G83" s="26" t="n"/>
      <c r="H83" s="26" t="n"/>
      <c r="I83" s="26" t="n"/>
      <c r="J83" s="26" t="n"/>
    </row>
    <row r="84" ht="30" customHeight="1">
      <c r="B84" s="16">
        <f>IF(COUNTA($C84)=0,"","U"&amp;TEXT(ROW()-3,"0000"))</f>
        <v/>
      </c>
      <c r="C84" s="27" t="n"/>
      <c r="D84" s="24" t="n"/>
      <c r="E84" s="24" t="n"/>
      <c r="F84" s="24" t="n"/>
      <c r="G84" s="24" t="n"/>
      <c r="H84" s="24" t="n"/>
      <c r="I84" s="24" t="n"/>
      <c r="J84" s="24" t="n"/>
    </row>
    <row r="85" ht="30" customHeight="1">
      <c r="B85" s="18">
        <f>IF(COUNTA($C85)=0,"","U"&amp;TEXT(ROW()-3,"0000"))</f>
        <v/>
      </c>
      <c r="C85" s="28" t="n"/>
      <c r="D85" s="26" t="n"/>
      <c r="E85" s="26" t="n"/>
      <c r="F85" s="26" t="n"/>
      <c r="G85" s="26" t="n"/>
      <c r="H85" s="26" t="n"/>
      <c r="I85" s="26" t="n"/>
      <c r="J85" s="26" t="n"/>
    </row>
    <row r="86" ht="30" customHeight="1">
      <c r="B86" s="16">
        <f>IF(COUNTA($C86)=0,"","U"&amp;TEXT(ROW()-3,"0000"))</f>
        <v/>
      </c>
      <c r="C86" s="27" t="n"/>
      <c r="D86" s="24" t="n"/>
      <c r="E86" s="24" t="n"/>
      <c r="F86" s="24" t="n"/>
      <c r="G86" s="24" t="n"/>
      <c r="H86" s="24" t="n"/>
      <c r="I86" s="24" t="n"/>
      <c r="J86" s="24" t="n"/>
    </row>
    <row r="87" ht="30" customHeight="1">
      <c r="B87" s="18">
        <f>IF(COUNTA($C87)=0,"","U"&amp;TEXT(ROW()-3,"0000"))</f>
        <v/>
      </c>
      <c r="C87" s="28" t="n"/>
      <c r="D87" s="26" t="n"/>
      <c r="E87" s="26" t="n"/>
      <c r="F87" s="26" t="n"/>
      <c r="G87" s="26" t="n"/>
      <c r="H87" s="26" t="n"/>
      <c r="I87" s="26" t="n"/>
      <c r="J87" s="26" t="n"/>
    </row>
    <row r="88" ht="30" customHeight="1">
      <c r="B88" s="16">
        <f>IF(COUNTA($C88)=0,"","U"&amp;TEXT(ROW()-3,"0000"))</f>
        <v/>
      </c>
      <c r="C88" s="27" t="n"/>
      <c r="D88" s="24" t="n"/>
      <c r="E88" s="24" t="n"/>
      <c r="F88" s="24" t="n"/>
      <c r="G88" s="24" t="n"/>
      <c r="H88" s="24" t="n"/>
      <c r="I88" s="24" t="n"/>
      <c r="J88" s="24" t="n"/>
    </row>
    <row r="89" ht="30" customHeight="1">
      <c r="B89" s="18">
        <f>IF(COUNTA($C89)=0,"","U"&amp;TEXT(ROW()-3,"0000"))</f>
        <v/>
      </c>
      <c r="C89" s="28" t="n"/>
      <c r="D89" s="26" t="n"/>
      <c r="E89" s="26" t="n"/>
      <c r="F89" s="26" t="n"/>
      <c r="G89" s="26" t="n"/>
      <c r="H89" s="26" t="n"/>
      <c r="I89" s="26" t="n"/>
      <c r="J89" s="26" t="n"/>
    </row>
    <row r="90" ht="30" customHeight="1">
      <c r="B90" s="16">
        <f>IF(COUNTA($C90)=0,"","U"&amp;TEXT(ROW()-3,"0000"))</f>
        <v/>
      </c>
      <c r="C90" s="27" t="n"/>
      <c r="D90" s="24" t="n"/>
      <c r="E90" s="24" t="n"/>
      <c r="F90" s="24" t="n"/>
      <c r="G90" s="24" t="n"/>
      <c r="H90" s="24" t="n"/>
      <c r="I90" s="24" t="n"/>
      <c r="J90" s="24" t="n"/>
    </row>
    <row r="91" ht="30" customHeight="1">
      <c r="B91" s="18">
        <f>IF(COUNTA($C91)=0,"","U"&amp;TEXT(ROW()-3,"0000"))</f>
        <v/>
      </c>
      <c r="C91" s="28" t="n"/>
      <c r="D91" s="26" t="n"/>
      <c r="E91" s="26" t="n"/>
      <c r="F91" s="26" t="n"/>
      <c r="G91" s="26" t="n"/>
      <c r="H91" s="26" t="n"/>
      <c r="I91" s="26" t="n"/>
      <c r="J91" s="26" t="n"/>
    </row>
    <row r="92" ht="30" customHeight="1">
      <c r="B92" s="16">
        <f>IF(COUNTA($C92)=0,"","U"&amp;TEXT(ROW()-3,"0000"))</f>
        <v/>
      </c>
      <c r="C92" s="27" t="n"/>
      <c r="D92" s="24" t="n"/>
      <c r="E92" s="24" t="n"/>
      <c r="F92" s="24" t="n"/>
      <c r="G92" s="24" t="n"/>
      <c r="H92" s="24" t="n"/>
      <c r="I92" s="24" t="n"/>
      <c r="J92" s="24" t="n"/>
    </row>
    <row r="93" ht="30" customHeight="1">
      <c r="B93" s="18">
        <f>IF(COUNTA($C93)=0,"","U"&amp;TEXT(ROW()-3,"0000"))</f>
        <v/>
      </c>
      <c r="C93" s="28" t="n"/>
      <c r="D93" s="26" t="n"/>
      <c r="E93" s="26" t="n"/>
      <c r="F93" s="26" t="n"/>
      <c r="G93" s="26" t="n"/>
      <c r="H93" s="26" t="n"/>
      <c r="I93" s="26" t="n"/>
      <c r="J93" s="26" t="n"/>
    </row>
    <row r="94" ht="30" customHeight="1">
      <c r="B94" s="16">
        <f>IF(COUNTA($C94)=0,"","U"&amp;TEXT(ROW()-3,"0000"))</f>
        <v/>
      </c>
      <c r="C94" s="27" t="n"/>
      <c r="D94" s="24" t="n"/>
      <c r="E94" s="24" t="n"/>
      <c r="F94" s="24" t="n"/>
      <c r="G94" s="24" t="n"/>
      <c r="H94" s="24" t="n"/>
      <c r="I94" s="24" t="n"/>
      <c r="J94" s="24" t="n"/>
    </row>
    <row r="95" ht="30" customHeight="1">
      <c r="B95" s="18">
        <f>IF(COUNTA($C95)=0,"","U"&amp;TEXT(ROW()-3,"0000"))</f>
        <v/>
      </c>
      <c r="C95" s="28" t="n"/>
      <c r="D95" s="26" t="n"/>
      <c r="E95" s="26" t="n"/>
      <c r="F95" s="26" t="n"/>
      <c r="G95" s="26" t="n"/>
      <c r="H95" s="26" t="n"/>
      <c r="I95" s="26" t="n"/>
      <c r="J95" s="26" t="n"/>
    </row>
    <row r="96" ht="30" customHeight="1">
      <c r="B96" s="16">
        <f>IF(COUNTA($C96)=0,"","U"&amp;TEXT(ROW()-3,"0000"))</f>
        <v/>
      </c>
      <c r="C96" s="27" t="n"/>
      <c r="D96" s="24" t="n"/>
      <c r="E96" s="24" t="n"/>
      <c r="F96" s="24" t="n"/>
      <c r="G96" s="24" t="n"/>
      <c r="H96" s="24" t="n"/>
      <c r="I96" s="24" t="n"/>
      <c r="J96" s="24" t="n"/>
    </row>
    <row r="97" ht="30" customHeight="1">
      <c r="B97" s="18">
        <f>IF(COUNTA($C97)=0,"","U"&amp;TEXT(ROW()-3,"0000"))</f>
        <v/>
      </c>
      <c r="C97" s="28" t="n"/>
      <c r="D97" s="26" t="n"/>
      <c r="E97" s="26" t="n"/>
      <c r="F97" s="26" t="n"/>
      <c r="G97" s="26" t="n"/>
      <c r="H97" s="26" t="n"/>
      <c r="I97" s="26" t="n"/>
      <c r="J97" s="26" t="n"/>
    </row>
    <row r="98" ht="30" customHeight="1">
      <c r="B98" s="16">
        <f>IF(COUNTA($C98)=0,"","U"&amp;TEXT(ROW()-3,"0000"))</f>
        <v/>
      </c>
      <c r="C98" s="27" t="n"/>
      <c r="D98" s="24" t="n"/>
      <c r="E98" s="24" t="n"/>
      <c r="F98" s="24" t="n"/>
      <c r="G98" s="24" t="n"/>
      <c r="H98" s="24" t="n"/>
      <c r="I98" s="24" t="n"/>
      <c r="J98" s="24" t="n"/>
    </row>
    <row r="99" ht="30" customHeight="1">
      <c r="B99" s="18">
        <f>IF(COUNTA($C99)=0,"","U"&amp;TEXT(ROW()-3,"0000"))</f>
        <v/>
      </c>
      <c r="C99" s="28" t="n"/>
      <c r="D99" s="26" t="n"/>
      <c r="E99" s="26" t="n"/>
      <c r="F99" s="26" t="n"/>
      <c r="G99" s="26" t="n"/>
      <c r="H99" s="26" t="n"/>
      <c r="I99" s="26" t="n"/>
      <c r="J99" s="26" t="n"/>
    </row>
    <row r="100" ht="30" customHeight="1">
      <c r="B100" s="16">
        <f>IF(COUNTA($C100)=0,"","U"&amp;TEXT(ROW()-3,"0000"))</f>
        <v/>
      </c>
      <c r="C100" s="27" t="n"/>
      <c r="D100" s="24" t="n"/>
      <c r="E100" s="24" t="n"/>
      <c r="F100" s="24" t="n"/>
      <c r="G100" s="24" t="n"/>
      <c r="H100" s="24" t="n"/>
      <c r="I100" s="24" t="n"/>
      <c r="J100" s="24" t="n"/>
    </row>
    <row r="101" ht="30" customHeight="1">
      <c r="B101" s="18">
        <f>IF(COUNTA($C101)=0,"","U"&amp;TEXT(ROW()-3,"0000"))</f>
        <v/>
      </c>
      <c r="C101" s="28" t="n"/>
      <c r="D101" s="26" t="n"/>
      <c r="E101" s="26" t="n"/>
      <c r="F101" s="26" t="n"/>
      <c r="G101" s="26" t="n"/>
      <c r="H101" s="26" t="n"/>
      <c r="I101" s="26" t="n"/>
      <c r="J101" s="26" t="n"/>
    </row>
    <row r="102" ht="30" customHeight="1">
      <c r="B102" s="16">
        <f>IF(COUNTA($C102)=0,"","U"&amp;TEXT(ROW()-3,"0000"))</f>
        <v/>
      </c>
      <c r="C102" s="27" t="n"/>
      <c r="D102" s="24" t="n"/>
      <c r="E102" s="24" t="n"/>
      <c r="F102" s="24" t="n"/>
      <c r="G102" s="24" t="n"/>
      <c r="H102" s="24" t="n"/>
      <c r="I102" s="24" t="n"/>
      <c r="J102" s="24" t="n"/>
    </row>
    <row r="103" ht="30" customHeight="1">
      <c r="B103" s="18">
        <f>IF(COUNTA($C103)=0,"","U"&amp;TEXT(ROW()-3,"0000"))</f>
        <v/>
      </c>
      <c r="C103" s="28" t="n"/>
      <c r="D103" s="26" t="n"/>
      <c r="E103" s="26" t="n"/>
      <c r="F103" s="26" t="n"/>
      <c r="G103" s="26" t="n"/>
      <c r="H103" s="26" t="n"/>
      <c r="I103" s="26" t="n"/>
      <c r="J103" s="26" t="n"/>
    </row>
    <row r="104" ht="30" customHeight="1">
      <c r="B104" s="16">
        <f>IF(COUNTA($C104)=0,"","U"&amp;TEXT(ROW()-3,"0000"))</f>
        <v/>
      </c>
      <c r="C104" s="27" t="n"/>
      <c r="D104" s="24" t="n"/>
      <c r="E104" s="24" t="n"/>
      <c r="F104" s="24" t="n"/>
      <c r="G104" s="24" t="n"/>
      <c r="H104" s="24" t="n"/>
      <c r="I104" s="24" t="n"/>
      <c r="J104" s="24" t="n"/>
    </row>
    <row r="105" ht="30" customHeight="1">
      <c r="B105" s="18">
        <f>IF(COUNTA($C105)=0,"","U"&amp;TEXT(ROW()-3,"0000"))</f>
        <v/>
      </c>
      <c r="C105" s="28" t="n"/>
      <c r="D105" s="26" t="n"/>
      <c r="E105" s="26" t="n"/>
      <c r="F105" s="26" t="n"/>
      <c r="G105" s="26" t="n"/>
      <c r="H105" s="26" t="n"/>
      <c r="I105" s="26" t="n"/>
      <c r="J105" s="26" t="n"/>
    </row>
    <row r="106" ht="30" customHeight="1">
      <c r="B106" s="16">
        <f>IF(COUNTA($C106)=0,"","U"&amp;TEXT(ROW()-3,"0000"))</f>
        <v/>
      </c>
      <c r="C106" s="27" t="n"/>
      <c r="D106" s="24" t="n"/>
      <c r="E106" s="24" t="n"/>
      <c r="F106" s="24" t="n"/>
      <c r="G106" s="24" t="n"/>
      <c r="H106" s="24" t="n"/>
      <c r="I106" s="24" t="n"/>
      <c r="J106" s="24" t="n"/>
    </row>
    <row r="107" ht="30" customHeight="1">
      <c r="B107" s="18">
        <f>IF(COUNTA($C107)=0,"","U"&amp;TEXT(ROW()-3,"0000"))</f>
        <v/>
      </c>
      <c r="C107" s="28" t="n"/>
      <c r="D107" s="26" t="n"/>
      <c r="E107" s="26" t="n"/>
      <c r="F107" s="26" t="n"/>
      <c r="G107" s="26" t="n"/>
      <c r="H107" s="26" t="n"/>
      <c r="I107" s="26" t="n"/>
      <c r="J107" s="26" t="n"/>
    </row>
    <row r="108" ht="30" customHeight="1">
      <c r="B108" s="16">
        <f>IF(COUNTA($C108)=0,"","U"&amp;TEXT(ROW()-3,"0000"))</f>
        <v/>
      </c>
      <c r="C108" s="27" t="n"/>
      <c r="D108" s="24" t="n"/>
      <c r="E108" s="24" t="n"/>
      <c r="F108" s="24" t="n"/>
      <c r="G108" s="24" t="n"/>
      <c r="H108" s="24" t="n"/>
      <c r="I108" s="24" t="n"/>
      <c r="J108" s="24" t="n"/>
    </row>
    <row r="109" ht="30" customHeight="1">
      <c r="B109" s="18">
        <f>IF(COUNTA($C109)=0,"","U"&amp;TEXT(ROW()-3,"0000"))</f>
        <v/>
      </c>
      <c r="C109" s="28" t="n"/>
      <c r="D109" s="26" t="n"/>
      <c r="E109" s="26" t="n"/>
      <c r="F109" s="26" t="n"/>
      <c r="G109" s="26" t="n"/>
      <c r="H109" s="26" t="n"/>
      <c r="I109" s="26" t="n"/>
      <c r="J109" s="26" t="n"/>
    </row>
    <row r="110" ht="30" customHeight="1">
      <c r="B110" s="16">
        <f>IF(COUNTA($C110)=0,"","U"&amp;TEXT(ROW()-3,"0000"))</f>
        <v/>
      </c>
      <c r="C110" s="27" t="n"/>
      <c r="D110" s="24" t="n"/>
      <c r="E110" s="24" t="n"/>
      <c r="F110" s="24" t="n"/>
      <c r="G110" s="24" t="n"/>
      <c r="H110" s="24" t="n"/>
      <c r="I110" s="24" t="n"/>
      <c r="J110" s="24" t="n"/>
    </row>
    <row r="111" ht="30" customHeight="1">
      <c r="B111" s="18">
        <f>IF(COUNTA($C111)=0,"","U"&amp;TEXT(ROW()-3,"0000"))</f>
        <v/>
      </c>
      <c r="C111" s="28" t="n"/>
      <c r="D111" s="26" t="n"/>
      <c r="E111" s="26" t="n"/>
      <c r="F111" s="26" t="n"/>
      <c r="G111" s="26" t="n"/>
      <c r="H111" s="26" t="n"/>
      <c r="I111" s="26" t="n"/>
      <c r="J111" s="26" t="n"/>
    </row>
    <row r="112" ht="30" customHeight="1">
      <c r="B112" s="16">
        <f>IF(COUNTA($C112)=0,"","U"&amp;TEXT(ROW()-3,"0000"))</f>
        <v/>
      </c>
      <c r="C112" s="27" t="n"/>
      <c r="D112" s="24" t="n"/>
      <c r="E112" s="24" t="n"/>
      <c r="F112" s="24" t="n"/>
      <c r="G112" s="24" t="n"/>
      <c r="H112" s="24" t="n"/>
      <c r="I112" s="24" t="n"/>
      <c r="J112" s="24" t="n"/>
    </row>
    <row r="113" ht="30" customHeight="1">
      <c r="B113" s="18">
        <f>IF(COUNTA($C113)=0,"","U"&amp;TEXT(ROW()-3,"0000"))</f>
        <v/>
      </c>
      <c r="C113" s="28" t="n"/>
      <c r="D113" s="26" t="n"/>
      <c r="E113" s="26" t="n"/>
      <c r="F113" s="26" t="n"/>
      <c r="G113" s="26" t="n"/>
      <c r="H113" s="26" t="n"/>
      <c r="I113" s="26" t="n"/>
      <c r="J113" s="26" t="n"/>
    </row>
    <row r="114" ht="30" customHeight="1">
      <c r="B114" s="16">
        <f>IF(COUNTA($C114)=0,"","U"&amp;TEXT(ROW()-3,"0000"))</f>
        <v/>
      </c>
      <c r="C114" s="27" t="n"/>
      <c r="D114" s="24" t="n"/>
      <c r="E114" s="24" t="n"/>
      <c r="F114" s="24" t="n"/>
      <c r="G114" s="24" t="n"/>
      <c r="H114" s="24" t="n"/>
      <c r="I114" s="24" t="n"/>
      <c r="J114" s="24" t="n"/>
    </row>
    <row r="115" ht="30" customHeight="1">
      <c r="B115" s="18">
        <f>IF(COUNTA($C115)=0,"","U"&amp;TEXT(ROW()-3,"0000"))</f>
        <v/>
      </c>
      <c r="C115" s="28" t="n"/>
      <c r="D115" s="26" t="n"/>
      <c r="E115" s="26" t="n"/>
      <c r="F115" s="26" t="n"/>
      <c r="G115" s="26" t="n"/>
      <c r="H115" s="26" t="n"/>
      <c r="I115" s="26" t="n"/>
      <c r="J115" s="26" t="n"/>
    </row>
    <row r="116" ht="30" customHeight="1">
      <c r="B116" s="16">
        <f>IF(COUNTA($C116)=0,"","U"&amp;TEXT(ROW()-3,"0000"))</f>
        <v/>
      </c>
      <c r="C116" s="27" t="n"/>
      <c r="D116" s="24" t="n"/>
      <c r="E116" s="24" t="n"/>
      <c r="F116" s="24" t="n"/>
      <c r="G116" s="24" t="n"/>
      <c r="H116" s="24" t="n"/>
      <c r="I116" s="24" t="n"/>
      <c r="J116" s="24" t="n"/>
    </row>
    <row r="117" ht="30" customHeight="1">
      <c r="B117" s="18">
        <f>IF(COUNTA($C117)=0,"","U"&amp;TEXT(ROW()-3,"0000"))</f>
        <v/>
      </c>
      <c r="C117" s="28" t="n"/>
      <c r="D117" s="26" t="n"/>
      <c r="E117" s="26" t="n"/>
      <c r="F117" s="26" t="n"/>
      <c r="G117" s="26" t="n"/>
      <c r="H117" s="26" t="n"/>
      <c r="I117" s="26" t="n"/>
      <c r="J117" s="26" t="n"/>
    </row>
    <row r="118" ht="30" customHeight="1">
      <c r="B118" s="16">
        <f>IF(COUNTA($C118)=0,"","U"&amp;TEXT(ROW()-3,"0000"))</f>
        <v/>
      </c>
      <c r="C118" s="27" t="n"/>
      <c r="D118" s="24" t="n"/>
      <c r="E118" s="24" t="n"/>
      <c r="F118" s="24" t="n"/>
      <c r="G118" s="24" t="n"/>
      <c r="H118" s="24" t="n"/>
      <c r="I118" s="24" t="n"/>
      <c r="J118" s="24" t="n"/>
    </row>
    <row r="119" ht="30" customHeight="1">
      <c r="B119" s="18">
        <f>IF(COUNTA($C119)=0,"","U"&amp;TEXT(ROW()-3,"0000"))</f>
        <v/>
      </c>
      <c r="C119" s="28" t="n"/>
      <c r="D119" s="26" t="n"/>
      <c r="E119" s="26" t="n"/>
      <c r="F119" s="26" t="n"/>
      <c r="G119" s="26" t="n"/>
      <c r="H119" s="26" t="n"/>
      <c r="I119" s="26" t="n"/>
      <c r="J119" s="26" t="n"/>
    </row>
    <row r="120" ht="30" customHeight="1">
      <c r="B120" s="16">
        <f>IF(COUNTA($C120)=0,"","U"&amp;TEXT(ROW()-3,"0000"))</f>
        <v/>
      </c>
      <c r="C120" s="27" t="n"/>
      <c r="D120" s="24" t="n"/>
      <c r="E120" s="24" t="n"/>
      <c r="F120" s="24" t="n"/>
      <c r="G120" s="24" t="n"/>
      <c r="H120" s="24" t="n"/>
      <c r="I120" s="24" t="n"/>
      <c r="J120" s="24" t="n"/>
    </row>
    <row r="121" ht="30" customHeight="1">
      <c r="B121" s="18">
        <f>IF(COUNTA($C121)=0,"","U"&amp;TEXT(ROW()-3,"0000"))</f>
        <v/>
      </c>
      <c r="C121" s="28" t="n"/>
      <c r="D121" s="26" t="n"/>
      <c r="E121" s="26" t="n"/>
      <c r="F121" s="26" t="n"/>
      <c r="G121" s="26" t="n"/>
      <c r="H121" s="26" t="n"/>
      <c r="I121" s="26" t="n"/>
      <c r="J121" s="26" t="n"/>
    </row>
    <row r="122" ht="30" customHeight="1">
      <c r="B122" s="16">
        <f>IF(COUNTA($C122)=0,"","U"&amp;TEXT(ROW()-3,"0000"))</f>
        <v/>
      </c>
      <c r="C122" s="27" t="n"/>
      <c r="D122" s="24" t="n"/>
      <c r="E122" s="24" t="n"/>
      <c r="F122" s="24" t="n"/>
      <c r="G122" s="24" t="n"/>
      <c r="H122" s="24" t="n"/>
      <c r="I122" s="24" t="n"/>
      <c r="J122" s="24" t="n"/>
    </row>
    <row r="123" ht="30" customHeight="1">
      <c r="B123" s="18">
        <f>IF(COUNTA($C123)=0,"","U"&amp;TEXT(ROW()-3,"0000"))</f>
        <v/>
      </c>
      <c r="C123" s="28" t="n"/>
      <c r="D123" s="26" t="n"/>
      <c r="E123" s="26" t="n"/>
      <c r="F123" s="26" t="n"/>
      <c r="G123" s="26" t="n"/>
      <c r="H123" s="26" t="n"/>
      <c r="I123" s="26" t="n"/>
      <c r="J123" s="26" t="n"/>
    </row>
    <row r="124" ht="30" customHeight="1">
      <c r="B124" s="16">
        <f>IF(COUNTA($C124)=0,"","U"&amp;TEXT(ROW()-3,"0000"))</f>
        <v/>
      </c>
      <c r="C124" s="27" t="n"/>
      <c r="D124" s="24" t="n"/>
      <c r="E124" s="24" t="n"/>
      <c r="F124" s="24" t="n"/>
      <c r="G124" s="24" t="n"/>
      <c r="H124" s="24" t="n"/>
      <c r="I124" s="24" t="n"/>
      <c r="J124" s="24" t="n"/>
    </row>
    <row r="125" ht="30" customHeight="1">
      <c r="B125" s="18">
        <f>IF(COUNTA($C125)=0,"","U"&amp;TEXT(ROW()-3,"0000"))</f>
        <v/>
      </c>
      <c r="C125" s="28" t="n"/>
      <c r="D125" s="26" t="n"/>
      <c r="E125" s="26" t="n"/>
      <c r="F125" s="26" t="n"/>
      <c r="G125" s="26" t="n"/>
      <c r="H125" s="26" t="n"/>
      <c r="I125" s="26" t="n"/>
      <c r="J125" s="26" t="n"/>
    </row>
    <row r="126" ht="30" customHeight="1">
      <c r="B126" s="16">
        <f>IF(COUNTA($C126)=0,"","U"&amp;TEXT(ROW()-3,"0000"))</f>
        <v/>
      </c>
      <c r="C126" s="27" t="n"/>
      <c r="D126" s="24" t="n"/>
      <c r="E126" s="24" t="n"/>
      <c r="F126" s="24" t="n"/>
      <c r="G126" s="24" t="n"/>
      <c r="H126" s="24" t="n"/>
      <c r="I126" s="24" t="n"/>
      <c r="J126" s="24" t="n"/>
    </row>
    <row r="127" ht="30" customHeight="1">
      <c r="B127" s="18">
        <f>IF(COUNTA($C127)=0,"","U"&amp;TEXT(ROW()-3,"0000"))</f>
        <v/>
      </c>
      <c r="C127" s="28" t="n"/>
      <c r="D127" s="26" t="n"/>
      <c r="E127" s="26" t="n"/>
      <c r="F127" s="26" t="n"/>
      <c r="G127" s="26" t="n"/>
      <c r="H127" s="26" t="n"/>
      <c r="I127" s="26" t="n"/>
      <c r="J127" s="26" t="n"/>
    </row>
    <row r="128" ht="30" customHeight="1">
      <c r="B128" s="16">
        <f>IF(COUNTA($C128)=0,"","U"&amp;TEXT(ROW()-3,"0000"))</f>
        <v/>
      </c>
      <c r="C128" s="27" t="n"/>
      <c r="D128" s="24" t="n"/>
      <c r="E128" s="24" t="n"/>
      <c r="F128" s="24" t="n"/>
      <c r="G128" s="24" t="n"/>
      <c r="H128" s="24" t="n"/>
      <c r="I128" s="24" t="n"/>
      <c r="J128" s="24" t="n"/>
    </row>
    <row r="129" ht="30" customHeight="1">
      <c r="B129" s="18">
        <f>IF(COUNTA($C129)=0,"","U"&amp;TEXT(ROW()-3,"0000"))</f>
        <v/>
      </c>
      <c r="C129" s="28" t="n"/>
      <c r="D129" s="26" t="n"/>
      <c r="E129" s="26" t="n"/>
      <c r="F129" s="26" t="n"/>
      <c r="G129" s="26" t="n"/>
      <c r="H129" s="26" t="n"/>
      <c r="I129" s="26" t="n"/>
      <c r="J129" s="26" t="n"/>
    </row>
    <row r="130" ht="30" customHeight="1">
      <c r="B130" s="16">
        <f>IF(COUNTA($C130)=0,"","U"&amp;TEXT(ROW()-3,"0000"))</f>
        <v/>
      </c>
      <c r="C130" s="27" t="n"/>
      <c r="D130" s="24" t="n"/>
      <c r="E130" s="24" t="n"/>
      <c r="F130" s="24" t="n"/>
      <c r="G130" s="24" t="n"/>
      <c r="H130" s="24" t="n"/>
      <c r="I130" s="24" t="n"/>
      <c r="J130" s="24" t="n"/>
    </row>
    <row r="131" ht="30" customHeight="1">
      <c r="B131" s="18">
        <f>IF(COUNTA($C131)=0,"","U"&amp;TEXT(ROW()-3,"0000"))</f>
        <v/>
      </c>
      <c r="C131" s="28" t="n"/>
      <c r="D131" s="26" t="n"/>
      <c r="E131" s="26" t="n"/>
      <c r="F131" s="26" t="n"/>
      <c r="G131" s="26" t="n"/>
      <c r="H131" s="26" t="n"/>
      <c r="I131" s="26" t="n"/>
      <c r="J131" s="26" t="n"/>
    </row>
    <row r="132" ht="30" customHeight="1">
      <c r="B132" s="16">
        <f>IF(COUNTA($C132)=0,"","U"&amp;TEXT(ROW()-3,"0000"))</f>
        <v/>
      </c>
      <c r="C132" s="27" t="n"/>
      <c r="D132" s="24" t="n"/>
      <c r="E132" s="24" t="n"/>
      <c r="F132" s="24" t="n"/>
      <c r="G132" s="24" t="n"/>
      <c r="H132" s="24" t="n"/>
      <c r="I132" s="24" t="n"/>
      <c r="J132" s="24" t="n"/>
    </row>
    <row r="133" ht="30" customHeight="1">
      <c r="B133" s="18">
        <f>IF(COUNTA($C133)=0,"","U"&amp;TEXT(ROW()-3,"0000"))</f>
        <v/>
      </c>
      <c r="C133" s="28" t="n"/>
      <c r="D133" s="26" t="n"/>
      <c r="E133" s="26" t="n"/>
      <c r="F133" s="26" t="n"/>
      <c r="G133" s="26" t="n"/>
      <c r="H133" s="26" t="n"/>
      <c r="I133" s="26" t="n"/>
      <c r="J133" s="26" t="n"/>
    </row>
    <row r="134" ht="30" customHeight="1">
      <c r="B134" s="16">
        <f>IF(COUNTA($C134)=0,"","U"&amp;TEXT(ROW()-3,"0000"))</f>
        <v/>
      </c>
      <c r="C134" s="27" t="n"/>
      <c r="D134" s="24" t="n"/>
      <c r="E134" s="24" t="n"/>
      <c r="F134" s="24" t="n"/>
      <c r="G134" s="24" t="n"/>
      <c r="H134" s="24" t="n"/>
      <c r="I134" s="24" t="n"/>
      <c r="J134" s="24" t="n"/>
    </row>
    <row r="135" ht="30" customHeight="1">
      <c r="B135" s="18">
        <f>IF(COUNTA($C135)=0,"","U"&amp;TEXT(ROW()-3,"0000"))</f>
        <v/>
      </c>
      <c r="C135" s="28" t="n"/>
      <c r="D135" s="26" t="n"/>
      <c r="E135" s="26" t="n"/>
      <c r="F135" s="26" t="n"/>
      <c r="G135" s="26" t="n"/>
      <c r="H135" s="26" t="n"/>
      <c r="I135" s="26" t="n"/>
      <c r="J135" s="26" t="n"/>
    </row>
    <row r="136" ht="30" customHeight="1">
      <c r="B136" s="16">
        <f>IF(COUNTA($C136)=0,"","U"&amp;TEXT(ROW()-3,"0000"))</f>
        <v/>
      </c>
      <c r="C136" s="27" t="n"/>
      <c r="D136" s="24" t="n"/>
      <c r="E136" s="24" t="n"/>
      <c r="F136" s="24" t="n"/>
      <c r="G136" s="24" t="n"/>
      <c r="H136" s="24" t="n"/>
      <c r="I136" s="24" t="n"/>
      <c r="J136" s="24" t="n"/>
    </row>
    <row r="137" ht="30" customHeight="1">
      <c r="B137" s="18">
        <f>IF(COUNTA($C137)=0,"","U"&amp;TEXT(ROW()-3,"0000"))</f>
        <v/>
      </c>
      <c r="C137" s="28" t="n"/>
      <c r="D137" s="26" t="n"/>
      <c r="E137" s="26" t="n"/>
      <c r="F137" s="26" t="n"/>
      <c r="G137" s="26" t="n"/>
      <c r="H137" s="26" t="n"/>
      <c r="I137" s="26" t="n"/>
      <c r="J137" s="26" t="n"/>
    </row>
    <row r="138" ht="30" customHeight="1">
      <c r="B138" s="16">
        <f>IF(COUNTA($C138)=0,"","U"&amp;TEXT(ROW()-3,"0000"))</f>
        <v/>
      </c>
      <c r="C138" s="27" t="n"/>
      <c r="D138" s="24" t="n"/>
      <c r="E138" s="24" t="n"/>
      <c r="F138" s="24" t="n"/>
      <c r="G138" s="24" t="n"/>
      <c r="H138" s="24" t="n"/>
      <c r="I138" s="24" t="n"/>
      <c r="J138" s="24" t="n"/>
    </row>
    <row r="139" ht="30" customHeight="1">
      <c r="B139" s="18">
        <f>IF(COUNTA($C139)=0,"","U"&amp;TEXT(ROW()-3,"0000"))</f>
        <v/>
      </c>
      <c r="C139" s="28" t="n"/>
      <c r="D139" s="26" t="n"/>
      <c r="E139" s="26" t="n"/>
      <c r="F139" s="26" t="n"/>
      <c r="G139" s="26" t="n"/>
      <c r="H139" s="26" t="n"/>
      <c r="I139" s="26" t="n"/>
      <c r="J139" s="26" t="n"/>
    </row>
    <row r="140" ht="30" customHeight="1">
      <c r="B140" s="16">
        <f>IF(COUNTA($C140)=0,"","U"&amp;TEXT(ROW()-3,"0000"))</f>
        <v/>
      </c>
      <c r="C140" s="27" t="n"/>
      <c r="D140" s="24" t="n"/>
      <c r="E140" s="24" t="n"/>
      <c r="F140" s="24" t="n"/>
      <c r="G140" s="24" t="n"/>
      <c r="H140" s="24" t="n"/>
      <c r="I140" s="24" t="n"/>
      <c r="J140" s="24" t="n"/>
    </row>
    <row r="141" ht="30" customHeight="1">
      <c r="B141" s="18">
        <f>IF(COUNTA($C141)=0,"","U"&amp;TEXT(ROW()-3,"0000"))</f>
        <v/>
      </c>
      <c r="C141" s="28" t="n"/>
      <c r="D141" s="26" t="n"/>
      <c r="E141" s="26" t="n"/>
      <c r="F141" s="26" t="n"/>
      <c r="G141" s="26" t="n"/>
      <c r="H141" s="26" t="n"/>
      <c r="I141" s="26" t="n"/>
      <c r="J141" s="26" t="n"/>
    </row>
    <row r="142" ht="30" customHeight="1">
      <c r="B142" s="16">
        <f>IF(COUNTA($C142)=0,"","U"&amp;TEXT(ROW()-3,"0000"))</f>
        <v/>
      </c>
      <c r="C142" s="27" t="n"/>
      <c r="D142" s="24" t="n"/>
      <c r="E142" s="24" t="n"/>
      <c r="F142" s="24" t="n"/>
      <c r="G142" s="24" t="n"/>
      <c r="H142" s="24" t="n"/>
      <c r="I142" s="24" t="n"/>
      <c r="J142" s="24" t="n"/>
    </row>
    <row r="143" ht="30" customHeight="1">
      <c r="B143" s="18">
        <f>IF(COUNTA($C143)=0,"","U"&amp;TEXT(ROW()-3,"0000"))</f>
        <v/>
      </c>
      <c r="C143" s="28" t="n"/>
      <c r="D143" s="26" t="n"/>
      <c r="E143" s="26" t="n"/>
      <c r="F143" s="26" t="n"/>
      <c r="G143" s="26" t="n"/>
      <c r="H143" s="26" t="n"/>
      <c r="I143" s="26" t="n"/>
      <c r="J143" s="26" t="n"/>
    </row>
    <row r="144" ht="30" customHeight="1">
      <c r="B144" s="16">
        <f>IF(COUNTA($C144)=0,"","U"&amp;TEXT(ROW()-3,"0000"))</f>
        <v/>
      </c>
      <c r="C144" s="27" t="n"/>
      <c r="D144" s="24" t="n"/>
      <c r="E144" s="24" t="n"/>
      <c r="F144" s="24" t="n"/>
      <c r="G144" s="24" t="n"/>
      <c r="H144" s="24" t="n"/>
      <c r="I144" s="24" t="n"/>
      <c r="J144" s="24" t="n"/>
    </row>
    <row r="145" ht="30" customHeight="1">
      <c r="B145" s="18">
        <f>IF(COUNTA($C145)=0,"","U"&amp;TEXT(ROW()-3,"0000"))</f>
        <v/>
      </c>
      <c r="C145" s="28" t="n"/>
      <c r="D145" s="26" t="n"/>
      <c r="E145" s="26" t="n"/>
      <c r="F145" s="26" t="n"/>
      <c r="G145" s="26" t="n"/>
      <c r="H145" s="26" t="n"/>
      <c r="I145" s="26" t="n"/>
      <c r="J145" s="26" t="n"/>
    </row>
    <row r="146" ht="30" customHeight="1">
      <c r="B146" s="16">
        <f>IF(COUNTA($C146)=0,"","U"&amp;TEXT(ROW()-3,"0000"))</f>
        <v/>
      </c>
      <c r="C146" s="27" t="n"/>
      <c r="D146" s="24" t="n"/>
      <c r="E146" s="24" t="n"/>
      <c r="F146" s="24" t="n"/>
      <c r="G146" s="24" t="n"/>
      <c r="H146" s="24" t="n"/>
      <c r="I146" s="24" t="n"/>
      <c r="J146" s="24" t="n"/>
    </row>
    <row r="147" ht="30" customHeight="1">
      <c r="B147" s="18">
        <f>IF(COUNTA($C147)=0,"","U"&amp;TEXT(ROW()-3,"0000"))</f>
        <v/>
      </c>
      <c r="C147" s="28" t="n"/>
      <c r="D147" s="26" t="n"/>
      <c r="E147" s="26" t="n"/>
      <c r="F147" s="26" t="n"/>
      <c r="G147" s="26" t="n"/>
      <c r="H147" s="26" t="n"/>
      <c r="I147" s="26" t="n"/>
      <c r="J147" s="26" t="n"/>
    </row>
    <row r="148" ht="30" customHeight="1">
      <c r="B148" s="16">
        <f>IF(COUNTA($C148)=0,"","U"&amp;TEXT(ROW()-3,"0000"))</f>
        <v/>
      </c>
      <c r="C148" s="27" t="n"/>
      <c r="D148" s="24" t="n"/>
      <c r="E148" s="24" t="n"/>
      <c r="F148" s="24" t="n"/>
      <c r="G148" s="24" t="n"/>
      <c r="H148" s="24" t="n"/>
      <c r="I148" s="24" t="n"/>
      <c r="J148" s="24" t="n"/>
    </row>
    <row r="149" ht="30" customHeight="1">
      <c r="B149" s="18">
        <f>IF(COUNTA($C149)=0,"","U"&amp;TEXT(ROW()-3,"0000"))</f>
        <v/>
      </c>
      <c r="C149" s="28" t="n"/>
      <c r="D149" s="26" t="n"/>
      <c r="E149" s="26" t="n"/>
      <c r="F149" s="26" t="n"/>
      <c r="G149" s="26" t="n"/>
      <c r="H149" s="26" t="n"/>
      <c r="I149" s="26" t="n"/>
      <c r="J149" s="26" t="n"/>
    </row>
    <row r="150" ht="30" customHeight="1">
      <c r="B150" s="16">
        <f>IF(COUNTA($C150)=0,"","U"&amp;TEXT(ROW()-3,"0000"))</f>
        <v/>
      </c>
      <c r="C150" s="27" t="n"/>
      <c r="D150" s="24" t="n"/>
      <c r="E150" s="24" t="n"/>
      <c r="F150" s="24" t="n"/>
      <c r="G150" s="24" t="n"/>
      <c r="H150" s="24" t="n"/>
      <c r="I150" s="24" t="n"/>
      <c r="J150" s="24" t="n"/>
    </row>
    <row r="151" ht="30" customHeight="1">
      <c r="B151" s="18">
        <f>IF(COUNTA($C151)=0,"","U"&amp;TEXT(ROW()-3,"0000"))</f>
        <v/>
      </c>
      <c r="C151" s="28" t="n"/>
      <c r="D151" s="26" t="n"/>
      <c r="E151" s="26" t="n"/>
      <c r="F151" s="26" t="n"/>
      <c r="G151" s="26" t="n"/>
      <c r="H151" s="26" t="n"/>
      <c r="I151" s="26" t="n"/>
      <c r="J151" s="26" t="n"/>
    </row>
    <row r="152" ht="30" customHeight="1">
      <c r="B152" s="16">
        <f>IF(COUNTA($C152)=0,"","U"&amp;TEXT(ROW()-3,"0000"))</f>
        <v/>
      </c>
      <c r="C152" s="27" t="n"/>
      <c r="D152" s="24" t="n"/>
      <c r="E152" s="24" t="n"/>
      <c r="F152" s="24" t="n"/>
      <c r="G152" s="24" t="n"/>
      <c r="H152" s="24" t="n"/>
      <c r="I152" s="24" t="n"/>
      <c r="J152" s="24" t="n"/>
    </row>
    <row r="153" ht="30" customHeight="1">
      <c r="B153" s="18">
        <f>IF(COUNTA($C153)=0,"","U"&amp;TEXT(ROW()-3,"0000"))</f>
        <v/>
      </c>
      <c r="C153" s="28" t="n"/>
      <c r="D153" s="26" t="n"/>
      <c r="E153" s="26" t="n"/>
      <c r="F153" s="26" t="n"/>
      <c r="G153" s="26" t="n"/>
      <c r="H153" s="26" t="n"/>
      <c r="I153" s="26" t="n"/>
      <c r="J153" s="26" t="n"/>
    </row>
  </sheetData>
  <dataValidations count="2">
    <dataValidation sqref="D4:D153" showDropDown="0" showInputMessage="0" showErrorMessage="0" allowBlank="1" type="list">
      <formula1>='02_Topic_Register'!$B$4:$B$33</formula1>
    </dataValidation>
    <dataValidation sqref="E4:E153" showDropDown="0" showInputMessage="0" showErrorMessage="0" allowBlank="1" type="list">
      <formula1>='03_Action_Register'!$B$4:$B$33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R3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0" customWidth="1" min="2" max="2"/>
    <col width="22" customWidth="1" min="3" max="3"/>
    <col width="30" customWidth="1" min="4" max="4"/>
    <col width="28" customWidth="1" min="5" max="5"/>
    <col width="22" customWidth="1" min="6" max="6"/>
    <col width="16" customWidth="1" min="7" max="7"/>
    <col width="18" customWidth="1" min="8" max="8"/>
    <col width="11" customWidth="1" min="9" max="9"/>
    <col width="14" customWidth="1" min="10" max="10"/>
    <col width="14" customWidth="1" min="11" max="11"/>
    <col width="14" customWidth="1" min="12" max="12"/>
    <col width="26" customWidth="1" min="13" max="13"/>
    <col width="12" customWidth="1" min="14" max="14"/>
    <col width="12" customWidth="1" min="15" max="15"/>
    <col width="12" customWidth="1" min="16" max="16"/>
    <col width="13" customWidth="1" min="17" max="17"/>
    <col width="22" customWidth="1" min="18" max="18"/>
  </cols>
  <sheetData>
    <row r="2" ht="26" customHeight="1">
      <c r="B2" s="1" t="inlineStr">
        <is>
          <t>PQCP / Readiness Tracker</t>
        </is>
      </c>
      <c r="G2" s="20" t="inlineStr">
        <is>
          <t>Legend:  Blue text = fill in yourself   |   Black text = automatic formula, do not overtype   |   Grey columns = automation helpers, do not edit</t>
        </is>
      </c>
    </row>
    <row r="3" ht="30" customHeight="1">
      <c r="B3" s="15" t="inlineStr">
        <is>
          <t>PQCP ID</t>
        </is>
      </c>
      <c r="C3" s="15" t="inlineStr">
        <is>
          <t>Section / Step</t>
        </is>
      </c>
      <c r="D3" s="15" t="inlineStr">
        <is>
          <t>Requirement</t>
        </is>
      </c>
      <c r="E3" s="15" t="inlineStr">
        <is>
          <t>Verification Question</t>
        </is>
      </c>
      <c r="F3" s="15" t="inlineStr">
        <is>
          <t>Required Evidence</t>
        </is>
      </c>
      <c r="G3" s="15" t="inlineStr">
        <is>
          <t>Responsible Person</t>
        </is>
      </c>
      <c r="H3" s="15" t="inlineStr">
        <is>
          <t>Status</t>
        </is>
      </c>
      <c r="I3" s="15" t="inlineStr">
        <is>
          <t>Readiness %</t>
        </is>
      </c>
      <c r="J3" s="15" t="inlineStr">
        <is>
          <t>Evidence Available?</t>
        </is>
      </c>
      <c r="K3" s="15" t="inlineStr">
        <is>
          <t>Evidence Reference</t>
        </is>
      </c>
      <c r="L3" s="15" t="inlineStr">
        <is>
          <t>Evidence Status</t>
        </is>
      </c>
      <c r="M3" s="15" t="inlineStr">
        <is>
          <t>Gap / Outstanding Item</t>
        </is>
      </c>
      <c r="N3" s="15" t="inlineStr">
        <is>
          <t>Target Date</t>
        </is>
      </c>
      <c r="O3" s="15" t="inlineStr">
        <is>
          <t>Related Topic ID</t>
        </is>
      </c>
      <c r="P3" s="15" t="inlineStr">
        <is>
          <t>Related Action ID</t>
        </is>
      </c>
      <c r="Q3" s="15" t="inlineStr">
        <is>
          <t>Last Review Date</t>
        </is>
      </c>
      <c r="R3" s="15" t="inlineStr">
        <is>
          <t>Next Step</t>
        </is>
      </c>
    </row>
    <row r="4" ht="30" customHeight="1">
      <c r="B4" s="16">
        <f>IF(COUNTA($D4)=0,"","P"&amp;TEXT(ROW()-3,"000"))</f>
        <v/>
      </c>
      <c r="C4" s="24" t="inlineStr">
        <is>
          <t>Mechanical Completion - Pump Skid A</t>
        </is>
      </c>
      <c r="D4" s="24" t="inlineStr">
        <is>
          <t>Instrumentation calibrated and certified prior to functional test</t>
        </is>
      </c>
      <c r="E4" s="24" t="inlineStr">
        <is>
          <t>Is the calibration certificate available and approved?</t>
        </is>
      </c>
      <c r="F4" s="24" t="inlineStr">
        <is>
          <t>Calibration certificate</t>
        </is>
      </c>
      <c r="G4" s="24" t="inlineStr">
        <is>
          <t>J. Smith</t>
        </is>
      </c>
      <c r="H4" s="24" t="inlineStr">
        <is>
          <t>Information Required</t>
        </is>
      </c>
      <c r="I4" s="29" t="n">
        <v>0.7</v>
      </c>
      <c r="J4" s="24" t="inlineStr">
        <is>
          <t>Partial</t>
        </is>
      </c>
      <c r="K4" s="24" t="inlineStr">
        <is>
          <t>E003</t>
        </is>
      </c>
      <c r="L4" s="30">
        <f>IF(K4="","",IFERROR(INDEX('06_Document_Evidence'!$G$4:$G$33,MATCH(K4,'06_Document_Evidence'!$B$4:$B$33,0)),""))</f>
        <v/>
      </c>
      <c r="M4" s="24" t="inlineStr">
        <is>
          <t>Calibration certificate not yet issued by contractor.</t>
        </is>
      </c>
      <c r="N4" s="27" t="n">
        <v>46249</v>
      </c>
      <c r="O4" s="24" t="inlineStr">
        <is>
          <t>T001</t>
        </is>
      </c>
      <c r="P4" s="24" t="inlineStr">
        <is>
          <t>A001</t>
        </is>
      </c>
      <c r="Q4" s="27" t="n">
        <v>46206</v>
      </c>
      <c r="R4" s="24" t="inlineStr">
        <is>
          <t>Review once certificate received.</t>
        </is>
      </c>
    </row>
    <row r="5" ht="30" customHeight="1">
      <c r="B5" s="18">
        <f>IF(COUNTA($D5)=0,"","P"&amp;TEXT(ROW()-3,"000"))</f>
        <v/>
      </c>
      <c r="C5" s="26" t="inlineStr">
        <is>
          <t>Documentation Closeout</t>
        </is>
      </c>
      <c r="D5" s="26" t="inlineStr">
        <is>
          <t>All ITPs formally signed off by the contractor</t>
        </is>
      </c>
      <c r="E5" s="26" t="inlineStr">
        <is>
          <t>Are all ITPs signed and filed?</t>
        </is>
      </c>
      <c r="F5" s="26" t="inlineStr">
        <is>
          <t>Signed ITP register</t>
        </is>
      </c>
      <c r="G5" s="26" t="inlineStr">
        <is>
          <t>A. Diallo</t>
        </is>
      </c>
      <c r="H5" s="26" t="inlineStr">
        <is>
          <t>In Progress</t>
        </is>
      </c>
      <c r="I5" s="31" t="n">
        <v>0.6</v>
      </c>
      <c r="J5" s="26" t="inlineStr">
        <is>
          <t>Partial</t>
        </is>
      </c>
      <c r="K5" s="26" t="inlineStr">
        <is>
          <t>E001</t>
        </is>
      </c>
      <c r="L5" s="30">
        <f>IF(K5="","",IFERROR(INDEX('06_Document_Evidence'!$G$4:$G$33,MATCH(K5,'06_Document_Evidence'!$B$4:$B$33,0)),""))</f>
        <v/>
      </c>
      <c r="M5" s="26" t="inlineStr">
        <is>
          <t>4 of 10 ITPs still unsigned.</t>
        </is>
      </c>
      <c r="N5" s="28" t="n">
        <v>46223</v>
      </c>
      <c r="O5" s="26" t="inlineStr">
        <is>
          <t>T002</t>
        </is>
      </c>
      <c r="P5" s="26" t="inlineStr">
        <is>
          <t>A002</t>
        </is>
      </c>
      <c r="Q5" s="28" t="n">
        <v>46178</v>
      </c>
      <c r="R5" s="26" t="inlineStr">
        <is>
          <t>Escalate outstanding ITPs.</t>
        </is>
      </c>
    </row>
    <row r="6" ht="30" customHeight="1">
      <c r="B6" s="16">
        <f>IF(COUNTA($D6)=0,"","P"&amp;TEXT(ROW()-3,"000"))</f>
        <v/>
      </c>
      <c r="C6" s="24" t="inlineStr">
        <is>
          <t>Interface Management</t>
        </is>
      </c>
      <c r="D6" s="24" t="inlineStr">
        <is>
          <t>Electrical / mechanical interface formally closed with sign-off from both parties</t>
        </is>
      </c>
      <c r="E6" s="24" t="inlineStr">
        <is>
          <t>Is the interface clearance record approved and filed?</t>
        </is>
      </c>
      <c r="F6" s="24" t="inlineStr">
        <is>
          <t>Interface clearance record</t>
        </is>
      </c>
      <c r="G6" s="24" t="inlineStr">
        <is>
          <t>M. Chen</t>
        </is>
      </c>
      <c r="H6" s="24" t="inlineStr">
        <is>
          <t>Complete</t>
        </is>
      </c>
      <c r="I6" s="29" t="n">
        <v>1</v>
      </c>
      <c r="J6" s="24" t="inlineStr">
        <is>
          <t>Yes</t>
        </is>
      </c>
      <c r="K6" s="24" t="inlineStr">
        <is>
          <t>E002</t>
        </is>
      </c>
      <c r="L6" s="30">
        <f>IF(K6="","",IFERROR(INDEX('06_Document_Evidence'!$G$4:$G$33,MATCH(K6,'06_Document_Evidence'!$B$4:$B$33,0)),""))</f>
        <v/>
      </c>
      <c r="M6" s="24" t="inlineStr"/>
      <c r="N6" s="27" t="n">
        <v>46162</v>
      </c>
      <c r="O6" s="24" t="inlineStr">
        <is>
          <t>T003</t>
        </is>
      </c>
      <c r="P6" s="24" t="inlineStr">
        <is>
          <t>A003</t>
        </is>
      </c>
      <c r="Q6" s="27" t="n">
        <v>46160</v>
      </c>
      <c r="R6" s="24" t="inlineStr">
        <is>
          <t>None - closed.</t>
        </is>
      </c>
    </row>
    <row r="7" ht="30" customHeight="1">
      <c r="B7" s="18">
        <f>IF(COUNTA($D7)=0,"","P"&amp;TEXT(ROW()-3,"000"))</f>
        <v/>
      </c>
      <c r="C7" s="26" t="n"/>
      <c r="D7" s="26" t="n"/>
      <c r="E7" s="26" t="n"/>
      <c r="F7" s="26" t="n"/>
      <c r="G7" s="26" t="n"/>
      <c r="H7" s="26" t="n"/>
      <c r="I7" s="31" t="n"/>
      <c r="J7" s="26" t="n"/>
      <c r="K7" s="26" t="n"/>
      <c r="L7" s="30">
        <f>IF(K7="","",IFERROR(INDEX('06_Document_Evidence'!$G$4:$G$33,MATCH(K7,'06_Document_Evidence'!$B$4:$B$33,0)),""))</f>
        <v/>
      </c>
      <c r="M7" s="26" t="n"/>
      <c r="N7" s="28" t="n"/>
      <c r="O7" s="26" t="n"/>
      <c r="P7" s="26" t="n"/>
      <c r="Q7" s="28" t="n"/>
      <c r="R7" s="26" t="n"/>
    </row>
    <row r="8" ht="30" customHeight="1">
      <c r="B8" s="16">
        <f>IF(COUNTA($D8)=0,"","P"&amp;TEXT(ROW()-3,"000"))</f>
        <v/>
      </c>
      <c r="C8" s="24" t="n"/>
      <c r="D8" s="24" t="n"/>
      <c r="E8" s="24" t="n"/>
      <c r="F8" s="24" t="n"/>
      <c r="G8" s="24" t="n"/>
      <c r="H8" s="24" t="n"/>
      <c r="I8" s="29" t="n"/>
      <c r="J8" s="24" t="n"/>
      <c r="K8" s="24" t="n"/>
      <c r="L8" s="30">
        <f>IF(K8="","",IFERROR(INDEX('06_Document_Evidence'!$G$4:$G$33,MATCH(K8,'06_Document_Evidence'!$B$4:$B$33,0)),""))</f>
        <v/>
      </c>
      <c r="M8" s="24" t="n"/>
      <c r="N8" s="27" t="n"/>
      <c r="O8" s="24" t="n"/>
      <c r="P8" s="24" t="n"/>
      <c r="Q8" s="27" t="n"/>
      <c r="R8" s="24" t="n"/>
    </row>
    <row r="9" ht="30" customHeight="1">
      <c r="B9" s="18">
        <f>IF(COUNTA($D9)=0,"","P"&amp;TEXT(ROW()-3,"000"))</f>
        <v/>
      </c>
      <c r="C9" s="26" t="n"/>
      <c r="D9" s="26" t="n"/>
      <c r="E9" s="26" t="n"/>
      <c r="F9" s="26" t="n"/>
      <c r="G9" s="26" t="n"/>
      <c r="H9" s="26" t="n"/>
      <c r="I9" s="31" t="n"/>
      <c r="J9" s="26" t="n"/>
      <c r="K9" s="26" t="n"/>
      <c r="L9" s="30">
        <f>IF(K9="","",IFERROR(INDEX('06_Document_Evidence'!$G$4:$G$33,MATCH(K9,'06_Document_Evidence'!$B$4:$B$33,0)),""))</f>
        <v/>
      </c>
      <c r="M9" s="26" t="n"/>
      <c r="N9" s="28" t="n"/>
      <c r="O9" s="26" t="n"/>
      <c r="P9" s="26" t="n"/>
      <c r="Q9" s="28" t="n"/>
      <c r="R9" s="26" t="n"/>
    </row>
    <row r="10" ht="30" customHeight="1">
      <c r="B10" s="16">
        <f>IF(COUNTA($D10)=0,"","P"&amp;TEXT(ROW()-3,"000"))</f>
        <v/>
      </c>
      <c r="C10" s="24" t="n"/>
      <c r="D10" s="24" t="n"/>
      <c r="E10" s="24" t="n"/>
      <c r="F10" s="24" t="n"/>
      <c r="G10" s="24" t="n"/>
      <c r="H10" s="24" t="n"/>
      <c r="I10" s="29" t="n"/>
      <c r="J10" s="24" t="n"/>
      <c r="K10" s="24" t="n"/>
      <c r="L10" s="30">
        <f>IF(K10="","",IFERROR(INDEX('06_Document_Evidence'!$G$4:$G$33,MATCH(K10,'06_Document_Evidence'!$B$4:$B$33,0)),""))</f>
        <v/>
      </c>
      <c r="M10" s="24" t="n"/>
      <c r="N10" s="27" t="n"/>
      <c r="O10" s="24" t="n"/>
      <c r="P10" s="24" t="n"/>
      <c r="Q10" s="27" t="n"/>
      <c r="R10" s="24" t="n"/>
    </row>
    <row r="11" ht="30" customHeight="1">
      <c r="B11" s="18">
        <f>IF(COUNTA($D11)=0,"","P"&amp;TEXT(ROW()-3,"000"))</f>
        <v/>
      </c>
      <c r="C11" s="26" t="n"/>
      <c r="D11" s="26" t="n"/>
      <c r="E11" s="26" t="n"/>
      <c r="F11" s="26" t="n"/>
      <c r="G11" s="26" t="n"/>
      <c r="H11" s="26" t="n"/>
      <c r="I11" s="31" t="n"/>
      <c r="J11" s="26" t="n"/>
      <c r="K11" s="26" t="n"/>
      <c r="L11" s="30">
        <f>IF(K11="","",IFERROR(INDEX('06_Document_Evidence'!$G$4:$G$33,MATCH(K11,'06_Document_Evidence'!$B$4:$B$33,0)),""))</f>
        <v/>
      </c>
      <c r="M11" s="26" t="n"/>
      <c r="N11" s="28" t="n"/>
      <c r="O11" s="26" t="n"/>
      <c r="P11" s="26" t="n"/>
      <c r="Q11" s="28" t="n"/>
      <c r="R11" s="26" t="n"/>
    </row>
    <row r="12" ht="30" customHeight="1">
      <c r="B12" s="16">
        <f>IF(COUNTA($D12)=0,"","P"&amp;TEXT(ROW()-3,"000"))</f>
        <v/>
      </c>
      <c r="C12" s="24" t="n"/>
      <c r="D12" s="24" t="n"/>
      <c r="E12" s="24" t="n"/>
      <c r="F12" s="24" t="n"/>
      <c r="G12" s="24" t="n"/>
      <c r="H12" s="24" t="n"/>
      <c r="I12" s="29" t="n"/>
      <c r="J12" s="24" t="n"/>
      <c r="K12" s="24" t="n"/>
      <c r="L12" s="30">
        <f>IF(K12="","",IFERROR(INDEX('06_Document_Evidence'!$G$4:$G$33,MATCH(K12,'06_Document_Evidence'!$B$4:$B$33,0)),""))</f>
        <v/>
      </c>
      <c r="M12" s="24" t="n"/>
      <c r="N12" s="27" t="n"/>
      <c r="O12" s="24" t="n"/>
      <c r="P12" s="24" t="n"/>
      <c r="Q12" s="27" t="n"/>
      <c r="R12" s="24" t="n"/>
    </row>
    <row r="13" ht="30" customHeight="1">
      <c r="B13" s="18">
        <f>IF(COUNTA($D13)=0,"","P"&amp;TEXT(ROW()-3,"000"))</f>
        <v/>
      </c>
      <c r="C13" s="26" t="n"/>
      <c r="D13" s="26" t="n"/>
      <c r="E13" s="26" t="n"/>
      <c r="F13" s="26" t="n"/>
      <c r="G13" s="26" t="n"/>
      <c r="H13" s="26" t="n"/>
      <c r="I13" s="31" t="n"/>
      <c r="J13" s="26" t="n"/>
      <c r="K13" s="26" t="n"/>
      <c r="L13" s="30">
        <f>IF(K13="","",IFERROR(INDEX('06_Document_Evidence'!$G$4:$G$33,MATCH(K13,'06_Document_Evidence'!$B$4:$B$33,0)),""))</f>
        <v/>
      </c>
      <c r="M13" s="26" t="n"/>
      <c r="N13" s="28" t="n"/>
      <c r="O13" s="26" t="n"/>
      <c r="P13" s="26" t="n"/>
      <c r="Q13" s="28" t="n"/>
      <c r="R13" s="26" t="n"/>
    </row>
    <row r="14" ht="30" customHeight="1">
      <c r="B14" s="16">
        <f>IF(COUNTA($D14)=0,"","P"&amp;TEXT(ROW()-3,"000"))</f>
        <v/>
      </c>
      <c r="C14" s="24" t="n"/>
      <c r="D14" s="24" t="n"/>
      <c r="E14" s="24" t="n"/>
      <c r="F14" s="24" t="n"/>
      <c r="G14" s="24" t="n"/>
      <c r="H14" s="24" t="n"/>
      <c r="I14" s="29" t="n"/>
      <c r="J14" s="24" t="n"/>
      <c r="K14" s="24" t="n"/>
      <c r="L14" s="30">
        <f>IF(K14="","",IFERROR(INDEX('06_Document_Evidence'!$G$4:$G$33,MATCH(K14,'06_Document_Evidence'!$B$4:$B$33,0)),""))</f>
        <v/>
      </c>
      <c r="M14" s="24" t="n"/>
      <c r="N14" s="27" t="n"/>
      <c r="O14" s="24" t="n"/>
      <c r="P14" s="24" t="n"/>
      <c r="Q14" s="27" t="n"/>
      <c r="R14" s="24" t="n"/>
    </row>
    <row r="15" ht="30" customHeight="1">
      <c r="B15" s="18">
        <f>IF(COUNTA($D15)=0,"","P"&amp;TEXT(ROW()-3,"000"))</f>
        <v/>
      </c>
      <c r="C15" s="26" t="n"/>
      <c r="D15" s="26" t="n"/>
      <c r="E15" s="26" t="n"/>
      <c r="F15" s="26" t="n"/>
      <c r="G15" s="26" t="n"/>
      <c r="H15" s="26" t="n"/>
      <c r="I15" s="31" t="n"/>
      <c r="J15" s="26" t="n"/>
      <c r="K15" s="26" t="n"/>
      <c r="L15" s="30">
        <f>IF(K15="","",IFERROR(INDEX('06_Document_Evidence'!$G$4:$G$33,MATCH(K15,'06_Document_Evidence'!$B$4:$B$33,0)),""))</f>
        <v/>
      </c>
      <c r="M15" s="26" t="n"/>
      <c r="N15" s="28" t="n"/>
      <c r="O15" s="26" t="n"/>
      <c r="P15" s="26" t="n"/>
      <c r="Q15" s="28" t="n"/>
      <c r="R15" s="26" t="n"/>
    </row>
    <row r="16" ht="30" customHeight="1">
      <c r="B16" s="16">
        <f>IF(COUNTA($D16)=0,"","P"&amp;TEXT(ROW()-3,"000"))</f>
        <v/>
      </c>
      <c r="C16" s="24" t="n"/>
      <c r="D16" s="24" t="n"/>
      <c r="E16" s="24" t="n"/>
      <c r="F16" s="24" t="n"/>
      <c r="G16" s="24" t="n"/>
      <c r="H16" s="24" t="n"/>
      <c r="I16" s="29" t="n"/>
      <c r="J16" s="24" t="n"/>
      <c r="K16" s="24" t="n"/>
      <c r="L16" s="30">
        <f>IF(K16="","",IFERROR(INDEX('06_Document_Evidence'!$G$4:$G$33,MATCH(K16,'06_Document_Evidence'!$B$4:$B$33,0)),""))</f>
        <v/>
      </c>
      <c r="M16" s="24" t="n"/>
      <c r="N16" s="27" t="n"/>
      <c r="O16" s="24" t="n"/>
      <c r="P16" s="24" t="n"/>
      <c r="Q16" s="27" t="n"/>
      <c r="R16" s="24" t="n"/>
    </row>
    <row r="17" ht="30" customHeight="1">
      <c r="B17" s="18">
        <f>IF(COUNTA($D17)=0,"","P"&amp;TEXT(ROW()-3,"000"))</f>
        <v/>
      </c>
      <c r="C17" s="26" t="n"/>
      <c r="D17" s="26" t="n"/>
      <c r="E17" s="26" t="n"/>
      <c r="F17" s="26" t="n"/>
      <c r="G17" s="26" t="n"/>
      <c r="H17" s="26" t="n"/>
      <c r="I17" s="31" t="n"/>
      <c r="J17" s="26" t="n"/>
      <c r="K17" s="26" t="n"/>
      <c r="L17" s="30">
        <f>IF(K17="","",IFERROR(INDEX('06_Document_Evidence'!$G$4:$G$33,MATCH(K17,'06_Document_Evidence'!$B$4:$B$33,0)),""))</f>
        <v/>
      </c>
      <c r="M17" s="26" t="n"/>
      <c r="N17" s="28" t="n"/>
      <c r="O17" s="26" t="n"/>
      <c r="P17" s="26" t="n"/>
      <c r="Q17" s="28" t="n"/>
      <c r="R17" s="26" t="n"/>
    </row>
    <row r="18" ht="30" customHeight="1">
      <c r="B18" s="16">
        <f>IF(COUNTA($D18)=0,"","P"&amp;TEXT(ROW()-3,"000"))</f>
        <v/>
      </c>
      <c r="C18" s="24" t="n"/>
      <c r="D18" s="24" t="n"/>
      <c r="E18" s="24" t="n"/>
      <c r="F18" s="24" t="n"/>
      <c r="G18" s="24" t="n"/>
      <c r="H18" s="24" t="n"/>
      <c r="I18" s="29" t="n"/>
      <c r="J18" s="24" t="n"/>
      <c r="K18" s="24" t="n"/>
      <c r="L18" s="30">
        <f>IF(K18="","",IFERROR(INDEX('06_Document_Evidence'!$G$4:$G$33,MATCH(K18,'06_Document_Evidence'!$B$4:$B$33,0)),""))</f>
        <v/>
      </c>
      <c r="M18" s="24" t="n"/>
      <c r="N18" s="27" t="n"/>
      <c r="O18" s="24" t="n"/>
      <c r="P18" s="24" t="n"/>
      <c r="Q18" s="27" t="n"/>
      <c r="R18" s="24" t="n"/>
    </row>
    <row r="19" ht="30" customHeight="1">
      <c r="B19" s="18">
        <f>IF(COUNTA($D19)=0,"","P"&amp;TEXT(ROW()-3,"000"))</f>
        <v/>
      </c>
      <c r="C19" s="26" t="n"/>
      <c r="D19" s="26" t="n"/>
      <c r="E19" s="26" t="n"/>
      <c r="F19" s="26" t="n"/>
      <c r="G19" s="26" t="n"/>
      <c r="H19" s="26" t="n"/>
      <c r="I19" s="31" t="n"/>
      <c r="J19" s="26" t="n"/>
      <c r="K19" s="26" t="n"/>
      <c r="L19" s="30">
        <f>IF(K19="","",IFERROR(INDEX('06_Document_Evidence'!$G$4:$G$33,MATCH(K19,'06_Document_Evidence'!$B$4:$B$33,0)),""))</f>
        <v/>
      </c>
      <c r="M19" s="26" t="n"/>
      <c r="N19" s="28" t="n"/>
      <c r="O19" s="26" t="n"/>
      <c r="P19" s="26" t="n"/>
      <c r="Q19" s="28" t="n"/>
      <c r="R19" s="26" t="n"/>
    </row>
    <row r="20" ht="30" customHeight="1">
      <c r="B20" s="16">
        <f>IF(COUNTA($D20)=0,"","P"&amp;TEXT(ROW()-3,"000"))</f>
        <v/>
      </c>
      <c r="C20" s="24" t="n"/>
      <c r="D20" s="24" t="n"/>
      <c r="E20" s="24" t="n"/>
      <c r="F20" s="24" t="n"/>
      <c r="G20" s="24" t="n"/>
      <c r="H20" s="24" t="n"/>
      <c r="I20" s="29" t="n"/>
      <c r="J20" s="24" t="n"/>
      <c r="K20" s="24" t="n"/>
      <c r="L20" s="30">
        <f>IF(K20="","",IFERROR(INDEX('06_Document_Evidence'!$G$4:$G$33,MATCH(K20,'06_Document_Evidence'!$B$4:$B$33,0)),""))</f>
        <v/>
      </c>
      <c r="M20" s="24" t="n"/>
      <c r="N20" s="27" t="n"/>
      <c r="O20" s="24" t="n"/>
      <c r="P20" s="24" t="n"/>
      <c r="Q20" s="27" t="n"/>
      <c r="R20" s="24" t="n"/>
    </row>
    <row r="21" ht="30" customHeight="1">
      <c r="B21" s="18">
        <f>IF(COUNTA($D21)=0,"","P"&amp;TEXT(ROW()-3,"000"))</f>
        <v/>
      </c>
      <c r="C21" s="26" t="n"/>
      <c r="D21" s="26" t="n"/>
      <c r="E21" s="26" t="n"/>
      <c r="F21" s="26" t="n"/>
      <c r="G21" s="26" t="n"/>
      <c r="H21" s="26" t="n"/>
      <c r="I21" s="31" t="n"/>
      <c r="J21" s="26" t="n"/>
      <c r="K21" s="26" t="n"/>
      <c r="L21" s="30">
        <f>IF(K21="","",IFERROR(INDEX('06_Document_Evidence'!$G$4:$G$33,MATCH(K21,'06_Document_Evidence'!$B$4:$B$33,0)),""))</f>
        <v/>
      </c>
      <c r="M21" s="26" t="n"/>
      <c r="N21" s="28" t="n"/>
      <c r="O21" s="26" t="n"/>
      <c r="P21" s="26" t="n"/>
      <c r="Q21" s="28" t="n"/>
      <c r="R21" s="26" t="n"/>
    </row>
    <row r="22" ht="30" customHeight="1">
      <c r="B22" s="16">
        <f>IF(COUNTA($D22)=0,"","P"&amp;TEXT(ROW()-3,"000"))</f>
        <v/>
      </c>
      <c r="C22" s="24" t="n"/>
      <c r="D22" s="24" t="n"/>
      <c r="E22" s="24" t="n"/>
      <c r="F22" s="24" t="n"/>
      <c r="G22" s="24" t="n"/>
      <c r="H22" s="24" t="n"/>
      <c r="I22" s="29" t="n"/>
      <c r="J22" s="24" t="n"/>
      <c r="K22" s="24" t="n"/>
      <c r="L22" s="30">
        <f>IF(K22="","",IFERROR(INDEX('06_Document_Evidence'!$G$4:$G$33,MATCH(K22,'06_Document_Evidence'!$B$4:$B$33,0)),""))</f>
        <v/>
      </c>
      <c r="M22" s="24" t="n"/>
      <c r="N22" s="27" t="n"/>
      <c r="O22" s="24" t="n"/>
      <c r="P22" s="24" t="n"/>
      <c r="Q22" s="27" t="n"/>
      <c r="R22" s="24" t="n"/>
    </row>
    <row r="23" ht="30" customHeight="1">
      <c r="B23" s="18">
        <f>IF(COUNTA($D23)=0,"","P"&amp;TEXT(ROW()-3,"000"))</f>
        <v/>
      </c>
      <c r="C23" s="26" t="n"/>
      <c r="D23" s="26" t="n"/>
      <c r="E23" s="26" t="n"/>
      <c r="F23" s="26" t="n"/>
      <c r="G23" s="26" t="n"/>
      <c r="H23" s="26" t="n"/>
      <c r="I23" s="31" t="n"/>
      <c r="J23" s="26" t="n"/>
      <c r="K23" s="26" t="n"/>
      <c r="L23" s="30">
        <f>IF(K23="","",IFERROR(INDEX('06_Document_Evidence'!$G$4:$G$33,MATCH(K23,'06_Document_Evidence'!$B$4:$B$33,0)),""))</f>
        <v/>
      </c>
      <c r="M23" s="26" t="n"/>
      <c r="N23" s="28" t="n"/>
      <c r="O23" s="26" t="n"/>
      <c r="P23" s="26" t="n"/>
      <c r="Q23" s="28" t="n"/>
      <c r="R23" s="26" t="n"/>
    </row>
    <row r="24" ht="30" customHeight="1">
      <c r="B24" s="16">
        <f>IF(COUNTA($D24)=0,"","P"&amp;TEXT(ROW()-3,"000"))</f>
        <v/>
      </c>
      <c r="C24" s="24" t="n"/>
      <c r="D24" s="24" t="n"/>
      <c r="E24" s="24" t="n"/>
      <c r="F24" s="24" t="n"/>
      <c r="G24" s="24" t="n"/>
      <c r="H24" s="24" t="n"/>
      <c r="I24" s="29" t="n"/>
      <c r="J24" s="24" t="n"/>
      <c r="K24" s="24" t="n"/>
      <c r="L24" s="30">
        <f>IF(K24="","",IFERROR(INDEX('06_Document_Evidence'!$G$4:$G$33,MATCH(K24,'06_Document_Evidence'!$B$4:$B$33,0)),""))</f>
        <v/>
      </c>
      <c r="M24" s="24" t="n"/>
      <c r="N24" s="27" t="n"/>
      <c r="O24" s="24" t="n"/>
      <c r="P24" s="24" t="n"/>
      <c r="Q24" s="27" t="n"/>
      <c r="R24" s="24" t="n"/>
    </row>
    <row r="25" ht="30" customHeight="1">
      <c r="B25" s="18">
        <f>IF(COUNTA($D25)=0,"","P"&amp;TEXT(ROW()-3,"000"))</f>
        <v/>
      </c>
      <c r="C25" s="26" t="n"/>
      <c r="D25" s="26" t="n"/>
      <c r="E25" s="26" t="n"/>
      <c r="F25" s="26" t="n"/>
      <c r="G25" s="26" t="n"/>
      <c r="H25" s="26" t="n"/>
      <c r="I25" s="31" t="n"/>
      <c r="J25" s="26" t="n"/>
      <c r="K25" s="26" t="n"/>
      <c r="L25" s="30">
        <f>IF(K25="","",IFERROR(INDEX('06_Document_Evidence'!$G$4:$G$33,MATCH(K25,'06_Document_Evidence'!$B$4:$B$33,0)),""))</f>
        <v/>
      </c>
      <c r="M25" s="26" t="n"/>
      <c r="N25" s="28" t="n"/>
      <c r="O25" s="26" t="n"/>
      <c r="P25" s="26" t="n"/>
      <c r="Q25" s="28" t="n"/>
      <c r="R25" s="26" t="n"/>
    </row>
    <row r="26" ht="30" customHeight="1">
      <c r="B26" s="16">
        <f>IF(COUNTA($D26)=0,"","P"&amp;TEXT(ROW()-3,"000"))</f>
        <v/>
      </c>
      <c r="C26" s="24" t="n"/>
      <c r="D26" s="24" t="n"/>
      <c r="E26" s="24" t="n"/>
      <c r="F26" s="24" t="n"/>
      <c r="G26" s="24" t="n"/>
      <c r="H26" s="24" t="n"/>
      <c r="I26" s="29" t="n"/>
      <c r="J26" s="24" t="n"/>
      <c r="K26" s="24" t="n"/>
      <c r="L26" s="30">
        <f>IF(K26="","",IFERROR(INDEX('06_Document_Evidence'!$G$4:$G$33,MATCH(K26,'06_Document_Evidence'!$B$4:$B$33,0)),""))</f>
        <v/>
      </c>
      <c r="M26" s="24" t="n"/>
      <c r="N26" s="27" t="n"/>
      <c r="O26" s="24" t="n"/>
      <c r="P26" s="24" t="n"/>
      <c r="Q26" s="27" t="n"/>
      <c r="R26" s="24" t="n"/>
    </row>
    <row r="27" ht="30" customHeight="1">
      <c r="B27" s="18">
        <f>IF(COUNTA($D27)=0,"","P"&amp;TEXT(ROW()-3,"000"))</f>
        <v/>
      </c>
      <c r="C27" s="26" t="n"/>
      <c r="D27" s="26" t="n"/>
      <c r="E27" s="26" t="n"/>
      <c r="F27" s="26" t="n"/>
      <c r="G27" s="26" t="n"/>
      <c r="H27" s="26" t="n"/>
      <c r="I27" s="31" t="n"/>
      <c r="J27" s="26" t="n"/>
      <c r="K27" s="26" t="n"/>
      <c r="L27" s="30">
        <f>IF(K27="","",IFERROR(INDEX('06_Document_Evidence'!$G$4:$G$33,MATCH(K27,'06_Document_Evidence'!$B$4:$B$33,0)),""))</f>
        <v/>
      </c>
      <c r="M27" s="26" t="n"/>
      <c r="N27" s="28" t="n"/>
      <c r="O27" s="26" t="n"/>
      <c r="P27" s="26" t="n"/>
      <c r="Q27" s="28" t="n"/>
      <c r="R27" s="26" t="n"/>
    </row>
    <row r="28" ht="30" customHeight="1">
      <c r="B28" s="16">
        <f>IF(COUNTA($D28)=0,"","P"&amp;TEXT(ROW()-3,"000"))</f>
        <v/>
      </c>
      <c r="C28" s="24" t="n"/>
      <c r="D28" s="24" t="n"/>
      <c r="E28" s="24" t="n"/>
      <c r="F28" s="24" t="n"/>
      <c r="G28" s="24" t="n"/>
      <c r="H28" s="24" t="n"/>
      <c r="I28" s="29" t="n"/>
      <c r="J28" s="24" t="n"/>
      <c r="K28" s="24" t="n"/>
      <c r="L28" s="30">
        <f>IF(K28="","",IFERROR(INDEX('06_Document_Evidence'!$G$4:$G$33,MATCH(K28,'06_Document_Evidence'!$B$4:$B$33,0)),""))</f>
        <v/>
      </c>
      <c r="M28" s="24" t="n"/>
      <c r="N28" s="27" t="n"/>
      <c r="O28" s="24" t="n"/>
      <c r="P28" s="24" t="n"/>
      <c r="Q28" s="27" t="n"/>
      <c r="R28" s="24" t="n"/>
    </row>
    <row r="29" ht="30" customHeight="1">
      <c r="B29" s="18">
        <f>IF(COUNTA($D29)=0,"","P"&amp;TEXT(ROW()-3,"000"))</f>
        <v/>
      </c>
      <c r="C29" s="26" t="n"/>
      <c r="D29" s="26" t="n"/>
      <c r="E29" s="26" t="n"/>
      <c r="F29" s="26" t="n"/>
      <c r="G29" s="26" t="n"/>
      <c r="H29" s="26" t="n"/>
      <c r="I29" s="31" t="n"/>
      <c r="J29" s="26" t="n"/>
      <c r="K29" s="26" t="n"/>
      <c r="L29" s="30">
        <f>IF(K29="","",IFERROR(INDEX('06_Document_Evidence'!$G$4:$G$33,MATCH(K29,'06_Document_Evidence'!$B$4:$B$33,0)),""))</f>
        <v/>
      </c>
      <c r="M29" s="26" t="n"/>
      <c r="N29" s="28" t="n"/>
      <c r="O29" s="26" t="n"/>
      <c r="P29" s="26" t="n"/>
      <c r="Q29" s="28" t="n"/>
      <c r="R29" s="26" t="n"/>
    </row>
    <row r="30" ht="30" customHeight="1">
      <c r="B30" s="16">
        <f>IF(COUNTA($D30)=0,"","P"&amp;TEXT(ROW()-3,"000"))</f>
        <v/>
      </c>
      <c r="C30" s="24" t="n"/>
      <c r="D30" s="24" t="n"/>
      <c r="E30" s="24" t="n"/>
      <c r="F30" s="24" t="n"/>
      <c r="G30" s="24" t="n"/>
      <c r="H30" s="24" t="n"/>
      <c r="I30" s="29" t="n"/>
      <c r="J30" s="24" t="n"/>
      <c r="K30" s="24" t="n"/>
      <c r="L30" s="30">
        <f>IF(K30="","",IFERROR(INDEX('06_Document_Evidence'!$G$4:$G$33,MATCH(K30,'06_Document_Evidence'!$B$4:$B$33,0)),""))</f>
        <v/>
      </c>
      <c r="M30" s="24" t="n"/>
      <c r="N30" s="27" t="n"/>
      <c r="O30" s="24" t="n"/>
      <c r="P30" s="24" t="n"/>
      <c r="Q30" s="27" t="n"/>
      <c r="R30" s="24" t="n"/>
    </row>
    <row r="31" ht="30" customHeight="1">
      <c r="B31" s="18">
        <f>IF(COUNTA($D31)=0,"","P"&amp;TEXT(ROW()-3,"000"))</f>
        <v/>
      </c>
      <c r="C31" s="26" t="n"/>
      <c r="D31" s="26" t="n"/>
      <c r="E31" s="26" t="n"/>
      <c r="F31" s="26" t="n"/>
      <c r="G31" s="26" t="n"/>
      <c r="H31" s="26" t="n"/>
      <c r="I31" s="31" t="n"/>
      <c r="J31" s="26" t="n"/>
      <c r="K31" s="26" t="n"/>
      <c r="L31" s="30">
        <f>IF(K31="","",IFERROR(INDEX('06_Document_Evidence'!$G$4:$G$33,MATCH(K31,'06_Document_Evidence'!$B$4:$B$33,0)),""))</f>
        <v/>
      </c>
      <c r="M31" s="26" t="n"/>
      <c r="N31" s="28" t="n"/>
      <c r="O31" s="26" t="n"/>
      <c r="P31" s="26" t="n"/>
      <c r="Q31" s="28" t="n"/>
      <c r="R31" s="26" t="n"/>
    </row>
    <row r="32" ht="30" customHeight="1">
      <c r="B32" s="16">
        <f>IF(COUNTA($D32)=0,"","P"&amp;TEXT(ROW()-3,"000"))</f>
        <v/>
      </c>
      <c r="C32" s="24" t="n"/>
      <c r="D32" s="24" t="n"/>
      <c r="E32" s="24" t="n"/>
      <c r="F32" s="24" t="n"/>
      <c r="G32" s="24" t="n"/>
      <c r="H32" s="24" t="n"/>
      <c r="I32" s="29" t="n"/>
      <c r="J32" s="24" t="n"/>
      <c r="K32" s="24" t="n"/>
      <c r="L32" s="30">
        <f>IF(K32="","",IFERROR(INDEX('06_Document_Evidence'!$G$4:$G$33,MATCH(K32,'06_Document_Evidence'!$B$4:$B$33,0)),""))</f>
        <v/>
      </c>
      <c r="M32" s="24" t="n"/>
      <c r="N32" s="27" t="n"/>
      <c r="O32" s="24" t="n"/>
      <c r="P32" s="24" t="n"/>
      <c r="Q32" s="27" t="n"/>
      <c r="R32" s="24" t="n"/>
    </row>
    <row r="33" ht="30" customHeight="1">
      <c r="B33" s="18">
        <f>IF(COUNTA($D33)=0,"","P"&amp;TEXT(ROW()-3,"000"))</f>
        <v/>
      </c>
      <c r="C33" s="26" t="n"/>
      <c r="D33" s="26" t="n"/>
      <c r="E33" s="26" t="n"/>
      <c r="F33" s="26" t="n"/>
      <c r="G33" s="26" t="n"/>
      <c r="H33" s="26" t="n"/>
      <c r="I33" s="31" t="n"/>
      <c r="J33" s="26" t="n"/>
      <c r="K33" s="26" t="n"/>
      <c r="L33" s="30">
        <f>IF(K33="","",IFERROR(INDEX('06_Document_Evidence'!$G$4:$G$33,MATCH(K33,'06_Document_Evidence'!$B$4:$B$33,0)),""))</f>
        <v/>
      </c>
      <c r="M33" s="26" t="n"/>
      <c r="N33" s="28" t="n"/>
      <c r="O33" s="26" t="n"/>
      <c r="P33" s="26" t="n"/>
      <c r="Q33" s="28" t="n"/>
      <c r="R33" s="26" t="n"/>
    </row>
  </sheetData>
  <conditionalFormatting sqref="B4:R33">
    <cfRule type="expression" priority="1" dxfId="7">
      <formula>$H4="Complete"</formula>
    </cfRule>
    <cfRule type="expression" priority="2" dxfId="3">
      <formula>$H4="Not Started"</formula>
    </cfRule>
    <cfRule type="expression" priority="3" dxfId="4">
      <formula>OR($H4="Information Required",$H4="In Progress",$H4="Under Review")</formula>
    </cfRule>
  </conditionalFormatting>
  <conditionalFormatting sqref="I4:I33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dataValidations count="5">
    <dataValidation sqref="H4:H33" showDropDown="0" showInputMessage="0" showErrorMessage="0" allowBlank="1" type="list">
      <formula1>=LIST_PQCP_STATUS</formula1>
    </dataValidation>
    <dataValidation sqref="J4:J33" showDropDown="0" showInputMessage="0" showErrorMessage="0" allowBlank="1" type="list">
      <formula1>=LIST_EVIDENCE_AVAIL</formula1>
    </dataValidation>
    <dataValidation sqref="K4:K33" showDropDown="0" showInputMessage="0" showErrorMessage="0" allowBlank="1" type="list">
      <formula1>='06_Document_Evidence'!$B$4:$B$33</formula1>
    </dataValidation>
    <dataValidation sqref="O4:O33" showDropDown="0" showInputMessage="0" showErrorMessage="0" allowBlank="1" type="list">
      <formula1>='02_Topic_Register'!$B$4:$B$33</formula1>
    </dataValidation>
    <dataValidation sqref="P4:P33" showDropDown="0" showInputMessage="0" showErrorMessage="0" allowBlank="1" type="list">
      <formula1>='03_Action_Register'!$B$4:$B$33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M3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1" customWidth="1" min="2" max="2"/>
    <col width="24" customWidth="1" min="3" max="3"/>
    <col width="30" customWidth="1" min="4" max="4"/>
    <col width="16" customWidth="1" min="5" max="5"/>
    <col width="10" customWidth="1" min="6" max="6"/>
    <col width="16" customWidth="1" min="7" max="7"/>
    <col width="12" customWidth="1" min="8" max="8"/>
    <col width="12" customWidth="1" min="9" max="9"/>
    <col width="13" customWidth="1" min="10" max="10"/>
    <col width="10" customWidth="1" min="11" max="11"/>
    <col width="10" customWidth="1" min="12" max="12"/>
    <col width="26" customWidth="1" min="13" max="13"/>
  </cols>
  <sheetData>
    <row r="2" ht="26" customHeight="1">
      <c r="B2" s="1" t="inlineStr">
        <is>
          <t>Document / Evidence Register</t>
        </is>
      </c>
      <c r="F2" s="20" t="inlineStr">
        <is>
          <t>Legend:  Blue text = fill in yourself   |   Black text = automatic formula, do not overtype   |   Grey columns = automation helpers, do not edit</t>
        </is>
      </c>
    </row>
    <row r="3" ht="30" customHeight="1">
      <c r="B3" s="15" t="inlineStr">
        <is>
          <t>Evidence ID</t>
        </is>
      </c>
      <c r="C3" s="15" t="inlineStr">
        <is>
          <t>Document Type</t>
        </is>
      </c>
      <c r="D3" s="15" t="inlineStr">
        <is>
          <t>Description</t>
        </is>
      </c>
      <c r="E3" s="15" t="inlineStr">
        <is>
          <t>Document Reference</t>
        </is>
      </c>
      <c r="F3" s="15" t="inlineStr">
        <is>
          <t>Revision</t>
        </is>
      </c>
      <c r="G3" s="15" t="inlineStr">
        <is>
          <t>Status</t>
        </is>
      </c>
      <c r="H3" s="15" t="inlineStr">
        <is>
          <t>Related PQCP ID</t>
        </is>
      </c>
      <c r="I3" s="15" t="inlineStr">
        <is>
          <t>Related Topic ID</t>
        </is>
      </c>
      <c r="J3" s="15" t="inlineStr">
        <is>
          <t>Required Date</t>
        </is>
      </c>
      <c r="K3" s="15" t="inlineStr">
        <is>
          <t>Available?</t>
        </is>
      </c>
      <c r="L3" s="15" t="inlineStr">
        <is>
          <t>Approved?</t>
        </is>
      </c>
      <c r="M3" s="15" t="inlineStr">
        <is>
          <t>Comments</t>
        </is>
      </c>
    </row>
    <row r="4" ht="30" customHeight="1">
      <c r="B4" s="16">
        <f>IF(COUNTA($D4)=0,"","E"&amp;TEXT(ROW()-3,"000"))</f>
        <v/>
      </c>
      <c r="C4" s="24" t="inlineStr">
        <is>
          <t>Inspection &amp; Test Plan</t>
        </is>
      </c>
      <c r="D4" s="24" t="inlineStr">
        <is>
          <t>ITP for Pump Skid A instrumentation</t>
        </is>
      </c>
      <c r="E4" s="24" t="inlineStr">
        <is>
          <t>ITP-PSA-001</t>
        </is>
      </c>
      <c r="F4" s="24" t="inlineStr">
        <is>
          <t>B</t>
        </is>
      </c>
      <c r="G4" s="24" t="inlineStr">
        <is>
          <t>Approved</t>
        </is>
      </c>
      <c r="H4" s="24" t="inlineStr">
        <is>
          <t>P001</t>
        </is>
      </c>
      <c r="I4" s="24" t="inlineStr">
        <is>
          <t>T001</t>
        </is>
      </c>
      <c r="J4" s="27" t="n">
        <v>46213</v>
      </c>
      <c r="K4" s="24" t="inlineStr">
        <is>
          <t>Yes</t>
        </is>
      </c>
      <c r="L4" s="24" t="inlineStr">
        <is>
          <t>Yes</t>
        </is>
      </c>
      <c r="M4" s="24" t="inlineStr">
        <is>
          <t>Filed in document register.</t>
        </is>
      </c>
    </row>
    <row r="5" ht="30" customHeight="1">
      <c r="B5" s="18">
        <f>IF(COUNTA($D5)=0,"","E"&amp;TEXT(ROW()-3,"000"))</f>
        <v/>
      </c>
      <c r="C5" s="26" t="inlineStr">
        <is>
          <t>Handover / Erection Completion Evidence</t>
        </is>
      </c>
      <c r="D5" s="26" t="inlineStr">
        <is>
          <t>Interface clearance record - Skid B power feed</t>
        </is>
      </c>
      <c r="E5" s="26" t="inlineStr">
        <is>
          <t>ECR-SKB-014</t>
        </is>
      </c>
      <c r="F5" s="26" t="inlineStr">
        <is>
          <t>A</t>
        </is>
      </c>
      <c r="G5" s="26" t="inlineStr">
        <is>
          <t>Approved</t>
        </is>
      </c>
      <c r="H5" s="26" t="inlineStr"/>
      <c r="I5" s="26" t="inlineStr">
        <is>
          <t>T003</t>
        </is>
      </c>
      <c r="J5" s="28" t="n">
        <v>46157</v>
      </c>
      <c r="K5" s="26" t="inlineStr">
        <is>
          <t>Yes</t>
        </is>
      </c>
      <c r="L5" s="26" t="inlineStr">
        <is>
          <t>Yes</t>
        </is>
      </c>
      <c r="M5" s="26" t="inlineStr"/>
    </row>
    <row r="6" ht="30" customHeight="1">
      <c r="B6" s="16">
        <f>IF(COUNTA($D6)=0,"","E"&amp;TEXT(ROW()-3,"000"))</f>
        <v/>
      </c>
      <c r="C6" s="24" t="inlineStr">
        <is>
          <t>Commissioning Result Sheet</t>
        </is>
      </c>
      <c r="D6" s="24" t="inlineStr">
        <is>
          <t>Functional test result sheet - Pump Skid A</t>
        </is>
      </c>
      <c r="E6" s="24" t="inlineStr">
        <is>
          <t>CRS-PSA-002</t>
        </is>
      </c>
      <c r="F6" s="24" t="inlineStr">
        <is>
          <t>-</t>
        </is>
      </c>
      <c r="G6" s="24" t="inlineStr">
        <is>
          <t>Draft</t>
        </is>
      </c>
      <c r="H6" s="24" t="inlineStr">
        <is>
          <t>P001</t>
        </is>
      </c>
      <c r="I6" s="24" t="inlineStr">
        <is>
          <t>T001</t>
        </is>
      </c>
      <c r="J6" s="27" t="n">
        <v>46235</v>
      </c>
      <c r="K6" s="24" t="inlineStr">
        <is>
          <t>No</t>
        </is>
      </c>
      <c r="L6" s="24" t="inlineStr">
        <is>
          <t>No</t>
        </is>
      </c>
      <c r="M6" s="24" t="inlineStr">
        <is>
          <t>Awaiting calibration certificate before final issue.</t>
        </is>
      </c>
    </row>
    <row r="7" ht="30" customHeight="1">
      <c r="B7" s="18">
        <f>IF(COUNTA($D7)=0,"","E"&amp;TEXT(ROW()-3,"000"))</f>
        <v/>
      </c>
      <c r="C7" s="26" t="n"/>
      <c r="D7" s="26" t="n"/>
      <c r="E7" s="26" t="n"/>
      <c r="F7" s="26" t="n"/>
      <c r="G7" s="26" t="n"/>
      <c r="H7" s="26" t="n"/>
      <c r="I7" s="26" t="n"/>
      <c r="J7" s="28" t="n"/>
      <c r="K7" s="26" t="n"/>
      <c r="L7" s="26" t="n"/>
      <c r="M7" s="26" t="n"/>
    </row>
    <row r="8" ht="30" customHeight="1">
      <c r="B8" s="16">
        <f>IF(COUNTA($D8)=0,"","E"&amp;TEXT(ROW()-3,"000"))</f>
        <v/>
      </c>
      <c r="C8" s="24" t="n"/>
      <c r="D8" s="24" t="n"/>
      <c r="E8" s="24" t="n"/>
      <c r="F8" s="24" t="n"/>
      <c r="G8" s="24" t="n"/>
      <c r="H8" s="24" t="n"/>
      <c r="I8" s="24" t="n"/>
      <c r="J8" s="27" t="n"/>
      <c r="K8" s="24" t="n"/>
      <c r="L8" s="24" t="n"/>
      <c r="M8" s="24" t="n"/>
    </row>
    <row r="9" ht="30" customHeight="1">
      <c r="B9" s="18">
        <f>IF(COUNTA($D9)=0,"","E"&amp;TEXT(ROW()-3,"000"))</f>
        <v/>
      </c>
      <c r="C9" s="26" t="n"/>
      <c r="D9" s="26" t="n"/>
      <c r="E9" s="26" t="n"/>
      <c r="F9" s="26" t="n"/>
      <c r="G9" s="26" t="n"/>
      <c r="H9" s="26" t="n"/>
      <c r="I9" s="26" t="n"/>
      <c r="J9" s="28" t="n"/>
      <c r="K9" s="26" t="n"/>
      <c r="L9" s="26" t="n"/>
      <c r="M9" s="26" t="n"/>
    </row>
    <row r="10" ht="30" customHeight="1">
      <c r="B10" s="16">
        <f>IF(COUNTA($D10)=0,"","E"&amp;TEXT(ROW()-3,"000"))</f>
        <v/>
      </c>
      <c r="C10" s="24" t="n"/>
      <c r="D10" s="24" t="n"/>
      <c r="E10" s="24" t="n"/>
      <c r="F10" s="24" t="n"/>
      <c r="G10" s="24" t="n"/>
      <c r="H10" s="24" t="n"/>
      <c r="I10" s="24" t="n"/>
      <c r="J10" s="27" t="n"/>
      <c r="K10" s="24" t="n"/>
      <c r="L10" s="24" t="n"/>
      <c r="M10" s="24" t="n"/>
    </row>
    <row r="11" ht="30" customHeight="1">
      <c r="B11" s="18">
        <f>IF(COUNTA($D11)=0,"","E"&amp;TEXT(ROW()-3,"000"))</f>
        <v/>
      </c>
      <c r="C11" s="26" t="n"/>
      <c r="D11" s="26" t="n"/>
      <c r="E11" s="26" t="n"/>
      <c r="F11" s="26" t="n"/>
      <c r="G11" s="26" t="n"/>
      <c r="H11" s="26" t="n"/>
      <c r="I11" s="26" t="n"/>
      <c r="J11" s="28" t="n"/>
      <c r="K11" s="26" t="n"/>
      <c r="L11" s="26" t="n"/>
      <c r="M11" s="26" t="n"/>
    </row>
    <row r="12" ht="30" customHeight="1">
      <c r="B12" s="16">
        <f>IF(COUNTA($D12)=0,"","E"&amp;TEXT(ROW()-3,"000"))</f>
        <v/>
      </c>
      <c r="C12" s="24" t="n"/>
      <c r="D12" s="24" t="n"/>
      <c r="E12" s="24" t="n"/>
      <c r="F12" s="24" t="n"/>
      <c r="G12" s="24" t="n"/>
      <c r="H12" s="24" t="n"/>
      <c r="I12" s="24" t="n"/>
      <c r="J12" s="27" t="n"/>
      <c r="K12" s="24" t="n"/>
      <c r="L12" s="24" t="n"/>
      <c r="M12" s="24" t="n"/>
    </row>
    <row r="13" ht="30" customHeight="1">
      <c r="B13" s="18">
        <f>IF(COUNTA($D13)=0,"","E"&amp;TEXT(ROW()-3,"000"))</f>
        <v/>
      </c>
      <c r="C13" s="26" t="n"/>
      <c r="D13" s="26" t="n"/>
      <c r="E13" s="26" t="n"/>
      <c r="F13" s="26" t="n"/>
      <c r="G13" s="26" t="n"/>
      <c r="H13" s="26" t="n"/>
      <c r="I13" s="26" t="n"/>
      <c r="J13" s="28" t="n"/>
      <c r="K13" s="26" t="n"/>
      <c r="L13" s="26" t="n"/>
      <c r="M13" s="26" t="n"/>
    </row>
    <row r="14" ht="30" customHeight="1">
      <c r="B14" s="16">
        <f>IF(COUNTA($D14)=0,"","E"&amp;TEXT(ROW()-3,"000"))</f>
        <v/>
      </c>
      <c r="C14" s="24" t="n"/>
      <c r="D14" s="24" t="n"/>
      <c r="E14" s="24" t="n"/>
      <c r="F14" s="24" t="n"/>
      <c r="G14" s="24" t="n"/>
      <c r="H14" s="24" t="n"/>
      <c r="I14" s="24" t="n"/>
      <c r="J14" s="27" t="n"/>
      <c r="K14" s="24" t="n"/>
      <c r="L14" s="24" t="n"/>
      <c r="M14" s="24" t="n"/>
    </row>
    <row r="15" ht="30" customHeight="1">
      <c r="B15" s="18">
        <f>IF(COUNTA($D15)=0,"","E"&amp;TEXT(ROW()-3,"000"))</f>
        <v/>
      </c>
      <c r="C15" s="26" t="n"/>
      <c r="D15" s="26" t="n"/>
      <c r="E15" s="26" t="n"/>
      <c r="F15" s="26" t="n"/>
      <c r="G15" s="26" t="n"/>
      <c r="H15" s="26" t="n"/>
      <c r="I15" s="26" t="n"/>
      <c r="J15" s="28" t="n"/>
      <c r="K15" s="26" t="n"/>
      <c r="L15" s="26" t="n"/>
      <c r="M15" s="26" t="n"/>
    </row>
    <row r="16" ht="30" customHeight="1">
      <c r="B16" s="16">
        <f>IF(COUNTA($D16)=0,"","E"&amp;TEXT(ROW()-3,"000"))</f>
        <v/>
      </c>
      <c r="C16" s="24" t="n"/>
      <c r="D16" s="24" t="n"/>
      <c r="E16" s="24" t="n"/>
      <c r="F16" s="24" t="n"/>
      <c r="G16" s="24" t="n"/>
      <c r="H16" s="24" t="n"/>
      <c r="I16" s="24" t="n"/>
      <c r="J16" s="27" t="n"/>
      <c r="K16" s="24" t="n"/>
      <c r="L16" s="24" t="n"/>
      <c r="M16" s="24" t="n"/>
    </row>
    <row r="17" ht="30" customHeight="1">
      <c r="B17" s="18">
        <f>IF(COUNTA($D17)=0,"","E"&amp;TEXT(ROW()-3,"000"))</f>
        <v/>
      </c>
      <c r="C17" s="26" t="n"/>
      <c r="D17" s="26" t="n"/>
      <c r="E17" s="26" t="n"/>
      <c r="F17" s="26" t="n"/>
      <c r="G17" s="26" t="n"/>
      <c r="H17" s="26" t="n"/>
      <c r="I17" s="26" t="n"/>
      <c r="J17" s="28" t="n"/>
      <c r="K17" s="26" t="n"/>
      <c r="L17" s="26" t="n"/>
      <c r="M17" s="26" t="n"/>
    </row>
    <row r="18" ht="30" customHeight="1">
      <c r="B18" s="16">
        <f>IF(COUNTA($D18)=0,"","E"&amp;TEXT(ROW()-3,"000"))</f>
        <v/>
      </c>
      <c r="C18" s="24" t="n"/>
      <c r="D18" s="24" t="n"/>
      <c r="E18" s="24" t="n"/>
      <c r="F18" s="24" t="n"/>
      <c r="G18" s="24" t="n"/>
      <c r="H18" s="24" t="n"/>
      <c r="I18" s="24" t="n"/>
      <c r="J18" s="27" t="n"/>
      <c r="K18" s="24" t="n"/>
      <c r="L18" s="24" t="n"/>
      <c r="M18" s="24" t="n"/>
    </row>
    <row r="19" ht="30" customHeight="1">
      <c r="B19" s="18">
        <f>IF(COUNTA($D19)=0,"","E"&amp;TEXT(ROW()-3,"000"))</f>
        <v/>
      </c>
      <c r="C19" s="26" t="n"/>
      <c r="D19" s="26" t="n"/>
      <c r="E19" s="26" t="n"/>
      <c r="F19" s="26" t="n"/>
      <c r="G19" s="26" t="n"/>
      <c r="H19" s="26" t="n"/>
      <c r="I19" s="26" t="n"/>
      <c r="J19" s="28" t="n"/>
      <c r="K19" s="26" t="n"/>
      <c r="L19" s="26" t="n"/>
      <c r="M19" s="26" t="n"/>
    </row>
    <row r="20" ht="30" customHeight="1">
      <c r="B20" s="16">
        <f>IF(COUNTA($D20)=0,"","E"&amp;TEXT(ROW()-3,"000"))</f>
        <v/>
      </c>
      <c r="C20" s="24" t="n"/>
      <c r="D20" s="24" t="n"/>
      <c r="E20" s="24" t="n"/>
      <c r="F20" s="24" t="n"/>
      <c r="G20" s="24" t="n"/>
      <c r="H20" s="24" t="n"/>
      <c r="I20" s="24" t="n"/>
      <c r="J20" s="27" t="n"/>
      <c r="K20" s="24" t="n"/>
      <c r="L20" s="24" t="n"/>
      <c r="M20" s="24" t="n"/>
    </row>
    <row r="21" ht="30" customHeight="1">
      <c r="B21" s="18">
        <f>IF(COUNTA($D21)=0,"","E"&amp;TEXT(ROW()-3,"000"))</f>
        <v/>
      </c>
      <c r="C21" s="26" t="n"/>
      <c r="D21" s="26" t="n"/>
      <c r="E21" s="26" t="n"/>
      <c r="F21" s="26" t="n"/>
      <c r="G21" s="26" t="n"/>
      <c r="H21" s="26" t="n"/>
      <c r="I21" s="26" t="n"/>
      <c r="J21" s="28" t="n"/>
      <c r="K21" s="26" t="n"/>
      <c r="L21" s="26" t="n"/>
      <c r="M21" s="26" t="n"/>
    </row>
    <row r="22" ht="30" customHeight="1">
      <c r="B22" s="16">
        <f>IF(COUNTA($D22)=0,"","E"&amp;TEXT(ROW()-3,"000"))</f>
        <v/>
      </c>
      <c r="C22" s="24" t="n"/>
      <c r="D22" s="24" t="n"/>
      <c r="E22" s="24" t="n"/>
      <c r="F22" s="24" t="n"/>
      <c r="G22" s="24" t="n"/>
      <c r="H22" s="24" t="n"/>
      <c r="I22" s="24" t="n"/>
      <c r="J22" s="27" t="n"/>
      <c r="K22" s="24" t="n"/>
      <c r="L22" s="24" t="n"/>
      <c r="M22" s="24" t="n"/>
    </row>
    <row r="23" ht="30" customHeight="1">
      <c r="B23" s="18">
        <f>IF(COUNTA($D23)=0,"","E"&amp;TEXT(ROW()-3,"000"))</f>
        <v/>
      </c>
      <c r="C23" s="26" t="n"/>
      <c r="D23" s="26" t="n"/>
      <c r="E23" s="26" t="n"/>
      <c r="F23" s="26" t="n"/>
      <c r="G23" s="26" t="n"/>
      <c r="H23" s="26" t="n"/>
      <c r="I23" s="26" t="n"/>
      <c r="J23" s="28" t="n"/>
      <c r="K23" s="26" t="n"/>
      <c r="L23" s="26" t="n"/>
      <c r="M23" s="26" t="n"/>
    </row>
    <row r="24" ht="30" customHeight="1">
      <c r="B24" s="16">
        <f>IF(COUNTA($D24)=0,"","E"&amp;TEXT(ROW()-3,"000"))</f>
        <v/>
      </c>
      <c r="C24" s="24" t="n"/>
      <c r="D24" s="24" t="n"/>
      <c r="E24" s="24" t="n"/>
      <c r="F24" s="24" t="n"/>
      <c r="G24" s="24" t="n"/>
      <c r="H24" s="24" t="n"/>
      <c r="I24" s="24" t="n"/>
      <c r="J24" s="27" t="n"/>
      <c r="K24" s="24" t="n"/>
      <c r="L24" s="24" t="n"/>
      <c r="M24" s="24" t="n"/>
    </row>
    <row r="25" ht="30" customHeight="1">
      <c r="B25" s="18">
        <f>IF(COUNTA($D25)=0,"","E"&amp;TEXT(ROW()-3,"000"))</f>
        <v/>
      </c>
      <c r="C25" s="26" t="n"/>
      <c r="D25" s="26" t="n"/>
      <c r="E25" s="26" t="n"/>
      <c r="F25" s="26" t="n"/>
      <c r="G25" s="26" t="n"/>
      <c r="H25" s="26" t="n"/>
      <c r="I25" s="26" t="n"/>
      <c r="J25" s="28" t="n"/>
      <c r="K25" s="26" t="n"/>
      <c r="L25" s="26" t="n"/>
      <c r="M25" s="26" t="n"/>
    </row>
    <row r="26" ht="30" customHeight="1">
      <c r="B26" s="16">
        <f>IF(COUNTA($D26)=0,"","E"&amp;TEXT(ROW()-3,"000"))</f>
        <v/>
      </c>
      <c r="C26" s="24" t="n"/>
      <c r="D26" s="24" t="n"/>
      <c r="E26" s="24" t="n"/>
      <c r="F26" s="24" t="n"/>
      <c r="G26" s="24" t="n"/>
      <c r="H26" s="24" t="n"/>
      <c r="I26" s="24" t="n"/>
      <c r="J26" s="27" t="n"/>
      <c r="K26" s="24" t="n"/>
      <c r="L26" s="24" t="n"/>
      <c r="M26" s="24" t="n"/>
    </row>
    <row r="27" ht="30" customHeight="1">
      <c r="B27" s="18">
        <f>IF(COUNTA($D27)=0,"","E"&amp;TEXT(ROW()-3,"000"))</f>
        <v/>
      </c>
      <c r="C27" s="26" t="n"/>
      <c r="D27" s="26" t="n"/>
      <c r="E27" s="26" t="n"/>
      <c r="F27" s="26" t="n"/>
      <c r="G27" s="26" t="n"/>
      <c r="H27" s="26" t="n"/>
      <c r="I27" s="26" t="n"/>
      <c r="J27" s="28" t="n"/>
      <c r="K27" s="26" t="n"/>
      <c r="L27" s="26" t="n"/>
      <c r="M27" s="26" t="n"/>
    </row>
    <row r="28" ht="30" customHeight="1">
      <c r="B28" s="16">
        <f>IF(COUNTA($D28)=0,"","E"&amp;TEXT(ROW()-3,"000"))</f>
        <v/>
      </c>
      <c r="C28" s="24" t="n"/>
      <c r="D28" s="24" t="n"/>
      <c r="E28" s="24" t="n"/>
      <c r="F28" s="24" t="n"/>
      <c r="G28" s="24" t="n"/>
      <c r="H28" s="24" t="n"/>
      <c r="I28" s="24" t="n"/>
      <c r="J28" s="27" t="n"/>
      <c r="K28" s="24" t="n"/>
      <c r="L28" s="24" t="n"/>
      <c r="M28" s="24" t="n"/>
    </row>
    <row r="29" ht="30" customHeight="1">
      <c r="B29" s="18">
        <f>IF(COUNTA($D29)=0,"","E"&amp;TEXT(ROW()-3,"000"))</f>
        <v/>
      </c>
      <c r="C29" s="26" t="n"/>
      <c r="D29" s="26" t="n"/>
      <c r="E29" s="26" t="n"/>
      <c r="F29" s="26" t="n"/>
      <c r="G29" s="26" t="n"/>
      <c r="H29" s="26" t="n"/>
      <c r="I29" s="26" t="n"/>
      <c r="J29" s="28" t="n"/>
      <c r="K29" s="26" t="n"/>
      <c r="L29" s="26" t="n"/>
      <c r="M29" s="26" t="n"/>
    </row>
    <row r="30" ht="30" customHeight="1">
      <c r="B30" s="16">
        <f>IF(COUNTA($D30)=0,"","E"&amp;TEXT(ROW()-3,"000"))</f>
        <v/>
      </c>
      <c r="C30" s="24" t="n"/>
      <c r="D30" s="24" t="n"/>
      <c r="E30" s="24" t="n"/>
      <c r="F30" s="24" t="n"/>
      <c r="G30" s="24" t="n"/>
      <c r="H30" s="24" t="n"/>
      <c r="I30" s="24" t="n"/>
      <c r="J30" s="27" t="n"/>
      <c r="K30" s="24" t="n"/>
      <c r="L30" s="24" t="n"/>
      <c r="M30" s="24" t="n"/>
    </row>
    <row r="31" ht="30" customHeight="1">
      <c r="B31" s="18">
        <f>IF(COUNTA($D31)=0,"","E"&amp;TEXT(ROW()-3,"000"))</f>
        <v/>
      </c>
      <c r="C31" s="26" t="n"/>
      <c r="D31" s="26" t="n"/>
      <c r="E31" s="26" t="n"/>
      <c r="F31" s="26" t="n"/>
      <c r="G31" s="26" t="n"/>
      <c r="H31" s="26" t="n"/>
      <c r="I31" s="26" t="n"/>
      <c r="J31" s="28" t="n"/>
      <c r="K31" s="26" t="n"/>
      <c r="L31" s="26" t="n"/>
      <c r="M31" s="26" t="n"/>
    </row>
    <row r="32" ht="30" customHeight="1">
      <c r="B32" s="16">
        <f>IF(COUNTA($D32)=0,"","E"&amp;TEXT(ROW()-3,"000"))</f>
        <v/>
      </c>
      <c r="C32" s="24" t="n"/>
      <c r="D32" s="24" t="n"/>
      <c r="E32" s="24" t="n"/>
      <c r="F32" s="24" t="n"/>
      <c r="G32" s="24" t="n"/>
      <c r="H32" s="24" t="n"/>
      <c r="I32" s="24" t="n"/>
      <c r="J32" s="27" t="n"/>
      <c r="K32" s="24" t="n"/>
      <c r="L32" s="24" t="n"/>
      <c r="M32" s="24" t="n"/>
    </row>
    <row r="33" ht="30" customHeight="1">
      <c r="B33" s="18">
        <f>IF(COUNTA($D33)=0,"","E"&amp;TEXT(ROW()-3,"000"))</f>
        <v/>
      </c>
      <c r="C33" s="26" t="n"/>
      <c r="D33" s="26" t="n"/>
      <c r="E33" s="26" t="n"/>
      <c r="F33" s="26" t="n"/>
      <c r="G33" s="26" t="n"/>
      <c r="H33" s="26" t="n"/>
      <c r="I33" s="26" t="n"/>
      <c r="J33" s="28" t="n"/>
      <c r="K33" s="26" t="n"/>
      <c r="L33" s="26" t="n"/>
      <c r="M33" s="26" t="n"/>
    </row>
  </sheetData>
  <conditionalFormatting sqref="B4:M33">
    <cfRule type="expression" priority="1" dxfId="3">
      <formula>$G4="Missing"</formula>
    </cfRule>
    <cfRule type="expression" priority="2" dxfId="7">
      <formula>$G4="Approved"</formula>
    </cfRule>
    <cfRule type="expression" priority="3" dxfId="4">
      <formula>$G4="Draft"</formula>
    </cfRule>
  </conditionalFormatting>
  <dataValidations count="6">
    <dataValidation sqref="C4:C33" showDropDown="0" showInputMessage="0" showErrorMessage="0" allowBlank="1" type="list">
      <formula1>=LIST_DOC_TYPE</formula1>
    </dataValidation>
    <dataValidation sqref="G4:G33" showDropDown="0" showInputMessage="0" showErrorMessage="0" allowBlank="1" type="list">
      <formula1>=LIST_DOC_STATUS</formula1>
    </dataValidation>
    <dataValidation sqref="H4:H33" showDropDown="0" showInputMessage="0" showErrorMessage="0" allowBlank="1" type="list">
      <formula1>='05_PQCP_Tracker'!$B$4:$B$33</formula1>
    </dataValidation>
    <dataValidation sqref="I4:I33" showDropDown="0" showInputMessage="0" showErrorMessage="0" allowBlank="1" type="list">
      <formula1>='02_Topic_Register'!$B$4:$B$33</formula1>
    </dataValidation>
    <dataValidation sqref="K4:K33" showDropDown="0" showInputMessage="0" showErrorMessage="0" allowBlank="1" type="list">
      <formula1>=LIST_YESNO</formula1>
    </dataValidation>
    <dataValidation sqref="L4:L33" showDropDown="0" showInputMessage="0" showErrorMessage="0" allowBlank="1" type="list">
      <formula1>=LIST_APPROVED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5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0" customWidth="1" min="2" max="2"/>
    <col width="40" customWidth="1" min="3" max="3"/>
    <col width="30" customWidth="1" min="4" max="4"/>
  </cols>
  <sheetData>
    <row r="2" ht="26" customHeight="1">
      <c r="B2" s="1" t="inlineStr">
        <is>
          <t>Meeting Summary</t>
        </is>
      </c>
    </row>
    <row r="3" ht="16" customHeight="1">
      <c r="B3" s="4" t="inlineStr">
        <is>
          <t>Pick a meeting date below - every section fills in automatically from the registers, ready to paste into minutes or an email. Record the actual discussion directly in the Topic Register, Action Register and Update History; this sheet only compiles what you logged there.</t>
        </is>
      </c>
    </row>
    <row r="5">
      <c r="B5" s="12" t="inlineStr">
        <is>
          <t>Meeting Date:</t>
        </is>
      </c>
      <c r="C5" s="21" t="n">
        <v>46178</v>
      </c>
    </row>
    <row r="7" ht="22" customHeight="1">
      <c r="B7" s="32" t="inlineStr">
        <is>
          <t>KEY UPDATES</t>
        </is>
      </c>
      <c r="C7" s="32" t="n"/>
    </row>
    <row r="8">
      <c r="B8" s="33" t="inlineStr">
        <is>
          <t>Topic ID</t>
        </is>
      </c>
      <c r="C8" s="33" t="inlineStr">
        <is>
          <t>Update</t>
        </is>
      </c>
    </row>
    <row r="9" ht="26" customHeight="1">
      <c r="B9" s="34">
        <f t="array" ref="B9">IFERROR(INDEX('04_Update_History'!$D$4:$D$153,SMALL(IF(('04_Update_History'!$C$4:$C$153=$C$5)*('04_Update_History'!$G$4:$G$153=""),ROW('04_Update_History'!$C$4:$C$153)-ROW('04_Update_History'!$C$4)+1),1)),"")</f>
        <v/>
      </c>
      <c r="C9" s="34">
        <f t="array" ref="C9">IFERROR(INDEX('04_Update_History'!$F$4:$F$153,SMALL(IF(('04_Update_History'!$C$4:$C$153=$C$5)*('04_Update_History'!$G$4:$G$153=""),ROW('04_Update_History'!$C$4:$C$153)-ROW('04_Update_History'!$C$4)+1),1)),"")</f>
        <v/>
      </c>
    </row>
    <row r="10" ht="26" customHeight="1">
      <c r="B10" s="35">
        <f t="array" ref="B10">IFERROR(INDEX('04_Update_History'!$D$4:$D$153,SMALL(IF(('04_Update_History'!$C$4:$C$153=$C$5)*('04_Update_History'!$G$4:$G$153=""),ROW('04_Update_History'!$C$4:$C$153)-ROW('04_Update_History'!$C$4)+1),2)),"")</f>
        <v/>
      </c>
      <c r="C10" s="35">
        <f t="array" ref="C10">IFERROR(INDEX('04_Update_History'!$F$4:$F$153,SMALL(IF(('04_Update_History'!$C$4:$C$153=$C$5)*('04_Update_History'!$G$4:$G$153=""),ROW('04_Update_History'!$C$4:$C$153)-ROW('04_Update_History'!$C$4)+1),2)),"")</f>
        <v/>
      </c>
    </row>
    <row r="11" ht="26" customHeight="1">
      <c r="B11" s="34">
        <f t="array" ref="B11">IFERROR(INDEX('04_Update_History'!$D$4:$D$153,SMALL(IF(('04_Update_History'!$C$4:$C$153=$C$5)*('04_Update_History'!$G$4:$G$153=""),ROW('04_Update_History'!$C$4:$C$153)-ROW('04_Update_History'!$C$4)+1),3)),"")</f>
        <v/>
      </c>
      <c r="C11" s="34">
        <f t="array" ref="C11">IFERROR(INDEX('04_Update_History'!$F$4:$F$153,SMALL(IF(('04_Update_History'!$C$4:$C$153=$C$5)*('04_Update_History'!$G$4:$G$153=""),ROW('04_Update_History'!$C$4:$C$153)-ROW('04_Update_History'!$C$4)+1),3)),"")</f>
        <v/>
      </c>
    </row>
    <row r="12" ht="26" customHeight="1">
      <c r="B12" s="35">
        <f t="array" ref="B12">IFERROR(INDEX('04_Update_History'!$D$4:$D$153,SMALL(IF(('04_Update_History'!$C$4:$C$153=$C$5)*('04_Update_History'!$G$4:$G$153=""),ROW('04_Update_History'!$C$4:$C$153)-ROW('04_Update_History'!$C$4)+1),4)),"")</f>
        <v/>
      </c>
      <c r="C12" s="35">
        <f t="array" ref="C12">IFERROR(INDEX('04_Update_History'!$F$4:$F$153,SMALL(IF(('04_Update_History'!$C$4:$C$153=$C$5)*('04_Update_History'!$G$4:$G$153=""),ROW('04_Update_History'!$C$4:$C$153)-ROW('04_Update_History'!$C$4)+1),4)),"")</f>
        <v/>
      </c>
    </row>
    <row r="13" ht="26" customHeight="1">
      <c r="B13" s="34">
        <f t="array" ref="B13">IFERROR(INDEX('04_Update_History'!$D$4:$D$153,SMALL(IF(('04_Update_History'!$C$4:$C$153=$C$5)*('04_Update_History'!$G$4:$G$153=""),ROW('04_Update_History'!$C$4:$C$153)-ROW('04_Update_History'!$C$4)+1),5)),"")</f>
        <v/>
      </c>
      <c r="C13" s="34">
        <f t="array" ref="C13">IFERROR(INDEX('04_Update_History'!$F$4:$F$153,SMALL(IF(('04_Update_History'!$C$4:$C$153=$C$5)*('04_Update_History'!$G$4:$G$153=""),ROW('04_Update_History'!$C$4:$C$153)-ROW('04_Update_History'!$C$4)+1),5)),"")</f>
        <v/>
      </c>
    </row>
    <row r="14" ht="26" customHeight="1">
      <c r="B14" s="35">
        <f t="array" ref="B14">IFERROR(INDEX('04_Update_History'!$D$4:$D$153,SMALL(IF(('04_Update_History'!$C$4:$C$153=$C$5)*('04_Update_History'!$G$4:$G$153=""),ROW('04_Update_History'!$C$4:$C$153)-ROW('04_Update_History'!$C$4)+1),6)),"")</f>
        <v/>
      </c>
      <c r="C14" s="35">
        <f t="array" ref="C14">IFERROR(INDEX('04_Update_History'!$F$4:$F$153,SMALL(IF(('04_Update_History'!$C$4:$C$153=$C$5)*('04_Update_History'!$G$4:$G$153=""),ROW('04_Update_History'!$C$4:$C$153)-ROW('04_Update_History'!$C$4)+1),6)),"")</f>
        <v/>
      </c>
    </row>
    <row r="16" ht="22" customHeight="1">
      <c r="B16" s="32" t="inlineStr">
        <is>
          <t>DECISIONS</t>
        </is>
      </c>
      <c r="C16" s="32" t="n"/>
    </row>
    <row r="17">
      <c r="B17" s="33" t="inlineStr">
        <is>
          <t>Topic ID</t>
        </is>
      </c>
      <c r="C17" s="33" t="inlineStr">
        <is>
          <t>Decision</t>
        </is>
      </c>
    </row>
    <row r="18" ht="26" customHeight="1">
      <c r="B18" s="34">
        <f t="array" ref="B18">IFERROR(INDEX('04_Update_History'!$D$4:$D$153,SMALL(IF(('04_Update_History'!$C$4:$C$153=$C$5)*('04_Update_History'!$G$4:$G$153&lt;&gt;""),ROW('04_Update_History'!$C$4:$C$153)-ROW('04_Update_History'!$C$4)+1),1)),"")</f>
        <v/>
      </c>
      <c r="C18" s="34">
        <f t="array" ref="C18">IFERROR(INDEX('04_Update_History'!$G$4:$G$153,SMALL(IF(('04_Update_History'!$C$4:$C$153=$C$5)*('04_Update_History'!$G$4:$G$153&lt;&gt;""),ROW('04_Update_History'!$C$4:$C$153)-ROW('04_Update_History'!$C$4)+1),1)),"")</f>
        <v/>
      </c>
    </row>
    <row r="19" ht="26" customHeight="1">
      <c r="B19" s="35">
        <f t="array" ref="B19">IFERROR(INDEX('04_Update_History'!$D$4:$D$153,SMALL(IF(('04_Update_History'!$C$4:$C$153=$C$5)*('04_Update_History'!$G$4:$G$153&lt;&gt;""),ROW('04_Update_History'!$C$4:$C$153)-ROW('04_Update_History'!$C$4)+1),2)),"")</f>
        <v/>
      </c>
      <c r="C19" s="35">
        <f t="array" ref="C19">IFERROR(INDEX('04_Update_History'!$G$4:$G$153,SMALL(IF(('04_Update_History'!$C$4:$C$153=$C$5)*('04_Update_History'!$G$4:$G$153&lt;&gt;""),ROW('04_Update_History'!$C$4:$C$153)-ROW('04_Update_History'!$C$4)+1),2)),"")</f>
        <v/>
      </c>
    </row>
    <row r="20" ht="26" customHeight="1">
      <c r="B20" s="34">
        <f t="array" ref="B20">IFERROR(INDEX('04_Update_History'!$D$4:$D$153,SMALL(IF(('04_Update_History'!$C$4:$C$153=$C$5)*('04_Update_History'!$G$4:$G$153&lt;&gt;""),ROW('04_Update_History'!$C$4:$C$153)-ROW('04_Update_History'!$C$4)+1),3)),"")</f>
        <v/>
      </c>
      <c r="C20" s="34">
        <f t="array" ref="C20">IFERROR(INDEX('04_Update_History'!$G$4:$G$153,SMALL(IF(('04_Update_History'!$C$4:$C$153=$C$5)*('04_Update_History'!$G$4:$G$153&lt;&gt;""),ROW('04_Update_History'!$C$4:$C$153)-ROW('04_Update_History'!$C$4)+1),3)),"")</f>
        <v/>
      </c>
    </row>
    <row r="21" ht="26" customHeight="1">
      <c r="B21" s="35">
        <f t="array" ref="B21">IFERROR(INDEX('04_Update_History'!$D$4:$D$153,SMALL(IF(('04_Update_History'!$C$4:$C$153=$C$5)*('04_Update_History'!$G$4:$G$153&lt;&gt;""),ROW('04_Update_History'!$C$4:$C$153)-ROW('04_Update_History'!$C$4)+1),4)),"")</f>
        <v/>
      </c>
      <c r="C21" s="35">
        <f t="array" ref="C21">IFERROR(INDEX('04_Update_History'!$G$4:$G$153,SMALL(IF(('04_Update_History'!$C$4:$C$153=$C$5)*('04_Update_History'!$G$4:$G$153&lt;&gt;""),ROW('04_Update_History'!$C$4:$C$153)-ROW('04_Update_History'!$C$4)+1),4)),"")</f>
        <v/>
      </c>
    </row>
    <row r="22" ht="26" customHeight="1">
      <c r="B22" s="34">
        <f t="array" ref="B22">IFERROR(INDEX('04_Update_History'!$D$4:$D$153,SMALL(IF(('04_Update_History'!$C$4:$C$153=$C$5)*('04_Update_History'!$G$4:$G$153&lt;&gt;""),ROW('04_Update_History'!$C$4:$C$153)-ROW('04_Update_History'!$C$4)+1),5)),"")</f>
        <v/>
      </c>
      <c r="C22" s="34">
        <f t="array" ref="C22">IFERROR(INDEX('04_Update_History'!$G$4:$G$153,SMALL(IF(('04_Update_History'!$C$4:$C$153=$C$5)*('04_Update_History'!$G$4:$G$153&lt;&gt;""),ROW('04_Update_History'!$C$4:$C$153)-ROW('04_Update_History'!$C$4)+1),5)),"")</f>
        <v/>
      </c>
    </row>
    <row r="23" ht="26" customHeight="1">
      <c r="B23" s="35">
        <f t="array" ref="B23">IFERROR(INDEX('04_Update_History'!$D$4:$D$153,SMALL(IF(('04_Update_History'!$C$4:$C$153=$C$5)*('04_Update_History'!$G$4:$G$153&lt;&gt;""),ROW('04_Update_History'!$C$4:$C$153)-ROW('04_Update_History'!$C$4)+1),6)),"")</f>
        <v/>
      </c>
      <c r="C23" s="35">
        <f t="array" ref="C23">IFERROR(INDEX('04_Update_History'!$G$4:$G$153,SMALL(IF(('04_Update_History'!$C$4:$C$153=$C$5)*('04_Update_History'!$G$4:$G$153&lt;&gt;""),ROW('04_Update_History'!$C$4:$C$153)-ROW('04_Update_History'!$C$4)+1),6)),"")</f>
        <v/>
      </c>
    </row>
    <row r="25" ht="22" customHeight="1">
      <c r="B25" s="32" t="inlineStr">
        <is>
          <t>NEW ACTIONS</t>
        </is>
      </c>
      <c r="C25" s="32" t="n"/>
      <c r="D25" s="32" t="n"/>
    </row>
    <row r="26">
      <c r="B26" s="33" t="inlineStr">
        <is>
          <t>Action</t>
        </is>
      </c>
      <c r="C26" s="33" t="inlineStr">
        <is>
          <t>Owner</t>
        </is>
      </c>
      <c r="D26" s="33" t="inlineStr">
        <is>
          <t>Due Date</t>
        </is>
      </c>
    </row>
    <row r="27" ht="26" customHeight="1">
      <c r="B27" s="34">
        <f t="array" ref="B27">IFERROR(INDEX('03_Action_Register'!$D$4:$D$33,SMALL(IF('03_Action_Register'!$G$4:$G$33=$C$5,ROW('03_Action_Register'!$G$4:$G$33)-ROW('03_Action_Register'!$G$4)+1),1)),"")</f>
        <v/>
      </c>
      <c r="C27" s="34">
        <f t="array" ref="C27">IFERROR(INDEX('03_Action_Register'!$E$4:$E$33,SMALL(IF('03_Action_Register'!$G$4:$G$33=$C$5,ROW('03_Action_Register'!$G$4:$G$33)-ROW('03_Action_Register'!$G$4)+1),1)),"")</f>
        <v/>
      </c>
      <c r="D27" s="36">
        <f t="array" ref="D27">IFERROR(INDEX('03_Action_Register'!$H$4:$H$33,SMALL(IF('03_Action_Register'!$G$4:$G$33=$C$5,ROW('03_Action_Register'!$G$4:$G$33)-ROW('03_Action_Register'!$G$4)+1),1)),"")</f>
        <v/>
      </c>
    </row>
    <row r="28" ht="26" customHeight="1">
      <c r="B28" s="35">
        <f t="array" ref="B28">IFERROR(INDEX('03_Action_Register'!$D$4:$D$33,SMALL(IF('03_Action_Register'!$G$4:$G$33=$C$5,ROW('03_Action_Register'!$G$4:$G$33)-ROW('03_Action_Register'!$G$4)+1),2)),"")</f>
        <v/>
      </c>
      <c r="C28" s="35">
        <f t="array" ref="C28">IFERROR(INDEX('03_Action_Register'!$E$4:$E$33,SMALL(IF('03_Action_Register'!$G$4:$G$33=$C$5,ROW('03_Action_Register'!$G$4:$G$33)-ROW('03_Action_Register'!$G$4)+1),2)),"")</f>
        <v/>
      </c>
      <c r="D28" s="37">
        <f t="array" ref="D28">IFERROR(INDEX('03_Action_Register'!$H$4:$H$33,SMALL(IF('03_Action_Register'!$G$4:$G$33=$C$5,ROW('03_Action_Register'!$G$4:$G$33)-ROW('03_Action_Register'!$G$4)+1),2)),"")</f>
        <v/>
      </c>
    </row>
    <row r="29" ht="26" customHeight="1">
      <c r="B29" s="34">
        <f t="array" ref="B29">IFERROR(INDEX('03_Action_Register'!$D$4:$D$33,SMALL(IF('03_Action_Register'!$G$4:$G$33=$C$5,ROW('03_Action_Register'!$G$4:$G$33)-ROW('03_Action_Register'!$G$4)+1),3)),"")</f>
        <v/>
      </c>
      <c r="C29" s="34">
        <f t="array" ref="C29">IFERROR(INDEX('03_Action_Register'!$E$4:$E$33,SMALL(IF('03_Action_Register'!$G$4:$G$33=$C$5,ROW('03_Action_Register'!$G$4:$G$33)-ROW('03_Action_Register'!$G$4)+1),3)),"")</f>
        <v/>
      </c>
      <c r="D29" s="36">
        <f t="array" ref="D29">IFERROR(INDEX('03_Action_Register'!$H$4:$H$33,SMALL(IF('03_Action_Register'!$G$4:$G$33=$C$5,ROW('03_Action_Register'!$G$4:$G$33)-ROW('03_Action_Register'!$G$4)+1),3)),"")</f>
        <v/>
      </c>
    </row>
    <row r="30" ht="26" customHeight="1">
      <c r="B30" s="35">
        <f t="array" ref="B30">IFERROR(INDEX('03_Action_Register'!$D$4:$D$33,SMALL(IF('03_Action_Register'!$G$4:$G$33=$C$5,ROW('03_Action_Register'!$G$4:$G$33)-ROW('03_Action_Register'!$G$4)+1),4)),"")</f>
        <v/>
      </c>
      <c r="C30" s="35">
        <f t="array" ref="C30">IFERROR(INDEX('03_Action_Register'!$E$4:$E$33,SMALL(IF('03_Action_Register'!$G$4:$G$33=$C$5,ROW('03_Action_Register'!$G$4:$G$33)-ROW('03_Action_Register'!$G$4)+1),4)),"")</f>
        <v/>
      </c>
      <c r="D30" s="37">
        <f t="array" ref="D30">IFERROR(INDEX('03_Action_Register'!$H$4:$H$33,SMALL(IF('03_Action_Register'!$G$4:$G$33=$C$5,ROW('03_Action_Register'!$G$4:$G$33)-ROW('03_Action_Register'!$G$4)+1),4)),"")</f>
        <v/>
      </c>
    </row>
    <row r="31" ht="26" customHeight="1">
      <c r="B31" s="34">
        <f t="array" ref="B31">IFERROR(INDEX('03_Action_Register'!$D$4:$D$33,SMALL(IF('03_Action_Register'!$G$4:$G$33=$C$5,ROW('03_Action_Register'!$G$4:$G$33)-ROW('03_Action_Register'!$G$4)+1),5)),"")</f>
        <v/>
      </c>
      <c r="C31" s="34">
        <f t="array" ref="C31">IFERROR(INDEX('03_Action_Register'!$E$4:$E$33,SMALL(IF('03_Action_Register'!$G$4:$G$33=$C$5,ROW('03_Action_Register'!$G$4:$G$33)-ROW('03_Action_Register'!$G$4)+1),5)),"")</f>
        <v/>
      </c>
      <c r="D31" s="36">
        <f t="array" ref="D31">IFERROR(INDEX('03_Action_Register'!$H$4:$H$33,SMALL(IF('03_Action_Register'!$G$4:$G$33=$C$5,ROW('03_Action_Register'!$G$4:$G$33)-ROW('03_Action_Register'!$G$4)+1),5)),"")</f>
        <v/>
      </c>
    </row>
    <row r="32" ht="26" customHeight="1">
      <c r="B32" s="35">
        <f t="array" ref="B32">IFERROR(INDEX('03_Action_Register'!$D$4:$D$33,SMALL(IF('03_Action_Register'!$G$4:$G$33=$C$5,ROW('03_Action_Register'!$G$4:$G$33)-ROW('03_Action_Register'!$G$4)+1),6)),"")</f>
        <v/>
      </c>
      <c r="C32" s="35">
        <f t="array" ref="C32">IFERROR(INDEX('03_Action_Register'!$E$4:$E$33,SMALL(IF('03_Action_Register'!$G$4:$G$33=$C$5,ROW('03_Action_Register'!$G$4:$G$33)-ROW('03_Action_Register'!$G$4)+1),6)),"")</f>
        <v/>
      </c>
      <c r="D32" s="37">
        <f t="array" ref="D32">IFERROR(INDEX('03_Action_Register'!$H$4:$H$33,SMALL(IF('03_Action_Register'!$G$4:$G$33=$C$5,ROW('03_Action_Register'!$G$4:$G$33)-ROW('03_Action_Register'!$G$4)+1),6)),"")</f>
        <v/>
      </c>
    </row>
    <row r="34" ht="22" customHeight="1">
      <c r="B34" s="32" t="inlineStr">
        <is>
          <t>CLOSED ACTIONS</t>
        </is>
      </c>
      <c r="C34" s="32" t="n"/>
      <c r="D34" s="32" t="n"/>
    </row>
    <row r="35">
      <c r="B35" s="33" t="inlineStr">
        <is>
          <t>Action</t>
        </is>
      </c>
      <c r="C35" s="33" t="inlineStr">
        <is>
          <t>Owner</t>
        </is>
      </c>
      <c r="D35" s="33" t="inlineStr">
        <is>
          <t>Closure Evidence</t>
        </is>
      </c>
    </row>
    <row r="36" ht="26" customHeight="1">
      <c r="B36" s="34">
        <f t="array" ref="B36">IFERROR(INDEX('03_Action_Register'!$D$4:$D$33,SMALL(IF('03_Action_Register'!$O$4:$O$33=$C$5,ROW('03_Action_Register'!$O$4:$O$33)-ROW('03_Action_Register'!$O$4)+1),1)),"")</f>
        <v/>
      </c>
      <c r="C36" s="34">
        <f t="array" ref="C36">IFERROR(INDEX('03_Action_Register'!$E$4:$E$33,SMALL(IF('03_Action_Register'!$O$4:$O$33=$C$5,ROW('03_Action_Register'!$O$4:$O$33)-ROW('03_Action_Register'!$O$4)+1),1)),"")</f>
        <v/>
      </c>
      <c r="D36" s="34">
        <f t="array" ref="D36">IFERROR(INDEX('03_Action_Register'!$P$4:$P$33,SMALL(IF('03_Action_Register'!$O$4:$O$33=$C$5,ROW('03_Action_Register'!$O$4:$O$33)-ROW('03_Action_Register'!$O$4)+1),1)),"")</f>
        <v/>
      </c>
    </row>
    <row r="37" ht="26" customHeight="1">
      <c r="B37" s="35">
        <f t="array" ref="B37">IFERROR(INDEX('03_Action_Register'!$D$4:$D$33,SMALL(IF('03_Action_Register'!$O$4:$O$33=$C$5,ROW('03_Action_Register'!$O$4:$O$33)-ROW('03_Action_Register'!$O$4)+1),2)),"")</f>
        <v/>
      </c>
      <c r="C37" s="35">
        <f t="array" ref="C37">IFERROR(INDEX('03_Action_Register'!$E$4:$E$33,SMALL(IF('03_Action_Register'!$O$4:$O$33=$C$5,ROW('03_Action_Register'!$O$4:$O$33)-ROW('03_Action_Register'!$O$4)+1),2)),"")</f>
        <v/>
      </c>
      <c r="D37" s="35">
        <f t="array" ref="D37">IFERROR(INDEX('03_Action_Register'!$P$4:$P$33,SMALL(IF('03_Action_Register'!$O$4:$O$33=$C$5,ROW('03_Action_Register'!$O$4:$O$33)-ROW('03_Action_Register'!$O$4)+1),2)),"")</f>
        <v/>
      </c>
    </row>
    <row r="38" ht="26" customHeight="1">
      <c r="B38" s="34">
        <f t="array" ref="B38">IFERROR(INDEX('03_Action_Register'!$D$4:$D$33,SMALL(IF('03_Action_Register'!$O$4:$O$33=$C$5,ROW('03_Action_Register'!$O$4:$O$33)-ROW('03_Action_Register'!$O$4)+1),3)),"")</f>
        <v/>
      </c>
      <c r="C38" s="34">
        <f t="array" ref="C38">IFERROR(INDEX('03_Action_Register'!$E$4:$E$33,SMALL(IF('03_Action_Register'!$O$4:$O$33=$C$5,ROW('03_Action_Register'!$O$4:$O$33)-ROW('03_Action_Register'!$O$4)+1),3)),"")</f>
        <v/>
      </c>
      <c r="D38" s="34">
        <f t="array" ref="D38">IFERROR(INDEX('03_Action_Register'!$P$4:$P$33,SMALL(IF('03_Action_Register'!$O$4:$O$33=$C$5,ROW('03_Action_Register'!$O$4:$O$33)-ROW('03_Action_Register'!$O$4)+1),3)),"")</f>
        <v/>
      </c>
    </row>
    <row r="39" ht="26" customHeight="1">
      <c r="B39" s="35">
        <f t="array" ref="B39">IFERROR(INDEX('03_Action_Register'!$D$4:$D$33,SMALL(IF('03_Action_Register'!$O$4:$O$33=$C$5,ROW('03_Action_Register'!$O$4:$O$33)-ROW('03_Action_Register'!$O$4)+1),4)),"")</f>
        <v/>
      </c>
      <c r="C39" s="35">
        <f t="array" ref="C39">IFERROR(INDEX('03_Action_Register'!$E$4:$E$33,SMALL(IF('03_Action_Register'!$O$4:$O$33=$C$5,ROW('03_Action_Register'!$O$4:$O$33)-ROW('03_Action_Register'!$O$4)+1),4)),"")</f>
        <v/>
      </c>
      <c r="D39" s="35">
        <f t="array" ref="D39">IFERROR(INDEX('03_Action_Register'!$P$4:$P$33,SMALL(IF('03_Action_Register'!$O$4:$O$33=$C$5,ROW('03_Action_Register'!$O$4:$O$33)-ROW('03_Action_Register'!$O$4)+1),4)),"")</f>
        <v/>
      </c>
    </row>
    <row r="40" ht="26" customHeight="1">
      <c r="B40" s="34">
        <f t="array" ref="B40">IFERROR(INDEX('03_Action_Register'!$D$4:$D$33,SMALL(IF('03_Action_Register'!$O$4:$O$33=$C$5,ROW('03_Action_Register'!$O$4:$O$33)-ROW('03_Action_Register'!$O$4)+1),5)),"")</f>
        <v/>
      </c>
      <c r="C40" s="34">
        <f t="array" ref="C40">IFERROR(INDEX('03_Action_Register'!$E$4:$E$33,SMALL(IF('03_Action_Register'!$O$4:$O$33=$C$5,ROW('03_Action_Register'!$O$4:$O$33)-ROW('03_Action_Register'!$O$4)+1),5)),"")</f>
        <v/>
      </c>
      <c r="D40" s="34">
        <f t="array" ref="D40">IFERROR(INDEX('03_Action_Register'!$P$4:$P$33,SMALL(IF('03_Action_Register'!$O$4:$O$33=$C$5,ROW('03_Action_Register'!$O$4:$O$33)-ROW('03_Action_Register'!$O$4)+1),5)),"")</f>
        <v/>
      </c>
    </row>
    <row r="41" ht="26" customHeight="1">
      <c r="B41" s="35">
        <f t="array" ref="B41">IFERROR(INDEX('03_Action_Register'!$D$4:$D$33,SMALL(IF('03_Action_Register'!$O$4:$O$33=$C$5,ROW('03_Action_Register'!$O$4:$O$33)-ROW('03_Action_Register'!$O$4)+1),6)),"")</f>
        <v/>
      </c>
      <c r="C41" s="35">
        <f t="array" ref="C41">IFERROR(INDEX('03_Action_Register'!$E$4:$E$33,SMALL(IF('03_Action_Register'!$O$4:$O$33=$C$5,ROW('03_Action_Register'!$O$4:$O$33)-ROW('03_Action_Register'!$O$4)+1),6)),"")</f>
        <v/>
      </c>
      <c r="D41" s="35">
        <f t="array" ref="D41">IFERROR(INDEX('03_Action_Register'!$P$4:$P$33,SMALL(IF('03_Action_Register'!$O$4:$O$33=$C$5,ROW('03_Action_Register'!$O$4:$O$33)-ROW('03_Action_Register'!$O$4)+1),6)),"")</f>
        <v/>
      </c>
    </row>
    <row r="43" ht="22" customHeight="1">
      <c r="B43" s="32" t="inlineStr">
        <is>
          <t>POINTS FOR NEXT MEETING</t>
        </is>
      </c>
      <c r="C43" s="32" t="n"/>
    </row>
    <row r="44">
      <c r="B44" s="33" t="inlineStr">
        <is>
          <t>Topic</t>
        </is>
      </c>
      <c r="C44" s="33" t="inlineStr">
        <is>
          <t>Next Step</t>
        </is>
      </c>
    </row>
    <row r="45" ht="26" customHeight="1">
      <c r="B45" s="34">
        <f t="array" ref="B45">IF(IFERROR(MATCH(1,'02_Topic_Register'!$R$4:$R$33,0)+3,"")="","",INDEX('02_Topic_Register'!$E$4:$E$33,(IFERROR(MATCH(1,'02_Topic_Register'!$R$4:$R$33,0)+3,"")-3)))</f>
        <v/>
      </c>
      <c r="C45" s="34">
        <f t="array" ref="C45">IF(IFERROR(MATCH(1,'02_Topic_Register'!$R$4:$R$33,0)+3,"")="","",INDEX('02_Topic_Register'!$L$4:$L$33,(IFERROR(MATCH(1,'02_Topic_Register'!$R$4:$R$33,0)+3,"")-3)))</f>
        <v/>
      </c>
    </row>
    <row r="46" ht="26" customHeight="1">
      <c r="B46" s="35">
        <f t="array" ref="B46">IF(IFERROR(MATCH(2,'02_Topic_Register'!$R$4:$R$33,0)+3,"")="","",INDEX('02_Topic_Register'!$E$4:$E$33,(IFERROR(MATCH(2,'02_Topic_Register'!$R$4:$R$33,0)+3,"")-3)))</f>
        <v/>
      </c>
      <c r="C46" s="35">
        <f t="array" ref="C46">IF(IFERROR(MATCH(2,'02_Topic_Register'!$R$4:$R$33,0)+3,"")="","",INDEX('02_Topic_Register'!$L$4:$L$33,(IFERROR(MATCH(2,'02_Topic_Register'!$R$4:$R$33,0)+3,"")-3)))</f>
        <v/>
      </c>
    </row>
    <row r="47" ht="26" customHeight="1">
      <c r="B47" s="34">
        <f t="array" ref="B47">IF(IFERROR(MATCH(3,'02_Topic_Register'!$R$4:$R$33,0)+3,"")="","",INDEX('02_Topic_Register'!$E$4:$E$33,(IFERROR(MATCH(3,'02_Topic_Register'!$R$4:$R$33,0)+3,"")-3)))</f>
        <v/>
      </c>
      <c r="C47" s="34">
        <f t="array" ref="C47">IF(IFERROR(MATCH(3,'02_Topic_Register'!$R$4:$R$33,0)+3,"")="","",INDEX('02_Topic_Register'!$L$4:$L$33,(IFERROR(MATCH(3,'02_Topic_Register'!$R$4:$R$33,0)+3,"")-3)))</f>
        <v/>
      </c>
    </row>
    <row r="48" ht="26" customHeight="1">
      <c r="B48" s="35">
        <f t="array" ref="B48">IF(IFERROR(MATCH(4,'02_Topic_Register'!$R$4:$R$33,0)+3,"")="","",INDEX('02_Topic_Register'!$E$4:$E$33,(IFERROR(MATCH(4,'02_Topic_Register'!$R$4:$R$33,0)+3,"")-3)))</f>
        <v/>
      </c>
      <c r="C48" s="35">
        <f t="array" ref="C48">IF(IFERROR(MATCH(4,'02_Topic_Register'!$R$4:$R$33,0)+3,"")="","",INDEX('02_Topic_Register'!$L$4:$L$33,(IFERROR(MATCH(4,'02_Topic_Register'!$R$4:$R$33,0)+3,"")-3)))</f>
        <v/>
      </c>
    </row>
    <row r="49" ht="26" customHeight="1">
      <c r="B49" s="34">
        <f t="array" ref="B49">IF(IFERROR(MATCH(5,'02_Topic_Register'!$R$4:$R$33,0)+3,"")="","",INDEX('02_Topic_Register'!$E$4:$E$33,(IFERROR(MATCH(5,'02_Topic_Register'!$R$4:$R$33,0)+3,"")-3)))</f>
        <v/>
      </c>
      <c r="C49" s="34">
        <f t="array" ref="C49">IF(IFERROR(MATCH(5,'02_Topic_Register'!$R$4:$R$33,0)+3,"")="","",INDEX('02_Topic_Register'!$L$4:$L$33,(IFERROR(MATCH(5,'02_Topic_Register'!$R$4:$R$33,0)+3,"")-3)))</f>
        <v/>
      </c>
    </row>
    <row r="50" ht="26" customHeight="1">
      <c r="B50" s="35">
        <f t="array" ref="B50">IF(IFERROR(MATCH(6,'02_Topic_Register'!$R$4:$R$33,0)+3,"")="","",INDEX('02_Topic_Register'!$E$4:$E$33,(IFERROR(MATCH(6,'02_Topic_Register'!$R$4:$R$33,0)+3,"")-3)))</f>
        <v/>
      </c>
      <c r="C50" s="35">
        <f t="array" ref="C50">IF(IFERROR(MATCH(6,'02_Topic_Register'!$R$4:$R$33,0)+3,"")="","",INDEX('02_Topic_Register'!$L$4:$L$33,(IFERROR(MATCH(6,'02_Topic_Register'!$R$4:$R$33,0)+3,"")-3)))</f>
        <v/>
      </c>
    </row>
    <row r="52">
      <c r="B52" s="20" t="inlineStr">
        <is>
          <t>Legend:  Blue text = fill in yourself   |   Black text = automatic formula, do not overtype   |   Grey columns = automation helpers, do not edit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K23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2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2" ht="26" customHeight="1">
      <c r="B2" s="1" t="inlineStr">
        <is>
          <t>Lists &amp; Configuration</t>
        </is>
      </c>
    </row>
    <row r="3" ht="16" customHeight="1">
      <c r="B3" s="4" t="inlineStr">
        <is>
          <t>Dropdown lists and parameters used across the workbook. Edit the lists below to match your project's vocabulary.</t>
        </is>
      </c>
    </row>
    <row r="5" ht="24" customHeight="1">
      <c r="B5" s="15" t="inlineStr">
        <is>
          <t>Category</t>
        </is>
      </c>
      <c r="C5" s="15" t="inlineStr">
        <is>
          <t>Topic Status</t>
        </is>
      </c>
      <c r="D5" s="15" t="inlineStr">
        <is>
          <t>Priority</t>
        </is>
      </c>
      <c r="E5" s="15" t="inlineStr">
        <is>
          <t>Yes/No</t>
        </is>
      </c>
      <c r="F5" s="15" t="inlineStr">
        <is>
          <t>Action Status</t>
        </is>
      </c>
      <c r="G5" s="15" t="inlineStr">
        <is>
          <t>PQCP Status</t>
        </is>
      </c>
      <c r="H5" s="15" t="inlineStr">
        <is>
          <t>Evidence Available</t>
        </is>
      </c>
      <c r="I5" s="15" t="inlineStr">
        <is>
          <t>Document Type</t>
        </is>
      </c>
      <c r="J5" s="15" t="inlineStr">
        <is>
          <t>Document Status</t>
        </is>
      </c>
      <c r="K5" s="15" t="inlineStr">
        <is>
          <t>Approved?</t>
        </is>
      </c>
    </row>
    <row r="6">
      <c r="B6" s="16" t="inlineStr">
        <is>
          <t>Schedule</t>
        </is>
      </c>
      <c r="C6" s="16" t="inlineStr">
        <is>
          <t>Open</t>
        </is>
      </c>
      <c r="D6" s="16" t="inlineStr">
        <is>
          <t>Low</t>
        </is>
      </c>
      <c r="E6" s="16" t="inlineStr">
        <is>
          <t>Yes</t>
        </is>
      </c>
      <c r="F6" s="16" t="inlineStr">
        <is>
          <t>Open</t>
        </is>
      </c>
      <c r="G6" s="16" t="inlineStr">
        <is>
          <t>Not Started</t>
        </is>
      </c>
      <c r="H6" s="16" t="inlineStr">
        <is>
          <t>Yes</t>
        </is>
      </c>
      <c r="I6" s="16" t="inlineStr">
        <is>
          <t>Commissioning Execution Plan</t>
        </is>
      </c>
      <c r="J6" s="16" t="inlineStr">
        <is>
          <t>Draft</t>
        </is>
      </c>
      <c r="K6" s="16" t="inlineStr">
        <is>
          <t>Yes</t>
        </is>
      </c>
    </row>
    <row r="7">
      <c r="B7" s="18" t="inlineStr">
        <is>
          <t>Documentation</t>
        </is>
      </c>
      <c r="C7" s="18" t="inlineStr">
        <is>
          <t>Monitoring</t>
        </is>
      </c>
      <c r="D7" s="18" t="inlineStr">
        <is>
          <t>Medium</t>
        </is>
      </c>
      <c r="E7" s="18" t="inlineStr">
        <is>
          <t>No</t>
        </is>
      </c>
      <c r="F7" s="18" t="inlineStr">
        <is>
          <t>In Progress</t>
        </is>
      </c>
      <c r="G7" s="18" t="inlineStr">
        <is>
          <t>Information Required</t>
        </is>
      </c>
      <c r="H7" s="18" t="inlineStr">
        <is>
          <t>No</t>
        </is>
      </c>
      <c r="I7" s="18" t="inlineStr">
        <is>
          <t>Commissioning Programme</t>
        </is>
      </c>
      <c r="J7" s="18" t="inlineStr">
        <is>
          <t>Issued for Review</t>
        </is>
      </c>
      <c r="K7" s="18" t="inlineStr">
        <is>
          <t>No</t>
        </is>
      </c>
    </row>
    <row r="8">
      <c r="B8" s="16" t="inlineStr">
        <is>
          <t>Systems &amp; Equipment</t>
        </is>
      </c>
      <c r="C8" s="16" t="inlineStr">
        <is>
          <t>Closed</t>
        </is>
      </c>
      <c r="D8" s="16" t="inlineStr">
        <is>
          <t>High</t>
        </is>
      </c>
      <c r="F8" s="16" t="inlineStr">
        <is>
          <t>Awaiting Information</t>
        </is>
      </c>
      <c r="G8" s="16" t="inlineStr">
        <is>
          <t>In Progress</t>
        </is>
      </c>
      <c r="H8" s="16" t="inlineStr">
        <is>
          <t>Partial</t>
        </is>
      </c>
      <c r="I8" s="16" t="inlineStr">
        <is>
          <t>Commissioning Procedure</t>
        </is>
      </c>
      <c r="J8" s="16" t="inlineStr">
        <is>
          <t>Approved</t>
        </is>
      </c>
      <c r="K8" s="16" t="inlineStr">
        <is>
          <t>N/A</t>
        </is>
      </c>
    </row>
    <row r="9">
      <c r="B9" s="18" t="inlineStr">
        <is>
          <t>Interfaces</t>
        </is>
      </c>
      <c r="D9" s="18" t="inlineStr">
        <is>
          <t>Critical</t>
        </is>
      </c>
      <c r="F9" s="18" t="inlineStr">
        <is>
          <t>Awaiting Contractor</t>
        </is>
      </c>
      <c r="G9" s="18" t="inlineStr">
        <is>
          <t>Under Review</t>
        </is>
      </c>
      <c r="I9" s="18" t="inlineStr">
        <is>
          <t>Method Statement</t>
        </is>
      </c>
      <c r="J9" s="18" t="inlineStr">
        <is>
          <t>Superseded</t>
        </is>
      </c>
    </row>
    <row r="10">
      <c r="B10" s="16" t="inlineStr">
        <is>
          <t>Resources</t>
        </is>
      </c>
      <c r="F10" s="16" t="inlineStr">
        <is>
          <t>Awaiting Client</t>
        </is>
      </c>
      <c r="G10" s="16" t="inlineStr">
        <is>
          <t>Evidence Available</t>
        </is>
      </c>
      <c r="I10" s="16" t="inlineStr">
        <is>
          <t>Inspection &amp; Test Plan</t>
        </is>
      </c>
      <c r="J10" s="16" t="inlineStr">
        <is>
          <t>Missing</t>
        </is>
      </c>
    </row>
    <row r="11">
      <c r="B11" s="18" t="inlineStr">
        <is>
          <t>Quality</t>
        </is>
      </c>
      <c r="F11" s="18" t="inlineStr">
        <is>
          <t>On Hold</t>
        </is>
      </c>
      <c r="G11" s="18" t="inlineStr">
        <is>
          <t>Complete</t>
        </is>
      </c>
      <c r="I11" s="18" t="inlineStr">
        <is>
          <t>Commissioning Result Sheet</t>
        </is>
      </c>
    </row>
    <row r="12">
      <c r="B12" s="16" t="inlineStr">
        <is>
          <t>HSE</t>
        </is>
      </c>
      <c r="F12" s="16" t="inlineStr">
        <is>
          <t>Closed</t>
        </is>
      </c>
      <c r="G12" s="16" t="inlineStr">
        <is>
          <t>N/A</t>
        </is>
      </c>
      <c r="I12" s="16" t="inlineStr">
        <is>
          <t>Handover / Erection Completion Evidence</t>
        </is>
      </c>
    </row>
    <row r="13">
      <c r="B13" s="18" t="inlineStr">
        <is>
          <t>Contract</t>
        </is>
      </c>
      <c r="I13" s="18" t="inlineStr">
        <is>
          <t>Safe System of Work</t>
        </is>
      </c>
    </row>
    <row r="14">
      <c r="B14" s="16" t="inlineStr">
        <is>
          <t>Readiness / PQCP</t>
        </is>
      </c>
      <c r="I14" s="16" t="inlineStr">
        <is>
          <t>Surveillance Evidence</t>
        </is>
      </c>
    </row>
    <row r="15">
      <c r="B15" s="18" t="inlineStr">
        <is>
          <t>Other</t>
        </is>
      </c>
      <c r="I15" s="18" t="inlineStr">
        <is>
          <t>O&amp;M Documentation</t>
        </is>
      </c>
    </row>
    <row r="16">
      <c r="I16" s="16" t="inlineStr">
        <is>
          <t>Commissioning Completion Report</t>
        </is>
      </c>
    </row>
    <row r="19">
      <c r="B19" s="38" t="inlineStr">
        <is>
          <t>Configuration Parameters</t>
        </is>
      </c>
    </row>
    <row r="20">
      <c r="B20" s="39" t="inlineStr">
        <is>
          <t>Parameter</t>
        </is>
      </c>
      <c r="C20" s="15" t="inlineStr">
        <is>
          <t>Value</t>
        </is>
      </c>
    </row>
    <row r="21">
      <c r="B21" s="40" t="inlineStr">
        <is>
          <t>'Due soon' warning window (days before due date)</t>
        </is>
      </c>
      <c r="C21" s="41" t="n">
        <v>14</v>
      </c>
    </row>
    <row r="23">
      <c r="B23" s="20" t="inlineStr">
        <is>
          <t>Legend:  Blue text = fill in yourself   |   Black text = automatic formula, do not overtype   |   Grey columns = automation helpers, do not 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2026-09-28T08:23:38Z</dcterms:created>
  <dcterms:modified xsi:type="dcterms:W3CDTF">2026-09-28T08:23:38Z</dcterms:modified>
</cp:coreProperties>
</file>